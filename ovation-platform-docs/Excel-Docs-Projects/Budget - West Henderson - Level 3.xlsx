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ovationco.sharepoint.com/sites/Construction/Shared Documents/West Henderson/02 - Project Budgets &amp; Draws - WH/01 - Pre-Construction Budgets/Construction Budget/Level 3/"/>
    </mc:Choice>
  </mc:AlternateContent>
  <xr:revisionPtr revIDLastSave="0" documentId="8_{002F6F12-97BD-424E-BB62-9077A31E7F8B}" xr6:coauthVersionLast="47" xr6:coauthVersionMax="47" xr10:uidLastSave="{00000000-0000-0000-0000-000000000000}"/>
  <bookViews>
    <workbookView xWindow="-15720" yWindow="-16320" windowWidth="29040" windowHeight="15720" tabRatio="822" activeTab="3" xr2:uid="{D3E59FA3-19F8-4545-8253-C3582123240F}"/>
  </bookViews>
  <sheets>
    <sheet name="Menu Pricing" sheetId="33" r:id="rId1"/>
    <sheet name="Level 2 - Transmitted" sheetId="35" state="hidden" r:id="rId2"/>
    <sheet name="Insurance_Bonds" sheetId="40" r:id="rId3"/>
    <sheet name="Level 3" sheetId="32" r:id="rId4"/>
    <sheet name="Summary Changes" sheetId="37" r:id="rId5"/>
    <sheet name="Comparison to Previous" sheetId="11" r:id="rId6"/>
    <sheet name="Level 2 - Transmitted (2)" sheetId="38" r:id="rId7"/>
    <sheet name="Level 1.1 UPDATE B" sheetId="28" state="hidden" r:id="rId8"/>
    <sheet name="Level 1.1 UPDATE A" sheetId="27" state="hidden" r:id="rId9"/>
    <sheet name="Level 1" sheetId="6" state="hidden" r:id="rId10"/>
    <sheet name="What changed" sheetId="29" r:id="rId11"/>
    <sheet name="Comparison to Other" sheetId="10" r:id="rId12"/>
    <sheet name="Comparison to Previous (2)" sheetId="12" state="hidden" r:id="rId13"/>
    <sheet name="Another Uselss" sheetId="14" state="hidden" r:id="rId14"/>
    <sheet name="Useless Breakdown" sheetId="13" state="hidden" r:id="rId15"/>
    <sheet name="Another Uselss (2)" sheetId="15" state="hidden" r:id="rId16"/>
    <sheet name="Level 1 VS Level 0" sheetId="16" state="hidden" r:id="rId17"/>
    <sheet name="_REFERENCE888777888" sheetId="24" state="veryHidden" r:id="rId18"/>
    <sheet name="Offsite Comp" sheetId="23" state="hidden" r:id="rId19"/>
    <sheet name="Savings Recomendations" sheetId="30" r:id="rId20"/>
    <sheet name="Torrey Comparison" sheetId="26" r:id="rId21"/>
    <sheet name="Risk" sheetId="34" state="hidden" r:id="rId22"/>
    <sheet name="Park Options" sheetId="31" r:id="rId23"/>
    <sheet name="Normalize" sheetId="36" r:id="rId24"/>
    <sheet name="Torrey Premier" sheetId="18" state="hidden" r:id="rId25"/>
    <sheet name="Pebble" sheetId="19" state="hidden" r:id="rId26"/>
    <sheet name="Decatur" sheetId="20" state="hidden" r:id="rId27"/>
    <sheet name="Russell IV" sheetId="21"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 localSheetId="13">#REF!</definedName>
    <definedName name="\A" localSheetId="15">#REF!</definedName>
    <definedName name="\A" localSheetId="11">#REF!</definedName>
    <definedName name="\A" localSheetId="5">#REF!</definedName>
    <definedName name="\A" localSheetId="12">#REF!</definedName>
    <definedName name="\A" localSheetId="14">#REF!</definedName>
    <definedName name="\A">#REF!</definedName>
    <definedName name="\B" localSheetId="13">#REF!</definedName>
    <definedName name="\B" localSheetId="15">#REF!</definedName>
    <definedName name="\B" localSheetId="11">#REF!</definedName>
    <definedName name="\B" localSheetId="5">#REF!</definedName>
    <definedName name="\B" localSheetId="12">#REF!</definedName>
    <definedName name="\B" localSheetId="14">#REF!</definedName>
    <definedName name="\B">#REF!</definedName>
    <definedName name="\C" localSheetId="13">#REF!</definedName>
    <definedName name="\C" localSheetId="15">#REF!</definedName>
    <definedName name="\C" localSheetId="11">#REF!</definedName>
    <definedName name="\C" localSheetId="5">#REF!</definedName>
    <definedName name="\C" localSheetId="12">#REF!</definedName>
    <definedName name="\C" localSheetId="14">#REF!</definedName>
    <definedName name="\C">#REF!</definedName>
    <definedName name="\D">#REF!</definedName>
    <definedName name="\E">#REF!</definedName>
    <definedName name="\F">#REF!</definedName>
    <definedName name="\i">#REF!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w">#REF!</definedName>
    <definedName name="\X">#REF!</definedName>
    <definedName name="\Y">#REF!</definedName>
    <definedName name="\Z">#REF!</definedName>
    <definedName name="____7HILLS">#REF!</definedName>
    <definedName name="____Ins2">#REF!</definedName>
    <definedName name="____Ins3">#REF!</definedName>
    <definedName name="____NML9798">#REF!</definedName>
    <definedName name="____NML98">#REF!</definedName>
    <definedName name="____PEG1">#REF!</definedName>
    <definedName name="____RR1">#REF!</definedName>
    <definedName name="____SKY98">#REF!</definedName>
    <definedName name="___1Module2_.PRINT_BCCAM" localSheetId="2">Insurance_Bonds!___1Module2_.PRINT_BCCAM</definedName>
    <definedName name="___1Module2_.PRINT_BCCAM" localSheetId="23">Normalize!___1Module2_.PRINT_BCCAM</definedName>
    <definedName name="___1Module2_.PRINT_BCCAM">#N/A</definedName>
    <definedName name="___7HILLS">#REF!</definedName>
    <definedName name="___Ins2">#REF!</definedName>
    <definedName name="___Ins3">#REF!</definedName>
    <definedName name="___MT1">#REF!</definedName>
    <definedName name="___MT2">#REF!</definedName>
    <definedName name="___MT3">#REF!</definedName>
    <definedName name="___NML9798">#REF!</definedName>
    <definedName name="___NML98">#REF!</definedName>
    <definedName name="___PEG1">#REF!</definedName>
    <definedName name="___RR1">#REF!</definedName>
    <definedName name="___SKY98">#REF!</definedName>
    <definedName name="__123Graph_A" localSheetId="2" hidden="1">#REF!</definedName>
    <definedName name="__123Graph_A" hidden="1">[1]OCT!$B$13:$B$29</definedName>
    <definedName name="__123Graph_B" localSheetId="2" hidden="1">#REF!</definedName>
    <definedName name="__123Graph_B" hidden="1">[1]OCT!$C$13:$C$29</definedName>
    <definedName name="__123Graph_C" localSheetId="2" hidden="1">#REF!</definedName>
    <definedName name="__123Graph_C" hidden="1">[1]OCT!$D$13:$D$29</definedName>
    <definedName name="__123Graph_D" localSheetId="2" hidden="1">#REF!</definedName>
    <definedName name="__123Graph_D" hidden="1">[1]OCT!$E$13:$E$29</definedName>
    <definedName name="__123Graph_E" localSheetId="2" hidden="1">#REF!</definedName>
    <definedName name="__123Graph_E" hidden="1">[1]OCT!$F$13:$F$29</definedName>
    <definedName name="__123Graph_F" localSheetId="2" hidden="1">#REF!</definedName>
    <definedName name="__123Graph_F" hidden="1">[1]OCT!$G$13:$G$29</definedName>
    <definedName name="__1Module2_.PRINT_BCCAM">#N/A</definedName>
    <definedName name="__2Module2_.PRINT_BCPR">#N/A</definedName>
    <definedName name="__3Module2_.PRINT_BCTAX">#N/A</definedName>
    <definedName name="__4Module2_.PRINT_HSUM">#N/A</definedName>
    <definedName name="__5_96100">#REF!</definedName>
    <definedName name="__7HILLS">#REF!</definedName>
    <definedName name="__96100">#REF!</definedName>
    <definedName name="__FDS_HYPERLINK_TOGGLE_STATE__" hidden="1">"ON"</definedName>
    <definedName name="__Ins2">#REF!</definedName>
    <definedName name="__Ins3">#REF!</definedName>
    <definedName name="__MT1">#REF!</definedName>
    <definedName name="__MT2">#REF!</definedName>
    <definedName name="__MT3">#REF!</definedName>
    <definedName name="__NML9798">#REF!</definedName>
    <definedName name="__NML98">#REF!</definedName>
    <definedName name="__PEG1">#REF!</definedName>
    <definedName name="__RR1">#REF!</definedName>
    <definedName name="__SKY98">#REF!</definedName>
    <definedName name="__soa202">#REF!</definedName>
    <definedName name="__soa207">#REF!</definedName>
    <definedName name="__soa231">#REF!</definedName>
    <definedName name="__soa236">#REF!</definedName>
    <definedName name="_10Module2_.PRINT_HSUM" localSheetId="2">Insurance_Bonds!_10Module2_.PRINT_HSUM</definedName>
    <definedName name="_10Module2_.PRINT_HSUM" localSheetId="23">Normalize!_10Module2_.PRINT_HSUM</definedName>
    <definedName name="_10Module2_.PRINT_HSUM">#N/A</definedName>
    <definedName name="_1201T1">#REF!</definedName>
    <definedName name="_1202T1">#N/A</definedName>
    <definedName name="_1206T1">#REF!</definedName>
    <definedName name="_1207T1">#REF!</definedName>
    <definedName name="_1208T1">#REF!</definedName>
    <definedName name="_1210T1">#REF!</definedName>
    <definedName name="_1211T1">#REF!</definedName>
    <definedName name="_1216T1">#REF!</definedName>
    <definedName name="_1217T1">#REF!</definedName>
    <definedName name="_1218T1">#REF!</definedName>
    <definedName name="_1219T1">#REF!</definedName>
    <definedName name="_1220T1">#REF!</definedName>
    <definedName name="_1220T2">#REF!</definedName>
    <definedName name="_1221T1">#REF!</definedName>
    <definedName name="_1222T1">#REF!</definedName>
    <definedName name="_1223T1">#REF!</definedName>
    <definedName name="_1224T1">#REF!</definedName>
    <definedName name="_1226T2">#REF!</definedName>
    <definedName name="_1231T">#REF!</definedName>
    <definedName name="_1231T1">#REF!</definedName>
    <definedName name="_1233T1">#REF!</definedName>
    <definedName name="_1234T2">#REF!</definedName>
    <definedName name="_1235T1">#REF!</definedName>
    <definedName name="_1236T1">#REF!</definedName>
    <definedName name="_1238T1">#REF!</definedName>
    <definedName name="_1239T1">#REF!</definedName>
    <definedName name="_1239T3">#REF!</definedName>
    <definedName name="_1240T1">#REF!</definedName>
    <definedName name="_1248T3">#REF!</definedName>
    <definedName name="_1251T1">#REF!</definedName>
    <definedName name="_1251T2">#REF!</definedName>
    <definedName name="_1252T1">#REF!</definedName>
    <definedName name="_1252T2">#REF!</definedName>
    <definedName name="_1256T1">#REF!</definedName>
    <definedName name="_1257T1">#REF!</definedName>
    <definedName name="_1258T1">#REF!</definedName>
    <definedName name="_1260T1">#REF!</definedName>
    <definedName name="_1260T2">#REF!</definedName>
    <definedName name="_1261T1">#REF!</definedName>
    <definedName name="_1262T1">#REF!</definedName>
    <definedName name="_1264T1">#REF!</definedName>
    <definedName name="_1265T1">#REF!</definedName>
    <definedName name="_1268T2">#REF!</definedName>
    <definedName name="_1273T1">#REF!</definedName>
    <definedName name="_1276T1">#REF!</definedName>
    <definedName name="_1280T1">#REF!</definedName>
    <definedName name="_1281T1">#REF!</definedName>
    <definedName name="_12Module2_.PRINT_HSUM" localSheetId="2">Insurance_Bonds!_12Module2_.PRINT_HSUM</definedName>
    <definedName name="_12Module2_.PRINT_HSUM" localSheetId="23">Normalize!_12Module2_.PRINT_HSUM</definedName>
    <definedName name="_12Module2_.PRINT_HSUM">#N/A</definedName>
    <definedName name="_13_96100">#REF!</definedName>
    <definedName name="_1Module2_.PRINT_BCCAM">#N/A</definedName>
    <definedName name="_2">#REF!</definedName>
    <definedName name="_2002_B_C_BUDGET">#REF!</definedName>
    <definedName name="_2Module2_.PRINT_BCPR">#N/A</definedName>
    <definedName name="_3">#REF!</definedName>
    <definedName name="_3Module2_.PRINT_BCCAM" localSheetId="2">Insurance_Bonds!_3Module2_.PRINT_BCCAM</definedName>
    <definedName name="_3Module2_.PRINT_BCCAM" localSheetId="23">Normalize!_3Module2_.PRINT_BCCAM</definedName>
    <definedName name="_3Module2_.PRINT_BCCAM">#N/A</definedName>
    <definedName name="_3Module2_.PRINT_BCTAX">#N/A</definedName>
    <definedName name="_4Module2_.PRINT_BCPR" localSheetId="2">Insurance_Bonds!_4Module2_.PRINT_BCPR</definedName>
    <definedName name="_4Module2_.PRINT_BCPR" localSheetId="23">Normalize!_4Module2_.PRINT_BCPR</definedName>
    <definedName name="_4Module2_.PRINT_BCPR">#N/A</definedName>
    <definedName name="_4Module2_.PRINT_HSUM">#N/A</definedName>
    <definedName name="_5_96100">#REF!</definedName>
    <definedName name="_6Module2_.PRINT_BCPR" localSheetId="2">Insurance_Bonds!_6Module2_.PRINT_BCPR</definedName>
    <definedName name="_6Module2_.PRINT_BCPR" localSheetId="23">Normalize!_6Module2_.PRINT_BCPR</definedName>
    <definedName name="_6Module2_.PRINT_BCPR">#N/A</definedName>
    <definedName name="_7HILLS">#REF!</definedName>
    <definedName name="_7Module2_.PRINT_BCTAX" localSheetId="2">Insurance_Bonds!_7Module2_.PRINT_BCTAX</definedName>
    <definedName name="_7Module2_.PRINT_BCTAX" localSheetId="23">Normalize!_7Module2_.PRINT_BCTAX</definedName>
    <definedName name="_7Module2_.PRINT_BCTAX">#N/A</definedName>
    <definedName name="_96100">#REF!</definedName>
    <definedName name="_9Module2_.PRINT_BCTAX" localSheetId="2">Insurance_Bonds!_9Module2_.PRINT_BCTAX</definedName>
    <definedName name="_9Module2_.PRINT_BCTAX" localSheetId="23">Normalize!_9Module2_.PRINT_BCTAX</definedName>
    <definedName name="_9Module2_.PRINT_BCTAX">#N/A</definedName>
    <definedName name="_Fill" localSheetId="2" hidden="1">#REF!</definedName>
    <definedName name="_Fill" hidden="1">#REF!</definedName>
    <definedName name="_xlnm._FilterDatabase" localSheetId="11" hidden="1">'Comparison to Other'!$A$2:$F$30</definedName>
    <definedName name="_xlnm._FilterDatabase" localSheetId="9" hidden="1">'Level 1'!$A$19:$M$367</definedName>
    <definedName name="_xlnm._FilterDatabase" localSheetId="8" hidden="1">'Level 1.1 UPDATE A'!$A$19:$M$369</definedName>
    <definedName name="_xlnm._FilterDatabase" localSheetId="7" hidden="1">'Level 1.1 UPDATE B'!$A$19:$M$373</definedName>
    <definedName name="_xlnm._FilterDatabase" localSheetId="1" hidden="1">'Level 2 - Transmitted'!$A$19:$M$373</definedName>
    <definedName name="_xlnm._FilterDatabase" localSheetId="6" hidden="1">'Level 2 - Transmitted (2)'!$A$19:$M$373</definedName>
    <definedName name="_xlnm._FilterDatabase" localSheetId="3" hidden="1">'Level 3'!$A$19:$M$359</definedName>
    <definedName name="_xlnm._FilterDatabase" hidden="1">#REF!</definedName>
    <definedName name="_Ins2" localSheetId="13">#REF!</definedName>
    <definedName name="_Ins2" localSheetId="15">#REF!</definedName>
    <definedName name="_Ins2" localSheetId="11">#REF!</definedName>
    <definedName name="_Ins2" localSheetId="5">#REF!</definedName>
    <definedName name="_Ins2" localSheetId="12">#REF!</definedName>
    <definedName name="_Ins2" localSheetId="14">#REF!</definedName>
    <definedName name="_Ins2">#REF!</definedName>
    <definedName name="_Ins3" localSheetId="13">#REF!</definedName>
    <definedName name="_Ins3" localSheetId="15">#REF!</definedName>
    <definedName name="_Ins3" localSheetId="11">#REF!</definedName>
    <definedName name="_Ins3" localSheetId="5">#REF!</definedName>
    <definedName name="_Ins3" localSheetId="12">#REF!</definedName>
    <definedName name="_Ins3" localSheetId="14">#REF!</definedName>
    <definedName name="_Ins3">#REF!</definedName>
    <definedName name="_Key1" hidden="1">#REF!</definedName>
    <definedName name="_Key2" hidden="1">#REF!</definedName>
    <definedName name="_MT1">#REF!</definedName>
    <definedName name="_MT2">#REF!</definedName>
    <definedName name="_MT3">#REF!</definedName>
    <definedName name="_NML9798">#REF!</definedName>
    <definedName name="_NML98">#REF!</definedName>
    <definedName name="_Order1" hidden="1">255</definedName>
    <definedName name="_Order2" hidden="1">0</definedName>
    <definedName name="_PEG1">#REF!</definedName>
    <definedName name="_PR1">#REF!</definedName>
    <definedName name="_pr2">#REF!</definedName>
    <definedName name="_Regression_X" localSheetId="2" hidden="1">#REF!</definedName>
    <definedName name="_Regression_X" hidden="1">'[2]5CM95'!#REF!</definedName>
    <definedName name="_RR1" localSheetId="13">#REF!</definedName>
    <definedName name="_RR1" localSheetId="15">#REF!</definedName>
    <definedName name="_RR1" localSheetId="11">#REF!</definedName>
    <definedName name="_RR1" localSheetId="5">#REF!</definedName>
    <definedName name="_RR1" localSheetId="12">#REF!</definedName>
    <definedName name="_RR1" localSheetId="14">#REF!</definedName>
    <definedName name="_RR1">#REF!</definedName>
    <definedName name="_SKY98" localSheetId="13">#REF!</definedName>
    <definedName name="_SKY98" localSheetId="15">#REF!</definedName>
    <definedName name="_SKY98" localSheetId="11">#REF!</definedName>
    <definedName name="_SKY98" localSheetId="5">#REF!</definedName>
    <definedName name="_SKY98" localSheetId="12">#REF!</definedName>
    <definedName name="_SKY98" localSheetId="14">#REF!</definedName>
    <definedName name="_SKY98">#REF!</definedName>
    <definedName name="_Sort" localSheetId="13" hidden="1">#REF!</definedName>
    <definedName name="_Sort" localSheetId="15" hidden="1">#REF!</definedName>
    <definedName name="_Sort" localSheetId="11" hidden="1">#REF!</definedName>
    <definedName name="_Sort" localSheetId="5" hidden="1">#REF!</definedName>
    <definedName name="_Sort" localSheetId="12" hidden="1">#REF!</definedName>
    <definedName name="_Sort" localSheetId="14" hidden="1">#REF!</definedName>
    <definedName name="_Sort" hidden="1">#REF!</definedName>
    <definedName name="A">#REF!</definedName>
    <definedName name="A.G._EDWARDS">#REF!</definedName>
    <definedName name="aa">#REF!</definedName>
    <definedName name="aac">#REF!</definedName>
    <definedName name="Absorption" localSheetId="2">'[3]AVI-JV-PROFORMA'!#REF!</definedName>
    <definedName name="Absorption" localSheetId="23">'[4]AVI-JV-PROFORMA'!#REF!</definedName>
    <definedName name="Absorption">'[5]AVI-JV-PROFORMA'!#REF!</definedName>
    <definedName name="AbsorptionDataTablesDual" localSheetId="13">#REF!</definedName>
    <definedName name="AbsorptionDataTablesDual" localSheetId="15">#REF!</definedName>
    <definedName name="AbsorptionDataTablesDual" localSheetId="11">#REF!</definedName>
    <definedName name="AbsorptionDataTablesDual" localSheetId="5">#REF!</definedName>
    <definedName name="AbsorptionDataTablesDual" localSheetId="12">#REF!</definedName>
    <definedName name="AbsorptionDataTablesDual" localSheetId="14">#REF!</definedName>
    <definedName name="AbsorptionDataTablesDual">#REF!</definedName>
    <definedName name="AbsorptionDataTablesSingle" localSheetId="13">#REF!</definedName>
    <definedName name="AbsorptionDataTablesSingle" localSheetId="15">#REF!</definedName>
    <definedName name="AbsorptionDataTablesSingle" localSheetId="11">#REF!</definedName>
    <definedName name="AbsorptionDataTablesSingle" localSheetId="5">#REF!</definedName>
    <definedName name="AbsorptionDataTablesSingle" localSheetId="12">#REF!</definedName>
    <definedName name="AbsorptionDataTablesSingle" localSheetId="14">#REF!</definedName>
    <definedName name="AbsorptionDataTablesSingle">#REF!</definedName>
    <definedName name="AbsorptionForSingleTables" localSheetId="13">[6]Assumptions!#REF!</definedName>
    <definedName name="AbsorptionForSingleTables" localSheetId="15">[6]Assumptions!#REF!</definedName>
    <definedName name="AbsorptionForSingleTables" localSheetId="11">[6]Assumptions!#REF!</definedName>
    <definedName name="AbsorptionForSingleTables" localSheetId="5">[6]Assumptions!#REF!</definedName>
    <definedName name="AbsorptionForSingleTables" localSheetId="12">[6]Assumptions!#REF!</definedName>
    <definedName name="AbsorptionForSingleTables" localSheetId="23">[7]Assumptions!#REF!</definedName>
    <definedName name="AbsorptionForSingleTables" localSheetId="14">[6]Assumptions!#REF!</definedName>
    <definedName name="AbsorptionForSingleTables">[6]Assumptions!#REF!</definedName>
    <definedName name="AbsorptionRangeResults" localSheetId="13">#REF!</definedName>
    <definedName name="AbsorptionRangeResults" localSheetId="15">#REF!</definedName>
    <definedName name="AbsorptionRangeResults" localSheetId="11">#REF!</definedName>
    <definedName name="AbsorptionRangeResults" localSheetId="5">#REF!</definedName>
    <definedName name="AbsorptionRangeResults" localSheetId="12">#REF!</definedName>
    <definedName name="AbsorptionRangeResults" localSheetId="14">#REF!</definedName>
    <definedName name="AbsorptionRangeResults">#REF!</definedName>
    <definedName name="AbsorptionTablesDual" localSheetId="13">[6]Assumptions!#REF!</definedName>
    <definedName name="AbsorptionTablesDual" localSheetId="15">[6]Assumptions!#REF!</definedName>
    <definedName name="AbsorptionTablesDual" localSheetId="11">[6]Assumptions!#REF!</definedName>
    <definedName name="AbsorptionTablesDual" localSheetId="5">[6]Assumptions!#REF!</definedName>
    <definedName name="AbsorptionTablesDual" localSheetId="12">[6]Assumptions!#REF!</definedName>
    <definedName name="AbsorptionTablesDual" localSheetId="23">[7]Assumptions!#REF!</definedName>
    <definedName name="AbsorptionTablesDual" localSheetId="14">[6]Assumptions!#REF!</definedName>
    <definedName name="AbsorptionTablesDual">[6]Assumptions!#REF!</definedName>
    <definedName name="AbsorptionTablesSingle" localSheetId="13">[6]Assumptions!#REF!</definedName>
    <definedName name="AbsorptionTablesSingle" localSheetId="15">[6]Assumptions!#REF!</definedName>
    <definedName name="AbsorptionTablesSingle" localSheetId="11">[6]Assumptions!#REF!</definedName>
    <definedName name="AbsorptionTablesSingle" localSheetId="5">[6]Assumptions!#REF!</definedName>
    <definedName name="AbsorptionTablesSingle" localSheetId="12">[6]Assumptions!#REF!</definedName>
    <definedName name="AbsorptionTablesSingle" localSheetId="23">[7]Assumptions!#REF!</definedName>
    <definedName name="AbsorptionTablesSingle" localSheetId="14">[6]Assumptions!#REF!</definedName>
    <definedName name="AbsorptionTablesSingle">[6]Assumptions!#REF!</definedName>
    <definedName name="Absortion" localSheetId="13">'[8]AVI-JV-PROFORMA'!#REF!</definedName>
    <definedName name="Absortion" localSheetId="15">'[8]AVI-JV-PROFORMA'!#REF!</definedName>
    <definedName name="Absortion" localSheetId="11">'[8]AVI-JV-PROFORMA'!#REF!</definedName>
    <definedName name="Absortion" localSheetId="5">'[8]AVI-JV-PROFORMA'!#REF!</definedName>
    <definedName name="Absortion" localSheetId="12">'[8]AVI-JV-PROFORMA'!#REF!</definedName>
    <definedName name="Absortion" localSheetId="14">'[8]AVI-JV-PROFORMA'!#REF!</definedName>
    <definedName name="Absortion">'[8]AVI-JV-PROFORMA'!#REF!</definedName>
    <definedName name="accrdays" localSheetId="13">#REF!</definedName>
    <definedName name="accrdays" localSheetId="15">#REF!</definedName>
    <definedName name="accrdays" localSheetId="11">#REF!</definedName>
    <definedName name="accrdays" localSheetId="5">#REF!</definedName>
    <definedName name="accrdays" localSheetId="12">#REF!</definedName>
    <definedName name="accrdays" localSheetId="14">#REF!</definedName>
    <definedName name="accrdays">#REF!</definedName>
    <definedName name="accruals" localSheetId="13">#REF!</definedName>
    <definedName name="accruals" localSheetId="15">#REF!</definedName>
    <definedName name="accruals" localSheetId="11">#REF!</definedName>
    <definedName name="accruals" localSheetId="5">#REF!</definedName>
    <definedName name="accruals" localSheetId="12">#REF!</definedName>
    <definedName name="accruals" localSheetId="14">#REF!</definedName>
    <definedName name="accruals">#REF!</definedName>
    <definedName name="acov" localSheetId="13">#REF!</definedName>
    <definedName name="acov" localSheetId="15">#REF!</definedName>
    <definedName name="acov" localSheetId="11">#REF!</definedName>
    <definedName name="acov" localSheetId="5">#REF!</definedName>
    <definedName name="acov" localSheetId="12">#REF!</definedName>
    <definedName name="acov" localSheetId="14">#REF!</definedName>
    <definedName name="acov">#REF!</definedName>
    <definedName name="actual_360_grossyield">#REF!</definedName>
    <definedName name="ACwvu.ALL." hidden="1">#REF!</definedName>
    <definedName name="ACwvu.CAM._.RATES." hidden="1">#REF!</definedName>
    <definedName name="ACwvu.CAM._.RECOVERIES." localSheetId="2" hidden="1">#REF!</definedName>
    <definedName name="ACwvu.CAM._.RECOVERIES." hidden="1">'[9]SCHEDULE B+C'!$BV$162</definedName>
    <definedName name="ACwvu.CAM._.RECOVERY." localSheetId="13" hidden="1">#REF!</definedName>
    <definedName name="ACwvu.CAM._.RECOVERY." localSheetId="15" hidden="1">#REF!</definedName>
    <definedName name="ACwvu.CAM._.RECOVERY." localSheetId="11" hidden="1">#REF!</definedName>
    <definedName name="ACwvu.CAM._.RECOVERY." localSheetId="5" hidden="1">#REF!</definedName>
    <definedName name="ACwvu.CAM._.RECOVERY." localSheetId="12" hidden="1">#REF!</definedName>
    <definedName name="ACwvu.CAM._.RECOVERY." localSheetId="14" hidden="1">#REF!</definedName>
    <definedName name="ACwvu.CAM._.RECOVERY." hidden="1">#REF!</definedName>
    <definedName name="ACwvu.CAM._.TABLE." localSheetId="2" hidden="1">#REF!</definedName>
    <definedName name="ACwvu.CAM._.TABLE." hidden="1">'[9]SCHEDULE B+C'!$BW$210</definedName>
    <definedName name="ACwvu.INSURANCE._.RECOVERIES." localSheetId="2" hidden="1">#REF!</definedName>
    <definedName name="ACwvu.INSURANCE._.RECOVERIES." hidden="1">'[9]SCHEDULE B+C'!$CY$159</definedName>
    <definedName name="ACwvu.LSMEET." localSheetId="13" hidden="1">#REF!</definedName>
    <definedName name="ACwvu.LSMEET." localSheetId="15" hidden="1">#REF!</definedName>
    <definedName name="ACwvu.LSMEET." localSheetId="11" hidden="1">#REF!</definedName>
    <definedName name="ACwvu.LSMEET." localSheetId="5" hidden="1">#REF!</definedName>
    <definedName name="ACwvu.LSMEET." localSheetId="12" hidden="1">#REF!</definedName>
    <definedName name="ACwvu.LSMEET." localSheetId="14" hidden="1">#REF!</definedName>
    <definedName name="ACwvu.LSMEET." hidden="1">#REF!</definedName>
    <definedName name="ACwvu.MARKETING._.REVENUE." localSheetId="13" hidden="1">#REF!</definedName>
    <definedName name="ACwvu.MARKETING._.REVENUE." localSheetId="15" hidden="1">#REF!</definedName>
    <definedName name="ACwvu.MARKETING._.REVENUE." localSheetId="11" hidden="1">#REF!</definedName>
    <definedName name="ACwvu.MARKETING._.REVENUE." localSheetId="5" hidden="1">#REF!</definedName>
    <definedName name="ACwvu.MARKETING._.REVENUE." localSheetId="12" hidden="1">#REF!</definedName>
    <definedName name="ACwvu.MARKETING._.REVENUE." localSheetId="14" hidden="1">#REF!</definedName>
    <definedName name="ACwvu.MARKETING._.REVENUE." hidden="1">#REF!</definedName>
    <definedName name="ACwvu.MINIMUM._.RENT." localSheetId="2" hidden="1">#REF!</definedName>
    <definedName name="ACwvu.MINIMUM._.RENT." hidden="1">'[9]SCHEDULE B+C'!$A$1</definedName>
    <definedName name="ACwvu.OCCUPANCY." localSheetId="13" hidden="1">#REF!</definedName>
    <definedName name="ACwvu.OCCUPANCY." localSheetId="15" hidden="1">#REF!</definedName>
    <definedName name="ACwvu.OCCUPANCY." localSheetId="11" hidden="1">#REF!</definedName>
    <definedName name="ACwvu.OCCUPANCY." localSheetId="5" hidden="1">#REF!</definedName>
    <definedName name="ACwvu.OCCUPANCY." localSheetId="12" hidden="1">#REF!</definedName>
    <definedName name="ACwvu.OCCUPANCY." localSheetId="14" hidden="1">#REF!</definedName>
    <definedName name="ACwvu.OCCUPANCY." hidden="1">#REF!</definedName>
    <definedName name="ACwvu.OCCUPANCY._.ANALYSIS." localSheetId="2" hidden="1">#REF!</definedName>
    <definedName name="ACwvu.OCCUPANCY._.ANALYSIS." hidden="1">'[9]SCHEDULE B+C'!$BI$168</definedName>
    <definedName name="ACwvu.PERCENTAGE._.RENT." localSheetId="2" hidden="1">#REF!</definedName>
    <definedName name="ACwvu.PERCENTAGE._.RENT." hidden="1">'[9]SCHEDULE B+C'!$G$1:$G$65536</definedName>
    <definedName name="ACwvu.TAX._.RATES." localSheetId="13" hidden="1">#REF!</definedName>
    <definedName name="ACwvu.TAX._.RATES." localSheetId="15" hidden="1">#REF!</definedName>
    <definedName name="ACwvu.TAX._.RATES." localSheetId="11" hidden="1">#REF!</definedName>
    <definedName name="ACwvu.TAX._.RATES." localSheetId="5" hidden="1">#REF!</definedName>
    <definedName name="ACwvu.TAX._.RATES." localSheetId="12" hidden="1">#REF!</definedName>
    <definedName name="ACwvu.TAX._.RATES." localSheetId="14" hidden="1">#REF!</definedName>
    <definedName name="ACwvu.TAX._.RATES." hidden="1">#REF!</definedName>
    <definedName name="ACwvu.TAX._.RECOVERIES." localSheetId="2" hidden="1">#REF!</definedName>
    <definedName name="ACwvu.TAX._.RECOVERIES." hidden="1">'[9]SCHEDULE B+C'!$CK$167</definedName>
    <definedName name="ACwvu.TAX._.RECOVERY." localSheetId="13" hidden="1">#REF!</definedName>
    <definedName name="ACwvu.TAX._.RECOVERY." localSheetId="15" hidden="1">#REF!</definedName>
    <definedName name="ACwvu.TAX._.RECOVERY." localSheetId="11" hidden="1">#REF!</definedName>
    <definedName name="ACwvu.TAX._.RECOVERY." localSheetId="5" hidden="1">#REF!</definedName>
    <definedName name="ACwvu.TAX._.RECOVERY." localSheetId="12" hidden="1">#REF!</definedName>
    <definedName name="ACwvu.TAX._.RECOVERY." localSheetId="14" hidden="1">#REF!</definedName>
    <definedName name="ACwvu.TAX._.RECOVERY." hidden="1">#REF!</definedName>
    <definedName name="ACwvu.WAT." localSheetId="13" hidden="1">#REF!</definedName>
    <definedName name="ACwvu.WAT." localSheetId="15" hidden="1">#REF!</definedName>
    <definedName name="ACwvu.WAT." localSheetId="11" hidden="1">#REF!</definedName>
    <definedName name="ACwvu.WAT." localSheetId="5" hidden="1">#REF!</definedName>
    <definedName name="ACwvu.WAT." localSheetId="12" hidden="1">#REF!</definedName>
    <definedName name="ACwvu.WAT." localSheetId="14" hidden="1">#REF!</definedName>
    <definedName name="ACwvu.WAT." hidden="1">#REF!</definedName>
    <definedName name="adfg" localSheetId="13">(VLOOKUP([10]!Grade_4,'Another Uselss'!fnjh,2))</definedName>
    <definedName name="adfg" localSheetId="15">(VLOOKUP([10]!Grade_4,'Another Uselss (2)'!fnjh,2))</definedName>
    <definedName name="adfg" localSheetId="11">(VLOOKUP(Grade_4,'Comparison to Other'!fnjh,2))</definedName>
    <definedName name="adfg" localSheetId="5">(VLOOKUP(Grade_4,'Comparison to Previous'!fnjh,2))</definedName>
    <definedName name="adfg" localSheetId="12">(VLOOKUP([10]!Grade_4,'Comparison to Previous (2)'!fnjh,2))</definedName>
    <definedName name="adfg" localSheetId="2">(VLOOKUP([0]!Grade_4,Insurance_Bonds!fnjh,2))</definedName>
    <definedName name="adfg" localSheetId="6">(VLOOKUP(Grade_4,fnjh,2))</definedName>
    <definedName name="adfg" localSheetId="23">(VLOOKUP(Grade_4,fnjh,2))</definedName>
    <definedName name="adfg" localSheetId="14">(VLOOKUP([10]!Grade_4,'Useless Breakdown'!fnjh,2))</definedName>
    <definedName name="adfg">(VLOOKUP(Grade_4,fnjh,2))</definedName>
    <definedName name="ADJ" localSheetId="13">#REF!</definedName>
    <definedName name="ADJ" localSheetId="15">#REF!</definedName>
    <definedName name="ADJ" localSheetId="11">#REF!</definedName>
    <definedName name="ADJ" localSheetId="5">#REF!</definedName>
    <definedName name="ADJ" localSheetId="12">#REF!</definedName>
    <definedName name="ADJ" localSheetId="14">#REF!</definedName>
    <definedName name="ADJ">#REF!</definedName>
    <definedName name="ADJBF" localSheetId="13">#REF!</definedName>
    <definedName name="ADJBF" localSheetId="15">#REF!</definedName>
    <definedName name="ADJBF" localSheetId="11">#REF!</definedName>
    <definedName name="ADJBF" localSheetId="5">#REF!</definedName>
    <definedName name="ADJBF" localSheetId="12">#REF!</definedName>
    <definedName name="ADJBF" localSheetId="14">#REF!</definedName>
    <definedName name="ADJBF">#REF!</definedName>
    <definedName name="Adjustable_term_1" localSheetId="13">#REF!</definedName>
    <definedName name="Adjustable_term_1" localSheetId="15">#REF!</definedName>
    <definedName name="Adjustable_term_1" localSheetId="11">#REF!</definedName>
    <definedName name="Adjustable_term_1" localSheetId="5">#REF!</definedName>
    <definedName name="Adjustable_term_1" localSheetId="12">#REF!</definedName>
    <definedName name="Adjustable_term_1" localSheetId="14">#REF!</definedName>
    <definedName name="Adjustable_term_1">#REF!</definedName>
    <definedName name="Adjustable_term_2">#REF!</definedName>
    <definedName name="Adjustable_term_3">#REF!</definedName>
    <definedName name="Adjustable_term_4">#REF!</definedName>
    <definedName name="Adjustable_term_5">#REF!</definedName>
    <definedName name="Adjustable_term_6">#REF!</definedName>
    <definedName name="adjusted_grossyield_bond">#REF!</definedName>
    <definedName name="Adjusted_Spread_1">#REF!</definedName>
    <definedName name="Adjusted_Spread_2">#REF!</definedName>
    <definedName name="Adjusted_Spread_3">#REF!</definedName>
    <definedName name="Adjusted_Spread_4">#REF!</definedName>
    <definedName name="Adjusted_Spread_5">#REF!</definedName>
    <definedName name="Adjusted_Spread_6">#REF!</definedName>
    <definedName name="ADJVFP">#REF!</definedName>
    <definedName name="ADJWSP">#REF!</definedName>
    <definedName name="AdminServices_Gross">#REF!</definedName>
    <definedName name="Advance_Arrears_1">#REF!</definedName>
    <definedName name="Advance_Arrears_2">#REF!</definedName>
    <definedName name="Advance_Arrears_3">#REF!</definedName>
    <definedName name="Advance_Arrears_4">#REF!</definedName>
    <definedName name="Advance_Arrears_5">#REF!</definedName>
    <definedName name="Advance_Arrears_6">#REF!</definedName>
    <definedName name="AEstDS" localSheetId="23">[11]AMORT!$M$6</definedName>
    <definedName name="AEstDS">[12]AMORT!$M$6</definedName>
    <definedName name="aexpense">'[13]PRO FORMA'!#REF!</definedName>
    <definedName name="After_Tax_Cost_of_Equity" localSheetId="13">#REF!</definedName>
    <definedName name="After_Tax_Cost_of_Equity" localSheetId="15">#REF!</definedName>
    <definedName name="After_Tax_Cost_of_Equity" localSheetId="11">#REF!</definedName>
    <definedName name="After_Tax_Cost_of_Equity" localSheetId="5">#REF!</definedName>
    <definedName name="After_Tax_Cost_of_Equity" localSheetId="12">#REF!</definedName>
    <definedName name="After_Tax_Cost_of_Equity" localSheetId="14">#REF!</definedName>
    <definedName name="After_Tax_Cost_of_Equity">#REF!</definedName>
    <definedName name="ag" localSheetId="13">(VLOOKUP([10]!Grade_5,'Another Uselss'!fnjh,2))</definedName>
    <definedName name="ag" localSheetId="15">(VLOOKUP([10]!Grade_5,'Another Uselss (2)'!fnjh,2))</definedName>
    <definedName name="ag" localSheetId="11">(VLOOKUP(Grade_5,'Comparison to Other'!fnjh,2))</definedName>
    <definedName name="ag" localSheetId="5">(VLOOKUP(Grade_5,'Comparison to Previous'!fnjh,2))</definedName>
    <definedName name="ag" localSheetId="12">(VLOOKUP([10]!Grade_5,'Comparison to Previous (2)'!fnjh,2))</definedName>
    <definedName name="ag" localSheetId="2">(VLOOKUP([0]!Grade_5,Insurance_Bonds!fnjh,2))</definedName>
    <definedName name="ag" localSheetId="6">(VLOOKUP(Grade_5,fnjh,2))</definedName>
    <definedName name="ag" localSheetId="23">(VLOOKUP(Grade_5,fnjh,2))</definedName>
    <definedName name="ag" localSheetId="14">(VLOOKUP([10]!Grade_5,'Useless Breakdown'!fnjh,2))</definedName>
    <definedName name="ag">(VLOOKUP(Grade_5,fnjh,2))</definedName>
    <definedName name="agea" localSheetId="13">#REF!</definedName>
    <definedName name="agea" localSheetId="15">#REF!</definedName>
    <definedName name="agea" localSheetId="11">#REF!</definedName>
    <definedName name="agea" localSheetId="5">#REF!</definedName>
    <definedName name="agea" localSheetId="12">#REF!</definedName>
    <definedName name="agea" localSheetId="14">#REF!</definedName>
    <definedName name="agea">#REF!</definedName>
    <definedName name="agha" localSheetId="13">#REF!</definedName>
    <definedName name="agha" localSheetId="15">#REF!</definedName>
    <definedName name="agha" localSheetId="11">#REF!</definedName>
    <definedName name="agha" localSheetId="5">#REF!</definedName>
    <definedName name="agha" localSheetId="12">#REF!</definedName>
    <definedName name="agha" localSheetId="14">#REF!</definedName>
    <definedName name="agha">#REF!</definedName>
    <definedName name="ALL" localSheetId="23">#REF!</definedName>
    <definedName name="ALL">[14]A!$A$1:$Q$241</definedName>
    <definedName name="AllNewRepriced_OverUnderTarget" localSheetId="13">#REF!</definedName>
    <definedName name="AllNewRepriced_OverUnderTarget" localSheetId="15">#REF!</definedName>
    <definedName name="AllNewRepriced_OverUnderTarget" localSheetId="11">#REF!</definedName>
    <definedName name="AllNewRepriced_OverUnderTarget" localSheetId="5">#REF!</definedName>
    <definedName name="AllNewRepriced_OverUnderTarget" localSheetId="12">#REF!</definedName>
    <definedName name="AllNewRepriced_OverUnderTarget" localSheetId="14">#REF!</definedName>
    <definedName name="AllNewRepriced_OverUnderTarget">#REF!</definedName>
    <definedName name="AllNewRepricedCredits_ROA" localSheetId="13">#REF!</definedName>
    <definedName name="AllNewRepricedCredits_ROA" localSheetId="15">#REF!</definedName>
    <definedName name="AllNewRepricedCredits_ROA" localSheetId="11">#REF!</definedName>
    <definedName name="AllNewRepricedCredits_ROA" localSheetId="5">#REF!</definedName>
    <definedName name="AllNewRepricedCredits_ROA" localSheetId="12">#REF!</definedName>
    <definedName name="AllNewRepricedCredits_ROA" localSheetId="14">#REF!</definedName>
    <definedName name="AllNewRepricedCredits_ROA">#REF!</definedName>
    <definedName name="AllNewRepricedCredits_ROE" localSheetId="13">#REF!</definedName>
    <definedName name="AllNewRepricedCredits_ROE" localSheetId="15">#REF!</definedName>
    <definedName name="AllNewRepricedCredits_ROE" localSheetId="11">#REF!</definedName>
    <definedName name="AllNewRepricedCredits_ROE" localSheetId="5">#REF!</definedName>
    <definedName name="AllNewRepricedCredits_ROE" localSheetId="12">#REF!</definedName>
    <definedName name="AllNewRepricedCredits_ROE" localSheetId="14">#REF!</definedName>
    <definedName name="AllNewRepricedCredits_ROE">#REF!</definedName>
    <definedName name="alloc">#REF!</definedName>
    <definedName name="Alloc._Check">#REF!</definedName>
    <definedName name="Alloc_Lookup_1" localSheetId="13">(VLOOKUP('Another Uselss'!Grade_1,'Another Uselss'!AllocTable,2))</definedName>
    <definedName name="Alloc_Lookup_1" localSheetId="15">(VLOOKUP('Another Uselss (2)'!Grade_1,'Another Uselss (2)'!AllocTable,2))</definedName>
    <definedName name="Alloc_Lookup_1" localSheetId="11">(VLOOKUP('Comparison to Other'!Grade_1,'Comparison to Other'!AllocTable,2))</definedName>
    <definedName name="Alloc_Lookup_1" localSheetId="5">(VLOOKUP('Comparison to Previous'!Grade_1,'Comparison to Previous'!AllocTable,2))</definedName>
    <definedName name="Alloc_Lookup_1" localSheetId="12">(VLOOKUP('Comparison to Previous (2)'!Grade_1,'Comparison to Previous (2)'!AllocTable,2))</definedName>
    <definedName name="Alloc_Lookup_1" localSheetId="2">(VLOOKUP(Insurance_Bonds!Grade_1,Insurance_Bonds!AllocTable,2))</definedName>
    <definedName name="Alloc_Lookup_1" localSheetId="6">(VLOOKUP(Grade_1,AllocTable,2))</definedName>
    <definedName name="Alloc_Lookup_1" localSheetId="23">(VLOOKUP(Grade_1,AllocTable,2))</definedName>
    <definedName name="Alloc_Lookup_1" localSheetId="14">(VLOOKUP('Useless Breakdown'!Grade_1,'Useless Breakdown'!AllocTable,2))</definedName>
    <definedName name="Alloc_Lookup_1">(VLOOKUP(Grade_1,AllocTable,2))</definedName>
    <definedName name="Alloc_Lookup_2" localSheetId="13">(VLOOKUP('Another Uselss'!Grade_2,'Another Uselss'!AllocTable,2))</definedName>
    <definedName name="Alloc_Lookup_2" localSheetId="15">(VLOOKUP('Another Uselss (2)'!Grade_2,'Another Uselss (2)'!AllocTable,2))</definedName>
    <definedName name="Alloc_Lookup_2" localSheetId="11">(VLOOKUP('Comparison to Other'!Grade_2,'Comparison to Other'!AllocTable,2))</definedName>
    <definedName name="Alloc_Lookup_2" localSheetId="5">(VLOOKUP('Comparison to Previous'!Grade_2,'Comparison to Previous'!AllocTable,2))</definedName>
    <definedName name="Alloc_Lookup_2" localSheetId="12">(VLOOKUP('Comparison to Previous (2)'!Grade_2,'Comparison to Previous (2)'!AllocTable,2))</definedName>
    <definedName name="Alloc_Lookup_2" localSheetId="2">(VLOOKUP(Insurance_Bonds!Grade_2,Insurance_Bonds!AllocTable,2))</definedName>
    <definedName name="Alloc_Lookup_2" localSheetId="6">(VLOOKUP(Grade_2,AllocTable,2))</definedName>
    <definedName name="Alloc_Lookup_2" localSheetId="23">(VLOOKUP(Grade_2,AllocTable,2))</definedName>
    <definedName name="Alloc_Lookup_2" localSheetId="14">(VLOOKUP('Useless Breakdown'!Grade_2,'Useless Breakdown'!AllocTable,2))</definedName>
    <definedName name="Alloc_Lookup_2">(VLOOKUP(Grade_2,AllocTable,2))</definedName>
    <definedName name="Alloc_Lookup_3" localSheetId="13">(VLOOKUP([10]!Grade_3,'Another Uselss'!AllocTable,2))</definedName>
    <definedName name="Alloc_Lookup_3" localSheetId="15">(VLOOKUP([10]!Grade_3,'Another Uselss (2)'!AllocTable,2))</definedName>
    <definedName name="Alloc_Lookup_3" localSheetId="11">(VLOOKUP(Grade_3,'Comparison to Other'!AllocTable,2))</definedName>
    <definedName name="Alloc_Lookup_3" localSheetId="5">(VLOOKUP(Grade_3,'Comparison to Previous'!AllocTable,2))</definedName>
    <definedName name="Alloc_Lookup_3" localSheetId="12">(VLOOKUP([10]!Grade_3,'Comparison to Previous (2)'!AllocTable,2))</definedName>
    <definedName name="Alloc_Lookup_3" localSheetId="2">(VLOOKUP([0]!Grade_3,Insurance_Bonds!AllocTable,2))</definedName>
    <definedName name="Alloc_Lookup_3" localSheetId="6">(VLOOKUP(Grade_3,AllocTable,2))</definedName>
    <definedName name="Alloc_Lookup_3" localSheetId="23">(VLOOKUP(Grade_3,AllocTable,2))</definedName>
    <definedName name="Alloc_Lookup_3" localSheetId="14">(VLOOKUP([10]!Grade_3,'Useless Breakdown'!AllocTable,2))</definedName>
    <definedName name="Alloc_Lookup_3">(VLOOKUP(Grade_3,AllocTable,2))</definedName>
    <definedName name="Alloc_Lookup_4" localSheetId="13">(VLOOKUP([10]!Grade_4,'Another Uselss'!AllocTable,2))</definedName>
    <definedName name="Alloc_Lookup_4" localSheetId="15">(VLOOKUP([10]!Grade_4,'Another Uselss (2)'!AllocTable,2))</definedName>
    <definedName name="Alloc_Lookup_4" localSheetId="11">(VLOOKUP(Grade_4,'Comparison to Other'!AllocTable,2))</definedName>
    <definedName name="Alloc_Lookup_4" localSheetId="5">(VLOOKUP(Grade_4,'Comparison to Previous'!AllocTable,2))</definedName>
    <definedName name="Alloc_Lookup_4" localSheetId="12">(VLOOKUP([10]!Grade_4,'Comparison to Previous (2)'!AllocTable,2))</definedName>
    <definedName name="Alloc_Lookup_4" localSheetId="2">(VLOOKUP([0]!Grade_4,Insurance_Bonds!AllocTable,2))</definedName>
    <definedName name="Alloc_Lookup_4" localSheetId="6">(VLOOKUP(Grade_4,AllocTable,2))</definedName>
    <definedName name="Alloc_Lookup_4" localSheetId="23">(VLOOKUP(Grade_4,AllocTable,2))</definedName>
    <definedName name="Alloc_Lookup_4" localSheetId="14">(VLOOKUP([10]!Grade_4,'Useless Breakdown'!AllocTable,2))</definedName>
    <definedName name="Alloc_Lookup_4">(VLOOKUP(Grade_4,AllocTable,2))</definedName>
    <definedName name="Alloc_Lookup_5" localSheetId="13">(VLOOKUP([10]!Grade_5,'Another Uselss'!AllocTable,2))</definedName>
    <definedName name="Alloc_Lookup_5" localSheetId="15">(VLOOKUP([10]!Grade_5,'Another Uselss (2)'!AllocTable,2))</definedName>
    <definedName name="Alloc_Lookup_5" localSheetId="11">(VLOOKUP(Grade_5,'Comparison to Other'!AllocTable,2))</definedName>
    <definedName name="Alloc_Lookup_5" localSheetId="5">(VLOOKUP(Grade_5,'Comparison to Previous'!AllocTable,2))</definedName>
    <definedName name="Alloc_Lookup_5" localSheetId="12">(VLOOKUP([10]!Grade_5,'Comparison to Previous (2)'!AllocTable,2))</definedName>
    <definedName name="Alloc_Lookup_5" localSheetId="2">(VLOOKUP([0]!Grade_5,Insurance_Bonds!AllocTable,2))</definedName>
    <definedName name="Alloc_Lookup_5" localSheetId="6">(VLOOKUP(Grade_5,AllocTable,2))</definedName>
    <definedName name="Alloc_Lookup_5" localSheetId="23">(VLOOKUP(Grade_5,AllocTable,2))</definedName>
    <definedName name="Alloc_Lookup_5" localSheetId="14">(VLOOKUP([10]!Grade_5,'Useless Breakdown'!AllocTable,2))</definedName>
    <definedName name="Alloc_Lookup_5">(VLOOKUP(Grade_5,AllocTable,2))</definedName>
    <definedName name="Alloc_Lookup_6" localSheetId="13">(VLOOKUP([10]!Grade_6,'Another Uselss'!AllocTable,2))</definedName>
    <definedName name="Alloc_Lookup_6" localSheetId="15">(VLOOKUP([10]!Grade_6,'Another Uselss (2)'!AllocTable,2))</definedName>
    <definedName name="Alloc_Lookup_6" localSheetId="11">(VLOOKUP(Grade_6,'Comparison to Other'!AllocTable,2))</definedName>
    <definedName name="Alloc_Lookup_6" localSheetId="5">(VLOOKUP(Grade_6,'Comparison to Previous'!AllocTable,2))</definedName>
    <definedName name="Alloc_Lookup_6" localSheetId="12">(VLOOKUP([10]!Grade_6,'Comparison to Previous (2)'!AllocTable,2))</definedName>
    <definedName name="Alloc_Lookup_6" localSheetId="2">(VLOOKUP([0]!Grade_6,Insurance_Bonds!AllocTable,2))</definedName>
    <definedName name="Alloc_Lookup_6" localSheetId="6">(VLOOKUP(Grade_6,AllocTable,2))</definedName>
    <definedName name="Alloc_Lookup_6" localSheetId="23">(VLOOKUP(Grade_6,AllocTable,2))</definedName>
    <definedName name="Alloc_Lookup_6" localSheetId="14">(VLOOKUP([10]!Grade_6,'Useless Breakdown'!AllocTable,2))</definedName>
    <definedName name="Alloc_Lookup_6">(VLOOKUP(Grade_6,AllocTable,2))</definedName>
    <definedName name="AllocTable" localSheetId="13">#REF!</definedName>
    <definedName name="AllocTable" localSheetId="15">#REF!</definedName>
    <definedName name="AllocTable" localSheetId="11">#REF!</definedName>
    <definedName name="AllocTable" localSheetId="5">#REF!</definedName>
    <definedName name="AllocTable" localSheetId="12">#REF!</definedName>
    <definedName name="AllocTable" localSheetId="14">#REF!</definedName>
    <definedName name="AllocTable">#REF!</definedName>
    <definedName name="AllOtherCont" localSheetId="13">[15]Assumptions!#REF!</definedName>
    <definedName name="AllOtherCont" localSheetId="15">[15]Assumptions!#REF!</definedName>
    <definedName name="AllOtherCont" localSheetId="11">[15]Assumptions!#REF!</definedName>
    <definedName name="AllOtherCont" localSheetId="5">[15]Assumptions!#REF!</definedName>
    <definedName name="AllOtherCont" localSheetId="12">[15]Assumptions!#REF!</definedName>
    <definedName name="AllOtherCont" localSheetId="23">[16]Assumptions!#REF!</definedName>
    <definedName name="AllOtherCont" localSheetId="14">[15]Assumptions!#REF!</definedName>
    <definedName name="AllOtherCont">[15]Assumptions!#REF!</definedName>
    <definedName name="ALLSTATT" localSheetId="13">#REF!</definedName>
    <definedName name="ALLSTATT" localSheetId="15">#REF!</definedName>
    <definedName name="ALLSTATT" localSheetId="11">#REF!</definedName>
    <definedName name="ALLSTATT" localSheetId="5">#REF!</definedName>
    <definedName name="ALLSTATT" localSheetId="12">#REF!</definedName>
    <definedName name="ALLSTATT" localSheetId="14">#REF!</definedName>
    <definedName name="ALLSTATT">#REF!</definedName>
    <definedName name="ALX2003A">'[17]CFALX 2003A Consol'!$A$1</definedName>
    <definedName name="ambac" localSheetId="13">#REF!</definedName>
    <definedName name="ambac" localSheetId="15">#REF!</definedName>
    <definedName name="ambac" localSheetId="11">#REF!</definedName>
    <definedName name="ambac" localSheetId="5">#REF!</definedName>
    <definedName name="ambac" localSheetId="12">#REF!</definedName>
    <definedName name="ambac" localSheetId="14">#REF!</definedName>
    <definedName name="ambac">#REF!</definedName>
    <definedName name="Amort" localSheetId="23">#REF!</definedName>
    <definedName name="Amort">[18]Proforma!$G$32</definedName>
    <definedName name="Amort_Actual" localSheetId="13">#REF!</definedName>
    <definedName name="Amort_Actual" localSheetId="15">#REF!</definedName>
    <definedName name="Amort_Actual" localSheetId="11">#REF!</definedName>
    <definedName name="Amort_Actual" localSheetId="5">#REF!</definedName>
    <definedName name="Amort_Actual" localSheetId="12">#REF!</definedName>
    <definedName name="Amort_Actual" localSheetId="14">#REF!</definedName>
    <definedName name="Amort_Actual">#REF!</definedName>
    <definedName name="amorta" localSheetId="13">#REF!</definedName>
    <definedName name="amorta" localSheetId="15">#REF!</definedName>
    <definedName name="amorta" localSheetId="11">#REF!</definedName>
    <definedName name="amorta" localSheetId="5">#REF!</definedName>
    <definedName name="amorta" localSheetId="12">#REF!</definedName>
    <definedName name="amorta" localSheetId="14">#REF!</definedName>
    <definedName name="amorta">#REF!</definedName>
    <definedName name="Amortization_1" localSheetId="13">#REF!</definedName>
    <definedName name="Amortization_1" localSheetId="15">#REF!</definedName>
    <definedName name="Amortization_1" localSheetId="11">#REF!</definedName>
    <definedName name="Amortization_1" localSheetId="5">#REF!</definedName>
    <definedName name="Amortization_1" localSheetId="12">#REF!</definedName>
    <definedName name="Amortization_1" localSheetId="14">#REF!</definedName>
    <definedName name="Amortization_1">#REF!</definedName>
    <definedName name="Amortization_1D">#REF!</definedName>
    <definedName name="Amortization_2">#REF!</definedName>
    <definedName name="Amortization_2D">#REF!</definedName>
    <definedName name="Amortization_3">#REF!</definedName>
    <definedName name="Amortization_3D">#REF!</definedName>
    <definedName name="Amortization_4">#REF!</definedName>
    <definedName name="Amortization_4D">#REF!</definedName>
    <definedName name="Amortization_5">#REF!</definedName>
    <definedName name="Amortization_5D">#REF!</definedName>
    <definedName name="Amortization_6">#REF!</definedName>
    <definedName name="Amortization_6D">#REF!</definedName>
    <definedName name="AMOUNT">#REF!</definedName>
    <definedName name="AMT_DEBT_SERVICE">#REF!</definedName>
    <definedName name="AnalysisStartDate" localSheetId="23">[19]Assumptions!$C$17</definedName>
    <definedName name="AnalysisStartDate">[20]Assumptions!$C$17</definedName>
    <definedName name="Anlzd_Months" localSheetId="13">#REF!</definedName>
    <definedName name="Anlzd_Months" localSheetId="15">#REF!</definedName>
    <definedName name="Anlzd_Months" localSheetId="11">#REF!</definedName>
    <definedName name="Anlzd_Months" localSheetId="5">#REF!</definedName>
    <definedName name="Anlzd_Months" localSheetId="12">#REF!</definedName>
    <definedName name="Anlzd_Months" localSheetId="14">#REF!</definedName>
    <definedName name="Anlzd_Months">#REF!</definedName>
    <definedName name="ANN_INC_IN_EXPENSES" localSheetId="13">'[5]AVI-JV-PROFORMA'!#REF!</definedName>
    <definedName name="ANN_INC_IN_EXPENSES" localSheetId="15">'[5]AVI-JV-PROFORMA'!#REF!</definedName>
    <definedName name="ANN_INC_IN_EXPENSES" localSheetId="11">'[5]AVI-JV-PROFORMA'!#REF!</definedName>
    <definedName name="ANN_INC_IN_EXPENSES" localSheetId="5">'[5]AVI-JV-PROFORMA'!#REF!</definedName>
    <definedName name="ANN_INC_IN_EXPENSES" localSheetId="12">'[5]AVI-JV-PROFORMA'!#REF!</definedName>
    <definedName name="ANN_INC_IN_EXPENSES" localSheetId="2">'[3]AVI-JV-PROFORMA'!#REF!</definedName>
    <definedName name="ANN_INC_IN_EXPENSES" localSheetId="23">'[4]AVI-JV-PROFORMA'!#REF!</definedName>
    <definedName name="ANN_INC_IN_EXPENSES" localSheetId="14">'[5]AVI-JV-PROFORMA'!#REF!</definedName>
    <definedName name="ANN_INC_IN_EXPENSES">'[5]AVI-JV-PROFORMA'!#REF!</definedName>
    <definedName name="ANN_INC_IN_RENT" localSheetId="13">#REF!</definedName>
    <definedName name="ANN_INC_IN_RENT" localSheetId="15">#REF!</definedName>
    <definedName name="ANN_INC_IN_RENT" localSheetId="11">#REF!</definedName>
    <definedName name="ANN_INC_IN_RENT" localSheetId="5">#REF!</definedName>
    <definedName name="ANN_INC_IN_RENT" localSheetId="12">#REF!</definedName>
    <definedName name="ANN_INC_IN_RENT" localSheetId="14">#REF!</definedName>
    <definedName name="ANN_INC_IN_RENT">#REF!</definedName>
    <definedName name="Annual_interest_rate" localSheetId="13">#REF!</definedName>
    <definedName name="Annual_interest_rate" localSheetId="15">#REF!</definedName>
    <definedName name="Annual_interest_rate" localSheetId="11">#REF!</definedName>
    <definedName name="Annual_interest_rate" localSheetId="5">#REF!</definedName>
    <definedName name="Annual_interest_rate" localSheetId="12">#REF!</definedName>
    <definedName name="Annual_interest_rate" localSheetId="14">#REF!</definedName>
    <definedName name="Annual_interest_rate">#REF!</definedName>
    <definedName name="AnnualFees_1" localSheetId="13">#REF!</definedName>
    <definedName name="AnnualFees_1" localSheetId="15">#REF!</definedName>
    <definedName name="AnnualFees_1" localSheetId="11">#REF!</definedName>
    <definedName name="AnnualFees_1" localSheetId="5">#REF!</definedName>
    <definedName name="AnnualFees_1" localSheetId="12">#REF!</definedName>
    <definedName name="AnnualFees_1" localSheetId="14">#REF!</definedName>
    <definedName name="AnnualFees_1">#REF!</definedName>
    <definedName name="AnnualFees_2">#REF!</definedName>
    <definedName name="AnnualFees_3">#REF!</definedName>
    <definedName name="AnnualFees_4">#REF!</definedName>
    <definedName name="AnnualFees_5">#REF!</definedName>
    <definedName name="AnnualFees_6">#REF!</definedName>
    <definedName name="annualpayment">'[21]Loan Information'!$C$44</definedName>
    <definedName name="AnnualPermPmt" localSheetId="23">'[19]amr sch'!$J$4</definedName>
    <definedName name="AnnualPermPmt">'[22]amr sch'!$J$4</definedName>
    <definedName name="Anoigrowth" localSheetId="13">#REF!</definedName>
    <definedName name="Anoigrowth" localSheetId="15">#REF!</definedName>
    <definedName name="Anoigrowth" localSheetId="11">#REF!</definedName>
    <definedName name="Anoigrowth" localSheetId="5">#REF!</definedName>
    <definedName name="Anoigrowth" localSheetId="12">#REF!</definedName>
    <definedName name="Anoigrowth" localSheetId="23">'[23]Cash Flow Analysis'!#REF!</definedName>
    <definedName name="Anoigrowth" localSheetId="14">#REF!</definedName>
    <definedName name="Anoigrowth">#REF!</definedName>
    <definedName name="apn" localSheetId="23">[19]Assumptions!$C$9</definedName>
    <definedName name="apn">[22]Assumptions!$C$9</definedName>
    <definedName name="APPicture" localSheetId="2">INDIRECT('[24]Source Data'!$J$9)</definedName>
    <definedName name="APPicture">INDIRECT('[25]Source Data'!$J$9)</definedName>
    <definedName name="apple" localSheetId="13">#REF!</definedName>
    <definedName name="apple" localSheetId="15">#REF!</definedName>
    <definedName name="apple" localSheetId="11">#REF!</definedName>
    <definedName name="apple" localSheetId="5">#REF!</definedName>
    <definedName name="apple" localSheetId="12">#REF!</definedName>
    <definedName name="apple" localSheetId="14">#REF!</definedName>
    <definedName name="apple">#REF!</definedName>
    <definedName name="Application_of_Funds">#REF!</definedName>
    <definedName name="applicationfee" localSheetId="13">#REF!</definedName>
    <definedName name="applicationfee" localSheetId="15">#REF!</definedName>
    <definedName name="applicationfee" localSheetId="11">#REF!</definedName>
    <definedName name="applicationfee" localSheetId="5">#REF!</definedName>
    <definedName name="applicationfee" localSheetId="12">#REF!</definedName>
    <definedName name="applicationfee" localSheetId="14">#REF!</definedName>
    <definedName name="applicationfee">#REF!</definedName>
    <definedName name="applicationfeecheck" localSheetId="13">#REF!</definedName>
    <definedName name="applicationfeecheck" localSheetId="15">#REF!</definedName>
    <definedName name="applicationfeecheck" localSheetId="11">#REF!</definedName>
    <definedName name="applicationfeecheck" localSheetId="5">#REF!</definedName>
    <definedName name="applicationfeecheck" localSheetId="12">#REF!</definedName>
    <definedName name="applicationfeecheck" localSheetId="14">#REF!</definedName>
    <definedName name="applicationfeecheck">#REF!</definedName>
    <definedName name="applicationfeeLC">#REF!</definedName>
    <definedName name="applicatoinfeewired">#REF!</definedName>
    <definedName name="AppraisalEGI">#REF!</definedName>
    <definedName name="appraised">#REF!</definedName>
    <definedName name="april">#N/A</definedName>
    <definedName name="area1">#REF!</definedName>
    <definedName name="arggg">#REF!</definedName>
    <definedName name="ARPicture" localSheetId="2">INDIRECT('[24]Source Data'!$J$10)</definedName>
    <definedName name="ARPicture">INDIRECT('[25]Source Data'!$J$10)</definedName>
    <definedName name="asd" localSheetId="13">#REF!</definedName>
    <definedName name="asd" localSheetId="15">#REF!</definedName>
    <definedName name="asd" localSheetId="11">#REF!</definedName>
    <definedName name="asd" localSheetId="5">#REF!</definedName>
    <definedName name="asd" localSheetId="12">#REF!</definedName>
    <definedName name="asd" localSheetId="14">#REF!</definedName>
    <definedName name="asd">#REF!</definedName>
    <definedName name="AssDualTable12" localSheetId="13">[6]Assumptions!#REF!</definedName>
    <definedName name="AssDualTable12" localSheetId="15">[6]Assumptions!#REF!</definedName>
    <definedName name="AssDualTable12" localSheetId="11">[6]Assumptions!#REF!</definedName>
    <definedName name="AssDualTable12" localSheetId="5">[6]Assumptions!#REF!</definedName>
    <definedName name="AssDualTable12" localSheetId="12">[6]Assumptions!#REF!</definedName>
    <definedName name="AssDualTable12" localSheetId="23">[7]Assumptions!#REF!</definedName>
    <definedName name="AssDualTable12" localSheetId="14">[6]Assumptions!#REF!</definedName>
    <definedName name="AssDualTable12">[6]Assumptions!#REF!</definedName>
    <definedName name="AssDualTable12Cells" localSheetId="13">[6]Assumptions!#REF!</definedName>
    <definedName name="AssDualTable12Cells" localSheetId="15">[6]Assumptions!#REF!</definedName>
    <definedName name="AssDualTable12Cells" localSheetId="11">[6]Assumptions!#REF!</definedName>
    <definedName name="AssDualTable12Cells" localSheetId="5">[6]Assumptions!#REF!</definedName>
    <definedName name="AssDualTable12Cells" localSheetId="12">[6]Assumptions!#REF!</definedName>
    <definedName name="AssDualTable12Cells" localSheetId="23">[7]Assumptions!#REF!</definedName>
    <definedName name="AssDualTable12Cells" localSheetId="14">[6]Assumptions!#REF!</definedName>
    <definedName name="AssDualTable12Cells">[6]Assumptions!#REF!</definedName>
    <definedName name="AssDualTable13" localSheetId="13">[6]Assumptions!#REF!</definedName>
    <definedName name="AssDualTable13" localSheetId="15">[6]Assumptions!#REF!</definedName>
    <definedName name="AssDualTable13" localSheetId="11">[6]Assumptions!#REF!</definedName>
    <definedName name="AssDualTable13" localSheetId="5">[6]Assumptions!#REF!</definedName>
    <definedName name="AssDualTable13" localSheetId="12">[6]Assumptions!#REF!</definedName>
    <definedName name="AssDualTable13" localSheetId="23">[7]Assumptions!#REF!</definedName>
    <definedName name="AssDualTable13" localSheetId="14">[6]Assumptions!#REF!</definedName>
    <definedName name="AssDualTable13">[6]Assumptions!#REF!</definedName>
    <definedName name="AssDualTable14" localSheetId="13">[6]Assumptions!#REF!</definedName>
    <definedName name="AssDualTable14" localSheetId="15">[6]Assumptions!#REF!</definedName>
    <definedName name="AssDualTable14" localSheetId="11">[6]Assumptions!#REF!</definedName>
    <definedName name="AssDualTable14" localSheetId="5">[6]Assumptions!#REF!</definedName>
    <definedName name="AssDualTable14" localSheetId="12">[6]Assumptions!#REF!</definedName>
    <definedName name="AssDualTable14" localSheetId="23">[7]Assumptions!#REF!</definedName>
    <definedName name="AssDualTable14" localSheetId="14">[6]Assumptions!#REF!</definedName>
    <definedName name="AssDualTable14">[6]Assumptions!#REF!</definedName>
    <definedName name="AssDualTable15" localSheetId="23">[7]Assumptions!#REF!</definedName>
    <definedName name="AssDualTable15">[6]Assumptions!#REF!</definedName>
    <definedName name="AssDualTable16" localSheetId="23">[7]Assumptions!#REF!</definedName>
    <definedName name="AssDualTable16">[6]Assumptions!#REF!</definedName>
    <definedName name="ASSET" localSheetId="13">#REF!</definedName>
    <definedName name="ASSET" localSheetId="15">#REF!</definedName>
    <definedName name="ASSET" localSheetId="11">#REF!</definedName>
    <definedName name="ASSET" localSheetId="5">#REF!</definedName>
    <definedName name="ASSET" localSheetId="12">#REF!</definedName>
    <definedName name="ASSET" localSheetId="14">#REF!</definedName>
    <definedName name="ASSET">#REF!</definedName>
    <definedName name="assump" localSheetId="13">#REF!</definedName>
    <definedName name="assump" localSheetId="15">#REF!</definedName>
    <definedName name="assump" localSheetId="11">#REF!</definedName>
    <definedName name="assump" localSheetId="5">#REF!</definedName>
    <definedName name="assump" localSheetId="12">#REF!</definedName>
    <definedName name="assump" localSheetId="14">#REF!</definedName>
    <definedName name="assump">#REF!</definedName>
    <definedName name="ASSUMPTIONS___INPUT" localSheetId="13">#REF!</definedName>
    <definedName name="ASSUMPTIONS___INPUT" localSheetId="15">#REF!</definedName>
    <definedName name="ASSUMPTIONS___INPUT" localSheetId="11">#REF!</definedName>
    <definedName name="ASSUMPTIONS___INPUT" localSheetId="5">#REF!</definedName>
    <definedName name="ASSUMPTIONS___INPUT" localSheetId="12">#REF!</definedName>
    <definedName name="ASSUMPTIONS___INPUT" localSheetId="14">#REF!</definedName>
    <definedName name="ASSUMPTIONS___INPUT">#REF!</definedName>
    <definedName name="AssumptionsInputRange" localSheetId="23">[7]Assumptions!$E$5:$G$9,[7]Assumptions!$E$11,[7]Assumptions!$E$12,[7]Assumptions!$L$5:$L$6,[7]Assumptions!$L$12,[7]Assumptions!$F$17:$K$17,[7]Assumptions!$F$19:$K$23,[7]Assumptions!$E$24,[7]Assumptions!$F$31:$K$34,[7]Assumptions!$F$36:$K$36,[7]Assumptions!$F$49:$K$49</definedName>
    <definedName name="AssumptionsInputRange">[6]Assumptions!$E$5:$G$9,[6]Assumptions!$E$11,[6]Assumptions!$E$12,[6]Assumptions!$L$5:$L$6,[6]Assumptions!$L$12,[6]Assumptions!$F$17:$K$17,[6]Assumptions!$F$19:$K$23,[6]Assumptions!$E$24,[6]Assumptions!$F$31:$K$34,[6]Assumptions!$F$36:$K$36,[6]Assumptions!$F$49:$K$49</definedName>
    <definedName name="AssumptionsPrint" localSheetId="13">#REF!</definedName>
    <definedName name="AssumptionsPrint" localSheetId="15">#REF!</definedName>
    <definedName name="AssumptionsPrint" localSheetId="11">#REF!</definedName>
    <definedName name="AssumptionsPrint" localSheetId="5">#REF!</definedName>
    <definedName name="AssumptionsPrint" localSheetId="12">#REF!</definedName>
    <definedName name="AssumptionsPrint" localSheetId="14">#REF!</definedName>
    <definedName name="AssumptionsPrint">#REF!</definedName>
    <definedName name="atermmat" localSheetId="13">#REF!</definedName>
    <definedName name="atermmat" localSheetId="15">#REF!</definedName>
    <definedName name="atermmat" localSheetId="11">#REF!</definedName>
    <definedName name="atermmat" localSheetId="5">#REF!</definedName>
    <definedName name="atermmat" localSheetId="12">#REF!</definedName>
    <definedName name="atermmat" localSheetId="14">#REF!</definedName>
    <definedName name="atermmat">#REF!</definedName>
    <definedName name="avebasedrent" localSheetId="23">'[19]income stmt yr0'!$N$11</definedName>
    <definedName name="avebasedrent">'[22]income stmt yr0'!$N$11</definedName>
    <definedName name="AVERAGEGLA" localSheetId="13">#REF!</definedName>
    <definedName name="AVERAGEGLA" localSheetId="15">#REF!</definedName>
    <definedName name="AVERAGEGLA" localSheetId="11">#REF!</definedName>
    <definedName name="AVERAGEGLA" localSheetId="5">#REF!</definedName>
    <definedName name="AVERAGEGLA" localSheetId="12">#REF!</definedName>
    <definedName name="AVERAGEGLA" localSheetId="14">#REF!</definedName>
    <definedName name="AVERAGEGLA">#REF!</definedName>
    <definedName name="AVERAGEGOA" localSheetId="13">#REF!</definedName>
    <definedName name="AVERAGEGOA" localSheetId="15">#REF!</definedName>
    <definedName name="AVERAGEGOA" localSheetId="11">#REF!</definedName>
    <definedName name="AVERAGEGOA" localSheetId="5">#REF!</definedName>
    <definedName name="AVERAGEGOA" localSheetId="12">#REF!</definedName>
    <definedName name="AVERAGEGOA" localSheetId="14">#REF!</definedName>
    <definedName name="AVERAGEGOA">#REF!</definedName>
    <definedName name="AverageLife" localSheetId="13">#REF!</definedName>
    <definedName name="AverageLife" localSheetId="15">#REF!</definedName>
    <definedName name="AverageLife" localSheetId="11">#REF!</definedName>
    <definedName name="AverageLife" localSheetId="5">#REF!</definedName>
    <definedName name="AverageLife" localSheetId="12">#REF!</definedName>
    <definedName name="AverageLife" localSheetId="14">#REF!</definedName>
    <definedName name="AverageLife">#REF!</definedName>
    <definedName name="AvgDirConstCost" localSheetId="23">[7]Assumptions!$L$47</definedName>
    <definedName name="AvgDirConstCost">[6]Assumptions!$L$47</definedName>
    <definedName name="BADDEBT" localSheetId="13">#REF!</definedName>
    <definedName name="BADDEBT" localSheetId="15">#REF!</definedName>
    <definedName name="BADDEBT" localSheetId="11">#REF!</definedName>
    <definedName name="BADDEBT" localSheetId="5">#REF!</definedName>
    <definedName name="BADDEBT" localSheetId="12">#REF!</definedName>
    <definedName name="BADDEBT" localSheetId="14">#REF!</definedName>
    <definedName name="BADDEBT">#REF!</definedName>
    <definedName name="BAL" localSheetId="13">'[26]12_96 CAM'!#REF!</definedName>
    <definedName name="BAL" localSheetId="15">'[26]12_96 CAM'!#REF!</definedName>
    <definedName name="BAL" localSheetId="11">'[26]12_96 CAM'!#REF!</definedName>
    <definedName name="BAL" localSheetId="5">'[26]12_96 CAM'!#REF!</definedName>
    <definedName name="BAL" localSheetId="12">'[26]12_96 CAM'!#REF!</definedName>
    <definedName name="BAL" localSheetId="14">'[26]12_96 CAM'!#REF!</definedName>
    <definedName name="BAL">'[26]12_96 CAM'!#REF!</definedName>
    <definedName name="Bal_Def_Surplus" localSheetId="13">#REF!</definedName>
    <definedName name="Bal_Def_Surplus" localSheetId="15">#REF!</definedName>
    <definedName name="Bal_Def_Surplus" localSheetId="11">#REF!</definedName>
    <definedName name="Bal_Def_Surplus" localSheetId="5">#REF!</definedName>
    <definedName name="Bal_Def_Surplus" localSheetId="12">#REF!</definedName>
    <definedName name="Bal_Def_Surplus" localSheetId="14">#REF!</definedName>
    <definedName name="Bal_Def_Surplus">#REF!</definedName>
    <definedName name="BALANCE" localSheetId="13">#REF!</definedName>
    <definedName name="BALANCE" localSheetId="15">#REF!</definedName>
    <definedName name="BALANCE" localSheetId="11">#REF!</definedName>
    <definedName name="BALANCE" localSheetId="5">#REF!</definedName>
    <definedName name="BALANCE" localSheetId="12">#REF!</definedName>
    <definedName name="BALANCE" localSheetId="14">#REF!</definedName>
    <definedName name="BALANCE">#REF!</definedName>
    <definedName name="BalanceAtMaturity" localSheetId="13">#REF!</definedName>
    <definedName name="BalanceAtMaturity" localSheetId="15">#REF!</definedName>
    <definedName name="BalanceAtMaturity" localSheetId="11">#REF!</definedName>
    <definedName name="BalanceAtMaturity" localSheetId="5">#REF!</definedName>
    <definedName name="BalanceAtMaturity" localSheetId="12">#REF!</definedName>
    <definedName name="BalanceAtMaturity" localSheetId="14">#REF!</definedName>
    <definedName name="BalanceAtMaturity">#REF!</definedName>
    <definedName name="BalAvailable">#REF!</definedName>
    <definedName name="BALLOON_BAL">#REF!</definedName>
    <definedName name="Balloonbalance">#REF!</definedName>
    <definedName name="BalNeeded">#REF!</definedName>
    <definedName name="BAMORT">#REF!</definedName>
    <definedName name="BARATZ">#REF!</definedName>
    <definedName name="BASE">#REF!</definedName>
    <definedName name="BASE_BORDER">#REF!</definedName>
    <definedName name="bcov">#REF!</definedName>
    <definedName name="BD">#N/A</definedName>
    <definedName name="BDEBTSERVICE">#REF!</definedName>
    <definedName name="Beg.Bal" localSheetId="13">IF(#REF!&lt;&gt;"",#REF!,"")</definedName>
    <definedName name="Beg.Bal" localSheetId="15">IF(#REF!&lt;&gt;"",#REF!,"")</definedName>
    <definedName name="Beg.Bal" localSheetId="11">IF(#REF!&lt;&gt;"",#REF!,"")</definedName>
    <definedName name="Beg.Bal" localSheetId="5">IF(#REF!&lt;&gt;"",#REF!,"")</definedName>
    <definedName name="Beg.Bal" localSheetId="12">IF(#REF!&lt;&gt;"",#REF!,"")</definedName>
    <definedName name="Beg.Bal" localSheetId="14">IF(#REF!&lt;&gt;"",#REF!,"")</definedName>
    <definedName name="Beg.Bal">IF(#REF!&lt;&gt;"",#REF!,"")</definedName>
    <definedName name="BEGBAL" localSheetId="13">#REF!</definedName>
    <definedName name="BEGBAL" localSheetId="15">#REF!</definedName>
    <definedName name="BEGBAL" localSheetId="11">#REF!</definedName>
    <definedName name="BEGBAL" localSheetId="5">#REF!</definedName>
    <definedName name="BEGBAL" localSheetId="12">#REF!</definedName>
    <definedName name="BEGBAL" localSheetId="14">#REF!</definedName>
    <definedName name="BEGBAL">#REF!</definedName>
    <definedName name="BeginInflationDate" localSheetId="13">[15]Assumptions!#REF!</definedName>
    <definedName name="BeginInflationDate" localSheetId="15">[15]Assumptions!#REF!</definedName>
    <definedName name="BeginInflationDate" localSheetId="11">[15]Assumptions!#REF!</definedName>
    <definedName name="BeginInflationDate" localSheetId="5">[15]Assumptions!#REF!</definedName>
    <definedName name="BeginInflationDate" localSheetId="12">[15]Assumptions!#REF!</definedName>
    <definedName name="BeginInflationDate" localSheetId="23">[16]Assumptions!#REF!</definedName>
    <definedName name="BeginInflationDate" localSheetId="14">[15]Assumptions!#REF!</definedName>
    <definedName name="BeginInflationDate">[15]Assumptions!#REF!</definedName>
    <definedName name="BERNICK" localSheetId="13">#REF!</definedName>
    <definedName name="BERNICK" localSheetId="15">#REF!</definedName>
    <definedName name="BERNICK" localSheetId="11">#REF!</definedName>
    <definedName name="BERNICK" localSheetId="5">#REF!</definedName>
    <definedName name="BERNICK" localSheetId="12">#REF!</definedName>
    <definedName name="BERNICK" localSheetId="14">#REF!</definedName>
    <definedName name="BERNICK">#REF!</definedName>
    <definedName name="bey" localSheetId="13">#REF!</definedName>
    <definedName name="bey" localSheetId="15">#REF!</definedName>
    <definedName name="bey" localSheetId="11">#REF!</definedName>
    <definedName name="bey" localSheetId="5">#REF!</definedName>
    <definedName name="bey" localSheetId="12">#REF!</definedName>
    <definedName name="bey" localSheetId="14">#REF!</definedName>
    <definedName name="bey">#REF!</definedName>
    <definedName name="BFM" localSheetId="13">#REF!</definedName>
    <definedName name="BFM" localSheetId="15">#REF!</definedName>
    <definedName name="BFM" localSheetId="11">#REF!</definedName>
    <definedName name="BFM" localSheetId="5">#REF!</definedName>
    <definedName name="BFM" localSheetId="12">#REF!</definedName>
    <definedName name="BFM" localSheetId="14">#REF!</definedName>
    <definedName name="BFM">#REF!</definedName>
    <definedName name="BFMLC">#REF!</definedName>
    <definedName name="BIA">#REF!</definedName>
    <definedName name="BIASWEEP_NETREV">#REF!</definedName>
    <definedName name="bip">#REF!</definedName>
    <definedName name="blank">#REF!</definedName>
    <definedName name="blank_1">#REF!</definedName>
    <definedName name="blank_2">#REF!</definedName>
    <definedName name="blank_3">#REF!</definedName>
    <definedName name="blank_4">#REF!</definedName>
    <definedName name="BLDG">#REF!</definedName>
    <definedName name="BLOAN">#REF!</definedName>
    <definedName name="BlueDualScreen">#REF!</definedName>
    <definedName name="BlueSingleScreen">#REF!</definedName>
    <definedName name="bmat">#REF!</definedName>
    <definedName name="BODY">#REF!</definedName>
    <definedName name="BOM_30">#REF!</definedName>
    <definedName name="BOM_Act">#REF!</definedName>
    <definedName name="bond">#REF!</definedName>
    <definedName name="bonda">#REF!</definedName>
    <definedName name="bondb">#REF!</definedName>
    <definedName name="BONDS">#REF!</definedName>
    <definedName name="Borrower">#REF!</definedName>
    <definedName name="borrower_comment">#REF!</definedName>
    <definedName name="BRIDGE_DATA">'[27]BRDG DTA'!$A$13:$P$49</definedName>
    <definedName name="Broker" localSheetId="13">#REF!</definedName>
    <definedName name="Broker" localSheetId="15">#REF!</definedName>
    <definedName name="Broker" localSheetId="11">#REF!</definedName>
    <definedName name="Broker" localSheetId="5">#REF!</definedName>
    <definedName name="Broker" localSheetId="12">#REF!</definedName>
    <definedName name="Broker" localSheetId="14">#REF!</definedName>
    <definedName name="Broker">#REF!</definedName>
    <definedName name="Brokerage_GrossRev" localSheetId="13">#REF!</definedName>
    <definedName name="Brokerage_GrossRev" localSheetId="15">#REF!</definedName>
    <definedName name="Brokerage_GrossRev" localSheetId="11">#REF!</definedName>
    <definedName name="Brokerage_GrossRev" localSheetId="5">#REF!</definedName>
    <definedName name="Brokerage_GrossRev" localSheetId="12">#REF!</definedName>
    <definedName name="Brokerage_GrossRev" localSheetId="14">#REF!</definedName>
    <definedName name="Brokerage_GrossRev">#REF!</definedName>
    <definedName name="BS">#N/A</definedName>
    <definedName name="buildingcostpersqft" localSheetId="13">#REF!</definedName>
    <definedName name="buildingcostpersqft" localSheetId="15">#REF!</definedName>
    <definedName name="buildingcostpersqft" localSheetId="11">#REF!</definedName>
    <definedName name="buildingcostpersqft" localSheetId="5">#REF!</definedName>
    <definedName name="buildingcostpersqft" localSheetId="12">#REF!</definedName>
    <definedName name="buildingcostpersqft" localSheetId="14">#REF!</definedName>
    <definedName name="buildingcostpersqft">#REF!</definedName>
    <definedName name="BusBasic" localSheetId="13">#REF!</definedName>
    <definedName name="BusBasic" localSheetId="15">#REF!</definedName>
    <definedName name="BusBasic" localSheetId="11">#REF!</definedName>
    <definedName name="BusBasic" localSheetId="5">#REF!</definedName>
    <definedName name="BusBasic" localSheetId="12">#REF!</definedName>
    <definedName name="BusBasic" localSheetId="14">#REF!</definedName>
    <definedName name="BusBasic">#REF!</definedName>
    <definedName name="BusCkg_Balances" localSheetId="13">#REF!</definedName>
    <definedName name="BusCkg_Balances" localSheetId="15">#REF!</definedName>
    <definedName name="BusCkg_Balances" localSheetId="11">#REF!</definedName>
    <definedName name="BusCkg_Balances" localSheetId="5">#REF!</definedName>
    <definedName name="BusCkg_Balances" localSheetId="12">#REF!</definedName>
    <definedName name="BusCkg_Balances" localSheetId="14">#REF!</definedName>
    <definedName name="BusCkg_Balances">#REF!</definedName>
    <definedName name="BusMoneyMktCkg">#REF!</definedName>
    <definedName name="BusMoneyMktSavings">#REF!</definedName>
    <definedName name="BusSaver">#REF!</definedName>
    <definedName name="BusTIMMA">#REF!</definedName>
    <definedName name="Buydown_grossyield">#REF!</definedName>
    <definedName name="CA_1">#REF!</definedName>
    <definedName name="CA_2">#REF!</definedName>
    <definedName name="CA_3">#REF!</definedName>
    <definedName name="CA_4">#REF!</definedName>
    <definedName name="CA_5">#REF!</definedName>
    <definedName name="CA_6">#REF!</definedName>
    <definedName name="CA_7">#REF!</definedName>
    <definedName name="cal_grossrate">#REF!</definedName>
    <definedName name="calc">#REF!</definedName>
    <definedName name="Calculated_payment">#REF!</definedName>
    <definedName name="CALL_HELP">#REF!</definedName>
    <definedName name="CAMCODES">[28]PCR96!#REF!</definedName>
    <definedName name="CAMRECOVERIES" localSheetId="13">#REF!</definedName>
    <definedName name="CAMRECOVERIES" localSheetId="15">#REF!</definedName>
    <definedName name="CAMRECOVERIES" localSheetId="11">#REF!</definedName>
    <definedName name="CAMRECOVERIES" localSheetId="5">#REF!</definedName>
    <definedName name="CAMRECOVERIES" localSheetId="12">#REF!</definedName>
    <definedName name="CAMRECOVERIES" localSheetId="14">#REF!</definedName>
    <definedName name="CAMRECOVERIES">#REF!</definedName>
    <definedName name="CAMTABLE" localSheetId="13">#REF!</definedName>
    <definedName name="CAMTABLE" localSheetId="15">#REF!</definedName>
    <definedName name="CAMTABLE" localSheetId="11">#REF!</definedName>
    <definedName name="CAMTABLE" localSheetId="5">#REF!</definedName>
    <definedName name="CAMTABLE" localSheetId="12">#REF!</definedName>
    <definedName name="CAMTABLE" localSheetId="14">#REF!</definedName>
    <definedName name="CAMTABLE">#REF!</definedName>
    <definedName name="Cap_Rate" localSheetId="23">[29]Proforma!$D$22</definedName>
    <definedName name="Cap_Rate">[18]Proforma!$D$22</definedName>
    <definedName name="CapCorpIntAllocation" localSheetId="23">[16]Assumptions!#REF!</definedName>
    <definedName name="CapCorpIntAllocation">[15]Assumptions!#REF!</definedName>
    <definedName name="capirate" localSheetId="13">#REF!</definedName>
    <definedName name="capirate" localSheetId="15">#REF!</definedName>
    <definedName name="capirate" localSheetId="11">#REF!</definedName>
    <definedName name="capirate" localSheetId="5">#REF!</definedName>
    <definedName name="capirate" localSheetId="12">#REF!</definedName>
    <definedName name="capirate" localSheetId="14">#REF!</definedName>
    <definedName name="capirate">#REF!</definedName>
    <definedName name="capped" localSheetId="13">#REF!</definedName>
    <definedName name="capped" localSheetId="15">#REF!</definedName>
    <definedName name="capped" localSheetId="11">#REF!</definedName>
    <definedName name="capped" localSheetId="5">#REF!</definedName>
    <definedName name="capped" localSheetId="12">#REF!</definedName>
    <definedName name="capped" localSheetId="14">#REF!</definedName>
    <definedName name="capped">#REF!</definedName>
    <definedName name="CASH_FLOW_ANALYSIS">#REF!</definedName>
    <definedName name="CASH_Total_Income" localSheetId="13">#REF!</definedName>
    <definedName name="CASH_Total_Income" localSheetId="15">#REF!</definedName>
    <definedName name="CASH_Total_Income" localSheetId="11">#REF!</definedName>
    <definedName name="CASH_Total_Income" localSheetId="5">#REF!</definedName>
    <definedName name="CASH_Total_Income" localSheetId="12">#REF!</definedName>
    <definedName name="CASH_Total_Income" localSheetId="14">#REF!</definedName>
    <definedName name="CASH_Total_Income">#REF!</definedName>
    <definedName name="cashcushion" localSheetId="23">[19]Assumptions!$F$156</definedName>
    <definedName name="cashcushion">[22]Assumptions!$F$156</definedName>
    <definedName name="CashMgmt_GrossRev" localSheetId="13">#REF!</definedName>
    <definedName name="CashMgmt_GrossRev" localSheetId="15">#REF!</definedName>
    <definedName name="CashMgmt_GrossRev" localSheetId="11">#REF!</definedName>
    <definedName name="CashMgmt_GrossRev" localSheetId="5">#REF!</definedName>
    <definedName name="CashMgmt_GrossRev" localSheetId="12">#REF!</definedName>
    <definedName name="CashMgmt_GrossRev" localSheetId="14">#REF!</definedName>
    <definedName name="CashMgmt_GrossRev">#REF!</definedName>
    <definedName name="CASHMGMT_NETREV" localSheetId="13">#REF!</definedName>
    <definedName name="CASHMGMT_NETREV" localSheetId="15">#REF!</definedName>
    <definedName name="CASHMGMT_NETREV" localSheetId="11">#REF!</definedName>
    <definedName name="CASHMGMT_NETREV" localSheetId="5">#REF!</definedName>
    <definedName name="CASHMGMT_NETREV" localSheetId="12">#REF!</definedName>
    <definedName name="CASHMGMT_NETREV" localSheetId="14">#REF!</definedName>
    <definedName name="CASHMGMT_NETREV">#REF!</definedName>
    <definedName name="CAST_NA">[27]CAST!$A$13:$P$40</definedName>
    <definedName name="cda">'[30]Sheet 3'!$A$1:$C$4</definedName>
    <definedName name="CDs" localSheetId="13">#REF!</definedName>
    <definedName name="CDs" localSheetId="15">#REF!</definedName>
    <definedName name="CDs" localSheetId="11">#REF!</definedName>
    <definedName name="CDs" localSheetId="5">#REF!</definedName>
    <definedName name="CDs" localSheetId="12">#REF!</definedName>
    <definedName name="CDs" localSheetId="14">#REF!</definedName>
    <definedName name="CDs">#REF!</definedName>
    <definedName name="CDs_2" localSheetId="13">#REF!</definedName>
    <definedName name="CDs_2" localSheetId="15">#REF!</definedName>
    <definedName name="CDs_2" localSheetId="11">#REF!</definedName>
    <definedName name="CDs_2" localSheetId="5">#REF!</definedName>
    <definedName name="CDs_2" localSheetId="12">#REF!</definedName>
    <definedName name="CDs_2" localSheetId="14">#REF!</definedName>
    <definedName name="CDs_2">#REF!</definedName>
    <definedName name="CERIDIAN" localSheetId="13">#REF!</definedName>
    <definedName name="CERIDIAN" localSheetId="15">#REF!</definedName>
    <definedName name="CERIDIAN" localSheetId="11">#REF!</definedName>
    <definedName name="CERIDIAN" localSheetId="5">#REF!</definedName>
    <definedName name="CERIDIAN" localSheetId="12">#REF!</definedName>
    <definedName name="CERIDIAN" localSheetId="14">#REF!</definedName>
    <definedName name="CERIDIAN">#REF!</definedName>
    <definedName name="cf">'[31]Inc Rec'!$A$9:$J$648</definedName>
    <definedName name="CFN" localSheetId="13">#REF!</definedName>
    <definedName name="CFN" localSheetId="15">#REF!</definedName>
    <definedName name="CFN" localSheetId="11">#REF!</definedName>
    <definedName name="CFN" localSheetId="5">#REF!</definedName>
    <definedName name="CFN" localSheetId="12">#REF!</definedName>
    <definedName name="CFN" localSheetId="14">#REF!</definedName>
    <definedName name="CFN">#REF!</definedName>
    <definedName name="CFW" localSheetId="13">#REF!</definedName>
    <definedName name="CFW" localSheetId="15">#REF!</definedName>
    <definedName name="CFW" localSheetId="11">#REF!</definedName>
    <definedName name="CFW" localSheetId="5">#REF!</definedName>
    <definedName name="CFW" localSheetId="12">#REF!</definedName>
    <definedName name="CFW" localSheetId="14">#REF!</definedName>
    <definedName name="CFW">#REF!</definedName>
    <definedName name="cfyear1" localSheetId="13">#REF!</definedName>
    <definedName name="cfyear1" localSheetId="15">#REF!</definedName>
    <definedName name="cfyear1" localSheetId="11">#REF!</definedName>
    <definedName name="cfyear1" localSheetId="5">#REF!</definedName>
    <definedName name="cfyear1" localSheetId="12">#REF!</definedName>
    <definedName name="cfyear1" localSheetId="14">#REF!</definedName>
    <definedName name="cfyear1">#REF!</definedName>
    <definedName name="CHARGE">#REF!</definedName>
    <definedName name="CHESEBROUGH">[27]CHEESB!$A$13:$P$46</definedName>
    <definedName name="City" localSheetId="13">#REF!</definedName>
    <definedName name="City" localSheetId="15">#REF!</definedName>
    <definedName name="City" localSheetId="11">#REF!</definedName>
    <definedName name="City" localSheetId="5">#REF!</definedName>
    <definedName name="City" localSheetId="12">#REF!</definedName>
    <definedName name="City" localSheetId="14">#REF!</definedName>
    <definedName name="City">#REF!</definedName>
    <definedName name="CityStateZip" localSheetId="23">[16]Assumptions!$C$8</definedName>
    <definedName name="CityStateZip">[22]Assumptions!$C$8</definedName>
    <definedName name="Civil_Eng" localSheetId="13">#REF!</definedName>
    <definedName name="Civil_Eng" localSheetId="15">#REF!</definedName>
    <definedName name="Civil_Eng" localSheetId="11">#REF!</definedName>
    <definedName name="Civil_Eng" localSheetId="5">#REF!</definedName>
    <definedName name="Civil_Eng" localSheetId="12">#REF!</definedName>
    <definedName name="Civil_Eng" localSheetId="14">#REF!</definedName>
    <definedName name="Civil_Eng">#REF!</definedName>
    <definedName name="Civil_eng_b181" localSheetId="13">#REF!</definedName>
    <definedName name="Civil_eng_b181" localSheetId="15">#REF!</definedName>
    <definedName name="Civil_eng_b181" localSheetId="11">#REF!</definedName>
    <definedName name="Civil_eng_b181" localSheetId="5">#REF!</definedName>
    <definedName name="Civil_eng_b181" localSheetId="12">#REF!</definedName>
    <definedName name="Civil_eng_b181" localSheetId="14">#REF!</definedName>
    <definedName name="Civil_eng_b181">#REF!</definedName>
    <definedName name="Civil_eng_b181_amend" localSheetId="13">#REF!</definedName>
    <definedName name="Civil_eng_b181_amend" localSheetId="15">#REF!</definedName>
    <definedName name="Civil_eng_b181_amend" localSheetId="11">#REF!</definedName>
    <definedName name="Civil_eng_b181_amend" localSheetId="5">#REF!</definedName>
    <definedName name="Civil_eng_b181_amend" localSheetId="12">#REF!</definedName>
    <definedName name="Civil_eng_b181_amend" localSheetId="14">#REF!</definedName>
    <definedName name="Civil_eng_b181_amend">#REF!</definedName>
    <definedName name="Civil_eng_blank">#REF!</definedName>
    <definedName name="civil_eng_coi">#REF!</definedName>
    <definedName name="Civil_eng_info">#REF!</definedName>
    <definedName name="Civil_eng_license">#REF!</definedName>
    <definedName name="Civil_eng_quals">#REF!</definedName>
    <definedName name="cleaning">[26]CAMINVBU!#REF!</definedName>
    <definedName name="ClientName" localSheetId="13">#REF!</definedName>
    <definedName name="ClientName" localSheetId="15">#REF!</definedName>
    <definedName name="ClientName" localSheetId="11">#REF!</definedName>
    <definedName name="ClientName" localSheetId="5">#REF!</definedName>
    <definedName name="ClientName" localSheetId="12">#REF!</definedName>
    <definedName name="ClientName" localSheetId="14">#REF!</definedName>
    <definedName name="ClientName">#REF!</definedName>
    <definedName name="closinganalyst" localSheetId="13">#REF!</definedName>
    <definedName name="closinganalyst" localSheetId="15">#REF!</definedName>
    <definedName name="closinganalyst" localSheetId="11">#REF!</definedName>
    <definedName name="closinganalyst" localSheetId="5">#REF!</definedName>
    <definedName name="closinganalyst" localSheetId="12">#REF!</definedName>
    <definedName name="closinganalyst" localSheetId="14">#REF!</definedName>
    <definedName name="closinganalyst">#REF!</definedName>
    <definedName name="ClosingCostPercentage" localSheetId="13">[15]Assumptions!#REF!</definedName>
    <definedName name="ClosingCostPercentage" localSheetId="15">[15]Assumptions!#REF!</definedName>
    <definedName name="ClosingCostPercentage" localSheetId="11">[15]Assumptions!#REF!</definedName>
    <definedName name="ClosingCostPercentage" localSheetId="5">[15]Assumptions!#REF!</definedName>
    <definedName name="ClosingCostPercentage" localSheetId="12">[15]Assumptions!#REF!</definedName>
    <definedName name="ClosingCostPercentage" localSheetId="23">[16]Assumptions!#REF!</definedName>
    <definedName name="ClosingCostPercentage" localSheetId="14">[15]Assumptions!#REF!</definedName>
    <definedName name="ClosingCostPercentage">[15]Assumptions!#REF!</definedName>
    <definedName name="CMM" localSheetId="13">#REF!</definedName>
    <definedName name="CMM" localSheetId="15">#REF!</definedName>
    <definedName name="CMM" localSheetId="11">#REF!</definedName>
    <definedName name="CMM" localSheetId="5">#REF!</definedName>
    <definedName name="CMM" localSheetId="12">#REF!</definedName>
    <definedName name="CMM" localSheetId="14">#REF!</definedName>
    <definedName name="CMM">#REF!</definedName>
    <definedName name="coa" localSheetId="13">#REF!</definedName>
    <definedName name="coa" localSheetId="15">#REF!</definedName>
    <definedName name="coa" localSheetId="11">#REF!</definedName>
    <definedName name="coa" localSheetId="5">#REF!</definedName>
    <definedName name="coa" localSheetId="12">#REF!</definedName>
    <definedName name="coa" localSheetId="14">#REF!</definedName>
    <definedName name="coa">#REF!</definedName>
    <definedName name="CODE" localSheetId="13">#REF!</definedName>
    <definedName name="CODE" localSheetId="15">#REF!</definedName>
    <definedName name="CODE" localSheetId="11">#REF!</definedName>
    <definedName name="CODE" localSheetId="5">#REF!</definedName>
    <definedName name="CODE" localSheetId="12">#REF!</definedName>
    <definedName name="CODE" localSheetId="14">#REF!</definedName>
    <definedName name="CODE">#REF!</definedName>
    <definedName name="coder">#REF!</definedName>
    <definedName name="COF_date">#REF!</definedName>
    <definedName name="coi">#REF!</definedName>
    <definedName name="combined">#REF!</definedName>
    <definedName name="Comments_company">#REF!</definedName>
    <definedName name="CommercialRE">#REF!</definedName>
    <definedName name="Commit_1">#REF!</definedName>
    <definedName name="Commit_2">#REF!</definedName>
    <definedName name="Commit_3">#REF!</definedName>
    <definedName name="Commit_4">#REF!</definedName>
    <definedName name="Commit_5">#REF!</definedName>
    <definedName name="Commit_6">#REF!</definedName>
    <definedName name="CommitFees_1">#REF!</definedName>
    <definedName name="CommitFees_2">#REF!</definedName>
    <definedName name="CommitFees_3">#REF!</definedName>
    <definedName name="CommitFees_4">#REF!</definedName>
    <definedName name="CommitFees_5">#REF!</definedName>
    <definedName name="CommitFees_6">#REF!</definedName>
    <definedName name="commitmentfee">#REF!</definedName>
    <definedName name="COMMNUM">#REF!</definedName>
    <definedName name="CommunityLocation" localSheetId="23">[19]Assumptions!$C$7</definedName>
    <definedName name="CommunityLocation">[22]Assumptions!$C$7</definedName>
    <definedName name="CommunityName" localSheetId="23">[32]Assumptions!$C$7</definedName>
    <definedName name="CommunityName">[33]Assumptions!$C$7</definedName>
    <definedName name="Company" localSheetId="13">#REF!</definedName>
    <definedName name="Company" localSheetId="15">#REF!</definedName>
    <definedName name="Company" localSheetId="11">#REF!</definedName>
    <definedName name="Company" localSheetId="5">#REF!</definedName>
    <definedName name="Company" localSheetId="12">#REF!</definedName>
    <definedName name="Company" localSheetId="14">#REF!</definedName>
    <definedName name="Company">#REF!</definedName>
    <definedName name="Company_Type" localSheetId="13">#REF!</definedName>
    <definedName name="Company_Type" localSheetId="15">#REF!</definedName>
    <definedName name="Company_Type" localSheetId="11">#REF!</definedName>
    <definedName name="Company_Type" localSheetId="5">#REF!</definedName>
    <definedName name="Company_Type" localSheetId="12">#REF!</definedName>
    <definedName name="Company_Type" localSheetId="14">#REF!</definedName>
    <definedName name="Company_Type">#REF!</definedName>
    <definedName name="CompanyName" localSheetId="13">'[15]Table of Contents'!#REF!</definedName>
    <definedName name="CompanyName" localSheetId="15">'[15]Table of Contents'!#REF!</definedName>
    <definedName name="CompanyName" localSheetId="11">'[15]Table of Contents'!#REF!</definedName>
    <definedName name="CompanyName" localSheetId="5">'[15]Table of Contents'!#REF!</definedName>
    <definedName name="CompanyName" localSheetId="12">'[15]Table of Contents'!#REF!</definedName>
    <definedName name="CompanyName" localSheetId="23">'[16]Table of Contents'!#REF!</definedName>
    <definedName name="CompanyName" localSheetId="14">'[15]Table of Contents'!#REF!</definedName>
    <definedName name="CompanyName">'[15]Table of Contents'!#REF!</definedName>
    <definedName name="Comparison">#REF!</definedName>
    <definedName name="Completed_By" localSheetId="13">#REF!</definedName>
    <definedName name="Completed_By" localSheetId="15">#REF!</definedName>
    <definedName name="Completed_By" localSheetId="11">#REF!</definedName>
    <definedName name="Completed_By" localSheetId="5">#REF!</definedName>
    <definedName name="Completed_By" localSheetId="12">#REF!</definedName>
    <definedName name="Completed_By" localSheetId="14">#REF!</definedName>
    <definedName name="Completed_By">#REF!</definedName>
    <definedName name="Comps">[17]Comparison!$A$1</definedName>
    <definedName name="Consol_2003A">'[17]2003A v 2003B'!$A$1</definedName>
    <definedName name="Consol_2005E">'[17]2005E Consol'!$A$1</definedName>
    <definedName name="Consolidated" localSheetId="13">#REF!</definedName>
    <definedName name="Consolidated" localSheetId="15">#REF!</definedName>
    <definedName name="Consolidated" localSheetId="11">#REF!</definedName>
    <definedName name="Consolidated" localSheetId="5">#REF!</definedName>
    <definedName name="Consolidated" localSheetId="12">#REF!</definedName>
    <definedName name="Consolidated" localSheetId="14">#REF!</definedName>
    <definedName name="Consolidated">#REF!</definedName>
    <definedName name="Contents" localSheetId="13">#REF!</definedName>
    <definedName name="Contents" localSheetId="15">#REF!</definedName>
    <definedName name="Contents" localSheetId="11">#REF!</definedName>
    <definedName name="Contents" localSheetId="5">#REF!</definedName>
    <definedName name="Contents" localSheetId="12">#REF!</definedName>
    <definedName name="Contents" localSheetId="14">#REF!</definedName>
    <definedName name="Contents">#REF!</definedName>
    <definedName name="CoNUM" localSheetId="13">#REF!</definedName>
    <definedName name="CoNUM" localSheetId="15">#REF!</definedName>
    <definedName name="CoNUM" localSheetId="11">#REF!</definedName>
    <definedName name="CoNUM" localSheetId="5">#REF!</definedName>
    <definedName name="CoNUM" localSheetId="12">#REF!</definedName>
    <definedName name="CoNUM" localSheetId="14">#REF!</definedName>
    <definedName name="CoNUM">#REF!</definedName>
    <definedName name="CONVERSION">[34]Sheet1!$A$2:$V$272</definedName>
    <definedName name="ConvTable">[35]Conventions!$AA$4:$AK$37</definedName>
    <definedName name="copy" localSheetId="13">#REF!</definedName>
    <definedName name="copy" localSheetId="15">#REF!</definedName>
    <definedName name="copy" localSheetId="11">#REF!</definedName>
    <definedName name="copy" localSheetId="5">#REF!</definedName>
    <definedName name="copy" localSheetId="12">#REF!</definedName>
    <definedName name="copy" localSheetId="14">#REF!</definedName>
    <definedName name="copy">#REF!</definedName>
    <definedName name="Cost" localSheetId="13">#REF!</definedName>
    <definedName name="Cost" localSheetId="15">#REF!</definedName>
    <definedName name="Cost" localSheetId="11">#REF!</definedName>
    <definedName name="Cost" localSheetId="5">#REF!</definedName>
    <definedName name="Cost" localSheetId="12">#REF!</definedName>
    <definedName name="Cost" localSheetId="14">#REF!</definedName>
    <definedName name="Cost">#REF!</definedName>
    <definedName name="Cost_Center" localSheetId="13">#REF!</definedName>
    <definedName name="Cost_Center" localSheetId="15">#REF!</definedName>
    <definedName name="Cost_Center" localSheetId="11">#REF!</definedName>
    <definedName name="Cost_Center" localSheetId="5">#REF!</definedName>
    <definedName name="Cost_Center" localSheetId="12">#REF!</definedName>
    <definedName name="Cost_Center" localSheetId="14">#REF!</definedName>
    <definedName name="Cost_Center">#REF!</definedName>
    <definedName name="Cost2328_DCAmount">#REF!</definedName>
    <definedName name="Cost2328_DCAmount1">#REF!</definedName>
    <definedName name="Cost2328_DCAmount2">#REF!</definedName>
    <definedName name="Cost2328_DCAmount3">#REF!</definedName>
    <definedName name="Cost2328_DCAmount4">#REF!</definedName>
    <definedName name="Cost2328_DCDesc">#REF!</definedName>
    <definedName name="Cost2328_DCDesc1">#REF!</definedName>
    <definedName name="Cost2328_DCDesc2">#REF!</definedName>
    <definedName name="Cost2328_DCDesc3">#REF!</definedName>
    <definedName name="Cost2328_DCDesc4">#REF!</definedName>
    <definedName name="Cost2328_Notes">#REF!</definedName>
    <definedName name="Cost2328_NRAmount">#REF!</definedName>
    <definedName name="Cost2328_NRAmount1">#REF!</definedName>
    <definedName name="Cost2328_NRAmount2">#REF!</definedName>
    <definedName name="Cost2328_NRAmount3">#REF!</definedName>
    <definedName name="Cost2328_NRDesc">#REF!</definedName>
    <definedName name="Cost2328_NRDesc1">#REF!</definedName>
    <definedName name="Cost2328_NRDesc2">#REF!</definedName>
    <definedName name="Cost2328_NRDesc3">#REF!</definedName>
    <definedName name="Cost2328_OCAmount">#REF!</definedName>
    <definedName name="Cost2328_OCAmount1">#REF!</definedName>
    <definedName name="Cost2328_OCAmount2">#REF!</definedName>
    <definedName name="Cost2328_OCAmount3">#REF!</definedName>
    <definedName name="Cost2328_OCAmount4">#REF!</definedName>
    <definedName name="Cost2328_OCDesc">#REF!</definedName>
    <definedName name="Cost2328_OCDesc1">#REF!</definedName>
    <definedName name="Cost2328_OCDesc2">#REF!</definedName>
    <definedName name="Cost2328_OCDesc3">#REF!</definedName>
    <definedName name="Cost2328_OCDesc4">#REF!</definedName>
    <definedName name="Cost2328_OFAmount">#REF!</definedName>
    <definedName name="Cost2328_OFAmount1">#REF!</definedName>
    <definedName name="Cost2328_OFAmount2">#REF!</definedName>
    <definedName name="Cost2328_OFAmount3">#REF!</definedName>
    <definedName name="Cost2328_OFAmount4">#REF!</definedName>
    <definedName name="Cost2328_OFAmount5">#REF!</definedName>
    <definedName name="Cost2328_OFAmount6">#REF!</definedName>
    <definedName name="Cost2328_OFDesc">#REF!</definedName>
    <definedName name="Cost2328_OFDesc1">#REF!</definedName>
    <definedName name="Cost2328_OFDesc2">#REF!</definedName>
    <definedName name="Cost2328_OFDesc3">#REF!</definedName>
    <definedName name="Cost2328_OFDesc4">#REF!</definedName>
    <definedName name="Cost2328_OFDesc5">#REF!</definedName>
    <definedName name="Cost2328_OFDesc6">#REF!</definedName>
    <definedName name="CostInflation" localSheetId="23">[7]Assumptions!$G$75</definedName>
    <definedName name="CostInflation">[6]Assumptions!$G$75</definedName>
    <definedName name="CostingName" localSheetId="23">[16]Assumptions!#REF!</definedName>
    <definedName name="CostingName">[15]Assumptions!#REF!</definedName>
    <definedName name="CouponRate_1" localSheetId="13">#REF!</definedName>
    <definedName name="CouponRate_1" localSheetId="15">#REF!</definedName>
    <definedName name="CouponRate_1" localSheetId="11">#REF!</definedName>
    <definedName name="CouponRate_1" localSheetId="5">#REF!</definedName>
    <definedName name="CouponRate_1" localSheetId="12">#REF!</definedName>
    <definedName name="CouponRate_1" localSheetId="14">#REF!</definedName>
    <definedName name="CouponRate_1">#REF!</definedName>
    <definedName name="CouponRate_2" localSheetId="13">#REF!</definedName>
    <definedName name="CouponRate_2" localSheetId="15">#REF!</definedName>
    <definedName name="CouponRate_2" localSheetId="11">#REF!</definedName>
    <definedName name="CouponRate_2" localSheetId="5">#REF!</definedName>
    <definedName name="CouponRate_2" localSheetId="12">#REF!</definedName>
    <definedName name="CouponRate_2" localSheetId="14">#REF!</definedName>
    <definedName name="CouponRate_2">#REF!</definedName>
    <definedName name="CouponRate_3" localSheetId="13">#REF!</definedName>
    <definedName name="CouponRate_3" localSheetId="15">#REF!</definedName>
    <definedName name="CouponRate_3" localSheetId="11">#REF!</definedName>
    <definedName name="CouponRate_3" localSheetId="5">#REF!</definedName>
    <definedName name="CouponRate_3" localSheetId="12">#REF!</definedName>
    <definedName name="CouponRate_3" localSheetId="14">#REF!</definedName>
    <definedName name="CouponRate_3">#REF!</definedName>
    <definedName name="CouponRate_4">#REF!</definedName>
    <definedName name="CouponRate_5">#REF!</definedName>
    <definedName name="CouponRate_6">#REF!</definedName>
    <definedName name="CoverPagePrint">#REF!</definedName>
    <definedName name="cpi">#REF!</definedName>
    <definedName name="CPM">#REF!</definedName>
    <definedName name="CPPicture" localSheetId="2">INDIRECT('[24]Source Data'!$J$7)</definedName>
    <definedName name="CPPicture">INDIRECT('[25]Source Data'!$J$7)</definedName>
    <definedName name="CPRATES" localSheetId="13">[28]MVC96!#REF!</definedName>
    <definedName name="CPRATES" localSheetId="15">[28]MVC96!#REF!</definedName>
    <definedName name="CPRATES" localSheetId="11">[28]MVC96!#REF!</definedName>
    <definedName name="CPRATES" localSheetId="5">[28]MVC96!#REF!</definedName>
    <definedName name="CPRATES" localSheetId="12">[28]MVC96!#REF!</definedName>
    <definedName name="CPRATES" localSheetId="14">[28]MVC96!#REF!</definedName>
    <definedName name="CPRATES">[28]MVC96!#REF!</definedName>
    <definedName name="CredInc_CASH" localSheetId="13">#REF!</definedName>
    <definedName name="CredInc_CASH" localSheetId="15">#REF!</definedName>
    <definedName name="CredInc_CASH" localSheetId="11">#REF!</definedName>
    <definedName name="CredInc_CASH" localSheetId="5">#REF!</definedName>
    <definedName name="CredInc_CASH" localSheetId="12">#REF!</definedName>
    <definedName name="CredInc_CASH" localSheetId="14">#REF!</definedName>
    <definedName name="CredInc_CASH">#REF!</definedName>
    <definedName name="CredInc_FASB" localSheetId="13">#REF!</definedName>
    <definedName name="CredInc_FASB" localSheetId="15">#REF!</definedName>
    <definedName name="CredInc_FASB" localSheetId="11">#REF!</definedName>
    <definedName name="CredInc_FASB" localSheetId="5">#REF!</definedName>
    <definedName name="CredInc_FASB" localSheetId="12">#REF!</definedName>
    <definedName name="CredInc_FASB" localSheetId="14">#REF!</definedName>
    <definedName name="CredInc_FASB">#REF!</definedName>
    <definedName name="credit" localSheetId="13">#REF!</definedName>
    <definedName name="credit" localSheetId="15">#REF!</definedName>
    <definedName name="credit" localSheetId="11">#REF!</definedName>
    <definedName name="credit" localSheetId="5">#REF!</definedName>
    <definedName name="credit" localSheetId="12">#REF!</definedName>
    <definedName name="credit" localSheetId="14">#REF!</definedName>
    <definedName name="credit">#REF!</definedName>
    <definedName name="Credit_Income_Facility_1">#REF!</definedName>
    <definedName name="Credit_Income_Facility_2">#REF!</definedName>
    <definedName name="Credit_Income_Facility_3">#REF!</definedName>
    <definedName name="Credit_Income_Facility_4">#REF!</definedName>
    <definedName name="Credit_Income_Facility_5">#REF!</definedName>
    <definedName name="Credit_Income_Facility_6">#REF!</definedName>
    <definedName name="Credit_Min_Hurdle">#REF!</definedName>
    <definedName name="Credit_status_1">#REF!</definedName>
    <definedName name="Credit_status_2">#REF!</definedName>
    <definedName name="Credit_status_3">#REF!</definedName>
    <definedName name="Credit_status_4">#REF!</definedName>
    <definedName name="Credit_status_5">#REF!</definedName>
    <definedName name="Credit_status_6">#REF!</definedName>
    <definedName name="Credit_Target_Hurdle">#REF!</definedName>
    <definedName name="CreditOnly_ROA_1">#REF!</definedName>
    <definedName name="CreditOnly_ROA_2">#REF!</definedName>
    <definedName name="CreditOnly_ROA_3">#REF!</definedName>
    <definedName name="CreditOnly_ROA_4">#REF!</definedName>
    <definedName name="CreditOnly_ROA_5">#REF!</definedName>
    <definedName name="CreditOnly_ROA_6">#REF!</definedName>
    <definedName name="CreditOnly_ROE_1">#REF!</definedName>
    <definedName name="CreditOnly_ROE_2">#REF!</definedName>
    <definedName name="CreditOnly_ROE_3">#REF!</definedName>
    <definedName name="CreditOnly_ROE_4">#REF!</definedName>
    <definedName name="CreditOnly_ROE_5">#REF!</definedName>
    <definedName name="CreditOnly_ROE_6">#REF!</definedName>
    <definedName name="CreditRevcash_forIR_1">#REF!</definedName>
    <definedName name="CreditRevcash_forIR_2">#REF!</definedName>
    <definedName name="CreditRevcash_forIR_3">#REF!</definedName>
    <definedName name="CreditRevcash_forIR_4">#REF!</definedName>
    <definedName name="CreditRevcash_forIR_5">#REF!</definedName>
    <definedName name="CreditRevcash_forIR_6">#REF!</definedName>
    <definedName name="CredRev_CASH_1">#REF!</definedName>
    <definedName name="CredRev_CASH_2">#REF!</definedName>
    <definedName name="CredRev_CASH_3">#REF!</definedName>
    <definedName name="CredRev_CASH_4">#REF!</definedName>
    <definedName name="CredRev_CASH_5">#REF!</definedName>
    <definedName name="CredRev_CASH_6">#REF!</definedName>
    <definedName name="CredRev_FASB_1">#REF!</definedName>
    <definedName name="CredRev_FASB_2">#REF!</definedName>
    <definedName name="CredRev_FASB_3">#REF!</definedName>
    <definedName name="CredRev_FASB_4">#REF!</definedName>
    <definedName name="CredRev_FASB_5">#REF!</definedName>
    <definedName name="CredRev_FASB_6">#REF!</definedName>
    <definedName name="CreRevCASH_1Thru6">#REF!</definedName>
    <definedName name="CreRevFASB_1thru6">#REF!</definedName>
    <definedName name="CRISP_Number">#REF!</definedName>
    <definedName name="_xlnm.Criteria" localSheetId="23">#REF!</definedName>
    <definedName name="_xlnm.Criteria">'[8]AVI-JV-PROFORMA'!#REF!</definedName>
    <definedName name="CRPicture" localSheetId="2">INDIRECT('[24]Source Data'!$J$8)</definedName>
    <definedName name="CRPicture">INDIRECT('[25]Source Data'!$J$8)</definedName>
    <definedName name="crtname">[36]Sheet2!$A$5:$B$39</definedName>
    <definedName name="CTI" localSheetId="13">#REF!</definedName>
    <definedName name="CTI" localSheetId="15">#REF!</definedName>
    <definedName name="CTI" localSheetId="11">#REF!</definedName>
    <definedName name="CTI" localSheetId="5">#REF!</definedName>
    <definedName name="CTI" localSheetId="12">#REF!</definedName>
    <definedName name="CTI" localSheetId="14">#REF!</definedName>
    <definedName name="CTI">#REF!</definedName>
    <definedName name="Cum.Interest" localSheetId="13">IF(#REF!&lt;&gt;"",#REF!+#REF!,"")</definedName>
    <definedName name="Cum.Interest" localSheetId="15">IF(#REF!&lt;&gt;"",#REF!+#REF!,"")</definedName>
    <definedName name="Cum.Interest" localSheetId="11">IF(#REF!&lt;&gt;"",#REF!+#REF!,"")</definedName>
    <definedName name="Cum.Interest" localSheetId="5">IF(#REF!&lt;&gt;"",#REF!+#REF!,"")</definedName>
    <definedName name="Cum.Interest" localSheetId="12">IF(#REF!&lt;&gt;"",#REF!+#REF!,"")</definedName>
    <definedName name="Cum.Interest" localSheetId="14">IF(#REF!&lt;&gt;"",#REF!+#REF!,"")</definedName>
    <definedName name="Cum.Interest">IF(#REF!&lt;&gt;"",#REF!+#REF!,"")</definedName>
    <definedName name="Current_Commit_Amt_1" localSheetId="13">#REF!</definedName>
    <definedName name="Current_Commit_Amt_1" localSheetId="15">#REF!</definedName>
    <definedName name="Current_Commit_Amt_1" localSheetId="11">#REF!</definedName>
    <definedName name="Current_Commit_Amt_1" localSheetId="5">#REF!</definedName>
    <definedName name="Current_Commit_Amt_1" localSheetId="12">#REF!</definedName>
    <definedName name="Current_Commit_Amt_1" localSheetId="14">#REF!</definedName>
    <definedName name="Current_Commit_Amt_1">#REF!</definedName>
    <definedName name="Current_Commit_Amt_2" localSheetId="13">#REF!</definedName>
    <definedName name="Current_Commit_Amt_2" localSheetId="15">#REF!</definedName>
    <definedName name="Current_Commit_Amt_2" localSheetId="11">#REF!</definedName>
    <definedName name="Current_Commit_Amt_2" localSheetId="5">#REF!</definedName>
    <definedName name="Current_Commit_Amt_2" localSheetId="12">#REF!</definedName>
    <definedName name="Current_Commit_Amt_2" localSheetId="14">#REF!</definedName>
    <definedName name="Current_Commit_Amt_2">#REF!</definedName>
    <definedName name="Current_Commit_Amt_3">#REF!</definedName>
    <definedName name="Current_Commit_Amt_4">#REF!</definedName>
    <definedName name="Current_Commit_Amt_5">#REF!</definedName>
    <definedName name="Current_Commit_Amt_6">#REF!</definedName>
    <definedName name="CurrentDS" localSheetId="23">[11]AMORT!$F$6</definedName>
    <definedName name="CurrentDS">[12]AMORT!$F$6</definedName>
    <definedName name="CWCNo">'[37]User Input'!$B$35</definedName>
    <definedName name="Cwvu._Current_." localSheetId="13"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localSheetId="15"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localSheetId="11"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localSheetId="5"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localSheetId="12"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localSheetId="2" hidden="1">#REF!,#REF!,#REF!,#REF!,#REF!,#REF!,#REF!,#REF!,#REF!,#REF!,#REF!,#REF!,#REF!,#REF!,#REF!,#REF!,#REF!,#REF!,#REF!,#REF!,#REF!,#REF!,#REF!,#REF!</definedName>
    <definedName name="Cwvu._Current_." localSheetId="14"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_Current_." hidden="1">'[9]SCHEDULE E '!$A$3:$IV$13,'[9]SCHEDULE E '!$A$15:$IV$25,'[9]SCHEDULE E '!$A$27:$IV$37,'[9]SCHEDULE E '!$A$39:$IV$49,'[9]SCHEDULE E '!$A$51:$IV$61,'[9]SCHEDULE E '!$A$63:$IV$73,'[9]SCHEDULE E '!$A$75:$IV$85,'[9]SCHEDULE E '!$A$87:$IV$97,'[9]SCHEDULE E '!$A$99:$IV$109,'[9]SCHEDULE E '!$A$111:$IV$121,'[9]SCHEDULE E '!$A$135:$IV$145,'[9]SCHEDULE E '!$A$147:$IV$157,'[9]SCHEDULE E '!$A$159:$IV$169,'[9]SCHEDULE E '!#REF!,'[9]SCHEDULE E '!$A$171:$IV$181,'[9]SCHEDULE E '!$A$183:$IV$193,'[9]SCHEDULE E '!$A$207:$IV$217,'[9]SCHEDULE E '!$A$219:$IV$229,'[9]SCHEDULE E '!$A$231:$IV$241,'[9]SCHEDULE E '!$A$243:$IV$253,'[9]SCHEDULE E '!$A$267:$IV$277,'[9]SCHEDULE E '!$A$279:$IV$289,'[9]SCHEDULE E '!$A$291:$IV$301,'[9]SCHEDULE E '!#REF!</definedName>
    <definedName name="Cwvu.ACCOUNT._.DETAIL." localSheetId="13" hidden="1">'[9]MARKETING III'!#REF!</definedName>
    <definedName name="Cwvu.ACCOUNT._.DETAIL." localSheetId="15" hidden="1">'[9]MARKETING III'!#REF!</definedName>
    <definedName name="Cwvu.ACCOUNT._.DETAIL." localSheetId="11" hidden="1">'[9]MARKETING III'!#REF!</definedName>
    <definedName name="Cwvu.ACCOUNT._.DETAIL." localSheetId="5" hidden="1">'[9]MARKETING III'!#REF!</definedName>
    <definedName name="Cwvu.ACCOUNT._.DETAIL." localSheetId="12" hidden="1">'[9]MARKETING III'!#REF!</definedName>
    <definedName name="Cwvu.ACCOUNT._.DETAIL." localSheetId="2" hidden="1">#REF!</definedName>
    <definedName name="Cwvu.ACCOUNT._.DETAIL." localSheetId="14" hidden="1">'[9]MARKETING III'!#REF!</definedName>
    <definedName name="Cwvu.ACCOUNT._.DETAIL." hidden="1">'[9]MARKETING III'!#REF!</definedName>
    <definedName name="Cwvu.WAT." localSheetId="13" hidden="1">#REF!</definedName>
    <definedName name="Cwvu.WAT." localSheetId="15" hidden="1">#REF!</definedName>
    <definedName name="Cwvu.WAT." localSheetId="11" hidden="1">#REF!</definedName>
    <definedName name="Cwvu.WAT." localSheetId="5" hidden="1">#REF!</definedName>
    <definedName name="Cwvu.WAT." localSheetId="12" hidden="1">#REF!</definedName>
    <definedName name="Cwvu.WAT." localSheetId="14" hidden="1">#REF!</definedName>
    <definedName name="Cwvu.WAT." hidden="1">#REF!</definedName>
    <definedName name="d">#N/A</definedName>
    <definedName name="DAILY" localSheetId="13">#REF!</definedName>
    <definedName name="DAILY" localSheetId="15">#REF!</definedName>
    <definedName name="DAILY" localSheetId="11">#REF!</definedName>
    <definedName name="DAILY" localSheetId="5">#REF!</definedName>
    <definedName name="DAILY" localSheetId="12">#REF!</definedName>
    <definedName name="DAILY" localSheetId="14">#REF!</definedName>
    <definedName name="DAILY">#REF!</definedName>
    <definedName name="DATA_01" localSheetId="13" hidden="1">#REF!</definedName>
    <definedName name="DATA_01" localSheetId="15" hidden="1">#REF!</definedName>
    <definedName name="DATA_01" localSheetId="11" hidden="1">#REF!</definedName>
    <definedName name="DATA_01" localSheetId="5" hidden="1">#REF!</definedName>
    <definedName name="DATA_01" localSheetId="12" hidden="1">#REF!</definedName>
    <definedName name="DATA_01" localSheetId="14" hidden="1">#REF!</definedName>
    <definedName name="DATA_01" hidden="1">#REF!</definedName>
    <definedName name="DataDualTable12" localSheetId="13">#REF!</definedName>
    <definedName name="DataDualTable12" localSheetId="15">#REF!</definedName>
    <definedName name="DataDualTable12" localSheetId="11">#REF!</definedName>
    <definedName name="DataDualTable12" localSheetId="5">#REF!</definedName>
    <definedName name="DataDualTable12" localSheetId="12">#REF!</definedName>
    <definedName name="DataDualTable12" localSheetId="14">#REF!</definedName>
    <definedName name="DataDualTable12">#REF!</definedName>
    <definedName name="DataDualTable13">#REF!</definedName>
    <definedName name="DataDualTable14">#REF!</definedName>
    <definedName name="DataDualTable15">#REF!</definedName>
    <definedName name="DataDualTable16">#REF!</definedName>
    <definedName name="DATE">#REF!</definedName>
    <definedName name="dated">#REF!</definedName>
    <definedName name="DateOfAnalysis" localSheetId="23">[19]Assumptions!$C$15</definedName>
    <definedName name="DateOfAnalysis">[38]Assumptions!$C$15</definedName>
    <definedName name="Day_Differencial_1" localSheetId="13">#REF!</definedName>
    <definedName name="Day_Differencial_1" localSheetId="15">#REF!</definedName>
    <definedName name="Day_Differencial_1" localSheetId="11">#REF!</definedName>
    <definedName name="Day_Differencial_1" localSheetId="5">#REF!</definedName>
    <definedName name="Day_Differencial_1" localSheetId="12">#REF!</definedName>
    <definedName name="Day_Differencial_1" localSheetId="14">#REF!</definedName>
    <definedName name="Day_Differencial_1">#REF!</definedName>
    <definedName name="Day_Differencial_2" localSheetId="13">#REF!</definedName>
    <definedName name="Day_Differencial_2" localSheetId="15">#REF!</definedName>
    <definedName name="Day_Differencial_2" localSheetId="11">#REF!</definedName>
    <definedName name="Day_Differencial_2" localSheetId="5">#REF!</definedName>
    <definedName name="Day_Differencial_2" localSheetId="12">#REF!</definedName>
    <definedName name="Day_Differencial_2" localSheetId="14">#REF!</definedName>
    <definedName name="Day_Differencial_2">#REF!</definedName>
    <definedName name="Day_Differencial_3" localSheetId="13">#REF!</definedName>
    <definedName name="Day_Differencial_3" localSheetId="15">#REF!</definedName>
    <definedName name="Day_Differencial_3" localSheetId="11">#REF!</definedName>
    <definedName name="Day_Differencial_3" localSheetId="5">#REF!</definedName>
    <definedName name="Day_Differencial_3" localSheetId="12">#REF!</definedName>
    <definedName name="Day_Differencial_3" localSheetId="14">#REF!</definedName>
    <definedName name="Day_Differencial_3">#REF!</definedName>
    <definedName name="Day_Differencial_4">#REF!</definedName>
    <definedName name="Day_Differencial_5">#REF!</definedName>
    <definedName name="Day_Differencial_6">#REF!</definedName>
    <definedName name="Day_Lookup">#REF!</definedName>
    <definedName name="Day_Table">#REF!</definedName>
    <definedName name="days">#REF!</definedName>
    <definedName name="Days_1">#REF!</definedName>
    <definedName name="Days_2">#REF!</definedName>
    <definedName name="Days_3">#REF!</definedName>
    <definedName name="Days_4">#REF!</definedName>
    <definedName name="Days_5">#REF!</definedName>
    <definedName name="Days_6">#REF!</definedName>
    <definedName name="Days_Range">#REF!</definedName>
    <definedName name="daysbasis">#REF!</definedName>
    <definedName name="dcfltv">#REF!</definedName>
    <definedName name="DCFvalue">#REF!</definedName>
    <definedName name="ddafd">#REF!</definedName>
    <definedName name="ddd">#N/A</definedName>
    <definedName name="debt">#REF!</definedName>
    <definedName name="Debt_Service" localSheetId="23">[29]Proforma!$G$28</definedName>
    <definedName name="Debt_Service">[18]Proforma!$G$28</definedName>
    <definedName name="debt2" localSheetId="13">#REF!</definedName>
    <definedName name="debt2" localSheetId="15">#REF!</definedName>
    <definedName name="debt2" localSheetId="11">#REF!</definedName>
    <definedName name="debt2" localSheetId="5">#REF!</definedName>
    <definedName name="debt2" localSheetId="12">#REF!</definedName>
    <definedName name="debt2" localSheetId="14">#REF!</definedName>
    <definedName name="debt2">#REF!</definedName>
    <definedName name="debt3" localSheetId="13">#REF!</definedName>
    <definedName name="debt3" localSheetId="15">#REF!</definedName>
    <definedName name="debt3" localSheetId="11">#REF!</definedName>
    <definedName name="debt3" localSheetId="5">#REF!</definedName>
    <definedName name="debt3" localSheetId="12">#REF!</definedName>
    <definedName name="debt3" localSheetId="14">#REF!</definedName>
    <definedName name="debt3">#REF!</definedName>
    <definedName name="DEC" localSheetId="13">#REF!</definedName>
    <definedName name="DEC" localSheetId="15">#REF!</definedName>
    <definedName name="DEC" localSheetId="11">#REF!</definedName>
    <definedName name="DEC" localSheetId="5">#REF!</definedName>
    <definedName name="DEC" localSheetId="12">#REF!</definedName>
    <definedName name="DEC" localSheetId="14">#REF!</definedName>
    <definedName name="DEC">#REF!</definedName>
    <definedName name="DelayDate">#REF!</definedName>
    <definedName name="DelayFactor" localSheetId="23">[16]Assumptions!#REF!</definedName>
    <definedName name="DelayFactor">[15]Assumptions!#REF!</definedName>
    <definedName name="DELI" localSheetId="13">#REF!</definedName>
    <definedName name="DELI" localSheetId="15">#REF!</definedName>
    <definedName name="DELI" localSheetId="11">#REF!</definedName>
    <definedName name="DELI" localSheetId="5">#REF!</definedName>
    <definedName name="DELI" localSheetId="12">#REF!</definedName>
    <definedName name="DELI" localSheetId="14">#REF!</definedName>
    <definedName name="DELI">#REF!</definedName>
    <definedName name="delivdays" localSheetId="13">#REF!</definedName>
    <definedName name="delivdays" localSheetId="15">#REF!</definedName>
    <definedName name="delivdays" localSheetId="11">#REF!</definedName>
    <definedName name="delivdays" localSheetId="5">#REF!</definedName>
    <definedName name="delivdays" localSheetId="12">#REF!</definedName>
    <definedName name="delivdays" localSheetId="14">#REF!</definedName>
    <definedName name="delivdays">#REF!</definedName>
    <definedName name="delivery" localSheetId="13">#REF!</definedName>
    <definedName name="delivery" localSheetId="15">#REF!</definedName>
    <definedName name="delivery" localSheetId="11">#REF!</definedName>
    <definedName name="delivery" localSheetId="5">#REF!</definedName>
    <definedName name="delivery" localSheetId="12">#REF!</definedName>
    <definedName name="delivery" localSheetId="14">#REF!</definedName>
    <definedName name="delivery">#REF!</definedName>
    <definedName name="depr" localSheetId="13">[26]CAMINVBU!#REF!</definedName>
    <definedName name="depr" localSheetId="15">[26]CAMINVBU!#REF!</definedName>
    <definedName name="depr" localSheetId="11">[26]CAMINVBU!#REF!</definedName>
    <definedName name="depr" localSheetId="5">[26]CAMINVBU!#REF!</definedName>
    <definedName name="depr" localSheetId="12">[26]CAMINVBU!#REF!</definedName>
    <definedName name="depr" localSheetId="14">[26]CAMINVBU!#REF!</definedName>
    <definedName name="depr">[26]CAMINVBU!#REF!</definedName>
    <definedName name="Depreciation">#REF!</definedName>
    <definedName name="deregulated" localSheetId="13">#REF!</definedName>
    <definedName name="deregulated" localSheetId="15">#REF!</definedName>
    <definedName name="deregulated" localSheetId="11">#REF!</definedName>
    <definedName name="deregulated" localSheetId="5">#REF!</definedName>
    <definedName name="deregulated" localSheetId="12">#REF!</definedName>
    <definedName name="deregulated" localSheetId="14">#REF!</definedName>
    <definedName name="deregulated">#REF!</definedName>
    <definedName name="Deriv_CashBasis" localSheetId="13">#REF!</definedName>
    <definedName name="Deriv_CashBasis" localSheetId="15">#REF!</definedName>
    <definedName name="Deriv_CashBasis" localSheetId="11">#REF!</definedName>
    <definedName name="Deriv_CashBasis" localSheetId="5">#REF!</definedName>
    <definedName name="Deriv_CashBasis" localSheetId="12">#REF!</definedName>
    <definedName name="Deriv_CashBasis" localSheetId="14">#REF!</definedName>
    <definedName name="Deriv_CashBasis">#REF!</definedName>
    <definedName name="Deriv_CRISP_REV1" localSheetId="13">#REF!</definedName>
    <definedName name="Deriv_CRISP_REV1" localSheetId="15">#REF!</definedName>
    <definedName name="Deriv_CRISP_REV1" localSheetId="11">#REF!</definedName>
    <definedName name="Deriv_CRISP_REV1" localSheetId="5">#REF!</definedName>
    <definedName name="Deriv_CRISP_REV1" localSheetId="12">#REF!</definedName>
    <definedName name="Deriv_CRISP_REV1" localSheetId="14">#REF!</definedName>
    <definedName name="Deriv_CRISP_REV1">#REF!</definedName>
    <definedName name="Deriv_CRISP_REV2">#REF!</definedName>
    <definedName name="Deriv_CRISP_REV3">#REF!</definedName>
    <definedName name="Deriv_CRISP_REV4">#REF!</definedName>
    <definedName name="Deriv_CRISP_REV5">#REF!</definedName>
    <definedName name="Deriv_CRISP_REV6">#REF!</definedName>
    <definedName name="Deriv_Equity_1">#REF!</definedName>
    <definedName name="Deriv_Equity_2">#REF!</definedName>
    <definedName name="Deriv_Equity_3">#REF!</definedName>
    <definedName name="Deriv_Equity_4">#REF!</definedName>
    <definedName name="Deriv_Equity_5">#REF!</definedName>
    <definedName name="Deriv_Equity_6">#REF!</definedName>
    <definedName name="Deriv_Equivalent">#REF!</definedName>
    <definedName name="Deriv_Error_1">#REF!</definedName>
    <definedName name="Deriv_Error_2">#REF!</definedName>
    <definedName name="Deriv_Error_3">#REF!</definedName>
    <definedName name="Deriv_Error_4">#REF!</definedName>
    <definedName name="Deriv_Error_5">#REF!</definedName>
    <definedName name="Deriv_Error_6">#REF!</definedName>
    <definedName name="Deriv_Grade_1">#REF!</definedName>
    <definedName name="Deriv_Grade_2">#REF!</definedName>
    <definedName name="Deriv_Grade_3">#REF!</definedName>
    <definedName name="Deriv_Grade_4">#REF!</definedName>
    <definedName name="Deriv_Grade_5">#REF!</definedName>
    <definedName name="Deriv_Grade_6">#REF!</definedName>
    <definedName name="Deriv_GrossRev_1">#REF!</definedName>
    <definedName name="Deriv_GrossRev_2">#REF!</definedName>
    <definedName name="Deriv_GrossRev_3">#REF!</definedName>
    <definedName name="Deriv_GrossRev_4">#REF!</definedName>
    <definedName name="Deriv_GrossRev_5">#REF!</definedName>
    <definedName name="Deriv_GrossRev_6">#REF!</definedName>
    <definedName name="Deriv_Income_Cash">#REF!</definedName>
    <definedName name="Deriv_Income_FASB">#REF!</definedName>
    <definedName name="Deriv_NetRev_1">#REF!</definedName>
    <definedName name="Deriv_NetRev_2">#REF!</definedName>
    <definedName name="Deriv_NetRev_3">#REF!</definedName>
    <definedName name="Deriv_NetRev_4">#REF!</definedName>
    <definedName name="Deriv_NetRev_5">#REF!</definedName>
    <definedName name="Deriv_NetRev_6">#REF!</definedName>
    <definedName name="Deriv_Notional_1">#REF!</definedName>
    <definedName name="Deriv_Notional_2">#REF!</definedName>
    <definedName name="Deriv_Notional_3">#REF!</definedName>
    <definedName name="Deriv_Notional_4">#REF!</definedName>
    <definedName name="Deriv_Notional_5">#REF!</definedName>
    <definedName name="Deriv_Notional_6">#REF!</definedName>
    <definedName name="Deriv_remain_term1">#REF!</definedName>
    <definedName name="Deriv_remain_term2">#REF!</definedName>
    <definedName name="Deriv_remain_term3">#REF!</definedName>
    <definedName name="Deriv_remain_term4">#REF!</definedName>
    <definedName name="Deriv_remain_term5">#REF!</definedName>
    <definedName name="Deriv_remain_term6">#REF!</definedName>
    <definedName name="Deriv_Status_1">#REF!</definedName>
    <definedName name="Deriv_Status_2">#REF!</definedName>
    <definedName name="Deriv_Status_3">#REF!</definedName>
    <definedName name="Deriv_Status_4">#REF!</definedName>
    <definedName name="Deriv_Status_5">#REF!</definedName>
    <definedName name="Deriv_Status_6">#REF!</definedName>
    <definedName name="Deriv_Term_1">#REF!</definedName>
    <definedName name="Deriv_Term_2">#REF!</definedName>
    <definedName name="Deriv_Term_3">#REF!</definedName>
    <definedName name="Deriv_Term_4">#REF!</definedName>
    <definedName name="Deriv_Term_5">#REF!</definedName>
    <definedName name="Deriv_Term_6">#REF!</definedName>
    <definedName name="Design_Professional_Type">#REF!</definedName>
    <definedName name="DEVELOPER_S_NEW_EQUITY_RETURN">#REF!</definedName>
    <definedName name="dghghfg">[14]A!$A$132:$Q$192</definedName>
    <definedName name="Differential_1" localSheetId="13">#REF!</definedName>
    <definedName name="Differential_1" localSheetId="15">#REF!</definedName>
    <definedName name="Differential_1" localSheetId="11">#REF!</definedName>
    <definedName name="Differential_1" localSheetId="5">#REF!</definedName>
    <definedName name="Differential_1" localSheetId="12">#REF!</definedName>
    <definedName name="Differential_1" localSheetId="14">#REF!</definedName>
    <definedName name="Differential_1">#REF!</definedName>
    <definedName name="Differential_2" localSheetId="13">#REF!</definedName>
    <definedName name="Differential_2" localSheetId="15">#REF!</definedName>
    <definedName name="Differential_2" localSheetId="11">#REF!</definedName>
    <definedName name="Differential_2" localSheetId="5">#REF!</definedName>
    <definedName name="Differential_2" localSheetId="12">#REF!</definedName>
    <definedName name="Differential_2" localSheetId="14">#REF!</definedName>
    <definedName name="Differential_2">#REF!</definedName>
    <definedName name="Differential_3" localSheetId="13">#REF!</definedName>
    <definedName name="Differential_3" localSheetId="15">#REF!</definedName>
    <definedName name="Differential_3" localSheetId="11">#REF!</definedName>
    <definedName name="Differential_3" localSheetId="5">#REF!</definedName>
    <definedName name="Differential_3" localSheetId="12">#REF!</definedName>
    <definedName name="Differential_3" localSheetId="14">#REF!</definedName>
    <definedName name="Differential_3">#REF!</definedName>
    <definedName name="Differential_4">#REF!</definedName>
    <definedName name="Differential_5">#REF!</definedName>
    <definedName name="Differential_6">#REF!</definedName>
    <definedName name="DIRECT">#REF!</definedName>
    <definedName name="DISBURSE">#REF!</definedName>
    <definedName name="DISCOUNT">#REF!</definedName>
    <definedName name="Discount_rate">#REF!</definedName>
    <definedName name="Division_Name">#REF!</definedName>
    <definedName name="DivisionName" localSheetId="23">[32]Assumptions!$C$6</definedName>
    <definedName name="DivisionName">[33]Assumptions!$C$6</definedName>
    <definedName name="down" localSheetId="13">#REF!</definedName>
    <definedName name="down" localSheetId="15">#REF!</definedName>
    <definedName name="down" localSheetId="11">#REF!</definedName>
    <definedName name="down" localSheetId="5">#REF!</definedName>
    <definedName name="down" localSheetId="12">#REF!</definedName>
    <definedName name="down" localSheetId="14">#REF!</definedName>
    <definedName name="down">#REF!</definedName>
    <definedName name="down04" localSheetId="13">#REF!</definedName>
    <definedName name="down04" localSheetId="15">#REF!</definedName>
    <definedName name="down04" localSheetId="11">#REF!</definedName>
    <definedName name="down04" localSheetId="5">#REF!</definedName>
    <definedName name="down04" localSheetId="12">#REF!</definedName>
    <definedName name="down04" localSheetId="14">#REF!</definedName>
    <definedName name="down04">#REF!</definedName>
    <definedName name="DOWNLOAD" localSheetId="13">#REF!</definedName>
    <definedName name="DOWNLOAD" localSheetId="15">#REF!</definedName>
    <definedName name="DOWNLOAD" localSheetId="11">#REF!</definedName>
    <definedName name="DOWNLOAD" localSheetId="5">#REF!</definedName>
    <definedName name="DOWNLOAD" localSheetId="12">#REF!</definedName>
    <definedName name="DOWNLOAD" localSheetId="14">#REF!</definedName>
    <definedName name="DOWNLOAD">#REF!</definedName>
    <definedName name="download1">#REF!</definedName>
    <definedName name="download3">#REF!</definedName>
    <definedName name="DRAName" localSheetId="23">[16]Assumptions!#REF!</definedName>
    <definedName name="DRAName">[15]Assumptions!#REF!</definedName>
    <definedName name="DRIVER" localSheetId="13">#REF!</definedName>
    <definedName name="DRIVER" localSheetId="15">#REF!</definedName>
    <definedName name="DRIVER" localSheetId="11">#REF!</definedName>
    <definedName name="DRIVER" localSheetId="5">#REF!</definedName>
    <definedName name="DRIVER" localSheetId="12">#REF!</definedName>
    <definedName name="DRIVER" localSheetId="14">#REF!</definedName>
    <definedName name="DRIVER">#REF!</definedName>
    <definedName name="DSCR" localSheetId="23">[29]Proforma!$G$34</definedName>
    <definedName name="DSCR">[18]Proforma!$G$34</definedName>
    <definedName name="dsfsdgf" localSheetId="13">#REF!</definedName>
    <definedName name="dsfsdgf" localSheetId="15">#REF!</definedName>
    <definedName name="dsfsdgf" localSheetId="11">#REF!</definedName>
    <definedName name="dsfsdgf" localSheetId="5">#REF!</definedName>
    <definedName name="dsfsdgf" localSheetId="12">#REF!</definedName>
    <definedName name="dsfsdgf" localSheetId="14">#REF!</definedName>
    <definedName name="dsfsdgf">#REF!</definedName>
    <definedName name="dsra" localSheetId="13">#REF!</definedName>
    <definedName name="dsra" localSheetId="15">#REF!</definedName>
    <definedName name="dsra" localSheetId="11">#REF!</definedName>
    <definedName name="dsra" localSheetId="5">#REF!</definedName>
    <definedName name="dsra" localSheetId="12">#REF!</definedName>
    <definedName name="dsra" localSheetId="14">#REF!</definedName>
    <definedName name="dsra">#REF!</definedName>
    <definedName name="dsrb" localSheetId="13">#REF!</definedName>
    <definedName name="dsrb" localSheetId="15">#REF!</definedName>
    <definedName name="dsrb" localSheetId="11">#REF!</definedName>
    <definedName name="dsrb" localSheetId="5">#REF!</definedName>
    <definedName name="dsrb" localSheetId="12">#REF!</definedName>
    <definedName name="dsrb" localSheetId="14">#REF!</definedName>
    <definedName name="dsrb">#REF!</definedName>
    <definedName name="dsrrate">#REF!</definedName>
    <definedName name="dur">#REF!</definedName>
    <definedName name="e" localSheetId="23">[39]ACH!#REF!</definedName>
    <definedName name="e">[40]ACH!#REF!</definedName>
    <definedName name="ebal" localSheetId="13">#REF!</definedName>
    <definedName name="ebal" localSheetId="15">#REF!</definedName>
    <definedName name="ebal" localSheetId="11">#REF!</definedName>
    <definedName name="ebal" localSheetId="5">#REF!</definedName>
    <definedName name="ebal" localSheetId="12">#REF!</definedName>
    <definedName name="ebal" localSheetId="14">#REF!</definedName>
    <definedName name="ebal">#REF!</definedName>
    <definedName name="EconProfit_1" localSheetId="13">#REF!</definedName>
    <definedName name="EconProfit_1" localSheetId="15">#REF!</definedName>
    <definedName name="EconProfit_1" localSheetId="11">#REF!</definedName>
    <definedName name="EconProfit_1" localSheetId="5">#REF!</definedName>
    <definedName name="EconProfit_1" localSheetId="12">#REF!</definedName>
    <definedName name="EconProfit_1" localSheetId="14">#REF!</definedName>
    <definedName name="EconProfit_1">#REF!</definedName>
    <definedName name="EconProfit_2" localSheetId="13">#REF!</definedName>
    <definedName name="EconProfit_2" localSheetId="15">#REF!</definedName>
    <definedName name="EconProfit_2" localSheetId="11">#REF!</definedName>
    <definedName name="EconProfit_2" localSheetId="5">#REF!</definedName>
    <definedName name="EconProfit_2" localSheetId="12">#REF!</definedName>
    <definedName name="EconProfit_2" localSheetId="14">#REF!</definedName>
    <definedName name="EconProfit_2">#REF!</definedName>
    <definedName name="EconProfit_3">#REF!</definedName>
    <definedName name="EconProfit_4">#REF!</definedName>
    <definedName name="EconProfit_5">#REF!</definedName>
    <definedName name="EconProfit_6">#REF!</definedName>
    <definedName name="ECPI">#REF!</definedName>
    <definedName name="ECR_Margin">#REF!</definedName>
    <definedName name="egdf">#REF!</definedName>
    <definedName name="Employee_Contrib">#REF!</definedName>
    <definedName name="Ending.Balance" localSheetId="13">IF(#REF!&lt;&gt;"",#REF!-#REF!,"")</definedName>
    <definedName name="Ending.Balance" localSheetId="15">IF(#REF!&lt;&gt;"",#REF!-#REF!,"")</definedName>
    <definedName name="Ending.Balance" localSheetId="11">IF(#REF!&lt;&gt;"",#REF!-#REF!,"")</definedName>
    <definedName name="Ending.Balance" localSheetId="5">IF(#REF!&lt;&gt;"",#REF!-#REF!,"")</definedName>
    <definedName name="Ending.Balance" localSheetId="12">IF(#REF!&lt;&gt;"",#REF!-#REF!,"")</definedName>
    <definedName name="Ending.Balance" localSheetId="14">IF(#REF!&lt;&gt;"",#REF!-#REF!,"")</definedName>
    <definedName name="Ending.Balance">IF(#REF!&lt;&gt;"",#REF!-#REF!,"")</definedName>
    <definedName name="endout">#REF!</definedName>
    <definedName name="Entered_payment">#REF!</definedName>
    <definedName name="Equal_Principal_Annual_Table">#REF!</definedName>
    <definedName name="Equal_Principal_Monthly_Table">#REF!</definedName>
    <definedName name="Equal_Principal_Quarterly_Table">#REF!</definedName>
    <definedName name="EQUITY">#REF!</definedName>
    <definedName name="Equity_1">#REF!</definedName>
    <definedName name="Equity_2">#REF!</definedName>
    <definedName name="Equity_3">#REF!</definedName>
    <definedName name="Equity_4">#REF!</definedName>
    <definedName name="Equity_5">#REF!</definedName>
    <definedName name="Equity_6">#REF!</definedName>
    <definedName name="Equity_Grade">#REF!</definedName>
    <definedName name="Equity_Lookup">#REF!</definedName>
    <definedName name="Equity_TaxFactor">#REF!</definedName>
    <definedName name="Equity_WAvgLife_1">#REF!</definedName>
    <definedName name="Equity_WAvgLife_2">#REF!</definedName>
    <definedName name="Equity_WAvgLife_3">#REF!</definedName>
    <definedName name="Equity_WAvgLife_4">#REF!</definedName>
    <definedName name="Equity_WAvgLife_5">#REF!</definedName>
    <definedName name="Equity_WAvgLife_6">#REF!</definedName>
    <definedName name="EquityLegal_lookup">#REF!</definedName>
    <definedName name="ergregaa" localSheetId="2">'[3]AVI-JV-PROFORMA'!#REF!</definedName>
    <definedName name="ergregaa">'[5]AVI-JV-PROFORMA'!#REF!</definedName>
    <definedName name="ergterg" localSheetId="13">#REF!</definedName>
    <definedName name="ergterg" localSheetId="15">#REF!</definedName>
    <definedName name="ergterg" localSheetId="11">#REF!</definedName>
    <definedName name="ergterg" localSheetId="5">#REF!</definedName>
    <definedName name="ergterg" localSheetId="12">#REF!</definedName>
    <definedName name="ergterg" localSheetId="14">#REF!</definedName>
    <definedName name="ergterg">#REF!</definedName>
    <definedName name="Error_Message_1" localSheetId="13">#REF!</definedName>
    <definedName name="Error_Message_1" localSheetId="15">#REF!</definedName>
    <definedName name="Error_Message_1" localSheetId="11">#REF!</definedName>
    <definedName name="Error_Message_1" localSheetId="5">#REF!</definedName>
    <definedName name="Error_Message_1" localSheetId="12">#REF!</definedName>
    <definedName name="Error_Message_1" localSheetId="14">#REF!</definedName>
    <definedName name="Error_Message_1">#REF!</definedName>
    <definedName name="Error_Message_10" localSheetId="13">#REF!</definedName>
    <definedName name="Error_Message_10" localSheetId="15">#REF!</definedName>
    <definedName name="Error_Message_10" localSheetId="11">#REF!</definedName>
    <definedName name="Error_Message_10" localSheetId="5">#REF!</definedName>
    <definedName name="Error_Message_10" localSheetId="12">#REF!</definedName>
    <definedName name="Error_Message_10" localSheetId="14">#REF!</definedName>
    <definedName name="Error_Message_10">#REF!</definedName>
    <definedName name="Error_Message_11">#REF!</definedName>
    <definedName name="Error_Message_12">#REF!</definedName>
    <definedName name="Error_Message_2">#REF!</definedName>
    <definedName name="Error_Message_3">#REF!</definedName>
    <definedName name="Error_Message_4">#REF!</definedName>
    <definedName name="Error_message_5">#REF!</definedName>
    <definedName name="Error_Message_6">#REF!</definedName>
    <definedName name="Error_Message_7">#REF!</definedName>
    <definedName name="Error_Message_8">#REF!</definedName>
    <definedName name="Error_Message_9">#REF!</definedName>
    <definedName name="EST2003A">'[17]CFEST 2003A Consol'!$A$1</definedName>
    <definedName name="Eurosweep" localSheetId="13">#REF!</definedName>
    <definedName name="Eurosweep" localSheetId="15">#REF!</definedName>
    <definedName name="Eurosweep" localSheetId="11">#REF!</definedName>
    <definedName name="Eurosweep" localSheetId="5">#REF!</definedName>
    <definedName name="Eurosweep" localSheetId="12">#REF!</definedName>
    <definedName name="Eurosweep" localSheetId="14">#REF!</definedName>
    <definedName name="Eurosweep">#REF!</definedName>
    <definedName name="ewq" localSheetId="23">[41]Site!$D$133</definedName>
    <definedName name="ewq">[42]Site!$D$133</definedName>
    <definedName name="Excess_Balances" localSheetId="13">#REF!</definedName>
    <definedName name="Excess_Balances" localSheetId="15">#REF!</definedName>
    <definedName name="Excess_Balances" localSheetId="11">#REF!</definedName>
    <definedName name="Excess_Balances" localSheetId="5">#REF!</definedName>
    <definedName name="Excess_Balances" localSheetId="12">#REF!</definedName>
    <definedName name="Excess_Balances" localSheetId="14">#REF!</definedName>
    <definedName name="Excess_Balances">#REF!</definedName>
    <definedName name="EXI.A1603.UNDERWRITTEN.E.I.X">[21]_EXICashFlowImport!$D$2</definedName>
    <definedName name="EXI.A1612.UNDERWRITTEN.E.I.X">[21]_EXICashFlowImport!$D$11</definedName>
    <definedName name="EXI.A1620.UNDERWRITTEN.E.I.X">[21]_EXICashFlowImport!$D$19</definedName>
    <definedName name="EXI.A3840.AMOUNT.E.I.X">[21]_EXIFunnelImport!$D$9</definedName>
    <definedName name="EXI.A3855.AMOUNT.E.I.X">[21]_EXIFunnelImport!$D$24</definedName>
    <definedName name="EXI.A4041.AMOUNT.E.I.X">[21]_EXIFunnelImport!$E$8</definedName>
    <definedName name="EXI.A4054.AMOUNT.E.I.X">[21]_EXIFunnelImport!$E$21</definedName>
    <definedName name="EXI.A4055.AMOUNT.E.I.X">[21]_EXIFunnelImport!$E$22</definedName>
    <definedName name="EXI.A4254.AMOUNT.E.I.X">[21]_EXIFunnelImport!$F$19</definedName>
    <definedName name="EXI.A4257.AMOUNT.E.I.X">[21]_EXIFunnelImport!$F$22</definedName>
    <definedName name="Existing_UpfrontFee_Cash_1" localSheetId="13">#REF!</definedName>
    <definedName name="Existing_UpfrontFee_Cash_1" localSheetId="15">#REF!</definedName>
    <definedName name="Existing_UpfrontFee_Cash_1" localSheetId="11">#REF!</definedName>
    <definedName name="Existing_UpfrontFee_Cash_1" localSheetId="5">#REF!</definedName>
    <definedName name="Existing_UpfrontFee_Cash_1" localSheetId="12">#REF!</definedName>
    <definedName name="Existing_UpfrontFee_Cash_1" localSheetId="14">#REF!</definedName>
    <definedName name="Existing_UpfrontFee_Cash_1">#REF!</definedName>
    <definedName name="Existing_UpfrontFee_Cash_2" localSheetId="13">#REF!</definedName>
    <definedName name="Existing_UpfrontFee_Cash_2" localSheetId="15">#REF!</definedName>
    <definedName name="Existing_UpfrontFee_Cash_2" localSheetId="11">#REF!</definedName>
    <definedName name="Existing_UpfrontFee_Cash_2" localSheetId="5">#REF!</definedName>
    <definedName name="Existing_UpfrontFee_Cash_2" localSheetId="12">#REF!</definedName>
    <definedName name="Existing_UpfrontFee_Cash_2" localSheetId="14">#REF!</definedName>
    <definedName name="Existing_UpfrontFee_Cash_2">#REF!</definedName>
    <definedName name="Existing_UpfrontFee_Cash_3" localSheetId="13">#REF!</definedName>
    <definedName name="Existing_UpfrontFee_Cash_3" localSheetId="15">#REF!</definedName>
    <definedName name="Existing_UpfrontFee_Cash_3" localSheetId="11">#REF!</definedName>
    <definedName name="Existing_UpfrontFee_Cash_3" localSheetId="5">#REF!</definedName>
    <definedName name="Existing_UpfrontFee_Cash_3" localSheetId="12">#REF!</definedName>
    <definedName name="Existing_UpfrontFee_Cash_3" localSheetId="14">#REF!</definedName>
    <definedName name="Existing_UpfrontFee_Cash_3">#REF!</definedName>
    <definedName name="Existing_UpfrontFee_Cash_4">#REF!</definedName>
    <definedName name="Existing_UpfrontFee_Cash_5">#REF!</definedName>
    <definedName name="Existing_UpfrontFee_Cash_6">#REF!</definedName>
    <definedName name="EXPENSE" localSheetId="2">'[3]AVI-JV-PROFORMA'!#REF!</definedName>
    <definedName name="EXPENSE" localSheetId="23">'[4]AVI-JV-PROFORMA'!#REF!</definedName>
    <definedName name="EXPENSE">'[5]AVI-JV-PROFORMA'!#REF!</definedName>
    <definedName name="ExpenseInflation1" localSheetId="23">[19]Assumptions!$C$74</definedName>
    <definedName name="ExpenseInflation1">[22]Assumptions!$C$74</definedName>
    <definedName name="ExpenseInflation2" localSheetId="23">[19]Assumptions!$D$74</definedName>
    <definedName name="ExpenseInflation2">[22]Assumptions!$D$74</definedName>
    <definedName name="ExpenseInflation3" localSheetId="23">[19]Assumptions!$E$74</definedName>
    <definedName name="ExpenseInflation3">[22]Assumptions!$E$74</definedName>
    <definedName name="EXPFACT" localSheetId="13">#REF!</definedName>
    <definedName name="EXPFACT" localSheetId="15">#REF!</definedName>
    <definedName name="EXPFACT" localSheetId="11">#REF!</definedName>
    <definedName name="EXPFACT" localSheetId="5">#REF!</definedName>
    <definedName name="EXPFACT" localSheetId="12">#REF!</definedName>
    <definedName name="EXPFACT" localSheetId="14">#REF!</definedName>
    <definedName name="EXPFACT">#REF!</definedName>
    <definedName name="EXPRESS_EXP" localSheetId="13">'[26]12_96 CAM'!#REF!</definedName>
    <definedName name="EXPRESS_EXP" localSheetId="15">'[26]12_96 CAM'!#REF!</definedName>
    <definedName name="EXPRESS_EXP" localSheetId="11">'[26]12_96 CAM'!#REF!</definedName>
    <definedName name="EXPRESS_EXP" localSheetId="5">'[26]12_96 CAM'!#REF!</definedName>
    <definedName name="EXPRESS_EXP" localSheetId="12">'[26]12_96 CAM'!#REF!</definedName>
    <definedName name="EXPRESS_EXP" localSheetId="14">'[26]12_96 CAM'!#REF!</definedName>
    <definedName name="EXPRESS_EXP">'[26]12_96 CAM'!#REF!</definedName>
    <definedName name="EXPRESS_SQ" localSheetId="13">'[26]12_96 CAM'!#REF!</definedName>
    <definedName name="EXPRESS_SQ" localSheetId="15">'[26]12_96 CAM'!#REF!</definedName>
    <definedName name="EXPRESS_SQ" localSheetId="11">'[26]12_96 CAM'!#REF!</definedName>
    <definedName name="EXPRESS_SQ" localSheetId="5">'[26]12_96 CAM'!#REF!</definedName>
    <definedName name="EXPRESS_SQ" localSheetId="12">'[26]12_96 CAM'!#REF!</definedName>
    <definedName name="EXPRESS_SQ" localSheetId="14">'[26]12_96 CAM'!#REF!</definedName>
    <definedName name="EXPRESS_SQ">'[26]12_96 CAM'!#REF!</definedName>
    <definedName name="EXPTABLE" localSheetId="13">[26]CAMINVBU!#REF!</definedName>
    <definedName name="EXPTABLE" localSheetId="15">[26]CAMINVBU!#REF!</definedName>
    <definedName name="EXPTABLE" localSheetId="11">[26]CAMINVBU!#REF!</definedName>
    <definedName name="EXPTABLE" localSheetId="5">[26]CAMINVBU!#REF!</definedName>
    <definedName name="EXPTABLE" localSheetId="12">[26]CAMINVBU!#REF!</definedName>
    <definedName name="EXPTABLE" localSheetId="14">[26]CAMINVBU!#REF!</definedName>
    <definedName name="EXPTABLE">[26]CAMINVBU!#REF!</definedName>
    <definedName name="externalappraisalltv" localSheetId="13">#REF!</definedName>
    <definedName name="externalappraisalltv" localSheetId="15">#REF!</definedName>
    <definedName name="externalappraisalltv" localSheetId="11">#REF!</definedName>
    <definedName name="externalappraisalltv" localSheetId="5">#REF!</definedName>
    <definedName name="externalappraisalltv" localSheetId="12">#REF!</definedName>
    <definedName name="externalappraisalltv" localSheetId="14">#REF!</definedName>
    <definedName name="externalappraisalltv">#REF!</definedName>
    <definedName name="Externalappraisalvalue" localSheetId="13">#REF!</definedName>
    <definedName name="Externalappraisalvalue" localSheetId="15">#REF!</definedName>
    <definedName name="Externalappraisalvalue" localSheetId="11">#REF!</definedName>
    <definedName name="Externalappraisalvalue" localSheetId="5">#REF!</definedName>
    <definedName name="Externalappraisalvalue" localSheetId="12">#REF!</definedName>
    <definedName name="Externalappraisalvalue" localSheetId="14">#REF!</definedName>
    <definedName name="Externalappraisalvalue">#REF!</definedName>
    <definedName name="extra" localSheetId="13">#REF!</definedName>
    <definedName name="extra" localSheetId="15">#REF!</definedName>
    <definedName name="extra" localSheetId="11">#REF!</definedName>
    <definedName name="extra" localSheetId="5">#REF!</definedName>
    <definedName name="extra" localSheetId="12">#REF!</definedName>
    <definedName name="extra" localSheetId="14">#REF!</definedName>
    <definedName name="extra">#REF!</definedName>
    <definedName name="Facility_1">#REF!</definedName>
    <definedName name="Facility_2">#REF!</definedName>
    <definedName name="Facility_3">#REF!</definedName>
    <definedName name="Facility_4">#REF!</definedName>
    <definedName name="Facility_5">#REF!</definedName>
    <definedName name="Facility_6">#REF!</definedName>
    <definedName name="Facility_Overhead">#REF!</definedName>
    <definedName name="FACILITY_RATING_FROM_MODEL">#REF!</definedName>
    <definedName name="FACILITY_RATING_PER_RM">#REF!</definedName>
    <definedName name="Facility_Status_1">#REF!</definedName>
    <definedName name="Facility_Status_2">#REF!</definedName>
    <definedName name="Facility_Status_3">#REF!</definedName>
    <definedName name="Facility_Status_4">#REF!</definedName>
    <definedName name="Facility_Status_5">#REF!</definedName>
    <definedName name="Facility_Status_6">#REF!</definedName>
    <definedName name="Facility_Status_Deriv1">#REF!</definedName>
    <definedName name="Facility_Status_Deriv2">#REF!</definedName>
    <definedName name="Facility_Status_Deriv3">#REF!</definedName>
    <definedName name="Facility_Status_Deriv4">#REF!</definedName>
    <definedName name="Facility_Status_Deriv5">#REF!</definedName>
    <definedName name="Facility_Status_Deriv6">#REF!</definedName>
    <definedName name="FASB_1">#REF!</definedName>
    <definedName name="FASB_2">#REF!</definedName>
    <definedName name="FASB_3">#REF!</definedName>
    <definedName name="FASB_4">#REF!</definedName>
    <definedName name="FASB_5">#REF!</definedName>
    <definedName name="FASB_6">#REF!</definedName>
    <definedName name="FASB_Total_Income">#REF!</definedName>
    <definedName name="fd" localSheetId="2" hidden="1">#REF!</definedName>
    <definedName name="fd" hidden="1">'[43]0900'!#REF!</definedName>
    <definedName name="fdef" localSheetId="13">#REF!</definedName>
    <definedName name="fdef" localSheetId="15">#REF!</definedName>
    <definedName name="fdef" localSheetId="11">#REF!</definedName>
    <definedName name="fdef" localSheetId="5">#REF!</definedName>
    <definedName name="fdef" localSheetId="12">#REF!</definedName>
    <definedName name="fdef" localSheetId="14">#REF!</definedName>
    <definedName name="fdef">#REF!</definedName>
    <definedName name="fdsa" localSheetId="23">[41]Site!$D$67</definedName>
    <definedName name="fdsa">[42]Site!$D$67</definedName>
    <definedName name="fee">'[44]Inc Rec'!$A$9:$J$650</definedName>
    <definedName name="FEES" localSheetId="13">#REF!</definedName>
    <definedName name="FEES" localSheetId="15">#REF!</definedName>
    <definedName name="FEES" localSheetId="11">#REF!</definedName>
    <definedName name="FEES" localSheetId="5">#REF!</definedName>
    <definedName name="FEES" localSheetId="12">#REF!</definedName>
    <definedName name="FEES" localSheetId="14">#REF!</definedName>
    <definedName name="FEES">#REF!</definedName>
    <definedName name="fghgdh">[14]A!$A$37:$Q$83</definedName>
    <definedName name="Financial_Summary" localSheetId="13">#REF!</definedName>
    <definedName name="Financial_Summary" localSheetId="15">#REF!</definedName>
    <definedName name="Financial_Summary" localSheetId="11">#REF!</definedName>
    <definedName name="Financial_Summary" localSheetId="5">#REF!</definedName>
    <definedName name="Financial_Summary" localSheetId="12">#REF!</definedName>
    <definedName name="Financial_Summary" localSheetId="14">#REF!</definedName>
    <definedName name="Financial_Summary">#REF!</definedName>
    <definedName name="first" localSheetId="13">#REF!</definedName>
    <definedName name="first" localSheetId="15">#REF!</definedName>
    <definedName name="first" localSheetId="11">#REF!</definedName>
    <definedName name="first" localSheetId="5">#REF!</definedName>
    <definedName name="first" localSheetId="12">#REF!</definedName>
    <definedName name="first" localSheetId="14">#REF!</definedName>
    <definedName name="first">#REF!</definedName>
    <definedName name="First_payment_due" localSheetId="13">#REF!</definedName>
    <definedName name="First_payment_due" localSheetId="15">#REF!</definedName>
    <definedName name="First_payment_due" localSheetId="11">#REF!</definedName>
    <definedName name="First_payment_due" localSheetId="5">#REF!</definedName>
    <definedName name="First_payment_due" localSheetId="12">#REF!</definedName>
    <definedName name="First_payment_due" localSheetId="14">#REF!</definedName>
    <definedName name="First_payment_due">#REF!</definedName>
    <definedName name="First_payment_no">#REF!</definedName>
    <definedName name="FIRST_PROTECT">'[27]FIRST P'!$A$13:$P$46</definedName>
    <definedName name="FirstYearOperations">#REF!</definedName>
    <definedName name="fix" localSheetId="13">#REF!</definedName>
    <definedName name="fix" localSheetId="15">#REF!</definedName>
    <definedName name="fix" localSheetId="11">#REF!</definedName>
    <definedName name="fix" localSheetId="5">#REF!</definedName>
    <definedName name="fix" localSheetId="12">#REF!</definedName>
    <definedName name="fix" localSheetId="14">#REF!</definedName>
    <definedName name="fix">#REF!</definedName>
    <definedName name="fnjh" localSheetId="13">#REF!</definedName>
    <definedName name="fnjh" localSheetId="15">#REF!</definedName>
    <definedName name="fnjh" localSheetId="11">#REF!</definedName>
    <definedName name="fnjh" localSheetId="5">#REF!</definedName>
    <definedName name="fnjh" localSheetId="12">#REF!</definedName>
    <definedName name="fnjh" localSheetId="14">#REF!</definedName>
    <definedName name="fnjh">#REF!</definedName>
    <definedName name="FORCE">[27]FORCE!$A$13:$P$38</definedName>
    <definedName name="format">'[45]P TAX INV (2)'!$A$69:$H$132</definedName>
    <definedName name="FORTIS" localSheetId="13">#REF!</definedName>
    <definedName name="FORTIS" localSheetId="15">#REF!</definedName>
    <definedName name="FORTIS" localSheetId="11">#REF!</definedName>
    <definedName name="FORTIS" localSheetId="5">#REF!</definedName>
    <definedName name="FORTIS" localSheetId="12">#REF!</definedName>
    <definedName name="FORTIS" localSheetId="14">#REF!</definedName>
    <definedName name="FORTIS">#REF!</definedName>
    <definedName name="Free" localSheetId="13">'[5]AVI-JV-PROFORMA'!#REF!</definedName>
    <definedName name="Free" localSheetId="15">'[5]AVI-JV-PROFORMA'!#REF!</definedName>
    <definedName name="Free" localSheetId="11">'[5]AVI-JV-PROFORMA'!#REF!</definedName>
    <definedName name="Free" localSheetId="5">'[5]AVI-JV-PROFORMA'!#REF!</definedName>
    <definedName name="Free" localSheetId="12">'[5]AVI-JV-PROFORMA'!#REF!</definedName>
    <definedName name="Free" localSheetId="2">'[3]AVI-JV-PROFORMA'!#REF!</definedName>
    <definedName name="Free" localSheetId="23">'[4]AVI-JV-PROFORMA'!#REF!</definedName>
    <definedName name="Free" localSheetId="14">'[5]AVI-JV-PROFORMA'!#REF!</definedName>
    <definedName name="Free">'[5]AVI-JV-PROFORMA'!#REF!</definedName>
    <definedName name="freee" localSheetId="13">'[8]AVI-JV-PROFORMA'!#REF!</definedName>
    <definedName name="freee" localSheetId="15">'[8]AVI-JV-PROFORMA'!#REF!</definedName>
    <definedName name="freee" localSheetId="11">'[8]AVI-JV-PROFORMA'!#REF!</definedName>
    <definedName name="freee" localSheetId="5">'[8]AVI-JV-PROFORMA'!#REF!</definedName>
    <definedName name="freee" localSheetId="12">'[8]AVI-JV-PROFORMA'!#REF!</definedName>
    <definedName name="freee" localSheetId="14">'[8]AVI-JV-PROFORMA'!#REF!</definedName>
    <definedName name="freee">'[8]AVI-JV-PROFORMA'!#REF!</definedName>
    <definedName name="FULL" localSheetId="13">#REF!</definedName>
    <definedName name="FULL" localSheetId="15">#REF!</definedName>
    <definedName name="FULL" localSheetId="11">#REF!</definedName>
    <definedName name="FULL" localSheetId="5">#REF!</definedName>
    <definedName name="FULL" localSheetId="12">#REF!</definedName>
    <definedName name="FULL" localSheetId="14">#REF!</definedName>
    <definedName name="FULL">#REF!</definedName>
    <definedName name="FUNDING_COST1" localSheetId="13">#REF!</definedName>
    <definedName name="FUNDING_COST1" localSheetId="15">#REF!</definedName>
    <definedName name="FUNDING_COST1" localSheetId="11">#REF!</definedName>
    <definedName name="FUNDING_COST1" localSheetId="5">#REF!</definedName>
    <definedName name="FUNDING_COST1" localSheetId="12">#REF!</definedName>
    <definedName name="FUNDING_COST1" localSheetId="14">#REF!</definedName>
    <definedName name="FUNDING_COST1">#REF!</definedName>
    <definedName name="FUNDING_COST2" localSheetId="13">#REF!</definedName>
    <definedName name="FUNDING_COST2" localSheetId="15">#REF!</definedName>
    <definedName name="FUNDING_COST2" localSheetId="11">#REF!</definedName>
    <definedName name="FUNDING_COST2" localSheetId="5">#REF!</definedName>
    <definedName name="FUNDING_COST2" localSheetId="12">#REF!</definedName>
    <definedName name="FUNDING_COST2" localSheetId="14">#REF!</definedName>
    <definedName name="FUNDING_COST2">#REF!</definedName>
    <definedName name="FUNDING_COST3">#REF!</definedName>
    <definedName name="FUNDING_COST4">#REF!</definedName>
    <definedName name="FUNDING_COST5">#REF!</definedName>
    <definedName name="FUNDING_COST6">#REF!</definedName>
    <definedName name="FX_GrossRev">#REF!</definedName>
    <definedName name="FX_NETREV">#REF!</definedName>
    <definedName name="g">#REF!</definedName>
    <definedName name="G0A_DS_80_FS_PEX__DISNEY">'[46]8TX95C'!#REF!</definedName>
    <definedName name="GardenGLA">#N/A</definedName>
    <definedName name="GD">#REF!</definedName>
    <definedName name="GDEQUITY">#REF!</definedName>
    <definedName name="GENERAL_MILLS">[27]FORCE!$A$13:$P$40</definedName>
    <definedName name="ghghg" localSheetId="13">#REF!</definedName>
    <definedName name="ghghg" localSheetId="15">#REF!</definedName>
    <definedName name="ghghg" localSheetId="11">#REF!</definedName>
    <definedName name="ghghg" localSheetId="5">#REF!</definedName>
    <definedName name="ghghg" localSheetId="12">#REF!</definedName>
    <definedName name="ghghg" localSheetId="14">#REF!</definedName>
    <definedName name="ghghg">#REF!</definedName>
    <definedName name="ghghgh" localSheetId="13">'[47]PR FUNDING'!#REF!</definedName>
    <definedName name="ghghgh" localSheetId="15">'[47]PR FUNDING'!#REF!</definedName>
    <definedName name="ghghgh" localSheetId="11">'[47]PR FUNDING'!#REF!</definedName>
    <definedName name="ghghgh" localSheetId="5">'[47]PR FUNDING'!#REF!</definedName>
    <definedName name="ghghgh" localSheetId="12">'[47]PR FUNDING'!#REF!</definedName>
    <definedName name="ghghgh" localSheetId="14">'[47]PR FUNDING'!#REF!</definedName>
    <definedName name="ghghgh">'[47]PR FUNDING'!#REF!</definedName>
    <definedName name="ghghghg" localSheetId="13">#REF!</definedName>
    <definedName name="ghghghg" localSheetId="15">#REF!</definedName>
    <definedName name="ghghghg" localSheetId="11">#REF!</definedName>
    <definedName name="ghghghg" localSheetId="5">#REF!</definedName>
    <definedName name="ghghghg" localSheetId="12">#REF!</definedName>
    <definedName name="ghghghg" localSheetId="14">#REF!</definedName>
    <definedName name="ghghghg">#REF!</definedName>
    <definedName name="gla">#N/A</definedName>
    <definedName name="GLA_1" localSheetId="13">#REF!</definedName>
    <definedName name="GLA_1" localSheetId="15">#REF!</definedName>
    <definedName name="GLA_1" localSheetId="11">#REF!</definedName>
    <definedName name="GLA_1" localSheetId="5">#REF!</definedName>
    <definedName name="GLA_1" localSheetId="12">#REF!</definedName>
    <definedName name="GLA_1" localSheetId="14">#REF!</definedName>
    <definedName name="GLA_1">#REF!</definedName>
    <definedName name="GLA_3" localSheetId="13">#REF!</definedName>
    <definedName name="GLA_3" localSheetId="15">#REF!</definedName>
    <definedName name="GLA_3" localSheetId="11">#REF!</definedName>
    <definedName name="GLA_3" localSheetId="5">#REF!</definedName>
    <definedName name="GLA_3" localSheetId="12">#REF!</definedName>
    <definedName name="GLA_3" localSheetId="14">#REF!</definedName>
    <definedName name="GLA_3">#REF!</definedName>
    <definedName name="GLA_3.15" localSheetId="13">#REF!</definedName>
    <definedName name="GLA_3.15" localSheetId="15">#REF!</definedName>
    <definedName name="GLA_3.15" localSheetId="11">#REF!</definedName>
    <definedName name="GLA_3.15" localSheetId="5">#REF!</definedName>
    <definedName name="GLA_3.15" localSheetId="12">#REF!</definedName>
    <definedName name="GLA_3.15" localSheetId="14">#REF!</definedName>
    <definedName name="GLA_3.15">#REF!</definedName>
    <definedName name="GOAEXT">#REF!</definedName>
    <definedName name="GOAPEX">#REF!</definedName>
    <definedName name="GoToMortgagorOtherFeeDesc" localSheetId="23">'[48]Gen Reqs Breakdown'!#REF!</definedName>
    <definedName name="GoToMortgagorOtherFeeDesc">'[49]Gen Reqs Breakdown'!#REF!</definedName>
    <definedName name="GPR" localSheetId="13">#REF!</definedName>
    <definedName name="GPR" localSheetId="15">#REF!</definedName>
    <definedName name="GPR" localSheetId="11">#REF!</definedName>
    <definedName name="GPR" localSheetId="5">#REF!</definedName>
    <definedName name="GPR" localSheetId="12">#REF!</definedName>
    <definedName name="GPR" localSheetId="14">#REF!</definedName>
    <definedName name="GPR">#REF!</definedName>
    <definedName name="Grade_1" localSheetId="13">#REF!</definedName>
    <definedName name="Grade_1" localSheetId="15">#REF!</definedName>
    <definedName name="Grade_1" localSheetId="11">#REF!</definedName>
    <definedName name="Grade_1" localSheetId="5">#REF!</definedName>
    <definedName name="Grade_1" localSheetId="12">#REF!</definedName>
    <definedName name="Grade_1" localSheetId="14">#REF!</definedName>
    <definedName name="Grade_1">#REF!</definedName>
    <definedName name="Grade_2" localSheetId="13">#REF!</definedName>
    <definedName name="Grade_2" localSheetId="15">#REF!</definedName>
    <definedName name="Grade_2" localSheetId="11">#REF!</definedName>
    <definedName name="Grade_2" localSheetId="5">#REF!</definedName>
    <definedName name="Grade_2" localSheetId="12">#REF!</definedName>
    <definedName name="Grade_2" localSheetId="14">#REF!</definedName>
    <definedName name="Grade_2">#REF!</definedName>
    <definedName name="Grade_3">#REF!</definedName>
    <definedName name="Grade_4">#REF!</definedName>
    <definedName name="Grade_5">#REF!</definedName>
    <definedName name="Grade_6">#REF!</definedName>
    <definedName name="grade_attribute_exception">#REF!</definedName>
    <definedName name="Grade_lookup">#REF!</definedName>
    <definedName name="grade3_criteria">#REF!</definedName>
    <definedName name="gross">#REF!</definedName>
    <definedName name="GROSS_LEASABLE_AREA">#REF!</definedName>
    <definedName name="grossrate_bond">#REF!</definedName>
    <definedName name="GROSSYLD">#REF!</definedName>
    <definedName name="GRRATE">#REF!</definedName>
    <definedName name="GSP">#REF!</definedName>
    <definedName name="guar">#REF!</definedName>
    <definedName name="hangout">#REF!</definedName>
    <definedName name="hd">#REF!</definedName>
    <definedName name="HEALTH">#REF!</definedName>
    <definedName name="health1">#REF!</definedName>
    <definedName name="Healthcare">#REF!</definedName>
    <definedName name="hgdhd">'[47]PR FUNDING'!#REF!</definedName>
    <definedName name="hgfhgdh" localSheetId="13">#REF!</definedName>
    <definedName name="hgfhgdh" localSheetId="15">#REF!</definedName>
    <definedName name="hgfhgdh" localSheetId="11">#REF!</definedName>
    <definedName name="hgfhgdh" localSheetId="5">#REF!</definedName>
    <definedName name="hgfhgdh" localSheetId="12">#REF!</definedName>
    <definedName name="hgfhgdh" localSheetId="14">#REF!</definedName>
    <definedName name="hgfhgdh">#REF!</definedName>
    <definedName name="hghghgfh">[14]A!$A$1:$Q$36</definedName>
    <definedName name="hghh" localSheetId="13">#REF!</definedName>
    <definedName name="hghh" localSheetId="15">#REF!</definedName>
    <definedName name="hghh" localSheetId="11">#REF!</definedName>
    <definedName name="hghh" localSheetId="5">#REF!</definedName>
    <definedName name="hghh" localSheetId="12">#REF!</definedName>
    <definedName name="hghh" localSheetId="14">#REF!</definedName>
    <definedName name="hghh">#REF!</definedName>
    <definedName name="HIS" localSheetId="13">[50]Underwriting!#REF!</definedName>
    <definedName name="HIS" localSheetId="15">[50]Underwriting!#REF!</definedName>
    <definedName name="HIS" localSheetId="11">[50]Underwriting!#REF!</definedName>
    <definedName name="HIS" localSheetId="5">[50]Underwriting!#REF!</definedName>
    <definedName name="HIS" localSheetId="12">[50]Underwriting!#REF!</definedName>
    <definedName name="HIS" localSheetId="14">[50]Underwriting!#REF!</definedName>
    <definedName name="HIS">[50]Underwriting!#REF!</definedName>
    <definedName name="historicalyear1occupancy" localSheetId="13">[51]Underwriting!#REF!</definedName>
    <definedName name="historicalyear1occupancy" localSheetId="15">[51]Underwriting!#REF!</definedName>
    <definedName name="historicalyear1occupancy" localSheetId="11">[51]Underwriting!#REF!</definedName>
    <definedName name="historicalyear1occupancy" localSheetId="5">[51]Underwriting!#REF!</definedName>
    <definedName name="historicalyear1occupancy" localSheetId="12">[51]Underwriting!#REF!</definedName>
    <definedName name="historicalyear1occupancy" localSheetId="14">[51]Underwriting!#REF!</definedName>
    <definedName name="historicalyear1occupancy">[51]Underwriting!#REF!</definedName>
    <definedName name="historicalyear2occupancy">[51]Underwriting!#REF!</definedName>
    <definedName name="historicalyear3">[51]Underwriting!#REF!</definedName>
    <definedName name="historicalyear3dscr">[51]Underwriting!$I$43</definedName>
    <definedName name="historicalyear3occupancy">[51]Underwriting!#REF!</definedName>
    <definedName name="hj" localSheetId="13">#REF!</definedName>
    <definedName name="hj" localSheetId="15">#REF!</definedName>
    <definedName name="hj" localSheetId="11">#REF!</definedName>
    <definedName name="hj" localSheetId="5">#REF!</definedName>
    <definedName name="hj" localSheetId="12">#REF!</definedName>
    <definedName name="hj" localSheetId="14">#REF!</definedName>
    <definedName name="hj">#REF!</definedName>
    <definedName name="hjghjh">[14]A!$A$85:$Q$130</definedName>
    <definedName name="HUD_Project_Number" localSheetId="2">[52]Checklist!$C$28</definedName>
    <definedName name="HUD_Project_Number">[53]Checklist!$C$28</definedName>
    <definedName name="IAP" localSheetId="13">#REF!</definedName>
    <definedName name="IAP" localSheetId="15">#REF!</definedName>
    <definedName name="IAP" localSheetId="11">#REF!</definedName>
    <definedName name="IAP" localSheetId="5">#REF!</definedName>
    <definedName name="IAP" localSheetId="12">#REF!</definedName>
    <definedName name="IAP" localSheetId="14">#REF!</definedName>
    <definedName name="IAP">#REF!</definedName>
    <definedName name="ICDCPriceAmount" localSheetId="13">[6]Assumptions!#REF!</definedName>
    <definedName name="ICDCPriceAmount" localSheetId="15">[6]Assumptions!#REF!</definedName>
    <definedName name="ICDCPriceAmount" localSheetId="11">[6]Assumptions!#REF!</definedName>
    <definedName name="ICDCPriceAmount" localSheetId="5">[6]Assumptions!#REF!</definedName>
    <definedName name="ICDCPriceAmount" localSheetId="12">[6]Assumptions!#REF!</definedName>
    <definedName name="ICDCPriceAmount" localSheetId="23">[7]Assumptions!#REF!</definedName>
    <definedName name="ICDCPriceAmount" localSheetId="14">[6]Assumptions!#REF!</definedName>
    <definedName name="ICDCPriceAmount">[6]Assumptions!#REF!</definedName>
    <definedName name="ID" localSheetId="13">#REF!</definedName>
    <definedName name="ID" localSheetId="15">#REF!</definedName>
    <definedName name="ID" localSheetId="11">#REF!</definedName>
    <definedName name="ID" localSheetId="5">#REF!</definedName>
    <definedName name="ID" localSheetId="12">#REF!</definedName>
    <definedName name="ID" localSheetId="14">#REF!</definedName>
    <definedName name="ID">#REF!</definedName>
    <definedName name="ID_BUILD" localSheetId="13">'[26]12_96 CAM'!#REF!</definedName>
    <definedName name="ID_BUILD" localSheetId="15">'[26]12_96 CAM'!#REF!</definedName>
    <definedName name="ID_BUILD" localSheetId="11">'[26]12_96 CAM'!#REF!</definedName>
    <definedName name="ID_BUILD" localSheetId="5">'[26]12_96 CAM'!#REF!</definedName>
    <definedName name="ID_BUILD" localSheetId="12">'[26]12_96 CAM'!#REF!</definedName>
    <definedName name="ID_BUILD" localSheetId="14">'[26]12_96 CAM'!#REF!</definedName>
    <definedName name="ID_BUILD">'[26]12_96 CAM'!#REF!</definedName>
    <definedName name="IL_SQ" localSheetId="13">'[26]12_96 CAM'!#REF!</definedName>
    <definedName name="IL_SQ" localSheetId="15">'[26]12_96 CAM'!#REF!</definedName>
    <definedName name="IL_SQ" localSheetId="11">'[26]12_96 CAM'!#REF!</definedName>
    <definedName name="IL_SQ" localSheetId="5">'[26]12_96 CAM'!#REF!</definedName>
    <definedName name="IL_SQ" localSheetId="12">'[26]12_96 CAM'!#REF!</definedName>
    <definedName name="IL_SQ" localSheetId="14">'[26]12_96 CAM'!#REF!</definedName>
    <definedName name="IL_SQ">'[26]12_96 CAM'!#REF!</definedName>
    <definedName name="In_place_GPR" localSheetId="13">#REF!</definedName>
    <definedName name="In_place_GPR" localSheetId="15">#REF!</definedName>
    <definedName name="In_place_GPR" localSheetId="11">#REF!</definedName>
    <definedName name="In_place_GPR" localSheetId="5">#REF!</definedName>
    <definedName name="In_place_GPR" localSheetId="12">#REF!</definedName>
    <definedName name="In_place_GPR" localSheetId="14">#REF!</definedName>
    <definedName name="In_place_GPR">#REF!</definedName>
    <definedName name="Inbedded_fee_for_yield" localSheetId="13">#REF!</definedName>
    <definedName name="Inbedded_fee_for_yield" localSheetId="15">#REF!</definedName>
    <definedName name="Inbedded_fee_for_yield" localSheetId="11">#REF!</definedName>
    <definedName name="Inbedded_fee_for_yield" localSheetId="5">#REF!</definedName>
    <definedName name="Inbedded_fee_for_yield" localSheetId="12">#REF!</definedName>
    <definedName name="Inbedded_fee_for_yield" localSheetId="14">#REF!</definedName>
    <definedName name="Inbedded_fee_for_yield">#REF!</definedName>
    <definedName name="Inbedded_fee_grossyield" localSheetId="13">#REF!</definedName>
    <definedName name="Inbedded_fee_grossyield" localSheetId="15">#REF!</definedName>
    <definedName name="Inbedded_fee_grossyield" localSheetId="11">#REF!</definedName>
    <definedName name="Inbedded_fee_grossyield" localSheetId="5">#REF!</definedName>
    <definedName name="Inbedded_fee_grossyield" localSheetId="12">#REF!</definedName>
    <definedName name="Inbedded_fee_grossyield" localSheetId="14">#REF!</definedName>
    <definedName name="Inbedded_fee_grossyield">#REF!</definedName>
    <definedName name="IncomeStmtSummaryPrint">#REF!</definedName>
    <definedName name="INCREADIBLE">[27]INCREDBL!$A$13:$P$41</definedName>
    <definedName name="Increase_Commit_1" localSheetId="13">#REF!</definedName>
    <definedName name="Increase_Commit_1" localSheetId="15">#REF!</definedName>
    <definedName name="Increase_Commit_1" localSheetId="11">#REF!</definedName>
    <definedName name="Increase_Commit_1" localSheetId="5">#REF!</definedName>
    <definedName name="Increase_Commit_1" localSheetId="12">#REF!</definedName>
    <definedName name="Increase_Commit_1" localSheetId="14">#REF!</definedName>
    <definedName name="Increase_Commit_1">#REF!</definedName>
    <definedName name="Increase_Commit_2" localSheetId="13">#REF!</definedName>
    <definedName name="Increase_Commit_2" localSheetId="15">#REF!</definedName>
    <definedName name="Increase_Commit_2" localSheetId="11">#REF!</definedName>
    <definedName name="Increase_Commit_2" localSheetId="5">#REF!</definedName>
    <definedName name="Increase_Commit_2" localSheetId="12">#REF!</definedName>
    <definedName name="Increase_Commit_2" localSheetId="14">#REF!</definedName>
    <definedName name="Increase_Commit_2">#REF!</definedName>
    <definedName name="Increase_Commit_3" localSheetId="13">#REF!</definedName>
    <definedName name="Increase_Commit_3" localSheetId="15">#REF!</definedName>
    <definedName name="Increase_Commit_3" localSheetId="11">#REF!</definedName>
    <definedName name="Increase_Commit_3" localSheetId="5">#REF!</definedName>
    <definedName name="Increase_Commit_3" localSheetId="12">#REF!</definedName>
    <definedName name="Increase_Commit_3" localSheetId="14">#REF!</definedName>
    <definedName name="Increase_Commit_3">#REF!</definedName>
    <definedName name="Increase_Commit_4">#REF!</definedName>
    <definedName name="Increase_Commit_5">#REF!</definedName>
    <definedName name="Increase_Commit_6">#REF!</definedName>
    <definedName name="Index_1">#REF!</definedName>
    <definedName name="Index_2">#REF!</definedName>
    <definedName name="Index_3">#REF!</definedName>
    <definedName name="Index_4">#REF!</definedName>
    <definedName name="Index_5">#REF!</definedName>
    <definedName name="Index_6">#REF!</definedName>
    <definedName name="Index_Range">#REF!</definedName>
    <definedName name="inflation1" localSheetId="23">[19]Assumptions!$C$73</definedName>
    <definedName name="inflation1">[22]Assumptions!$C$73</definedName>
    <definedName name="inflation2" localSheetId="23">[19]Assumptions!$D$73</definedName>
    <definedName name="inflation2">[22]Assumptions!$D$73</definedName>
    <definedName name="inflation3" localSheetId="23">[19]Assumptions!$E$73</definedName>
    <definedName name="inflation3">[22]Assumptions!$E$73</definedName>
    <definedName name="INFORMIX">[27]INFORMIX!$A$13:$Q$47</definedName>
    <definedName name="INPUT" localSheetId="13">#REF!</definedName>
    <definedName name="INPUT" localSheetId="15">#REF!</definedName>
    <definedName name="INPUT" localSheetId="11">#REF!</definedName>
    <definedName name="INPUT" localSheetId="5">#REF!</definedName>
    <definedName name="INPUT" localSheetId="12">#REF!</definedName>
    <definedName name="INPUT" localSheetId="14">#REF!</definedName>
    <definedName name="INPUT">#REF!</definedName>
    <definedName name="Input_backup">#REF!</definedName>
    <definedName name="Ins" localSheetId="13">#REF!</definedName>
    <definedName name="Ins" localSheetId="15">#REF!</definedName>
    <definedName name="Ins" localSheetId="11">#REF!</definedName>
    <definedName name="Ins" localSheetId="5">#REF!</definedName>
    <definedName name="Ins" localSheetId="12">#REF!</definedName>
    <definedName name="Ins" localSheetId="14">#REF!</definedName>
    <definedName name="Ins">#REF!</definedName>
    <definedName name="insclaims" localSheetId="13">[26]CAMINVBU!#REF!</definedName>
    <definedName name="insclaims" localSheetId="15">[26]CAMINVBU!#REF!</definedName>
    <definedName name="insclaims" localSheetId="11">[26]CAMINVBU!#REF!</definedName>
    <definedName name="insclaims" localSheetId="5">[26]CAMINVBU!#REF!</definedName>
    <definedName name="insclaims" localSheetId="12">[26]CAMINVBU!#REF!</definedName>
    <definedName name="insclaims" localSheetId="14">[26]CAMINVBU!#REF!</definedName>
    <definedName name="insclaims">[26]CAMINVBU!#REF!</definedName>
    <definedName name="INSCODE" localSheetId="13">#REF!</definedName>
    <definedName name="INSCODE" localSheetId="15">#REF!</definedName>
    <definedName name="INSCODE" localSheetId="11">#REF!</definedName>
    <definedName name="INSCODE" localSheetId="5">#REF!</definedName>
    <definedName name="INSCODE" localSheetId="12">#REF!</definedName>
    <definedName name="INSCODE" localSheetId="14">#REF!</definedName>
    <definedName name="INSCODE">#REF!</definedName>
    <definedName name="insurance" localSheetId="13">#REF!</definedName>
    <definedName name="insurance" localSheetId="15">#REF!</definedName>
    <definedName name="insurance" localSheetId="11">#REF!</definedName>
    <definedName name="insurance" localSheetId="5">#REF!</definedName>
    <definedName name="insurance" localSheetId="12">#REF!</definedName>
    <definedName name="insurance" localSheetId="14">#REF!</definedName>
    <definedName name="insurance">#REF!</definedName>
    <definedName name="Int_Pmt_Freq_Table" localSheetId="13">#REF!</definedName>
    <definedName name="Int_Pmt_Freq_Table" localSheetId="15">#REF!</definedName>
    <definedName name="Int_Pmt_Freq_Table" localSheetId="11">#REF!</definedName>
    <definedName name="Int_Pmt_Freq_Table" localSheetId="5">#REF!</definedName>
    <definedName name="Int_Pmt_Freq_Table" localSheetId="12">#REF!</definedName>
    <definedName name="Int_Pmt_Freq_Table" localSheetId="14">#REF!</definedName>
    <definedName name="Int_Pmt_Freq_Table">#REF!</definedName>
    <definedName name="Int_Rate" localSheetId="23">[29]Proforma!$G$30</definedName>
    <definedName name="Int_Rate">[18]Proforma!$G$30</definedName>
    <definedName name="IntBearingCkg" localSheetId="13">#REF!</definedName>
    <definedName name="IntBearingCkg" localSheetId="15">#REF!</definedName>
    <definedName name="IntBearingCkg" localSheetId="11">#REF!</definedName>
    <definedName name="IntBearingCkg" localSheetId="5">#REF!</definedName>
    <definedName name="IntBearingCkg" localSheetId="12">#REF!</definedName>
    <definedName name="IntBearingCkg" localSheetId="14">#REF!</definedName>
    <definedName name="IntBearingCkg">#REF!</definedName>
    <definedName name="Interest" localSheetId="13">IF(#REF!&lt;&gt;"",#REF!*'Another Uselss'!Periodic_rate,"")</definedName>
    <definedName name="Interest" localSheetId="15">IF(#REF!&lt;&gt;"",#REF!*'Another Uselss (2)'!Periodic_rate,"")</definedName>
    <definedName name="Interest" localSheetId="11">IF(#REF!&lt;&gt;"",#REF!*'Comparison to Other'!Periodic_rate,"")</definedName>
    <definedName name="Interest" localSheetId="5">IF(#REF!&lt;&gt;"",#REF!*'Comparison to Previous'!Periodic_rate,"")</definedName>
    <definedName name="Interest" localSheetId="12">IF(#REF!&lt;&gt;"",#REF!*'Comparison to Previous (2)'!Periodic_rate,"")</definedName>
    <definedName name="Interest" localSheetId="2">IF(#REF!&lt;&gt;"",#REF!*[0]!Periodic_rate,"")</definedName>
    <definedName name="Interest" localSheetId="23">IF(#REF!&lt;&gt;"",#REF!*Normalize!Periodic_rate,"")</definedName>
    <definedName name="Interest" localSheetId="14">IF(#REF!&lt;&gt;"",#REF!*'Useless Breakdown'!Periodic_rate,"")</definedName>
    <definedName name="Interest">IF(#REF!&lt;&gt;"",#REF!*[10]!Periodic_rate,"")</definedName>
    <definedName name="Interest_Freq_Factor_1" localSheetId="13">#REF!</definedName>
    <definedName name="Interest_Freq_Factor_1" localSheetId="15">#REF!</definedName>
    <definedName name="Interest_Freq_Factor_1" localSheetId="11">#REF!</definedName>
    <definedName name="Interest_Freq_Factor_1" localSheetId="5">#REF!</definedName>
    <definedName name="Interest_Freq_Factor_1" localSheetId="12">#REF!</definedName>
    <definedName name="Interest_Freq_Factor_1" localSheetId="14">#REF!</definedName>
    <definedName name="Interest_Freq_Factor_1">#REF!</definedName>
    <definedName name="Interest_Freq_Factor_2" localSheetId="13">#REF!</definedName>
    <definedName name="Interest_Freq_Factor_2" localSheetId="15">#REF!</definedName>
    <definedName name="Interest_Freq_Factor_2" localSheetId="11">#REF!</definedName>
    <definedName name="Interest_Freq_Factor_2" localSheetId="5">#REF!</definedName>
    <definedName name="Interest_Freq_Factor_2" localSheetId="12">#REF!</definedName>
    <definedName name="Interest_Freq_Factor_2" localSheetId="14">#REF!</definedName>
    <definedName name="Interest_Freq_Factor_2">#REF!</definedName>
    <definedName name="Interest_Freq_Factor_3">#REF!</definedName>
    <definedName name="Interest_Freq_Factor_4">#REF!</definedName>
    <definedName name="Interest_Freq_Factor_5">#REF!</definedName>
    <definedName name="Interest_Freq_Factor_6">#REF!</definedName>
    <definedName name="Interest_Only_Table">#REF!</definedName>
    <definedName name="Interest_Payment_Freq_1">#REF!</definedName>
    <definedName name="Interest_Payment_Freq_2">#REF!</definedName>
    <definedName name="Interest_Payment_Freq_3">#REF!</definedName>
    <definedName name="Interest_Payment_Freq_4">#REF!</definedName>
    <definedName name="Interest_Payment_Freq_5">#REF!</definedName>
    <definedName name="Interest_Payment_Freq_6">#REF!</definedName>
    <definedName name="Interest_Type">#REF!</definedName>
    <definedName name="Interest_type_1">#REF!</definedName>
    <definedName name="Interest_type_2">#REF!</definedName>
    <definedName name="Interest_type_3">#REF!</definedName>
    <definedName name="Interest_type_4">#REF!</definedName>
    <definedName name="Interest_type_5">#REF!</definedName>
    <definedName name="Interest_Type_6">#REF!</definedName>
    <definedName name="InterestMarginChange_1">#REF!</definedName>
    <definedName name="InterestMarginChange_2">#REF!</definedName>
    <definedName name="InterestMarginChange_3">#REF!</definedName>
    <definedName name="InterestMarginChange_4">#REF!</definedName>
    <definedName name="InterestMarginChange_5">#REF!</definedName>
    <definedName name="InterestMarginChange_6">#REF!</definedName>
    <definedName name="InterestRate" localSheetId="23">[19]Assumptions!$G$132</definedName>
    <definedName name="InterestRate">[22]Assumptions!$G$132</definedName>
    <definedName name="internalcounsel" localSheetId="13">#REF!</definedName>
    <definedName name="internalcounsel" localSheetId="15">#REF!</definedName>
    <definedName name="internalcounsel" localSheetId="11">#REF!</definedName>
    <definedName name="internalcounsel" localSheetId="5">#REF!</definedName>
    <definedName name="internalcounsel" localSheetId="12">#REF!</definedName>
    <definedName name="internalcounsel" localSheetId="14">#REF!</definedName>
    <definedName name="internalcounsel">#REF!</definedName>
    <definedName name="International" localSheetId="13">#REF!</definedName>
    <definedName name="International" localSheetId="15">#REF!</definedName>
    <definedName name="International" localSheetId="11">#REF!</definedName>
    <definedName name="International" localSheetId="5">#REF!</definedName>
    <definedName name="International" localSheetId="12">#REF!</definedName>
    <definedName name="International" localSheetId="14">#REF!</definedName>
    <definedName name="International">#REF!</definedName>
    <definedName name="International_GrossRev" localSheetId="13">#REF!</definedName>
    <definedName name="International_GrossRev" localSheetId="15">#REF!</definedName>
    <definedName name="International_GrossRev" localSheetId="11">#REF!</definedName>
    <definedName name="International_GrossRev" localSheetId="5">#REF!</definedName>
    <definedName name="International_GrossRev" localSheetId="12">#REF!</definedName>
    <definedName name="International_GrossRev" localSheetId="14">#REF!</definedName>
    <definedName name="International_GrossRev">#REF!</definedName>
    <definedName name="INTERPOLATED_TBillindex">#REF!</definedName>
    <definedName name="INTL_NETREV">#REF!</definedName>
    <definedName name="INTonlydebtserv">#REF!</definedName>
    <definedName name="INTPMTS">#REF!</definedName>
    <definedName name="IntroPrintArea" hidden="1">#REF!</definedName>
    <definedName name="investment_type">#REF!</definedName>
    <definedName name="InvestmentMgt_Gross">#REF!</definedName>
    <definedName name="InvestmentNumber">#REF!</definedName>
    <definedName name="InvestorName1">#REF!</definedName>
    <definedName name="InvestorName2">#REF!</definedName>
    <definedName name="InvestorName3">#REF!</definedName>
    <definedName name="InvestorName4">#REF!</definedName>
    <definedName name="InvestorName5">#REF!</definedName>
    <definedName name="Invoice">#REF!</definedName>
    <definedName name="IO_rate">[54]Inputs!$F$16</definedName>
    <definedName name="IPLICO_account1" localSheetId="13">#REF!</definedName>
    <definedName name="IPLICO_account1" localSheetId="15">#REF!</definedName>
    <definedName name="IPLICO_account1" localSheetId="11">#REF!</definedName>
    <definedName name="IPLICO_account1" localSheetId="5">#REF!</definedName>
    <definedName name="IPLICO_account1" localSheetId="12">#REF!</definedName>
    <definedName name="IPLICO_account1" localSheetId="14">#REF!</definedName>
    <definedName name="IPLICO_account1">#REF!</definedName>
    <definedName name="IPLICO_loanamt1" localSheetId="13">#REF!</definedName>
    <definedName name="IPLICO_loanamt1" localSheetId="15">#REF!</definedName>
    <definedName name="IPLICO_loanamt1" localSheetId="11">#REF!</definedName>
    <definedName name="IPLICO_loanamt1" localSheetId="5">#REF!</definedName>
    <definedName name="IPLICO_loanamt1" localSheetId="12">#REF!</definedName>
    <definedName name="IPLICO_loanamt1" localSheetId="14">#REF!</definedName>
    <definedName name="IPLICO_loanamt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R_Commit_amount_1">#REF!</definedName>
    <definedName name="IR_Commit_amount_2">#REF!</definedName>
    <definedName name="IR_Commit_amount_3">#REF!</definedName>
    <definedName name="IR_Commit_amount_4">#REF!</definedName>
    <definedName name="IR_Commit_amount_5">#REF!</definedName>
    <definedName name="IR_Commit_amount_6">#REF!</definedName>
    <definedName name="IR_Equity_1">#REF!</definedName>
    <definedName name="IR_Equity_2">#REF!</definedName>
    <definedName name="IR_Equity_3">#REF!</definedName>
    <definedName name="IR_Equity_4">#REF!</definedName>
    <definedName name="IR_Equity_5">#REF!</definedName>
    <definedName name="IR_Equity_6">#REF!</definedName>
    <definedName name="IRR_Analysis">#REF!</definedName>
    <definedName name="IrrCalcFields" localSheetId="23">[7]Assumptions!$F$192,[7]Assumptions!$F$194,[7]Assumptions!$F$196,[7]Assumptions!$F$198,[7]Assumptions!$F$200</definedName>
    <definedName name="IrrCalcFields">[6]Assumptions!$F$192,[6]Assumptions!$F$194,[6]Assumptions!$F$196,[6]Assumptions!$F$198,[6]Assumptions!$F$200</definedName>
    <definedName name="issuer" localSheetId="13">#REF!</definedName>
    <definedName name="issuer" localSheetId="15">#REF!</definedName>
    <definedName name="issuer" localSheetId="11">#REF!</definedName>
    <definedName name="issuer" localSheetId="5">#REF!</definedName>
    <definedName name="issuer" localSheetId="12">#REF!</definedName>
    <definedName name="issuer" localSheetId="14">#REF!</definedName>
    <definedName name="issuer">#REF!</definedName>
    <definedName name="JHRE_loanamt1" localSheetId="13">#REF!</definedName>
    <definedName name="JHRE_loanamt1" localSheetId="15">#REF!</definedName>
    <definedName name="JHRE_loanamt1" localSheetId="11">#REF!</definedName>
    <definedName name="JHRE_loanamt1" localSheetId="5">#REF!</definedName>
    <definedName name="JHRE_loanamt1" localSheetId="12">#REF!</definedName>
    <definedName name="JHRE_loanamt1" localSheetId="14">#REF!</definedName>
    <definedName name="JHRE_loanamt1">#REF!</definedName>
    <definedName name="jr6d" localSheetId="13" hidden="1">{"LCPR",#N/A,TRUE,"LC"}</definedName>
    <definedName name="jr6d" localSheetId="15" hidden="1">{"LCPR",#N/A,TRUE,"LC"}</definedName>
    <definedName name="jr6d" localSheetId="11" hidden="1">{"LCPR",#N/A,TRUE,"LC"}</definedName>
    <definedName name="jr6d" localSheetId="5" hidden="1">{"LCPR",#N/A,TRUE,"LC"}</definedName>
    <definedName name="jr6d" localSheetId="12" hidden="1">{"LCPR",#N/A,TRUE,"LC"}</definedName>
    <definedName name="jr6d" localSheetId="2" hidden="1">{"LCPR",#N/A,TRUE,"LC"}</definedName>
    <definedName name="jr6d" localSheetId="6" hidden="1">{"LCPR",#N/A,TRUE,"LC"}</definedName>
    <definedName name="jr6d" localSheetId="23" hidden="1">{"LCPR",#N/A,TRUE,"LC"}</definedName>
    <definedName name="jr6d" localSheetId="14" hidden="1">{"LCPR",#N/A,TRUE,"LC"}</definedName>
    <definedName name="jr6d" hidden="1">{"LCPR",#N/A,TRUE,"LC"}</definedName>
    <definedName name="KEY_EQUIVALENT_GRADE">#REF!</definedName>
    <definedName name="Key_Global_Fin">#REF!</definedName>
    <definedName name="KeyCapitalPartners_GrossRev">#REF!</definedName>
    <definedName name="KeyGlobalFinance_GrossRev">#REF!</definedName>
    <definedName name="KeyInsurance_GrossRev">#REF!</definedName>
    <definedName name="klk">#REF!</definedName>
    <definedName name="KNUTSON">#REF!</definedName>
    <definedName name="LA_1">#REF!</definedName>
    <definedName name="LA_2">#REF!</definedName>
    <definedName name="LA_3">#REF!</definedName>
    <definedName name="LA_4">#REF!</definedName>
    <definedName name="LA_5">#REF!</definedName>
    <definedName name="LA_6">#REF!</definedName>
    <definedName name="LA_7">#REF!</definedName>
    <definedName name="lagdays">#REF!</definedName>
    <definedName name="LAND">#REF!</definedName>
    <definedName name="LandBasisManualOverride" localSheetId="23">[16]Assumptions!#REF!</definedName>
    <definedName name="LandBasisManualOverride">[15]Assumptions!#REF!</definedName>
    <definedName name="landcostperacre" localSheetId="13">#REF!</definedName>
    <definedName name="landcostperacre" localSheetId="15">#REF!</definedName>
    <definedName name="landcostperacre" localSheetId="11">#REF!</definedName>
    <definedName name="landcostperacre" localSheetId="5">#REF!</definedName>
    <definedName name="landcostperacre" localSheetId="12">#REF!</definedName>
    <definedName name="landcostperacre" localSheetId="14">#REF!</definedName>
    <definedName name="landcostperacre">#REF!</definedName>
    <definedName name="landscape" localSheetId="13">[26]CAMINVBU!#REF!</definedName>
    <definedName name="landscape" localSheetId="15">[26]CAMINVBU!#REF!</definedName>
    <definedName name="landscape" localSheetId="11">[26]CAMINVBU!#REF!</definedName>
    <definedName name="landscape" localSheetId="5">[26]CAMINVBU!#REF!</definedName>
    <definedName name="landscape" localSheetId="12">[26]CAMINVBU!#REF!</definedName>
    <definedName name="landscape" localSheetId="14">[26]CAMINVBU!#REF!</definedName>
    <definedName name="landscape">[26]CAMINVBU!#REF!</definedName>
    <definedName name="LargeCorp" localSheetId="13">#REF!</definedName>
    <definedName name="LargeCorp" localSheetId="15">#REF!</definedName>
    <definedName name="LargeCorp" localSheetId="11">#REF!</definedName>
    <definedName name="LargeCorp" localSheetId="5">#REF!</definedName>
    <definedName name="LargeCorp" localSheetId="12">#REF!</definedName>
    <definedName name="LargeCorp" localSheetId="14">#REF!</definedName>
    <definedName name="LargeCorp">#REF!</definedName>
    <definedName name="LastApprovedGrade_1" localSheetId="13">#REF!</definedName>
    <definedName name="LastApprovedGrade_1" localSheetId="15">#REF!</definedName>
    <definedName name="LastApprovedGrade_1" localSheetId="11">#REF!</definedName>
    <definedName name="LastApprovedGrade_1" localSheetId="5">#REF!</definedName>
    <definedName name="LastApprovedGrade_1" localSheetId="12">#REF!</definedName>
    <definedName name="LastApprovedGrade_1" localSheetId="14">#REF!</definedName>
    <definedName name="LastApprovedGrade_1">#REF!</definedName>
    <definedName name="LastApprovedGrade_2" localSheetId="13">#REF!</definedName>
    <definedName name="LastApprovedGrade_2" localSheetId="15">#REF!</definedName>
    <definedName name="LastApprovedGrade_2" localSheetId="11">#REF!</definedName>
    <definedName name="LastApprovedGrade_2" localSheetId="5">#REF!</definedName>
    <definedName name="LastApprovedGrade_2" localSheetId="12">#REF!</definedName>
    <definedName name="LastApprovedGrade_2" localSheetId="14">#REF!</definedName>
    <definedName name="LastApprovedGrade_2">#REF!</definedName>
    <definedName name="LastApprovedGrade_3">#REF!</definedName>
    <definedName name="LastApprovedGrade_4">#REF!</definedName>
    <definedName name="LastApprovedGrade_5">#REF!</definedName>
    <definedName name="LastApprovedGrade_6">#REF!</definedName>
    <definedName name="LastApprovedIndex_1">#REF!</definedName>
    <definedName name="LastApprovedIndex_2">#REF!</definedName>
    <definedName name="LastApprovedIndex_3">#REF!</definedName>
    <definedName name="LastApprovedIndex_4">#REF!</definedName>
    <definedName name="LastApprovedIndex_5">#REF!</definedName>
    <definedName name="LastApprovedIndex_6">#REF!</definedName>
    <definedName name="LastApprovedSpread_1">#REF!</definedName>
    <definedName name="LastApprovedSpread_2">#REF!</definedName>
    <definedName name="LastApprovedSpread_3">#REF!</definedName>
    <definedName name="LastApprovedSpread_4">#REF!</definedName>
    <definedName name="LastApprovedSpread_5">#REF!</definedName>
    <definedName name="LastApprovedSpread_6">#REF!</definedName>
    <definedName name="LC_PayInArrears_1">#REF!</definedName>
    <definedName name="LC_PayInArrears_2">#REF!</definedName>
    <definedName name="LC_PayInArrears_3">#REF!</definedName>
    <definedName name="LC_PayInArrears_4">#REF!</definedName>
    <definedName name="LC_PayInArrears_5">#REF!</definedName>
    <definedName name="LC_PayInArrears_6">#REF!</definedName>
    <definedName name="Leasing">#REF!</definedName>
    <definedName name="LeftBalance">#REF!</definedName>
    <definedName name="LeftBalanceQtr">#REF!</definedName>
    <definedName name="LeftBalanceYr">#REF!</definedName>
    <definedName name="LeftCashFlow">#REF!</definedName>
    <definedName name="LeftCashFlowQtr">#REF!</definedName>
    <definedName name="LeftCashFlowYr">#REF!</definedName>
    <definedName name="LeftPandL">#REF!</definedName>
    <definedName name="LeftPandLQtr">#REF!</definedName>
    <definedName name="LeftPandLYr">#REF!</definedName>
    <definedName name="Legal_1">#REF!</definedName>
    <definedName name="Legal_2">#REF!</definedName>
    <definedName name="Legal_3">#REF!</definedName>
    <definedName name="Legal_4">#REF!</definedName>
    <definedName name="Legal_5">#REF!</definedName>
    <definedName name="Legal_6">#REF!</definedName>
    <definedName name="Legal_Table">#REF!</definedName>
    <definedName name="Lender_JHLICO">#REF!</definedName>
    <definedName name="Lender_JHREF">#REF!</definedName>
    <definedName name="lender_vote">#REF!</definedName>
    <definedName name="LEONE">[27]LEONE!$A$13:$P$42</definedName>
    <definedName name="LeveredIRR" localSheetId="13">#REF!</definedName>
    <definedName name="LeveredIRR" localSheetId="15">#REF!</definedName>
    <definedName name="LeveredIRR" localSheetId="11">#REF!</definedName>
    <definedName name="LeveredIRR" localSheetId="5">#REF!</definedName>
    <definedName name="LeveredIRR" localSheetId="12">#REF!</definedName>
    <definedName name="LeveredIRR" localSheetId="14">#REF!</definedName>
    <definedName name="LeveredIRR">#REF!</definedName>
    <definedName name="LFBMonthlyEscalationFactor" localSheetId="13">[15]Assumptions!#REF!</definedName>
    <definedName name="LFBMonthlyEscalationFactor" localSheetId="15">[15]Assumptions!#REF!</definedName>
    <definedName name="LFBMonthlyEscalationFactor" localSheetId="11">[15]Assumptions!#REF!</definedName>
    <definedName name="LFBMonthlyEscalationFactor" localSheetId="5">[15]Assumptions!#REF!</definedName>
    <definedName name="LFBMonthlyEscalationFactor" localSheetId="12">[15]Assumptions!#REF!</definedName>
    <definedName name="LFBMonthlyEscalationFactor" localSheetId="23">[16]Assumptions!#REF!</definedName>
    <definedName name="LFBMonthlyEscalationFactor" localSheetId="14">[15]Assumptions!#REF!</definedName>
    <definedName name="LFBMonthlyEscalationFactor">[15]Assumptions!#REF!</definedName>
    <definedName name="LIBOR_PRIME_Rate" localSheetId="13">#REF!</definedName>
    <definedName name="LIBOR_PRIME_Rate" localSheetId="15">#REF!</definedName>
    <definedName name="LIBOR_PRIME_Rate" localSheetId="11">#REF!</definedName>
    <definedName name="LIBOR_PRIME_Rate" localSheetId="5">#REF!</definedName>
    <definedName name="LIBOR_PRIME_Rate" localSheetId="12">#REF!</definedName>
    <definedName name="LIBOR_PRIME_Rate" localSheetId="14">#REF!</definedName>
    <definedName name="LIBOR_PRIME_Rate">#REF!</definedName>
    <definedName name="Libor_PrimeMinus_Sprd1" localSheetId="13">#REF!</definedName>
    <definedName name="Libor_PrimeMinus_Sprd1" localSheetId="15">#REF!</definedName>
    <definedName name="Libor_PrimeMinus_Sprd1" localSheetId="11">#REF!</definedName>
    <definedName name="Libor_PrimeMinus_Sprd1" localSheetId="5">#REF!</definedName>
    <definedName name="Libor_PrimeMinus_Sprd1" localSheetId="12">#REF!</definedName>
    <definedName name="Libor_PrimeMinus_Sprd1" localSheetId="14">#REF!</definedName>
    <definedName name="Libor_PrimeMinus_Sprd1">#REF!</definedName>
    <definedName name="Libor_PrimeMinus_Sprd2" localSheetId="13">#REF!</definedName>
    <definedName name="Libor_PrimeMinus_Sprd2" localSheetId="15">#REF!</definedName>
    <definedName name="Libor_PrimeMinus_Sprd2" localSheetId="11">#REF!</definedName>
    <definedName name="Libor_PrimeMinus_Sprd2" localSheetId="5">#REF!</definedName>
    <definedName name="Libor_PrimeMinus_Sprd2" localSheetId="12">#REF!</definedName>
    <definedName name="Libor_PrimeMinus_Sprd2" localSheetId="14">#REF!</definedName>
    <definedName name="Libor_PrimeMinus_Sprd2">#REF!</definedName>
    <definedName name="Libor_PrimeMinus_Sprd3">#REF!</definedName>
    <definedName name="Libor_PrimeMinus_Sprd4">#REF!</definedName>
    <definedName name="Libor_PrimeMinus_Sprd5">#REF!</definedName>
    <definedName name="Libor_PrimeMinus_Sprd6">#REF!</definedName>
    <definedName name="LifeCoMonthlySpread">#REF!</definedName>
    <definedName name="LifeCoSASpread">#REF!</definedName>
    <definedName name="LifeCoSpread">#REF!</definedName>
    <definedName name="limited">#REF!</definedName>
    <definedName name="Liq_Adj_Table2001_1">#REF!</definedName>
    <definedName name="Liq_Adj_Table2001_2">#REF!</definedName>
    <definedName name="Liq_Adj_Table2001_3">#REF!</definedName>
    <definedName name="Liq_Adj_Table2001_4">#REF!</definedName>
    <definedName name="Liq_Adj_Table2001_5">#REF!</definedName>
    <definedName name="Liq_Adj_Table2001_6">#REF!</definedName>
    <definedName name="Liq_Premium_Adj1_Months2001">#REF!</definedName>
    <definedName name="Liq_Premium_Adj10_Months2001">#REF!</definedName>
    <definedName name="Liq_Premium_Adj2_months2001">#REF!</definedName>
    <definedName name="Liq_Premium_Adj3_months2001">#REF!</definedName>
    <definedName name="Liq_Premium_Adj5_months2001">#REF!</definedName>
    <definedName name="Liq_Premium_LIBOR_Months2001">#REF!</definedName>
    <definedName name="Liq_Premium_Prime_Months2001">#REF!</definedName>
    <definedName name="LiqMonth_adj_1">#REF!</definedName>
    <definedName name="LiqMonth_adj_2">#REF!</definedName>
    <definedName name="LiqMonth_adj_3">#REF!</definedName>
    <definedName name="LiqMonth_adj_4">#REF!</definedName>
    <definedName name="LiqMonth_adj_5">#REF!</definedName>
    <definedName name="LiqMonth_adj_6">#REF!</definedName>
    <definedName name="LiqPrem_Adj_1">#REF!</definedName>
    <definedName name="LiqPrem_Adj_2">#REF!</definedName>
    <definedName name="LiqPrem_Adj_3">#REF!</definedName>
    <definedName name="LiqPrem_Adj_4">#REF!</definedName>
    <definedName name="LiqPrem_Adj_5">#REF!</definedName>
    <definedName name="LiqPrem_Adj_6">#REF!</definedName>
    <definedName name="LiqPrem_LIBOR_1">#REF!</definedName>
    <definedName name="LiqPrem_LIBOR_2">#REF!</definedName>
    <definedName name="LiqPrem_LIBOR_3">#REF!</definedName>
    <definedName name="LiqPrem_LIBOR_4">#REF!</definedName>
    <definedName name="LiqPrem_LIBOR_5">#REF!</definedName>
    <definedName name="LiqPrem_LIBOR_6">#REF!</definedName>
    <definedName name="LiqPrem_Prime_1">#REF!</definedName>
    <definedName name="LiqPrem_Prime_2">#REF!</definedName>
    <definedName name="LiqPrem_Prime_3">#REF!</definedName>
    <definedName name="LiqPrem_Prime_4">#REF!</definedName>
    <definedName name="LiqPrem_Prime_5">#REF!</definedName>
    <definedName name="LiqPrem_Prime_6">#REF!</definedName>
    <definedName name="LiqTbl2000_Adj_1">#REF!</definedName>
    <definedName name="LiqTbl2000_Adj_2">#REF!</definedName>
    <definedName name="LiqTbl2000_Adj_3">#REF!</definedName>
    <definedName name="LiqTbl2000_Adj_4">#REF!</definedName>
    <definedName name="LiqTbl2000_Adj_5">#REF!</definedName>
    <definedName name="LiqTbl2000_Adj_6">#REF!</definedName>
    <definedName name="Liquidity_Adjustable_Table_1">#REF!</definedName>
    <definedName name="Liquidity_Adjustable_Table_2">#REF!</definedName>
    <definedName name="Liquidity_Adjustable_Table_3">#REF!</definedName>
    <definedName name="Liquidity_Adjustable_Table_4">#REF!</definedName>
    <definedName name="Liquidity_Adjustable_Table_5">#REF!</definedName>
    <definedName name="Liquidity_Adjustable_Table_6">#REF!</definedName>
    <definedName name="Liquidity_Charge_Table">#REF!</definedName>
    <definedName name="Liquidity_Credit_1">#REF!</definedName>
    <definedName name="Liquidity_Credit_2">#REF!</definedName>
    <definedName name="Liquidity_Credit_3">#REF!</definedName>
    <definedName name="Liquidity_Credit_4">#REF!</definedName>
    <definedName name="Liquidity_Credit_5">#REF!</definedName>
    <definedName name="Liquidity_Credit_6">#REF!</definedName>
    <definedName name="Liquidity_Credit_Table">#REF!</definedName>
    <definedName name="Liquidity_Error_1">#REF!</definedName>
    <definedName name="Liquidity_Error_2">#REF!</definedName>
    <definedName name="Liquidity_Error_3">#REF!</definedName>
    <definedName name="Liquidity_Error_4">#REF!</definedName>
    <definedName name="Liquidity_Error_5">#REF!</definedName>
    <definedName name="Liquidity_Error_6">#REF!</definedName>
    <definedName name="Liquidity_Libor_WAL">#REF!</definedName>
    <definedName name="Liquidity_Premium_1">#REF!</definedName>
    <definedName name="Liquidity_Premium_2">#REF!</definedName>
    <definedName name="Liquidity_Premium_3">#REF!</definedName>
    <definedName name="Liquidity_Premium_4">#REF!</definedName>
    <definedName name="Liquidity_Premium_5">#REF!</definedName>
    <definedName name="Liquidity_Premium_6">#REF!</definedName>
    <definedName name="Liquidity_Premium_Charge_1">#REF!</definedName>
    <definedName name="Liquidity_Premium_Charge_2">#REF!</definedName>
    <definedName name="Liquidity_Premium_Charge_3">#REF!</definedName>
    <definedName name="Liquidity_Premium_Charge_4">#REF!</definedName>
    <definedName name="Liquidity_Premium_Charge_5">#REF!</definedName>
    <definedName name="Liquidity_Premium_Charge_6">#REF!</definedName>
    <definedName name="Liquidity_Table_Adj1">#REF!</definedName>
    <definedName name="Liquidity_Table_Adj10">#REF!</definedName>
    <definedName name="Liquidity_Table_Adj2">#REF!</definedName>
    <definedName name="Liquidity_Table_Adj3">#REF!</definedName>
    <definedName name="Liquidity_Table_Adj5">#REF!</definedName>
    <definedName name="Liquidity_Table_LIBOR">#REF!</definedName>
    <definedName name="Liquidity_Table_PRIME">#REF!</definedName>
    <definedName name="Liquidity_Table2000">#REF!</definedName>
    <definedName name="Liquidity_Table2000_Adj1">#REF!</definedName>
    <definedName name="Liquidity_Table2000_Adj10">#REF!</definedName>
    <definedName name="Liquidity_Table2000_Adj2">#REF!</definedName>
    <definedName name="Liquidity_Table2000_Adj3">#REF!</definedName>
    <definedName name="Liquidity_Table2000_Adj5">#REF!</definedName>
    <definedName name="Liquidity_Table2000_LIBOR">#REF!</definedName>
    <definedName name="Liquidity_WAL_ADJ1">#REF!</definedName>
    <definedName name="Liquidity_WAL_Adj10">#REF!</definedName>
    <definedName name="Liquidity_WAL_Adj2">#REF!</definedName>
    <definedName name="Liquidity_WAL_Adj3">#REF!</definedName>
    <definedName name="Liquidity_WAL_Adj5">#REF!</definedName>
    <definedName name="Liquidity_WAL_LIBOR">#REF!</definedName>
    <definedName name="Liquidity_WAL_PRIME">#REF!</definedName>
    <definedName name="Liquidity_WAvgLife_1">#REF!</definedName>
    <definedName name="Liquidity_WAvgLife_2">#REF!</definedName>
    <definedName name="Liquidity_WAvgLife_3">#REF!</definedName>
    <definedName name="Liquidity_WAvgLife_4">#REF!</definedName>
    <definedName name="Liquidity_WAvgLife_5">#REF!</definedName>
    <definedName name="Liquidity_WAvgLife_6">#REF!</definedName>
    <definedName name="LiqWAL_Adj_1">#REF!</definedName>
    <definedName name="LiqWAL_Adj_2">#REF!</definedName>
    <definedName name="LiqWAL_Adj_3">#REF!</definedName>
    <definedName name="LiqWAL_Adj_4">#REF!</definedName>
    <definedName name="LiqWAL_Adj_5">#REF!</definedName>
    <definedName name="LiqWAL_Adj_6">#REF!</definedName>
    <definedName name="LIST">[55]TABLE!$A$2:$F$166</definedName>
    <definedName name="LLP_Deriv_1" localSheetId="13">#REF!</definedName>
    <definedName name="LLP_Deriv_1" localSheetId="15">#REF!</definedName>
    <definedName name="LLP_Deriv_1" localSheetId="11">#REF!</definedName>
    <definedName name="LLP_Deriv_1" localSheetId="5">#REF!</definedName>
    <definedName name="LLP_Deriv_1" localSheetId="12">#REF!</definedName>
    <definedName name="LLP_Deriv_1" localSheetId="14">#REF!</definedName>
    <definedName name="LLP_Deriv_1">#REF!</definedName>
    <definedName name="LLP_Deriv_2" localSheetId="13">#REF!</definedName>
    <definedName name="LLP_Deriv_2" localSheetId="15">#REF!</definedName>
    <definedName name="LLP_Deriv_2" localSheetId="11">#REF!</definedName>
    <definedName name="LLP_Deriv_2" localSheetId="5">#REF!</definedName>
    <definedName name="LLP_Deriv_2" localSheetId="12">#REF!</definedName>
    <definedName name="LLP_Deriv_2" localSheetId="14">#REF!</definedName>
    <definedName name="LLP_Deriv_2">#REF!</definedName>
    <definedName name="LLP_Deriv_3" localSheetId="13">#REF!</definedName>
    <definedName name="LLP_Deriv_3" localSheetId="15">#REF!</definedName>
    <definedName name="LLP_Deriv_3" localSheetId="11">#REF!</definedName>
    <definedName name="LLP_Deriv_3" localSheetId="5">#REF!</definedName>
    <definedName name="LLP_Deriv_3" localSheetId="12">#REF!</definedName>
    <definedName name="LLP_Deriv_3" localSheetId="14">#REF!</definedName>
    <definedName name="LLP_Deriv_3">#REF!</definedName>
    <definedName name="LLP_Deriv_4">#REF!</definedName>
    <definedName name="LLP_Deriv_5">#REF!</definedName>
    <definedName name="LLP_Deriv_6">#REF!</definedName>
    <definedName name="LLP_Grade">#REF!</definedName>
    <definedName name="LLP_Table">#REF!</definedName>
    <definedName name="loan">#REF!</definedName>
    <definedName name="Loan_Amort">[54]Inputs!#REF!</definedName>
    <definedName name="Loan_Amount" localSheetId="23">[29]Proforma!$G$24</definedName>
    <definedName name="Loan_Amount">[18]Proforma!$G$24</definedName>
    <definedName name="Loan_Analysis" localSheetId="13">#REF!</definedName>
    <definedName name="Loan_Analysis" localSheetId="15">#REF!</definedName>
    <definedName name="Loan_Analysis" localSheetId="11">#REF!</definedName>
    <definedName name="Loan_Analysis" localSheetId="5">#REF!</definedName>
    <definedName name="Loan_Analysis" localSheetId="12">#REF!</definedName>
    <definedName name="Loan_Analysis" localSheetId="14">#REF!</definedName>
    <definedName name="Loan_Analysis">#REF!</definedName>
    <definedName name="Loan_End">[56]Inputs!$F$26</definedName>
    <definedName name="Loan_Equivalent" localSheetId="13">#REF!</definedName>
    <definedName name="Loan_Equivalent" localSheetId="15">#REF!</definedName>
    <definedName name="Loan_Equivalent" localSheetId="11">#REF!</definedName>
    <definedName name="Loan_Equivalent" localSheetId="5">#REF!</definedName>
    <definedName name="Loan_Equivalent" localSheetId="12">#REF!</definedName>
    <definedName name="Loan_Equivalent" localSheetId="14">#REF!</definedName>
    <definedName name="Loan_Equivalent">#REF!</definedName>
    <definedName name="Loan_Term">[56]Inputs!$F$18</definedName>
    <definedName name="loan_terms_info_vote" localSheetId="13">#REF!</definedName>
    <definedName name="loan_terms_info_vote" localSheetId="15">#REF!</definedName>
    <definedName name="loan_terms_info_vote" localSheetId="11">#REF!</definedName>
    <definedName name="loan_terms_info_vote" localSheetId="5">#REF!</definedName>
    <definedName name="loan_terms_info_vote" localSheetId="12">#REF!</definedName>
    <definedName name="loan_terms_info_vote" localSheetId="14">#REF!</definedName>
    <definedName name="loan_terms_info_vote">#REF!</definedName>
    <definedName name="Loancommitmentreduction" localSheetId="13">[15]Assumptions!#REF!</definedName>
    <definedName name="Loancommitmentreduction" localSheetId="15">[15]Assumptions!#REF!</definedName>
    <definedName name="Loancommitmentreduction" localSheetId="11">[15]Assumptions!#REF!</definedName>
    <definedName name="Loancommitmentreduction" localSheetId="5">[15]Assumptions!#REF!</definedName>
    <definedName name="Loancommitmentreduction" localSheetId="12">[15]Assumptions!#REF!</definedName>
    <definedName name="Loancommitmentreduction" localSheetId="23">[16]Assumptions!#REF!</definedName>
    <definedName name="Loancommitmentreduction" localSheetId="14">[15]Assumptions!#REF!</definedName>
    <definedName name="Loancommitmentreduction">[15]Assumptions!#REF!</definedName>
    <definedName name="LoanFee" localSheetId="23">[19]Assumptions!$E$119</definedName>
    <definedName name="LoanFee">[22]Assumptions!$E$119</definedName>
    <definedName name="LoanLoss_1" localSheetId="13">#REF!</definedName>
    <definedName name="LoanLoss_1" localSheetId="15">#REF!</definedName>
    <definedName name="LoanLoss_1" localSheetId="11">#REF!</definedName>
    <definedName name="LoanLoss_1" localSheetId="5">#REF!</definedName>
    <definedName name="LoanLoss_1" localSheetId="12">#REF!</definedName>
    <definedName name="LoanLoss_1" localSheetId="14">#REF!</definedName>
    <definedName name="LoanLoss_1">#REF!</definedName>
    <definedName name="LoanLoss_2" localSheetId="13">#REF!</definedName>
    <definedName name="LoanLoss_2" localSheetId="15">#REF!</definedName>
    <definedName name="LoanLoss_2" localSheetId="11">#REF!</definedName>
    <definedName name="LoanLoss_2" localSheetId="5">#REF!</definedName>
    <definedName name="LoanLoss_2" localSheetId="12">#REF!</definedName>
    <definedName name="LoanLoss_2" localSheetId="14">#REF!</definedName>
    <definedName name="LoanLoss_2">#REF!</definedName>
    <definedName name="LoanLoss_3" localSheetId="13">#REF!</definedName>
    <definedName name="LoanLoss_3" localSheetId="15">#REF!</definedName>
    <definedName name="LoanLoss_3" localSheetId="11">#REF!</definedName>
    <definedName name="LoanLoss_3" localSheetId="5">#REF!</definedName>
    <definedName name="LoanLoss_3" localSheetId="12">#REF!</definedName>
    <definedName name="LoanLoss_3" localSheetId="14">#REF!</definedName>
    <definedName name="LoanLoss_3">#REF!</definedName>
    <definedName name="LoanLoss_4">#REF!</definedName>
    <definedName name="LoanLoss_5">#REF!</definedName>
    <definedName name="LoanLoss_6">#REF!</definedName>
    <definedName name="LoanLoss1thru6">#REF!</definedName>
    <definedName name="LoanRequest">[54]Inputs!$C$14</definedName>
    <definedName name="LoanToAssetRatio" localSheetId="23">[19]Assumptions!$E$118</definedName>
    <definedName name="LoanToAssetRatio">[20]Assumptions!$E$118</definedName>
    <definedName name="LOANTYPE_1" localSheetId="13">#REF!</definedName>
    <definedName name="LOANTYPE_1" localSheetId="15">#REF!</definedName>
    <definedName name="LOANTYPE_1" localSheetId="11">#REF!</definedName>
    <definedName name="LOANTYPE_1" localSheetId="5">#REF!</definedName>
    <definedName name="LOANTYPE_1" localSheetId="12">#REF!</definedName>
    <definedName name="LOANTYPE_1" localSheetId="14">#REF!</definedName>
    <definedName name="LOANTYPE_1">#REF!</definedName>
    <definedName name="LOANTYPE_2" localSheetId="13">#REF!</definedName>
    <definedName name="LOANTYPE_2" localSheetId="15">#REF!</definedName>
    <definedName name="LOANTYPE_2" localSheetId="11">#REF!</definedName>
    <definedName name="LOANTYPE_2" localSheetId="5">#REF!</definedName>
    <definedName name="LOANTYPE_2" localSheetId="12">#REF!</definedName>
    <definedName name="LOANTYPE_2" localSheetId="14">#REF!</definedName>
    <definedName name="LOANTYPE_2">#REF!</definedName>
    <definedName name="LOANTYPE_3" localSheetId="13">#REF!</definedName>
    <definedName name="LOANTYPE_3" localSheetId="15">#REF!</definedName>
    <definedName name="LOANTYPE_3" localSheetId="11">#REF!</definedName>
    <definedName name="LOANTYPE_3" localSheetId="5">#REF!</definedName>
    <definedName name="LOANTYPE_3" localSheetId="12">#REF!</definedName>
    <definedName name="LOANTYPE_3" localSheetId="14">#REF!</definedName>
    <definedName name="LOANTYPE_3">#REF!</definedName>
    <definedName name="LOANTYPE_4">#REF!</definedName>
    <definedName name="LOANTYPE_5">#REF!</definedName>
    <definedName name="LOANTYPE_6">#REF!</definedName>
    <definedName name="LOB">#REF!</definedName>
    <definedName name="LOB_Executive_Approval">#REF!</definedName>
    <definedName name="LOB_Lookup">#REF!</definedName>
    <definedName name="LOB_ROE_Table">#REF!</definedName>
    <definedName name="LOB_Table">#REF!</definedName>
    <definedName name="LOB_Target_Lookup">#REF!</definedName>
    <definedName name="location_description">#REF!</definedName>
    <definedName name="lockoutterm">#REF!</definedName>
    <definedName name="LongTermCostInflation" localSheetId="23">[16]Assumptions!#REF!</definedName>
    <definedName name="LongTermCostInflation">[15]Assumptions!#REF!</definedName>
    <definedName name="LongTermRevInflation" localSheetId="23">[16]Assumptions!#REF!</definedName>
    <definedName name="LongTermRevInflation">[15]Assumptions!#REF!</definedName>
    <definedName name="Look1Area" localSheetId="13">#REF!</definedName>
    <definedName name="Look1Area" localSheetId="15">#REF!</definedName>
    <definedName name="Look1Area" localSheetId="11">#REF!</definedName>
    <definedName name="Look1Area" localSheetId="5">#REF!</definedName>
    <definedName name="Look1Area" localSheetId="12">#REF!</definedName>
    <definedName name="Look1Area" localSheetId="14">#REF!</definedName>
    <definedName name="Look1Area">#REF!</definedName>
    <definedName name="Look2Area" localSheetId="13">#REF!</definedName>
    <definedName name="Look2Area" localSheetId="15">#REF!</definedName>
    <definedName name="Look2Area" localSheetId="11">#REF!</definedName>
    <definedName name="Look2Area" localSheetId="5">#REF!</definedName>
    <definedName name="Look2Area" localSheetId="12">#REF!</definedName>
    <definedName name="Look2Area" localSheetId="14">#REF!</definedName>
    <definedName name="Look2Area">#REF!</definedName>
    <definedName name="Look3Area" localSheetId="13">#REF!</definedName>
    <definedName name="Look3Area" localSheetId="15">#REF!</definedName>
    <definedName name="Look3Area" localSheetId="11">#REF!</definedName>
    <definedName name="Look3Area" localSheetId="5">#REF!</definedName>
    <definedName name="Look3Area" localSheetId="12">#REF!</definedName>
    <definedName name="Look3Area" localSheetId="14">#REF!</definedName>
    <definedName name="Look3Area">#REF!</definedName>
    <definedName name="Look4Area">#REF!</definedName>
    <definedName name="Look5Area">#REF!</definedName>
    <definedName name="lookumup">#REF!</definedName>
    <definedName name="lot_takedown">#REF!</definedName>
    <definedName name="LP_CAPITAL_ACCOUNT">#REF!</definedName>
    <definedName name="LP_INTEREST">#REF!</definedName>
    <definedName name="lsupexp">'[57]2005E Assumptions'!$D$82</definedName>
    <definedName name="LTV" localSheetId="23">[29]Proforma!$G$26</definedName>
    <definedName name="LTV">[18]Proforma!$G$26</definedName>
    <definedName name="ltva" localSheetId="13">#REF!</definedName>
    <definedName name="ltva" localSheetId="15">#REF!</definedName>
    <definedName name="ltva" localSheetId="11">#REF!</definedName>
    <definedName name="ltva" localSheetId="5">#REF!</definedName>
    <definedName name="ltva" localSheetId="12">#REF!</definedName>
    <definedName name="ltva" localSheetId="14">#REF!</definedName>
    <definedName name="ltva">#REF!</definedName>
    <definedName name="MacaulayDuration" localSheetId="13">#REF!</definedName>
    <definedName name="MacaulayDuration" localSheetId="15">#REF!</definedName>
    <definedName name="MacaulayDuration" localSheetId="11">#REF!</definedName>
    <definedName name="MacaulayDuration" localSheetId="5">#REF!</definedName>
    <definedName name="MacaulayDuration" localSheetId="12">#REF!</definedName>
    <definedName name="MacaulayDuration" localSheetId="14">#REF!</definedName>
    <definedName name="MacaulayDuration">#REF!</definedName>
    <definedName name="MAIER">[27]MAIRE!$A$13:$P$36</definedName>
    <definedName name="MAIN" localSheetId="13">#REF!</definedName>
    <definedName name="MAIN" localSheetId="15">#REF!</definedName>
    <definedName name="MAIN" localSheetId="11">#REF!</definedName>
    <definedName name="MAIN" localSheetId="5">#REF!</definedName>
    <definedName name="MAIN" localSheetId="12">#REF!</definedName>
    <definedName name="MAIN" localSheetId="14">#REF!</definedName>
    <definedName name="MAIN">#REF!</definedName>
    <definedName name="maintsal" localSheetId="13">[26]CAMINVBU!#REF!</definedName>
    <definedName name="maintsal" localSheetId="15">[26]CAMINVBU!#REF!</definedName>
    <definedName name="maintsal" localSheetId="11">[26]CAMINVBU!#REF!</definedName>
    <definedName name="maintsal" localSheetId="5">[26]CAMINVBU!#REF!</definedName>
    <definedName name="maintsal" localSheetId="12">[26]CAMINVBU!#REF!</definedName>
    <definedName name="maintsal" localSheetId="14">[26]CAMINVBU!#REF!</definedName>
    <definedName name="maintsal">[26]CAMINVBU!#REF!</definedName>
    <definedName name="MAINWARE">[27]MAINWR!$A$13:$Q$50</definedName>
    <definedName name="managementfee" localSheetId="23">[19]Assumptions!$C$76</definedName>
    <definedName name="managementfee">[22]Assumptions!$C$76</definedName>
    <definedName name="MARKET02" localSheetId="13">#REF!</definedName>
    <definedName name="MARKET02" localSheetId="15">#REF!</definedName>
    <definedName name="MARKET02" localSheetId="11">#REF!</definedName>
    <definedName name="MARKET02" localSheetId="5">#REF!</definedName>
    <definedName name="MARKET02" localSheetId="12">#REF!</definedName>
    <definedName name="MARKET02" localSheetId="14">#REF!</definedName>
    <definedName name="MARKET02">#REF!</definedName>
    <definedName name="MASTER">[27]MASTER!$A$13:$P$35</definedName>
    <definedName name="max" localSheetId="13">#REF!</definedName>
    <definedName name="max" localSheetId="15">#REF!</definedName>
    <definedName name="max" localSheetId="11">#REF!</definedName>
    <definedName name="max" localSheetId="5">#REF!</definedName>
    <definedName name="max" localSheetId="12">#REF!</definedName>
    <definedName name="max" localSheetId="14">#REF!</definedName>
    <definedName name="max">#REF!</definedName>
    <definedName name="MaximumLoanCommit" localSheetId="13">[15]Assumptions!#REF!</definedName>
    <definedName name="MaximumLoanCommit" localSheetId="15">[15]Assumptions!#REF!</definedName>
    <definedName name="MaximumLoanCommit" localSheetId="11">[15]Assumptions!#REF!</definedName>
    <definedName name="MaximumLoanCommit" localSheetId="5">[15]Assumptions!#REF!</definedName>
    <definedName name="MaximumLoanCommit" localSheetId="12">[15]Assumptions!#REF!</definedName>
    <definedName name="MaximumLoanCommit" localSheetId="23">[16]Assumptions!#REF!</definedName>
    <definedName name="MaximumLoanCommit" localSheetId="14">[15]Assumptions!#REF!</definedName>
    <definedName name="MaximumLoanCommit">[15]Assumptions!#REF!</definedName>
    <definedName name="mbia" localSheetId="13">#REF!</definedName>
    <definedName name="mbia" localSheetId="15">#REF!</definedName>
    <definedName name="mbia" localSheetId="11">#REF!</definedName>
    <definedName name="mbia" localSheetId="5">#REF!</definedName>
    <definedName name="mbia" localSheetId="12">#REF!</definedName>
    <definedName name="mbia" localSheetId="14">#REF!</definedName>
    <definedName name="mbia">#REF!</definedName>
    <definedName name="mcapped" localSheetId="13">#REF!</definedName>
    <definedName name="mcapped" localSheetId="15">#REF!</definedName>
    <definedName name="mcapped" localSheetId="11">#REF!</definedName>
    <definedName name="mcapped" localSheetId="5">#REF!</definedName>
    <definedName name="mcapped" localSheetId="12">#REF!</definedName>
    <definedName name="mcapped" localSheetId="14">#REF!</definedName>
    <definedName name="mcapped">#REF!</definedName>
    <definedName name="MCI" localSheetId="13">#REF!</definedName>
    <definedName name="MCI" localSheetId="15">#REF!</definedName>
    <definedName name="MCI" localSheetId="11">#REF!</definedName>
    <definedName name="MCI" localSheetId="5">#REF!</definedName>
    <definedName name="MCI" localSheetId="12">#REF!</definedName>
    <definedName name="MCI" localSheetId="14">#REF!</definedName>
    <definedName name="MCI">#REF!</definedName>
    <definedName name="Media">#REF!</definedName>
    <definedName name="Mel">#REF!</definedName>
    <definedName name="MEP_1">#REF!</definedName>
    <definedName name="MEP_2">#REF!</definedName>
    <definedName name="MEP_3">#REF!</definedName>
    <definedName name="MEP_4">#REF!</definedName>
    <definedName name="MEP_5">#REF!</definedName>
    <definedName name="MEP_6">#REF!</definedName>
    <definedName name="MEP_7">#REF!</definedName>
    <definedName name="MERCK">[27]MERCK!$A$13:$P$51</definedName>
    <definedName name="MERRY_EXP">'[26]12_96 CAM'!#REF!</definedName>
    <definedName name="MERRY_SQ">'[26]12_96 CAM'!#REF!</definedName>
    <definedName name="mgmt" localSheetId="13">#REF!</definedName>
    <definedName name="mgmt" localSheetId="15">#REF!</definedName>
    <definedName name="mgmt" localSheetId="11">#REF!</definedName>
    <definedName name="mgmt" localSheetId="5">#REF!</definedName>
    <definedName name="mgmt" localSheetId="12">#REF!</definedName>
    <definedName name="mgmt" localSheetId="14">#REF!</definedName>
    <definedName name="mgmt">#REF!</definedName>
    <definedName name="MGrossRent" localSheetId="13">'[58]Rent_Roll (Current)'!#REF!</definedName>
    <definedName name="MGrossRent" localSheetId="15">'[58]Rent_Roll (Current)'!#REF!</definedName>
    <definedName name="MGrossRent" localSheetId="11">'[58]Rent_Roll (Current)'!#REF!</definedName>
    <definedName name="MGrossRent" localSheetId="5">'[58]Rent_Roll (Current)'!#REF!</definedName>
    <definedName name="MGrossRent" localSheetId="12">'[58]Rent_Roll (Current)'!#REF!</definedName>
    <definedName name="MGrossRent" localSheetId="14">'[58]Rent_Roll (Current)'!#REF!</definedName>
    <definedName name="MGrossRent">'[58]Rent_Roll (Current)'!#REF!</definedName>
    <definedName name="MGrossRentIII" localSheetId="13">#REF!</definedName>
    <definedName name="MGrossRentIII" localSheetId="15">#REF!</definedName>
    <definedName name="MGrossRentIII" localSheetId="11">#REF!</definedName>
    <definedName name="MGrossRentIII" localSheetId="5">#REF!</definedName>
    <definedName name="MGrossRentIII" localSheetId="12">#REF!</definedName>
    <definedName name="MGrossRentIII" localSheetId="14">#REF!</definedName>
    <definedName name="MGrossRentIII">#REF!</definedName>
    <definedName name="MinusSpread_1" localSheetId="13">#REF!</definedName>
    <definedName name="MinusSpread_1" localSheetId="15">#REF!</definedName>
    <definedName name="MinusSpread_1" localSheetId="11">#REF!</definedName>
    <definedName name="MinusSpread_1" localSheetId="5">#REF!</definedName>
    <definedName name="MinusSpread_1" localSheetId="12">#REF!</definedName>
    <definedName name="MinusSpread_1" localSheetId="14">#REF!</definedName>
    <definedName name="MinusSpread_1">#REF!</definedName>
    <definedName name="misc">'[57]2005E Assumptions'!$D$9</definedName>
    <definedName name="mkt" localSheetId="13">#REF!</definedName>
    <definedName name="mkt" localSheetId="15">#REF!</definedName>
    <definedName name="mkt" localSheetId="11">#REF!</definedName>
    <definedName name="mkt" localSheetId="5">#REF!</definedName>
    <definedName name="mkt" localSheetId="12">#REF!</definedName>
    <definedName name="mkt" localSheetId="14">#REF!</definedName>
    <definedName name="mkt">#REF!</definedName>
    <definedName name="MKTG">#N/A</definedName>
    <definedName name="mktnoi" localSheetId="13">#REF!</definedName>
    <definedName name="mktnoi" localSheetId="15">#REF!</definedName>
    <definedName name="mktnoi" localSheetId="11">#REF!</definedName>
    <definedName name="mktnoi" localSheetId="5">#REF!</definedName>
    <definedName name="mktnoi" localSheetId="12">#REF!</definedName>
    <definedName name="mktnoi" localSheetId="14">#REF!</definedName>
    <definedName name="mktnoi">#REF!</definedName>
    <definedName name="mktrnt" localSheetId="13">#REF!</definedName>
    <definedName name="mktrnt" localSheetId="15">#REF!</definedName>
    <definedName name="mktrnt" localSheetId="11">#REF!</definedName>
    <definedName name="mktrnt" localSheetId="5">#REF!</definedName>
    <definedName name="mktrnt" localSheetId="12">#REF!</definedName>
    <definedName name="mktrnt" localSheetId="14">#REF!</definedName>
    <definedName name="mktrnt">#REF!</definedName>
    <definedName name="MM_BB_Approval" localSheetId="13">#REF!</definedName>
    <definedName name="MM_BB_Approval" localSheetId="15">#REF!</definedName>
    <definedName name="MM_BB_Approval" localSheetId="11">#REF!</definedName>
    <definedName name="MM_BB_Approval" localSheetId="5">#REF!</definedName>
    <definedName name="MM_BB_Approval" localSheetId="12">#REF!</definedName>
    <definedName name="MM_BB_Approval" localSheetId="14">#REF!</definedName>
    <definedName name="MM_BB_Approval">#REF!</definedName>
    <definedName name="mmodified">#REF!</definedName>
    <definedName name="mnonprofit">#REF!</definedName>
    <definedName name="ModifiedDuration">#REF!</definedName>
    <definedName name="Module1.PRINT_2">#N/A</definedName>
    <definedName name="Module1.PRINT_3">#N/A</definedName>
    <definedName name="Module1.PRINT_A">#N/A</definedName>
    <definedName name="Module1.PRINT_BCCAM">#N/A</definedName>
    <definedName name="Module1.PRINT_BCMR">#N/A</definedName>
    <definedName name="Module1.PRINT_BCTAX">#N/A</definedName>
    <definedName name="Module1.PRINT_D">#N/A</definedName>
    <definedName name="Module1.PRINT_DETAILS">#N/A</definedName>
    <definedName name="Module1.PRINT_EDET">#N/A</definedName>
    <definedName name="Module1.PRINT_ESUM">#N/A</definedName>
    <definedName name="Module1.PRINT_F">#N/A</definedName>
    <definedName name="Module1.PRINT_GDET">#N/A</definedName>
    <definedName name="Module1.PRINT_GSUM">#N/A</definedName>
    <definedName name="Module1.PRINT_HDET">#N/A</definedName>
    <definedName name="Module1.PRINT_HSUM">#N/A</definedName>
    <definedName name="Module1.PRINT_J">#N/A</definedName>
    <definedName name="Module1.PRINT_OCCUPANCY">#N/A</definedName>
    <definedName name="Module1.PRINT_RECRATES">#N/A</definedName>
    <definedName name="Module1.PRINT_REVENUES">#N/A</definedName>
    <definedName name="Module2.PRINT_2">#N/A</definedName>
    <definedName name="Module2.PRINT_BCCAM">#N/A</definedName>
    <definedName name="Module2.PRINT_BCMR">#N/A</definedName>
    <definedName name="Module2.PRINT_BCPR">#N/A</definedName>
    <definedName name="Module2.PRINT_BCTAX">#N/A</definedName>
    <definedName name="Module2.PRINT_D">#N/A</definedName>
    <definedName name="Module2.PRINT_DETAILS">#N/A</definedName>
    <definedName name="Module2.PRINT_EDET">#N/A</definedName>
    <definedName name="Module2.PRINT_EXPENSES">#N/A</definedName>
    <definedName name="Module2.PRINT_F">#N/A</definedName>
    <definedName name="Module2.PRINT_GDET">#N/A</definedName>
    <definedName name="Module2.PRINT_HDET">#N/A</definedName>
    <definedName name="Module2.PRINT_HSUM">#N/A</definedName>
    <definedName name="Module2.PRINT_IDET">#N/A</definedName>
    <definedName name="Module2.PRINT_ISUM">#N/A</definedName>
    <definedName name="Module2.PRINT_J">#N/A</definedName>
    <definedName name="Module2.PRINT_REVENUES">#N/A</definedName>
    <definedName name="Module3.PRINT_GSUM">#N/A</definedName>
    <definedName name="Module4.PRINT_A">#N/A</definedName>
    <definedName name="Module4.PRINT_ESUM">#N/A</definedName>
    <definedName name="Module4.PRINT_REVENUES">#N/A</definedName>
    <definedName name="MOND">#REF!</definedName>
    <definedName name="MoneyMarket">#REF!</definedName>
    <definedName name="monthly">#REF!</definedName>
    <definedName name="monthlyloss">'[17]2004B Assumptions'!$L$6</definedName>
    <definedName name="Monthlypayment" localSheetId="13">#REF!</definedName>
    <definedName name="Monthlypayment" localSheetId="15">#REF!</definedName>
    <definedName name="Monthlypayment" localSheetId="11">#REF!</definedName>
    <definedName name="Monthlypayment" localSheetId="5">#REF!</definedName>
    <definedName name="Monthlypayment" localSheetId="12">#REF!</definedName>
    <definedName name="Monthlypayment" localSheetId="14">#REF!</definedName>
    <definedName name="Monthlypayment">#REF!</definedName>
    <definedName name="Mortgage_Monthly_Table" localSheetId="13">#REF!</definedName>
    <definedName name="Mortgage_Monthly_Table" localSheetId="15">#REF!</definedName>
    <definedName name="Mortgage_Monthly_Table" localSheetId="11">#REF!</definedName>
    <definedName name="Mortgage_Monthly_Table" localSheetId="5">#REF!</definedName>
    <definedName name="Mortgage_Monthly_Table" localSheetId="12">#REF!</definedName>
    <definedName name="Mortgage_Monthly_Table" localSheetId="14">#REF!</definedName>
    <definedName name="Mortgage_Monthly_Table">#REF!</definedName>
    <definedName name="mregulated" localSheetId="13">#REF!</definedName>
    <definedName name="mregulated" localSheetId="15">#REF!</definedName>
    <definedName name="mregulated" localSheetId="11">#REF!</definedName>
    <definedName name="mregulated" localSheetId="5">#REF!</definedName>
    <definedName name="mregulated" localSheetId="12">#REF!</definedName>
    <definedName name="mregulated" localSheetId="14">#REF!</definedName>
    <definedName name="mregulated">#REF!</definedName>
    <definedName name="MRI">#REF!</definedName>
    <definedName name="net">#REF!</definedName>
    <definedName name="Net_adjusted_grossyield">#REF!</definedName>
    <definedName name="Net_Liquidity_Premium_1">#REF!</definedName>
    <definedName name="Net_Liquidity_Premium_2">#REF!</definedName>
    <definedName name="Net_Liquidity_Premium_3">#REF!</definedName>
    <definedName name="Net_Liquidity_Premium_4">#REF!</definedName>
    <definedName name="Net_Liquidity_Premium_5">#REF!</definedName>
    <definedName name="Net_Liquidity_Premium_6">#REF!</definedName>
    <definedName name="NetInc_Deriv1_FASB">#REF!</definedName>
    <definedName name="NetInc_Deriv2_FASB">#REF!</definedName>
    <definedName name="NetInc_Deriv3_FASB">#REF!</definedName>
    <definedName name="NetInc_Deriv4_FASB">#REF!</definedName>
    <definedName name="NetInc_Deriv5_FASB">#REF!</definedName>
    <definedName name="NetInc_Deriv6_FASB">#REF!</definedName>
    <definedName name="NetIncome_Cash">#REF!</definedName>
    <definedName name="NetIncome_FASB">#REF!</definedName>
    <definedName name="NetRev_CRISP">#REF!</definedName>
    <definedName name="NetRevCRISP">#REF!</definedName>
    <definedName name="NetRevNonCredit">#REF!</definedName>
    <definedName name="NetSpreadChange_1">#REF!</definedName>
    <definedName name="NetSpreadChange_2">#REF!</definedName>
    <definedName name="NetSpreadChange_3">#REF!</definedName>
    <definedName name="NetSpreadChange_4">#REF!</definedName>
    <definedName name="NetSpreadChange_5">#REF!</definedName>
    <definedName name="NetSpreadChange_6">#REF!</definedName>
    <definedName name="NETYLD">#REF!</definedName>
    <definedName name="NHEQUITY">#REF!</definedName>
    <definedName name="NICK">#REF!</definedName>
    <definedName name="NoCommitFee_1">#REF!</definedName>
    <definedName name="NoCommitFee_2">#REF!</definedName>
    <definedName name="NoCommitFee_3">#REF!</definedName>
    <definedName name="NoCommitFee_4">#REF!</definedName>
    <definedName name="NoCommitFee_5">#REF!</definedName>
    <definedName name="NoCommitFee_6">#REF!</definedName>
    <definedName name="NoCondos" localSheetId="23">[59]Assumptions!$C$51</definedName>
    <definedName name="NoCondos">[60]Assumptions!$C$51</definedName>
    <definedName name="NOI" localSheetId="23">#REF!</definedName>
    <definedName name="NOI">[18]Proforma!$G$20</definedName>
    <definedName name="NominalCal">[35]Conventions!$AB$78</definedName>
    <definedName name="NonCredit_Income_Cash" localSheetId="13">#REF!</definedName>
    <definedName name="NonCredit_Income_Cash" localSheetId="15">#REF!</definedName>
    <definedName name="NonCredit_Income_Cash" localSheetId="11">#REF!</definedName>
    <definedName name="NonCredit_Income_Cash" localSheetId="5">#REF!</definedName>
    <definedName name="NonCredit_Income_Cash" localSheetId="12">#REF!</definedName>
    <definedName name="NonCredit_Income_Cash" localSheetId="14">#REF!</definedName>
    <definedName name="NonCredit_Income_Cash">#REF!</definedName>
    <definedName name="NonCredit_Income_FASB" localSheetId="13">#REF!</definedName>
    <definedName name="NonCredit_Income_FASB" localSheetId="15">#REF!</definedName>
    <definedName name="NonCredit_Income_FASB" localSheetId="11">#REF!</definedName>
    <definedName name="NonCredit_Income_FASB" localSheetId="5">#REF!</definedName>
    <definedName name="NonCredit_Income_FASB" localSheetId="12">#REF!</definedName>
    <definedName name="NonCredit_Income_FASB" localSheetId="14">#REF!</definedName>
    <definedName name="NonCredit_Income_FASB">#REF!</definedName>
    <definedName name="NONE" localSheetId="13">#REF!</definedName>
    <definedName name="NONE" localSheetId="15">#REF!</definedName>
    <definedName name="NONE" localSheetId="11">#REF!</definedName>
    <definedName name="NONE" localSheetId="5">#REF!</definedName>
    <definedName name="NONE" localSheetId="12">#REF!</definedName>
    <definedName name="NONE" localSheetId="14">#REF!</definedName>
    <definedName name="NONE">#REF!</definedName>
    <definedName name="NonProfit">#REF!</definedName>
    <definedName name="NoPrePayLang_1">#REF!</definedName>
    <definedName name="NoPrePayLang_2">#REF!</definedName>
    <definedName name="NoPrePayLang_3">#REF!</definedName>
    <definedName name="NoPrePayLang_4">#REF!</definedName>
    <definedName name="NoPrePayLang_5">#REF!</definedName>
    <definedName name="NoPrePayLang_6">#REF!</definedName>
    <definedName name="NoPrimeOption_1">#REF!</definedName>
    <definedName name="NoPrimeOption_2">#REF!</definedName>
    <definedName name="NoPrimeOption_3">#REF!</definedName>
    <definedName name="NoPrimeOption_4">#REF!</definedName>
    <definedName name="NoPrimeOption_5">#REF!</definedName>
    <definedName name="NoPrimeOption_6">#REF!</definedName>
    <definedName name="NORTH_CENTRAL">[27]NORTHC!$A$13:$P$48</definedName>
    <definedName name="Note_Amount" localSheetId="13">#REF!</definedName>
    <definedName name="Note_Amount" localSheetId="15">#REF!</definedName>
    <definedName name="Note_Amount" localSheetId="11">#REF!</definedName>
    <definedName name="Note_Amount" localSheetId="5">#REF!</definedName>
    <definedName name="Note_Amount" localSheetId="12">#REF!</definedName>
    <definedName name="Note_Amount" localSheetId="14">#REF!</definedName>
    <definedName name="Note_Amount">#REF!</definedName>
    <definedName name="Note_Rate" localSheetId="13">#REF!</definedName>
    <definedName name="Note_Rate" localSheetId="15">#REF!</definedName>
    <definedName name="Note_Rate" localSheetId="11">#REF!</definedName>
    <definedName name="Note_Rate" localSheetId="5">#REF!</definedName>
    <definedName name="Note_Rate" localSheetId="12">#REF!</definedName>
    <definedName name="Note_Rate" localSheetId="14">#REF!</definedName>
    <definedName name="Note_Rate">#REF!</definedName>
    <definedName name="notebdebts" localSheetId="13">#REF!</definedName>
    <definedName name="notebdebts" localSheetId="15">#REF!</definedName>
    <definedName name="notebdebts" localSheetId="11">#REF!</definedName>
    <definedName name="notebdebts" localSheetId="5">#REF!</definedName>
    <definedName name="notebdebts" localSheetId="12">#REF!</definedName>
    <definedName name="notebdebts" localSheetId="14">#REF!</definedName>
    <definedName name="notebdebts">#REF!</definedName>
    <definedName name="NOTES">#REF!</definedName>
    <definedName name="NoUnits" localSheetId="23">[16]Assumptions!$C$6</definedName>
    <definedName name="NoUnits">[61]Assumptions!$C$6</definedName>
    <definedName name="Num_IO_Months">[56]Inputs!$F$15</definedName>
    <definedName name="number_5BR_units">'[21]Rent Roll Analysis'!#REF!</definedName>
    <definedName name="number_doublewide">'[21]Rent Roll Analysis'!#REF!</definedName>
    <definedName name="number_singlewide">'[21]Rent Roll Analysis'!#REF!</definedName>
    <definedName name="NumMonths" localSheetId="13">#REF!</definedName>
    <definedName name="NumMonths" localSheetId="15">#REF!</definedName>
    <definedName name="NumMonths" localSheetId="11">#REF!</definedName>
    <definedName name="NumMonths" localSheetId="5">#REF!</definedName>
    <definedName name="NumMonths" localSheetId="12">#REF!</definedName>
    <definedName name="NumMonths" localSheetId="14">#REF!</definedName>
    <definedName name="NumMonths">#REF!</definedName>
    <definedName name="OAK2003A">'[17]CFOAK 2003A Conso'!$A$1</definedName>
    <definedName name="OBLIGOR_NUMBER" localSheetId="13">#REF!</definedName>
    <definedName name="OBLIGOR_NUMBER" localSheetId="15">#REF!</definedName>
    <definedName name="OBLIGOR_NUMBER" localSheetId="11">#REF!</definedName>
    <definedName name="OBLIGOR_NUMBER" localSheetId="5">#REF!</definedName>
    <definedName name="OBLIGOR_NUMBER" localSheetId="12">#REF!</definedName>
    <definedName name="OBLIGOR_NUMBER" localSheetId="14">#REF!</definedName>
    <definedName name="OBLIGOR_NUMBER">#REF!</definedName>
    <definedName name="OBLIGOR_RATING_FROM_MODEL" localSheetId="13">#REF!</definedName>
    <definedName name="OBLIGOR_RATING_FROM_MODEL" localSheetId="15">#REF!</definedName>
    <definedName name="OBLIGOR_RATING_FROM_MODEL" localSheetId="11">#REF!</definedName>
    <definedName name="OBLIGOR_RATING_FROM_MODEL" localSheetId="5">#REF!</definedName>
    <definedName name="OBLIGOR_RATING_FROM_MODEL" localSheetId="12">#REF!</definedName>
    <definedName name="OBLIGOR_RATING_FROM_MODEL" localSheetId="14">#REF!</definedName>
    <definedName name="OBLIGOR_RATING_FROM_MODEL">#REF!</definedName>
    <definedName name="OBLIGOR_RATING_PER_RM" localSheetId="13">#REF!</definedName>
    <definedName name="OBLIGOR_RATING_PER_RM" localSheetId="15">#REF!</definedName>
    <definedName name="OBLIGOR_RATING_PER_RM" localSheetId="11">#REF!</definedName>
    <definedName name="OBLIGOR_RATING_PER_RM" localSheetId="5">#REF!</definedName>
    <definedName name="OBLIGOR_RATING_PER_RM" localSheetId="12">#REF!</definedName>
    <definedName name="OBLIGOR_RATING_PER_RM" localSheetId="14">#REF!</definedName>
    <definedName name="OBLIGOR_RATING_PER_RM">#REF!</definedName>
    <definedName name="occcost">#REF!</definedName>
    <definedName name="OF_YRS_OF_AMT_DURING_LOAN">#REF!</definedName>
    <definedName name="OFFICER_ID">#REF!</definedName>
    <definedName name="Old_Equity">#REF!</definedName>
    <definedName name="OMNI_OFFICE_PLU">[27]OMNI!$A$13:$P$47</definedName>
    <definedName name="ONE" localSheetId="13">#REF!</definedName>
    <definedName name="ONE" localSheetId="15">#REF!</definedName>
    <definedName name="ONE" localSheetId="11">#REF!</definedName>
    <definedName name="ONE" localSheetId="5">#REF!</definedName>
    <definedName name="ONE" localSheetId="12">#REF!</definedName>
    <definedName name="ONE" localSheetId="14">#REF!</definedName>
    <definedName name="ONE">#REF!</definedName>
    <definedName name="ONELEGEND" localSheetId="13">#REF!</definedName>
    <definedName name="ONELEGEND" localSheetId="15">#REF!</definedName>
    <definedName name="ONELEGEND" localSheetId="11">#REF!</definedName>
    <definedName name="ONELEGEND" localSheetId="5">#REF!</definedName>
    <definedName name="ONELEGEND" localSheetId="12">#REF!</definedName>
    <definedName name="ONELEGEND" localSheetId="14">#REF!</definedName>
    <definedName name="ONELEGEND">#REF!</definedName>
    <definedName name="openperiodterm" localSheetId="13">#REF!</definedName>
    <definedName name="openperiodterm" localSheetId="15">#REF!</definedName>
    <definedName name="openperiodterm" localSheetId="11">#REF!</definedName>
    <definedName name="openperiodterm" localSheetId="5">#REF!</definedName>
    <definedName name="openperiodterm" localSheetId="12">#REF!</definedName>
    <definedName name="openperiodterm" localSheetId="14">#REF!</definedName>
    <definedName name="openperiodterm">#REF!</definedName>
    <definedName name="Oper_Income_Analysis">#REF!</definedName>
    <definedName name="OPERATING_EXPENSE">#REF!</definedName>
    <definedName name="OPERATING_INCOME_ASSUMPTIONS">#REF!</definedName>
    <definedName name="OPERATING_STATEMENT">#REF!</definedName>
    <definedName name="OperatingIncomeAssumptions">#REF!</definedName>
    <definedName name="OPT_BORDER">#REF!</definedName>
    <definedName name="OptionFeeAmount">#REF!</definedName>
    <definedName name="OPTIONS">#REF!</definedName>
    <definedName name="originating_correspondent">#REF!</definedName>
    <definedName name="other">[26]CAMINVBU!#REF!</definedName>
    <definedName name="Other_CostFactor" localSheetId="13">#REF!</definedName>
    <definedName name="Other_CostFactor" localSheetId="15">#REF!</definedName>
    <definedName name="Other_CostFactor" localSheetId="11">#REF!</definedName>
    <definedName name="Other_CostFactor" localSheetId="5">#REF!</definedName>
    <definedName name="Other_CostFactor" localSheetId="12">#REF!</definedName>
    <definedName name="Other_CostFactor" localSheetId="14">#REF!</definedName>
    <definedName name="Other_CostFactor">#REF!</definedName>
    <definedName name="Other_Gross_Revenue" localSheetId="13">#REF!</definedName>
    <definedName name="Other_Gross_Revenue" localSheetId="15">#REF!</definedName>
    <definedName name="Other_Gross_Revenue" localSheetId="11">#REF!</definedName>
    <definedName name="Other_Gross_Revenue" localSheetId="5">#REF!</definedName>
    <definedName name="Other_Gross_Revenue" localSheetId="12">#REF!</definedName>
    <definedName name="Other_Gross_Revenue" localSheetId="14">#REF!</definedName>
    <definedName name="Other_Gross_Revenue">#REF!</definedName>
    <definedName name="Outstanding_1" localSheetId="13">#REF!</definedName>
    <definedName name="Outstanding_1" localSheetId="15">#REF!</definedName>
    <definedName name="Outstanding_1" localSheetId="11">#REF!</definedName>
    <definedName name="Outstanding_1" localSheetId="5">#REF!</definedName>
    <definedName name="Outstanding_1" localSheetId="12">#REF!</definedName>
    <definedName name="Outstanding_1" localSheetId="14">#REF!</definedName>
    <definedName name="Outstanding_1">#REF!</definedName>
    <definedName name="Outstanding_2">#REF!</definedName>
    <definedName name="Outstanding_3">#REF!</definedName>
    <definedName name="Outstanding_4">#REF!</definedName>
    <definedName name="Outstanding_5">#REF!</definedName>
    <definedName name="Outstanding_6">#REF!</definedName>
    <definedName name="Overhead_Facility_1">#REF!</definedName>
    <definedName name="Overhead_Facility_2">#REF!</definedName>
    <definedName name="Overhead_Facility_3">#REF!</definedName>
    <definedName name="Overhead_Facility_4">#REF!</definedName>
    <definedName name="Overhead_Facility_5">#REF!</definedName>
    <definedName name="Overhead_Facility_6">#REF!</definedName>
    <definedName name="PACIFIC">#REF!</definedName>
    <definedName name="page1">'[2]5CM95'!#REF!</definedName>
    <definedName name="page2" localSheetId="13">#REF!</definedName>
    <definedName name="page2" localSheetId="15">#REF!</definedName>
    <definedName name="page2" localSheetId="11">#REF!</definedName>
    <definedName name="page2" localSheetId="5">#REF!</definedName>
    <definedName name="page2" localSheetId="12">#REF!</definedName>
    <definedName name="page2" localSheetId="14">#REF!</definedName>
    <definedName name="page2">#REF!</definedName>
    <definedName name="PAID_PRESCRIP">[27]PAIDP!$A$13:$P$49</definedName>
    <definedName name="PandLSummaryPrint" localSheetId="13">#REF!</definedName>
    <definedName name="PandLSummaryPrint" localSheetId="15">#REF!</definedName>
    <definedName name="PandLSummaryPrint" localSheetId="11">#REF!</definedName>
    <definedName name="PandLSummaryPrint" localSheetId="5">#REF!</definedName>
    <definedName name="PandLSummaryPrint" localSheetId="12">#REF!</definedName>
    <definedName name="PandLSummaryPrint" localSheetId="14">#REF!</definedName>
    <definedName name="PandLSummaryPrint">#REF!</definedName>
    <definedName name="parklot" localSheetId="13">[26]CAMINVBU!#REF!</definedName>
    <definedName name="parklot" localSheetId="15">[26]CAMINVBU!#REF!</definedName>
    <definedName name="parklot" localSheetId="11">[26]CAMINVBU!#REF!</definedName>
    <definedName name="parklot" localSheetId="5">[26]CAMINVBU!#REF!</definedName>
    <definedName name="parklot" localSheetId="12">[26]CAMINVBU!#REF!</definedName>
    <definedName name="parklot" localSheetId="14">[26]CAMINVBU!#REF!</definedName>
    <definedName name="parklot">[26]CAMINVBU!#REF!</definedName>
    <definedName name="PARTICIPATION_" localSheetId="13">#REF!</definedName>
    <definedName name="PARTICIPATION_" localSheetId="15">#REF!</definedName>
    <definedName name="PARTICIPATION_" localSheetId="11">#REF!</definedName>
    <definedName name="PARTICIPATION_" localSheetId="5">#REF!</definedName>
    <definedName name="PARTICIPATION_" localSheetId="12">#REF!</definedName>
    <definedName name="PARTICIPATION_" localSheetId="14">#REF!</definedName>
    <definedName name="PARTICIPATION_">#REF!</definedName>
    <definedName name="PARTICIPATION_BASE" localSheetId="13">#REF!</definedName>
    <definedName name="PARTICIPATION_BASE" localSheetId="15">#REF!</definedName>
    <definedName name="PARTICIPATION_BASE" localSheetId="11">#REF!</definedName>
    <definedName name="PARTICIPATION_BASE" localSheetId="5">#REF!</definedName>
    <definedName name="PARTICIPATION_BASE" localSheetId="12">#REF!</definedName>
    <definedName name="PARTICIPATION_BASE" localSheetId="14">#REF!</definedName>
    <definedName name="PARTICIPATION_BASE">#REF!</definedName>
    <definedName name="Payment" localSheetId="13">#REF!</definedName>
    <definedName name="Payment" localSheetId="15">#REF!</definedName>
    <definedName name="Payment" localSheetId="11">#REF!</definedName>
    <definedName name="Payment" localSheetId="5">#REF!</definedName>
    <definedName name="Payment" localSheetId="12">#REF!</definedName>
    <definedName name="Payment" localSheetId="14">#REF!</definedName>
    <definedName name="Payment">#REF!</definedName>
    <definedName name="payment.Num" localSheetId="13">IF(OR(#REF!="",#REF!='Another Uselss'!Total_payments),"",#REF!+1)</definedName>
    <definedName name="payment.Num" localSheetId="15">IF(OR(#REF!="",#REF!='Another Uselss (2)'!Total_payments),"",#REF!+1)</definedName>
    <definedName name="payment.Num" localSheetId="11">IF(OR(#REF!="",#REF!='Comparison to Other'!Total_payments),"",#REF!+1)</definedName>
    <definedName name="payment.Num" localSheetId="5">IF(OR(#REF!="",#REF!='Comparison to Previous'!Total_payments),"",#REF!+1)</definedName>
    <definedName name="payment.Num" localSheetId="12">IF(OR(#REF!="",#REF!='Comparison to Previous (2)'!Total_payments),"",#REF!+1)</definedName>
    <definedName name="payment.Num" localSheetId="2">IF(OR(#REF!="",#REF!=[0]!Total_payments),"",#REF!+1)</definedName>
    <definedName name="payment.Num" localSheetId="23">IF(OR(#REF!="",#REF!=Normalize!Total_payments),"",#REF!+1)</definedName>
    <definedName name="payment.Num" localSheetId="14">IF(OR(#REF!="",#REF!='Useless Breakdown'!Total_payments),"",#REF!+1)</definedName>
    <definedName name="payment.Num">IF(OR(#REF!="",#REF!=[10]!Total_payments),"",#REF!+1)</definedName>
    <definedName name="Payment_Actual">#REF!</definedName>
    <definedName name="Payment_freq_1">#REF!</definedName>
    <definedName name="Payment_freq_2">#REF!</definedName>
    <definedName name="Payment_freq_3">#REF!</definedName>
    <definedName name="Payment_freq_4">#REF!</definedName>
    <definedName name="Payment_freq_5">#REF!</definedName>
    <definedName name="Payment_freq_6">#REF!</definedName>
    <definedName name="Payment_IO">#REF!</definedName>
    <definedName name="Payment_Schedule_1">#REF!</definedName>
    <definedName name="Payment_Schedule_1D">#REF!</definedName>
    <definedName name="Payment_Schedule_2">#REF!</definedName>
    <definedName name="Payment_Schedule_2D">#REF!</definedName>
    <definedName name="Payment_Schedule_3">#REF!</definedName>
    <definedName name="Payment_Schedule_3D">#REF!</definedName>
    <definedName name="Payment_schedule_4">#REF!</definedName>
    <definedName name="Payment_Schedule_4D">#REF!</definedName>
    <definedName name="Payment_Schedule_5">#REF!</definedName>
    <definedName name="Payment_Schedule_5D">#REF!</definedName>
    <definedName name="Payment_Schedule_6">#REF!</definedName>
    <definedName name="Payment_Schedule_6D">#REF!</definedName>
    <definedName name="Payments_per_year">#REF!</definedName>
    <definedName name="PBK">#REF!</definedName>
    <definedName name="PBL2003A">'[17]CFPBL 2003A Consol'!$A$1</definedName>
    <definedName name="PENALTY" localSheetId="13">#REF!</definedName>
    <definedName name="PENALTY" localSheetId="15">#REF!</definedName>
    <definedName name="PENALTY" localSheetId="11">#REF!</definedName>
    <definedName name="PENALTY" localSheetId="5">#REF!</definedName>
    <definedName name="PENALTY" localSheetId="12">#REF!</definedName>
    <definedName name="PENALTY" localSheetId="14">#REF!</definedName>
    <definedName name="PENALTY">#REF!</definedName>
    <definedName name="PER_02_05" localSheetId="13">'[5]AVI-JV-PROFORMA'!#REF!</definedName>
    <definedName name="PER_02_05" localSheetId="15">'[5]AVI-JV-PROFORMA'!#REF!</definedName>
    <definedName name="PER_02_05" localSheetId="11">'[5]AVI-JV-PROFORMA'!#REF!</definedName>
    <definedName name="PER_02_05" localSheetId="5">'[5]AVI-JV-PROFORMA'!#REF!</definedName>
    <definedName name="PER_02_05" localSheetId="12">'[5]AVI-JV-PROFORMA'!#REF!</definedName>
    <definedName name="PER_02_05" localSheetId="2">'[3]AVI-JV-PROFORMA'!#REF!</definedName>
    <definedName name="PER_02_05" localSheetId="23">'[4]AVI-JV-PROFORMA'!#REF!</definedName>
    <definedName name="PER_02_05" localSheetId="14">'[5]AVI-JV-PROFORMA'!#REF!</definedName>
    <definedName name="PER_02_05">'[5]AVI-JV-PROFORMA'!#REF!</definedName>
    <definedName name="PER_94" localSheetId="13">'[5]AVI-JV-PROFORMA'!#REF!</definedName>
    <definedName name="PER_94" localSheetId="15">'[5]AVI-JV-PROFORMA'!#REF!</definedName>
    <definedName name="PER_94" localSheetId="11">'[5]AVI-JV-PROFORMA'!#REF!</definedName>
    <definedName name="PER_94" localSheetId="5">'[5]AVI-JV-PROFORMA'!#REF!</definedName>
    <definedName name="PER_94" localSheetId="12">'[5]AVI-JV-PROFORMA'!#REF!</definedName>
    <definedName name="PER_94" localSheetId="2">'[3]AVI-JV-PROFORMA'!#REF!</definedName>
    <definedName name="PER_94" localSheetId="23">'[4]AVI-JV-PROFORMA'!#REF!</definedName>
    <definedName name="PER_94" localSheetId="14">'[5]AVI-JV-PROFORMA'!#REF!</definedName>
    <definedName name="PER_94">'[5]AVI-JV-PROFORMA'!#REF!</definedName>
    <definedName name="PER_95" localSheetId="13">#REF!</definedName>
    <definedName name="PER_95" localSheetId="15">#REF!</definedName>
    <definedName name="PER_95" localSheetId="11">#REF!</definedName>
    <definedName name="PER_95" localSheetId="5">#REF!</definedName>
    <definedName name="PER_95" localSheetId="12">#REF!</definedName>
    <definedName name="PER_95" localSheetId="14">#REF!</definedName>
    <definedName name="PER_95">#REF!</definedName>
    <definedName name="PER_96" localSheetId="13">#REF!</definedName>
    <definedName name="PER_96" localSheetId="15">#REF!</definedName>
    <definedName name="PER_96" localSheetId="11">#REF!</definedName>
    <definedName name="PER_96" localSheetId="5">#REF!</definedName>
    <definedName name="PER_96" localSheetId="12">#REF!</definedName>
    <definedName name="PER_96" localSheetId="14">#REF!</definedName>
    <definedName name="PER_96">#REF!</definedName>
    <definedName name="PER_97_01" localSheetId="13">'[5]AVI-JV-PROFORMA'!#REF!</definedName>
    <definedName name="PER_97_01" localSheetId="15">'[5]AVI-JV-PROFORMA'!#REF!</definedName>
    <definedName name="PER_97_01" localSheetId="11">'[5]AVI-JV-PROFORMA'!#REF!</definedName>
    <definedName name="PER_97_01" localSheetId="5">'[5]AVI-JV-PROFORMA'!#REF!</definedName>
    <definedName name="PER_97_01" localSheetId="12">'[5]AVI-JV-PROFORMA'!#REF!</definedName>
    <definedName name="PER_97_01" localSheetId="2">'[3]AVI-JV-PROFORMA'!#REF!</definedName>
    <definedName name="PER_97_01" localSheetId="23">'[4]AVI-JV-PROFORMA'!#REF!</definedName>
    <definedName name="PER_97_01" localSheetId="14">'[5]AVI-JV-PROFORMA'!#REF!</definedName>
    <definedName name="PER_97_01">'[5]AVI-JV-PROFORMA'!#REF!</definedName>
    <definedName name="PER_SGI" localSheetId="13">'[5]AVI-JV-PROFORMA'!#REF!</definedName>
    <definedName name="PER_SGI" localSheetId="15">'[5]AVI-JV-PROFORMA'!#REF!</definedName>
    <definedName name="PER_SGI" localSheetId="11">'[5]AVI-JV-PROFORMA'!#REF!</definedName>
    <definedName name="PER_SGI" localSheetId="5">'[5]AVI-JV-PROFORMA'!#REF!</definedName>
    <definedName name="PER_SGI" localSheetId="12">'[5]AVI-JV-PROFORMA'!#REF!</definedName>
    <definedName name="PER_SGI" localSheetId="2">'[3]AVI-JV-PROFORMA'!#REF!</definedName>
    <definedName name="PER_SGI" localSheetId="23">'[4]AVI-JV-PROFORMA'!#REF!</definedName>
    <definedName name="PER_SGI" localSheetId="14">'[5]AVI-JV-PROFORMA'!#REF!</definedName>
    <definedName name="PER_SGI">'[5]AVI-JV-PROFORMA'!#REF!</definedName>
    <definedName name="Period" localSheetId="13">#REF!</definedName>
    <definedName name="Period" localSheetId="15">#REF!</definedName>
    <definedName name="Period" localSheetId="11">#REF!</definedName>
    <definedName name="Period" localSheetId="5">#REF!</definedName>
    <definedName name="Period" localSheetId="12">#REF!</definedName>
    <definedName name="Period" localSheetId="14">#REF!</definedName>
    <definedName name="Period">#REF!</definedName>
    <definedName name="Periodic_rate" localSheetId="13">'Another Uselss'!Annual_interest_rate/[10]!Payments_per_year</definedName>
    <definedName name="Periodic_rate" localSheetId="15">'Another Uselss (2)'!Annual_interest_rate/[10]!Payments_per_year</definedName>
    <definedName name="Periodic_rate" localSheetId="11">'Comparison to Other'!Annual_interest_rate/[10]!Payments_per_year</definedName>
    <definedName name="Periodic_rate" localSheetId="5">'Comparison to Previous'!Annual_interest_rate/[10]!Payments_per_year</definedName>
    <definedName name="Periodic_rate" localSheetId="12">'Comparison to Previous (2)'!Annual_interest_rate/[10]!Payments_per_year</definedName>
    <definedName name="Periodic_rate" localSheetId="2">[0]!Annual_interest_rate/[0]!Payments_per_year</definedName>
    <definedName name="Periodic_rate" localSheetId="23">[0]!Annual_interest_rate/[0]!Payments_per_year</definedName>
    <definedName name="Periodic_rate" localSheetId="14">'Useless Breakdown'!Annual_interest_rate/[10]!Payments_per_year</definedName>
    <definedName name="Periodic_rate">[10]!Annual_interest_rate/[10]!Payments_per_year</definedName>
    <definedName name="permarm" localSheetId="23">[19]Assumptions!$F$148</definedName>
    <definedName name="permarm">[22]Assumptions!$F$148</definedName>
    <definedName name="permcreditspread" localSheetId="23">[19]Assumptions!$F$147</definedName>
    <definedName name="permcreditspread">[22]Assumptions!$F$147</definedName>
    <definedName name="permdscr" localSheetId="23">[19]Assumptions!$F$145</definedName>
    <definedName name="permdscr">[22]Assumptions!$F$145</definedName>
    <definedName name="permloan" localSheetId="23">'[62]sources &amp; uses'!$M$21</definedName>
    <definedName name="permloan">'[22]sources &amp; uses'!$M$21</definedName>
    <definedName name="permloanfee" localSheetId="23">[19]Assumptions!$C$142</definedName>
    <definedName name="permloanfee">[22]Assumptions!$C$142</definedName>
    <definedName name="permrate" localSheetId="23">[19]Assumptions!$F$146</definedName>
    <definedName name="permrate">[22]Assumptions!$F$146</definedName>
    <definedName name="pfmanfee">'[17]2004B Assumptions'!$F$8</definedName>
    <definedName name="pfmarketexp">'[17]2004B Assumptions'!$F$6</definedName>
    <definedName name="pfmarketexpfs">'[17]2004B Assumptions'!$F$7</definedName>
    <definedName name="pfstabilization">'[17]2004B Assumptions'!$F$5</definedName>
    <definedName name="Picture" localSheetId="2">INDIRECT('[63]92329'!#REF!)</definedName>
    <definedName name="Picture">INDIRECT('[64]92329'!#REF!)</definedName>
    <definedName name="PID" localSheetId="13">#REF!</definedName>
    <definedName name="PID" localSheetId="15">#REF!</definedName>
    <definedName name="PID" localSheetId="11">#REF!</definedName>
    <definedName name="PID" localSheetId="5">#REF!</definedName>
    <definedName name="PID" localSheetId="12">#REF!</definedName>
    <definedName name="PID" localSheetId="14">#REF!</definedName>
    <definedName name="PID">#REF!</definedName>
    <definedName name="PierOne_Rent" localSheetId="13">#REF!</definedName>
    <definedName name="PierOne_Rent" localSheetId="15">#REF!</definedName>
    <definedName name="PierOne_Rent" localSheetId="11">#REF!</definedName>
    <definedName name="PierOne_Rent" localSheetId="5">#REF!</definedName>
    <definedName name="PierOne_Rent" localSheetId="12">#REF!</definedName>
    <definedName name="PierOne_Rent" localSheetId="14">#REF!</definedName>
    <definedName name="PierOne_Rent">#REF!</definedName>
    <definedName name="PierOne_SF" localSheetId="13">#REF!</definedName>
    <definedName name="PierOne_SF" localSheetId="15">#REF!</definedName>
    <definedName name="PierOne_SF" localSheetId="11">#REF!</definedName>
    <definedName name="PierOne_SF" localSheetId="5">#REF!</definedName>
    <definedName name="PierOne_SF" localSheetId="12">#REF!</definedName>
    <definedName name="PierOne_SF" localSheetId="14">#REF!</definedName>
    <definedName name="PierOne_SF">#REF!</definedName>
    <definedName name="Pilot">#REF!</definedName>
    <definedName name="Pilotgrade_1">#REF!</definedName>
    <definedName name="Pilotgrade_2">#REF!</definedName>
    <definedName name="pilotgrade_3">#REF!</definedName>
    <definedName name="pilotgrade_4">#REF!</definedName>
    <definedName name="pilotgrade_5">#REF!</definedName>
    <definedName name="pilotgrade_6">#REF!</definedName>
    <definedName name="Place_CashBasis">#REF!</definedName>
    <definedName name="Place_CostFactor">#REF!</definedName>
    <definedName name="Place_CRISP_REV">#REF!</definedName>
    <definedName name="Place_FASB">#REF!</definedName>
    <definedName name="Place_Gross_REV">#REF!</definedName>
    <definedName name="Place_Net_REV">#REF!</definedName>
    <definedName name="Place_Term">#REF!</definedName>
    <definedName name="PlanSummaryPrint">#REF!</definedName>
    <definedName name="PMT">#REF!</definedName>
    <definedName name="Pmt_to_use">#REF!</definedName>
    <definedName name="pmta">#REF!</definedName>
    <definedName name="PMTConstant">#REF!</definedName>
    <definedName name="PP_Approval">#REF!</definedName>
    <definedName name="pr">#REF!</definedName>
    <definedName name="Pre_Tax_Keis_Equity_Crd">#REF!</definedName>
    <definedName name="PREFRETURN" localSheetId="23">[16]Assumptions!$G$23</definedName>
    <definedName name="PREFRETURN">[22]Assumptions!$G$23</definedName>
    <definedName name="PrePay_NewLoans_1" localSheetId="13">#REF!</definedName>
    <definedName name="PrePay_NewLoans_1" localSheetId="15">#REF!</definedName>
    <definedName name="PrePay_NewLoans_1" localSheetId="11">#REF!</definedName>
    <definedName name="PrePay_NewLoans_1" localSheetId="5">#REF!</definedName>
    <definedName name="PrePay_NewLoans_1" localSheetId="12">#REF!</definedName>
    <definedName name="PrePay_NewLoans_1" localSheetId="14">#REF!</definedName>
    <definedName name="PrePay_NewLoans_1">#REF!</definedName>
    <definedName name="PrePay_NewLoans_2" localSheetId="13">#REF!</definedName>
    <definedName name="PrePay_NewLoans_2" localSheetId="15">#REF!</definedName>
    <definedName name="PrePay_NewLoans_2" localSheetId="11">#REF!</definedName>
    <definedName name="PrePay_NewLoans_2" localSheetId="5">#REF!</definedName>
    <definedName name="PrePay_NewLoans_2" localSheetId="12">#REF!</definedName>
    <definedName name="PrePay_NewLoans_2" localSheetId="14">#REF!</definedName>
    <definedName name="PrePay_NewLoans_2">#REF!</definedName>
    <definedName name="PrePay_NewLoans_3" localSheetId="13">#REF!</definedName>
    <definedName name="PrePay_NewLoans_3" localSheetId="15">#REF!</definedName>
    <definedName name="PrePay_NewLoans_3" localSheetId="11">#REF!</definedName>
    <definedName name="PrePay_NewLoans_3" localSheetId="5">#REF!</definedName>
    <definedName name="PrePay_NewLoans_3" localSheetId="12">#REF!</definedName>
    <definedName name="PrePay_NewLoans_3" localSheetId="14">#REF!</definedName>
    <definedName name="PrePay_NewLoans_3">#REF!</definedName>
    <definedName name="PrePay_NewLoans_4">#REF!</definedName>
    <definedName name="PrePay_NewLoans_5">#REF!</definedName>
    <definedName name="PrePay_NewLoans_6">#REF!</definedName>
    <definedName name="Prepayment_charge_table">#REF!</definedName>
    <definedName name="Prepayment_Penalty_Factor_1">#REF!</definedName>
    <definedName name="Prepayment_Penalty_Factor_2">#REF!</definedName>
    <definedName name="Prepayment_Penalty_Factor_3">#REF!</definedName>
    <definedName name="Prepayment_Penalty_Factor_4">#REF!</definedName>
    <definedName name="Prepayment_Penalty_Factor_5">#REF!</definedName>
    <definedName name="Prepayment_Penalty_Factor_6">#REF!</definedName>
    <definedName name="prepaymentstring">#REF!</definedName>
    <definedName name="PreTaxIncome_CASH">#REF!</definedName>
    <definedName name="PreTaxIncome_FASB">#REF!</definedName>
    <definedName name="PREWO">#REF!</definedName>
    <definedName name="PRICE">#REF!</definedName>
    <definedName name="PRICE1">#REF!</definedName>
    <definedName name="PricingWAL_1">#REF!</definedName>
    <definedName name="PricingWAL_2">#REF!</definedName>
    <definedName name="PricingWAL_3">#REF!</definedName>
    <definedName name="PricingWAL_4">#REF!</definedName>
    <definedName name="PricingWAL_5">#REF!</definedName>
    <definedName name="PricingWAL_6">#REF!</definedName>
    <definedName name="primeminus_1">#REF!</definedName>
    <definedName name="primeminus_2">#REF!</definedName>
    <definedName name="primeminus_3">#REF!</definedName>
    <definedName name="primeminus_4">#REF!</definedName>
    <definedName name="primeminus_5">#REF!</definedName>
    <definedName name="primeminus_6">#REF!</definedName>
    <definedName name="PRIMEOPTION_Yes_NO_1">#REF!</definedName>
    <definedName name="PRIMEOPTION_Yes_NO_2">#REF!</definedName>
    <definedName name="PRIMEOPTION_Yes_NO_3">#REF!</definedName>
    <definedName name="PRIMEOPTION_Yes_NO_4">#REF!</definedName>
    <definedName name="PRIMEOPTION_Yes_NO_5">#REF!</definedName>
    <definedName name="PRIMEOPTION_Yes_NO_6">#REF!</definedName>
    <definedName name="PRIMESPREAD_1">#REF!</definedName>
    <definedName name="PRIMESPREAD_2">#REF!</definedName>
    <definedName name="PRIMESPREAD_3">#REF!</definedName>
    <definedName name="PRIMESPREAD_4">#REF!</definedName>
    <definedName name="PRIMESPREAD_5">#REF!</definedName>
    <definedName name="PRIMESPREAD_6">#REF!</definedName>
    <definedName name="Principal" localSheetId="13">IF(#REF!&lt;&gt;"",MIN(#REF!,[10]!Pmt_to_use-#REF!),"")</definedName>
    <definedName name="Principal" localSheetId="15">IF(#REF!&lt;&gt;"",MIN(#REF!,[10]!Pmt_to_use-#REF!),"")</definedName>
    <definedName name="Principal" localSheetId="11">IF(#REF!&lt;&gt;"",MIN(#REF!,[10]!Pmt_to_use-#REF!),"")</definedName>
    <definedName name="Principal" localSheetId="5">IF(#REF!&lt;&gt;"",MIN(#REF!,[10]!Pmt_to_use-#REF!),"")</definedName>
    <definedName name="Principal" localSheetId="12">IF(#REF!&lt;&gt;"",MIN(#REF!,[10]!Pmt_to_use-#REF!),"")</definedName>
    <definedName name="Principal" localSheetId="2">IF(#REF!&lt;&gt;"",MIN(#REF!,[0]!Pmt_to_use-#REF!),"")</definedName>
    <definedName name="Principal" localSheetId="23">IF(#REF!&lt;&gt;"",MIN(#REF!,[0]!Pmt_to_use-#REF!),"")</definedName>
    <definedName name="Principal" localSheetId="14">IF(#REF!&lt;&gt;"",MIN(#REF!,[10]!Pmt_to_use-#REF!),"")</definedName>
    <definedName name="Principal">IF(#REF!&lt;&gt;"",MIN(#REF!,[10]!Pmt_to_use-#REF!),"")</definedName>
    <definedName name="principal_comment">#REF!</definedName>
    <definedName name="Print">#REF!</definedName>
    <definedName name="PRINT_2">#N/A</definedName>
    <definedName name="PRINT_3">#N/A</definedName>
    <definedName name="PRINT_A">#N/A</definedName>
    <definedName name="_xlnm.Print_Area" localSheetId="13">'Another Uselss'!$A$1:$Y$336</definedName>
    <definedName name="_xlnm.Print_Area" localSheetId="15">'Another Uselss (2)'!$A$4:$K$275</definedName>
    <definedName name="_xlnm.Print_Area" localSheetId="11">'Comparison to Other'!$A$1:$Q$30</definedName>
    <definedName name="_xlnm.Print_Area" localSheetId="5">'Comparison to Previous'!$A$13:$V$317</definedName>
    <definedName name="_xlnm.Print_Area" localSheetId="12">'Comparison to Previous (2)'!$A$1:$Y$329</definedName>
    <definedName name="_xlnm.Print_Area" localSheetId="2">Insurance_Bonds!$A$1:$U$47</definedName>
    <definedName name="_xlnm.Print_Area" localSheetId="9">'Level 1'!$A$1:$Y$329</definedName>
    <definedName name="_xlnm.Print_Area" localSheetId="8">'Level 1.1 UPDATE A'!$A$1:$Y$331</definedName>
    <definedName name="_xlnm.Print_Area" localSheetId="7">'Level 1.1 UPDATE B'!$A$1:$Y$335</definedName>
    <definedName name="_xlnm.Print_Area" localSheetId="1">'Level 2 - Transmitted'!$A$1:$Y$335</definedName>
    <definedName name="_xlnm.Print_Area" localSheetId="6">'Level 2 - Transmitted (2)'!$A$1:$Y$335</definedName>
    <definedName name="_xlnm.Print_Area" localSheetId="3">'Level 3'!$A$1:$Y$321</definedName>
    <definedName name="_xlnm.Print_Area" localSheetId="0">'Menu Pricing'!$A$1:$G$53</definedName>
    <definedName name="_xlnm.Print_Area" localSheetId="23">Normalize!$A$1:$W$34</definedName>
    <definedName name="_xlnm.Print_Area" localSheetId="22">'Park Options'!$A$1:$E$26</definedName>
    <definedName name="_xlnm.Print_Area" localSheetId="20">'Torrey Comparison'!$A$1:$N$53</definedName>
    <definedName name="_xlnm.Print_Area" localSheetId="14">'Useless Breakdown'!$A$1:$K$73</definedName>
    <definedName name="_xlnm.Print_Area" localSheetId="10">'What changed'!$A$1:$G$77</definedName>
    <definedName name="_xlnm.Print_Area">#REF!</definedName>
    <definedName name="PRINT_AREA_MI" localSheetId="13">#REF!</definedName>
    <definedName name="PRINT_AREA_MI" localSheetId="15">#REF!</definedName>
    <definedName name="PRINT_AREA_MI" localSheetId="11">#REF!</definedName>
    <definedName name="PRINT_AREA_MI" localSheetId="5">#REF!</definedName>
    <definedName name="PRINT_AREA_MI" localSheetId="12">#REF!</definedName>
    <definedName name="PRINT_AREA_MI" localSheetId="14">#REF!</definedName>
    <definedName name="PRINT_AREA_MI">#REF!</definedName>
    <definedName name="Print_Area2" localSheetId="13">#REF!</definedName>
    <definedName name="Print_Area2" localSheetId="15">#REF!</definedName>
    <definedName name="Print_Area2" localSheetId="11">#REF!</definedName>
    <definedName name="Print_Area2" localSheetId="5">#REF!</definedName>
    <definedName name="Print_Area2" localSheetId="12">#REF!</definedName>
    <definedName name="Print_Area2" localSheetId="14">#REF!</definedName>
    <definedName name="Print_Area2">#REF!</definedName>
    <definedName name="PRINT_BCCAM">#N/A</definedName>
    <definedName name="PRINT_BCINS">#N/A</definedName>
    <definedName name="PRINT_BCMR">#N/A</definedName>
    <definedName name="PRINT_BCPR">#N/A</definedName>
    <definedName name="PRINT_BCTAX">#N/A</definedName>
    <definedName name="PRINT_D">#N/A</definedName>
    <definedName name="PRINT_DETAILS">#N/A</definedName>
    <definedName name="PRINT_EDET">#N/A</definedName>
    <definedName name="PRINT_ESUM">#N/A</definedName>
    <definedName name="PRINT_EXPENSES">#N/A</definedName>
    <definedName name="PRINT_EXPS">#N/A</definedName>
    <definedName name="PRINT_F">#N/A</definedName>
    <definedName name="PRINT_GDET">#N/A</definedName>
    <definedName name="PRINT_GSUM">#N/A</definedName>
    <definedName name="PRINT_HDET">#N/A</definedName>
    <definedName name="PRINT_HSUM">#N/A</definedName>
    <definedName name="PRINT_IDET">#N/A</definedName>
    <definedName name="PRINT_ISUM">#N/A</definedName>
    <definedName name="PRINT_J">#N/A</definedName>
    <definedName name="PRINT_MARKETING">#N/A</definedName>
    <definedName name="PRINT_MKTG">#N/A</definedName>
    <definedName name="PRINT_OCCUPANAL">#N/A</definedName>
    <definedName name="PRINT_OCCUPANCY">#N/A</definedName>
    <definedName name="PRINT_RATES">#N/A</definedName>
    <definedName name="PRINT_RECRATES">#N/A</definedName>
    <definedName name="PRINT_REV">#N/A</definedName>
    <definedName name="PRINT_REVENUES">#N/A</definedName>
    <definedName name="PRINT_TITLE_MD">#REF!</definedName>
    <definedName name="_xlnm.Print_Titles" localSheetId="13">'Another Uselss'!$1:$19</definedName>
    <definedName name="_xlnm.Print_Titles" localSheetId="15">'Another Uselss (2)'!$4:$5</definedName>
    <definedName name="_xlnm.Print_Titles" localSheetId="5">'Comparison to Previous'!$1:$15</definedName>
    <definedName name="_xlnm.Print_Titles" localSheetId="12">'Comparison to Previous (2)'!$1:$19</definedName>
    <definedName name="_xlnm.Print_Titles" localSheetId="9">'Level 1'!$19:$19</definedName>
    <definedName name="_xlnm.Print_Titles" localSheetId="8">'Level 1.1 UPDATE A'!$19:$19</definedName>
    <definedName name="_xlnm.Print_Titles" localSheetId="7">'Level 1.1 UPDATE B'!$19:$19</definedName>
    <definedName name="_xlnm.Print_Titles" localSheetId="1">'Level 2 - Transmitted'!$19:$19</definedName>
    <definedName name="_xlnm.Print_Titles" localSheetId="6">'Level 2 - Transmitted (2)'!$19:$19</definedName>
    <definedName name="_xlnm.Print_Titles" localSheetId="3">'Level 3'!$19:$19</definedName>
    <definedName name="_xlnm.Print_Titles" localSheetId="14">'Useless Breakdown'!$1:$2</definedName>
    <definedName name="_xlnm.Print_Titles">#N/A</definedName>
    <definedName name="PRINT_TITLES_MI" localSheetId="13">#REF!</definedName>
    <definedName name="PRINT_TITLES_MI" localSheetId="15">#REF!</definedName>
    <definedName name="PRINT_TITLES_MI" localSheetId="11">#REF!</definedName>
    <definedName name="PRINT_TITLES_MI" localSheetId="5">#REF!</definedName>
    <definedName name="PRINT_TITLES_MI" localSheetId="12">#REF!</definedName>
    <definedName name="PRINT_TITLES_MI" localSheetId="14">#REF!</definedName>
    <definedName name="PRINT_TITLES_MI">#REF!</definedName>
    <definedName name="PRINT_UTIL">#N/A</definedName>
    <definedName name="PrintTitles" localSheetId="13">#REF!</definedName>
    <definedName name="PrintTitles" localSheetId="15">#REF!</definedName>
    <definedName name="PrintTitles" localSheetId="11">#REF!</definedName>
    <definedName name="PrintTitles" localSheetId="5">#REF!</definedName>
    <definedName name="PrintTitles" localSheetId="12">#REF!</definedName>
    <definedName name="PrintTitles" localSheetId="14">#REF!</definedName>
    <definedName name="PrintTitles">#REF!</definedName>
    <definedName name="Private_Bkg">#REF!</definedName>
    <definedName name="Private_Bkg_Inv">#REF!</definedName>
    <definedName name="proceeds">#REF!</definedName>
    <definedName name="profit">#REF!</definedName>
    <definedName name="ProfitProformaSummaryPrint">#REF!</definedName>
    <definedName name="ProformaNOI">#REF!</definedName>
    <definedName name="proformaoccupancy">[51]Underwriting!#REF!</definedName>
    <definedName name="ProFormaPrint">"Macro1"</definedName>
    <definedName name="ProformaStartDate" localSheetId="23">[32]Assumptions!$C$13</definedName>
    <definedName name="ProformaStartDate">[22]Assumptions!$C$13</definedName>
    <definedName name="project">[65]Assumptions!$AA$3</definedName>
    <definedName name="Project_City" localSheetId="2">[52]Checklist!$C$25</definedName>
    <definedName name="Project_City">[53]Checklist!$C$25</definedName>
    <definedName name="Project_County" localSheetId="2">'[52]@Salient Data Sheet'!$B$24</definedName>
    <definedName name="Project_County">'[53]@Salient Data Sheet'!$B$24</definedName>
    <definedName name="Project_Name" localSheetId="2">[52]Checklist!$A$22</definedName>
    <definedName name="Project_Name">[53]Checklist!$A$22</definedName>
    <definedName name="Project_State" localSheetId="2">[52]Checklist!$C$26</definedName>
    <definedName name="Project_State">[53]Checklist!$C$26</definedName>
    <definedName name="Project_Street_Name" localSheetId="2">[52]Checklist!$C$24</definedName>
    <definedName name="Project_Street_Name">[53]Checklist!$C$24</definedName>
    <definedName name="Project_Street_Number" localSheetId="2">[52]Checklist!$A$24</definedName>
    <definedName name="Project_Street_Number">[53]Checklist!$A$24</definedName>
    <definedName name="Project_Zip" localSheetId="2">'[52]@Salient Data Sheet'!$B$26</definedName>
    <definedName name="Project_Zip">'[53]@Salient Data Sheet'!$B$26</definedName>
    <definedName name="ProjectCost" localSheetId="23">[66]summary!#REF!</definedName>
    <definedName name="ProjectCost">'[67]sources &amp; uses'!$F$46</definedName>
    <definedName name="ProjectDuration">[68]Formulas!$E$71</definedName>
    <definedName name="Projections">'[69] CF Analysis'!$A$3:$I$71</definedName>
    <definedName name="ProjectName" localSheetId="23">[70]Assumptions!$C$5</definedName>
    <definedName name="ProjectName">[22]Assumptions!$C$5</definedName>
    <definedName name="ProLFBRng1" localSheetId="13">#REF!</definedName>
    <definedName name="ProLFBRng1" localSheetId="15">#REF!</definedName>
    <definedName name="ProLFBRng1" localSheetId="11">#REF!</definedName>
    <definedName name="ProLFBRng1" localSheetId="5">#REF!</definedName>
    <definedName name="ProLFBRng1" localSheetId="12">#REF!</definedName>
    <definedName name="ProLFBRng1" localSheetId="14">#REF!</definedName>
    <definedName name="ProLFBRng1">#REF!</definedName>
    <definedName name="ProLFBRng10" localSheetId="13">#REF!</definedName>
    <definedName name="ProLFBRng10" localSheetId="15">#REF!</definedName>
    <definedName name="ProLFBRng10" localSheetId="11">#REF!</definedName>
    <definedName name="ProLFBRng10" localSheetId="5">#REF!</definedName>
    <definedName name="ProLFBRng10" localSheetId="12">#REF!</definedName>
    <definedName name="ProLFBRng10" localSheetId="14">#REF!</definedName>
    <definedName name="ProLFBRng10">#REF!</definedName>
    <definedName name="ProLFBRng11" localSheetId="13">#REF!</definedName>
    <definedName name="ProLFBRng11" localSheetId="15">#REF!</definedName>
    <definedName name="ProLFBRng11" localSheetId="11">#REF!</definedName>
    <definedName name="ProLFBRng11" localSheetId="5">#REF!</definedName>
    <definedName name="ProLFBRng11" localSheetId="12">#REF!</definedName>
    <definedName name="ProLFBRng11" localSheetId="14">#REF!</definedName>
    <definedName name="ProLFBRng11">#REF!</definedName>
    <definedName name="ProLFBRng12">#REF!</definedName>
    <definedName name="ProLFBRng13">#REF!</definedName>
    <definedName name="ProLFBRng14">#REF!</definedName>
    <definedName name="ProLFBRng15">#REF!</definedName>
    <definedName name="ProLFBRng16">#REF!</definedName>
    <definedName name="ProLFBRng17">#REF!</definedName>
    <definedName name="ProLFBRng18">#REF!</definedName>
    <definedName name="ProLFBRng19">#REF!</definedName>
    <definedName name="ProLFBRng2">#REF!</definedName>
    <definedName name="ProLFBRng20">#REF!</definedName>
    <definedName name="ProLFBRng21">#REF!</definedName>
    <definedName name="ProLFBRng22">#REF!</definedName>
    <definedName name="ProLFBRng23">#REF!</definedName>
    <definedName name="ProLFBRng24">#REF!</definedName>
    <definedName name="ProLFBRng25">#REF!</definedName>
    <definedName name="ProLFBRng26">#REF!</definedName>
    <definedName name="ProLFBRng27">#REF!</definedName>
    <definedName name="ProLFBRng28">#REF!</definedName>
    <definedName name="ProLFBRng29">#REF!</definedName>
    <definedName name="ProLFBRng3">#REF!</definedName>
    <definedName name="ProLFBRng30">#REF!</definedName>
    <definedName name="ProLFBRng31">#REF!</definedName>
    <definedName name="ProLFBRng32">#REF!</definedName>
    <definedName name="ProLFBRng33">#REF!</definedName>
    <definedName name="ProLFBRng34">#REF!</definedName>
    <definedName name="ProLFBRng35">#REF!</definedName>
    <definedName name="ProLFBRng36">#REF!</definedName>
    <definedName name="ProLFBRng37">#REF!</definedName>
    <definedName name="ProLFBRng38">#REF!</definedName>
    <definedName name="ProLFBRng39">#REF!</definedName>
    <definedName name="ProLFBRng4">#REF!</definedName>
    <definedName name="ProLFBRng40">#REF!</definedName>
    <definedName name="ProLFBRng5">#REF!</definedName>
    <definedName name="ProLFBRng6">#REF!</definedName>
    <definedName name="ProLFBRng7">#REF!</definedName>
    <definedName name="ProLFBRng8">#REF!</definedName>
    <definedName name="ProLFBRng9">#REF!</definedName>
    <definedName name="property_description">#REF!</definedName>
    <definedName name="Property_taxes_increase" localSheetId="2">'[3]AVI-JV-PROFORMA'!#REF!</definedName>
    <definedName name="Property_taxes_increase" localSheetId="23">'[4]AVI-JV-PROFORMA'!#REF!</definedName>
    <definedName name="Property_taxes_increase">'[5]AVI-JV-PROFORMA'!#REF!</definedName>
    <definedName name="propertyname">'[21]Loan Information'!$C$13</definedName>
    <definedName name="propertysubtype">'[21]Loan Information'!$F$12</definedName>
    <definedName name="propertytype" localSheetId="13">#REF!</definedName>
    <definedName name="propertytype" localSheetId="15">#REF!</definedName>
    <definedName name="propertytype" localSheetId="11">#REF!</definedName>
    <definedName name="propertytype" localSheetId="5">#REF!</definedName>
    <definedName name="propertytype" localSheetId="12">#REF!</definedName>
    <definedName name="propertytype" localSheetId="14">#REF!</definedName>
    <definedName name="propertytype">#REF!</definedName>
    <definedName name="PropName" localSheetId="13">#REF!</definedName>
    <definedName name="PropName" localSheetId="15">#REF!</definedName>
    <definedName name="PropName" localSheetId="11">#REF!</definedName>
    <definedName name="PropName" localSheetId="5">#REF!</definedName>
    <definedName name="PropName" localSheetId="12">#REF!</definedName>
    <definedName name="PropName" localSheetId="14">#REF!</definedName>
    <definedName name="PropName">#REF!</definedName>
    <definedName name="PropTaxRate" localSheetId="13">[15]Assumptions!#REF!</definedName>
    <definedName name="PropTaxRate" localSheetId="15">[15]Assumptions!#REF!</definedName>
    <definedName name="PropTaxRate" localSheetId="11">[15]Assumptions!#REF!</definedName>
    <definedName name="PropTaxRate" localSheetId="5">[15]Assumptions!#REF!</definedName>
    <definedName name="PropTaxRate" localSheetId="12">[15]Assumptions!#REF!</definedName>
    <definedName name="PropTaxRate" localSheetId="23">[16]Assumptions!#REF!</definedName>
    <definedName name="PropTaxRate" localSheetId="14">[15]Assumptions!#REF!</definedName>
    <definedName name="PropTaxRate">[15]Assumptions!#REF!</definedName>
    <definedName name="prtaxes" localSheetId="13">[26]CAMINVBU!#REF!</definedName>
    <definedName name="prtaxes" localSheetId="15">[26]CAMINVBU!#REF!</definedName>
    <definedName name="prtaxes" localSheetId="11">[26]CAMINVBU!#REF!</definedName>
    <definedName name="prtaxes" localSheetId="5">[26]CAMINVBU!#REF!</definedName>
    <definedName name="prtaxes" localSheetId="12">[26]CAMINVBU!#REF!</definedName>
    <definedName name="prtaxes" localSheetId="14">[26]CAMINVBU!#REF!</definedName>
    <definedName name="prtaxes">[26]CAMINVBU!#REF!</definedName>
    <definedName name="PRUDENTIAL" localSheetId="13">#REF!</definedName>
    <definedName name="PRUDENTIAL" localSheetId="15">#REF!</definedName>
    <definedName name="PRUDENTIAL" localSheetId="11">#REF!</definedName>
    <definedName name="PRUDENTIAL" localSheetId="5">#REF!</definedName>
    <definedName name="PRUDENTIAL" localSheetId="12">#REF!</definedName>
    <definedName name="PRUDENTIAL" localSheetId="14">#REF!</definedName>
    <definedName name="PRUDENTIAL">#REF!</definedName>
    <definedName name="PUB2003A">'[17]CFPUB 2003A Consol'!$A$1</definedName>
    <definedName name="Public_Sector" localSheetId="13">#REF!</definedName>
    <definedName name="Public_Sector" localSheetId="15">#REF!</definedName>
    <definedName name="Public_Sector" localSheetId="11">#REF!</definedName>
    <definedName name="Public_Sector" localSheetId="5">#REF!</definedName>
    <definedName name="Public_Sector" localSheetId="12">#REF!</definedName>
    <definedName name="Public_Sector" localSheetId="14">#REF!</definedName>
    <definedName name="Public_Sector">#REF!</definedName>
    <definedName name="PURPOSE" localSheetId="23">[71]Assumptions!$B$24</definedName>
    <definedName name="PURPOSE">[22]Assumptions!$B$24</definedName>
    <definedName name="RACF_ID" localSheetId="13">#REF!</definedName>
    <definedName name="RACF_ID" localSheetId="15">#REF!</definedName>
    <definedName name="RACF_ID" localSheetId="11">#REF!</definedName>
    <definedName name="RACF_ID" localSheetId="5">#REF!</definedName>
    <definedName name="RACF_ID" localSheetId="12">#REF!</definedName>
    <definedName name="RACF_ID" localSheetId="14">#REF!</definedName>
    <definedName name="RACF_ID">#REF!</definedName>
    <definedName name="RaContractorrOtherFeeDesc" localSheetId="13">'[49]Gen Reqs Breakdown'!#REF!</definedName>
    <definedName name="RaContractorrOtherFeeDesc" localSheetId="15">'[49]Gen Reqs Breakdown'!#REF!</definedName>
    <definedName name="RaContractorrOtherFeeDesc" localSheetId="11">'[49]Gen Reqs Breakdown'!#REF!</definedName>
    <definedName name="RaContractorrOtherFeeDesc" localSheetId="5">'[49]Gen Reqs Breakdown'!#REF!</definedName>
    <definedName name="RaContractorrOtherFeeDesc" localSheetId="12">'[49]Gen Reqs Breakdown'!#REF!</definedName>
    <definedName name="RaContractorrOtherFeeDesc" localSheetId="23">'[48]Gen Reqs Breakdown'!#REF!</definedName>
    <definedName name="RaContractorrOtherFeeDesc" localSheetId="14">'[49]Gen Reqs Breakdown'!#REF!</definedName>
    <definedName name="RaContractorrOtherFeeDesc">'[49]Gen Reqs Breakdown'!#REF!</definedName>
    <definedName name="Ralphs_rent" localSheetId="13">#REF!</definedName>
    <definedName name="Ralphs_rent" localSheetId="15">#REF!</definedName>
    <definedName name="Ralphs_rent" localSheetId="11">#REF!</definedName>
    <definedName name="Ralphs_rent" localSheetId="5">#REF!</definedName>
    <definedName name="Ralphs_rent" localSheetId="12">#REF!</definedName>
    <definedName name="Ralphs_rent" localSheetId="14">#REF!</definedName>
    <definedName name="Ralphs_rent">#REF!</definedName>
    <definedName name="Ralphs_SF" localSheetId="13">#REF!</definedName>
    <definedName name="Ralphs_SF" localSheetId="15">#REF!</definedName>
    <definedName name="Ralphs_SF" localSheetId="11">#REF!</definedName>
    <definedName name="Ralphs_SF" localSheetId="5">#REF!</definedName>
    <definedName name="Ralphs_SF" localSheetId="12">#REF!</definedName>
    <definedName name="Ralphs_SF" localSheetId="14">#REF!</definedName>
    <definedName name="Ralphs_SF">#REF!</definedName>
    <definedName name="randm" localSheetId="13">[26]CAMINVBU!#REF!</definedName>
    <definedName name="randm" localSheetId="15">[26]CAMINVBU!#REF!</definedName>
    <definedName name="randm" localSheetId="11">[26]CAMINVBU!#REF!</definedName>
    <definedName name="randm" localSheetId="5">[26]CAMINVBU!#REF!</definedName>
    <definedName name="randm" localSheetId="12">[26]CAMINVBU!#REF!</definedName>
    <definedName name="randm" localSheetId="14">[26]CAMINVBU!#REF!</definedName>
    <definedName name="randm">[26]CAMINVBU!#REF!</definedName>
    <definedName name="RAROC_1" localSheetId="13">#REF!</definedName>
    <definedName name="RAROC_1" localSheetId="15">#REF!</definedName>
    <definedName name="RAROC_1" localSheetId="11">#REF!</definedName>
    <definedName name="RAROC_1" localSheetId="5">#REF!</definedName>
    <definedName name="RAROC_1" localSheetId="12">#REF!</definedName>
    <definedName name="RAROC_1" localSheetId="14">#REF!</definedName>
    <definedName name="RAROC_1">#REF!</definedName>
    <definedName name="RAROC_2" localSheetId="13">#REF!</definedName>
    <definedName name="RAROC_2" localSheetId="15">#REF!</definedName>
    <definedName name="RAROC_2" localSheetId="11">#REF!</definedName>
    <definedName name="RAROC_2" localSheetId="5">#REF!</definedName>
    <definedName name="RAROC_2" localSheetId="12">#REF!</definedName>
    <definedName name="RAROC_2" localSheetId="14">#REF!</definedName>
    <definedName name="RAROC_2">#REF!</definedName>
    <definedName name="RAROC_3" localSheetId="13">#REF!</definedName>
    <definedName name="RAROC_3" localSheetId="15">#REF!</definedName>
    <definedName name="RAROC_3" localSheetId="11">#REF!</definedName>
    <definedName name="RAROC_3" localSheetId="5">#REF!</definedName>
    <definedName name="RAROC_3" localSheetId="12">#REF!</definedName>
    <definedName name="RAROC_3" localSheetId="14">#REF!</definedName>
    <definedName name="RAROC_3">#REF!</definedName>
    <definedName name="RAROC_4">#REF!</definedName>
    <definedName name="RAROC_5">#REF!</definedName>
    <definedName name="RAROC_6">#REF!</definedName>
    <definedName name="RATE">#REF!</definedName>
    <definedName name="Rate_Adj_1">#REF!</definedName>
    <definedName name="Rate_Adj_2">#REF!</definedName>
    <definedName name="Rate_Adj_3">#REF!</definedName>
    <definedName name="Rate_Adj_4">#REF!</definedName>
    <definedName name="Rate_Adj_5">#REF!</definedName>
    <definedName name="Rate_Adj_6">#REF!</definedName>
    <definedName name="Rate_buydown_for_yield">#REF!</definedName>
    <definedName name="rate2">#REF!</definedName>
    <definedName name="ratea">#REF!</definedName>
    <definedName name="rateb">#REF!</definedName>
    <definedName name="ratelast">#REF!</definedName>
    <definedName name="Ratelockdate">#REF!</definedName>
    <definedName name="RATES">[28]MVC96!#REF!</definedName>
    <definedName name="Rating" localSheetId="13">#REF!</definedName>
    <definedName name="Rating" localSheetId="15">#REF!</definedName>
    <definedName name="Rating" localSheetId="11">#REF!</definedName>
    <definedName name="Rating" localSheetId="5">#REF!</definedName>
    <definedName name="Rating" localSheetId="12">#REF!</definedName>
    <definedName name="Rating" localSheetId="14">#REF!</definedName>
    <definedName name="Rating">#REF!</definedName>
    <definedName name="Recoveries" localSheetId="13">#REF!</definedName>
    <definedName name="Recoveries" localSheetId="15">#REF!</definedName>
    <definedName name="Recoveries" localSheetId="11">#REF!</definedName>
    <definedName name="Recoveries" localSheetId="5">#REF!</definedName>
    <definedName name="Recoveries" localSheetId="12">#REF!</definedName>
    <definedName name="Recoveries" localSheetId="14">#REF!</definedName>
    <definedName name="Recoveries">#REF!</definedName>
    <definedName name="Recovery_Rate" localSheetId="13">#REF!</definedName>
    <definedName name="Recovery_Rate" localSheetId="15">#REF!</definedName>
    <definedName name="Recovery_Rate" localSheetId="11">#REF!</definedName>
    <definedName name="Recovery_Rate" localSheetId="5">#REF!</definedName>
    <definedName name="Recovery_Rate" localSheetId="12">#REF!</definedName>
    <definedName name="Recovery_Rate" localSheetId="14">#REF!</definedName>
    <definedName name="Recovery_Rate">#REF!</definedName>
    <definedName name="reference_Month">#REF!</definedName>
    <definedName name="RefiDS" localSheetId="23">[11]AMORT!$T$6</definedName>
    <definedName name="RefiDS">[12]AMORT!$T$6</definedName>
    <definedName name="regulated" localSheetId="13">#REF!</definedName>
    <definedName name="regulated" localSheetId="15">#REF!</definedName>
    <definedName name="regulated" localSheetId="11">#REF!</definedName>
    <definedName name="regulated" localSheetId="5">#REF!</definedName>
    <definedName name="regulated" localSheetId="12">#REF!</definedName>
    <definedName name="regulated" localSheetId="14">#REF!</definedName>
    <definedName name="regulated">#REF!</definedName>
    <definedName name="Reinvest_Rate" localSheetId="23">[19]Assumptions!$G$164</definedName>
    <definedName name="Reinvest_Rate">[20]Assumptions!$G$164</definedName>
    <definedName name="Rel_Min_Hurdle" localSheetId="13">#REF!</definedName>
    <definedName name="Rel_Min_Hurdle" localSheetId="15">#REF!</definedName>
    <definedName name="Rel_Min_Hurdle" localSheetId="11">#REF!</definedName>
    <definedName name="Rel_Min_Hurdle" localSheetId="5">#REF!</definedName>
    <definedName name="Rel_Min_Hurdle" localSheetId="12">#REF!</definedName>
    <definedName name="Rel_Min_Hurdle" localSheetId="14">#REF!</definedName>
    <definedName name="Rel_Min_Hurdle">#REF!</definedName>
    <definedName name="Rel_Overhead" localSheetId="13">#REF!</definedName>
    <definedName name="Rel_Overhead" localSheetId="15">#REF!</definedName>
    <definedName name="Rel_Overhead" localSheetId="11">#REF!</definedName>
    <definedName name="Rel_Overhead" localSheetId="5">#REF!</definedName>
    <definedName name="Rel_Overhead" localSheetId="12">#REF!</definedName>
    <definedName name="Rel_Overhead" localSheetId="14">#REF!</definedName>
    <definedName name="Rel_Overhead">#REF!</definedName>
    <definedName name="Rel_Target_Hurdle" localSheetId="13">#REF!</definedName>
    <definedName name="Rel_Target_Hurdle" localSheetId="15">#REF!</definedName>
    <definedName name="Rel_Target_Hurdle" localSheetId="11">#REF!</definedName>
    <definedName name="Rel_Target_Hurdle" localSheetId="5">#REF!</definedName>
    <definedName name="Rel_Target_Hurdle" localSheetId="12">#REF!</definedName>
    <definedName name="Rel_Target_Hurdle" localSheetId="14">#REF!</definedName>
    <definedName name="Rel_Target_Hurdle">#REF!</definedName>
    <definedName name="Relationship_Grade">#REF!</definedName>
    <definedName name="RelationshipROE_1">#REF!</definedName>
    <definedName name="RelationshipROE_2">#REF!</definedName>
    <definedName name="RelationshipROE_3">#REF!</definedName>
    <definedName name="RelationshipROE_4">#REF!</definedName>
    <definedName name="RelationshipROE_5">#REF!</definedName>
    <definedName name="RelationshipROE_6">#REF!</definedName>
    <definedName name="RemarketingFees_GrossRev">#REF!</definedName>
    <definedName name="rent">#REF!</definedName>
    <definedName name="Rent.Roll" localSheetId="13">IF('[72]Amortization Table'!XET1048563&lt;&gt;"",DATE(YEAR('Another Uselss'!First_payment_due),MONTH('Another Uselss'!First_payment_due)+('[72]Amortization Table'!XET1048563-1)*12/[10]!Payments_per_year,DAY('Another Uselss'!First_payment_due)),"")</definedName>
    <definedName name="Rent.Roll" localSheetId="15">IF('[72]Amortization Table'!XET1048563&lt;&gt;"",DATE(YEAR('Another Uselss (2)'!First_payment_due),MONTH('Another Uselss (2)'!First_payment_due)+('[72]Amortization Table'!XET1048563-1)*12/[10]!Payments_per_year,DAY('Another Uselss (2)'!First_payment_due)),"")</definedName>
    <definedName name="Rent.Roll" localSheetId="11">IF('[72]Amortization Table'!XET1048563&lt;&gt;"",DATE(YEAR('Comparison to Other'!First_payment_due),MONTH('Comparison to Other'!First_payment_due)+('[72]Amortization Table'!XET1048563-1)*12/[10]!Payments_per_year,DAY('Comparison to Other'!First_payment_due)),"")</definedName>
    <definedName name="Rent.Roll" localSheetId="5">IF('[72]Amortization Table'!XET1048563&lt;&gt;"",DATE(YEAR('Comparison to Previous'!First_payment_due),MONTH('Comparison to Previous'!First_payment_due)+('[72]Amortization Table'!XET1048563-1)*12/[10]!Payments_per_year,DAY('Comparison to Previous'!First_payment_due)),"")</definedName>
    <definedName name="Rent.Roll" localSheetId="12">IF('[72]Amortization Table'!XET1048563&lt;&gt;"",DATE(YEAR('Comparison to Previous (2)'!First_payment_due),MONTH('Comparison to Previous (2)'!First_payment_due)+('[72]Amortization Table'!XET1048563-1)*12/[10]!Payments_per_year,DAY('Comparison to Previous (2)'!First_payment_due)),"")</definedName>
    <definedName name="Rent.Roll" localSheetId="2">IF('[72]Amortization Table'!XET1048563&lt;&gt;"",DATE(YEAR([0]!First_payment_due),MONTH([0]!First_payment_due)+('[72]Amortization Table'!XET1048563-1)*12/[0]!Payments_per_year,DAY([0]!First_payment_due)),"")</definedName>
    <definedName name="Rent.Roll" localSheetId="23">IF('[72]Amortization Table'!XET1048563&lt;&gt;"",DATE(YEAR([0]!First_payment_due),MONTH([0]!First_payment_due)+('[72]Amortization Table'!XET1048563-1)*12/[0]!Payments_per_year,DAY([0]!First_payment_due)),"")</definedName>
    <definedName name="Rent.Roll" localSheetId="14">IF('[72]Amortization Table'!XET1048563&lt;&gt;"",DATE(YEAR('Useless Breakdown'!First_payment_due),MONTH('Useless Breakdown'!First_payment_due)+('[72]Amortization Table'!XET1048563-1)*12/[10]!Payments_per_year,DAY('Useless Breakdown'!First_payment_due)),"")</definedName>
    <definedName name="Rent.Roll">IF('[72]Amortization Table'!XET1048563&lt;&gt;"",DATE(YEAR([10]!First_payment_due),MONTH([10]!First_payment_due)+('[72]Amortization Table'!XET1048563-1)*12/[10]!Payments_per_year,DAY([10]!First_payment_due)),"")</definedName>
    <definedName name="RENT_EXPENSE_ADJUSTMENT" localSheetId="2">'[3]AVI-JV-PROFORMA'!#REF!</definedName>
    <definedName name="RENT_EXPENSE_ADJUSTMENT" localSheetId="23">'[4]AVI-JV-PROFORMA'!#REF!</definedName>
    <definedName name="RENT_EXPENSE_ADJUSTMENT">'[5]AVI-JV-PROFORMA'!#REF!</definedName>
    <definedName name="rent2000" localSheetId="13">#REF!</definedName>
    <definedName name="rent2000" localSheetId="15">#REF!</definedName>
    <definedName name="rent2000" localSheetId="11">#REF!</definedName>
    <definedName name="rent2000" localSheetId="5">#REF!</definedName>
    <definedName name="rent2000" localSheetId="12">#REF!</definedName>
    <definedName name="rent2000" localSheetId="14">#REF!</definedName>
    <definedName name="rent2000">#REF!</definedName>
    <definedName name="rent2001" localSheetId="13">#REF!</definedName>
    <definedName name="rent2001" localSheetId="15">#REF!</definedName>
    <definedName name="rent2001" localSheetId="11">#REF!</definedName>
    <definedName name="rent2001" localSheetId="5">#REF!</definedName>
    <definedName name="rent2001" localSheetId="12">#REF!</definedName>
    <definedName name="rent2001" localSheetId="14">#REF!</definedName>
    <definedName name="rent2001">#REF!</definedName>
    <definedName name="rentbasedate" localSheetId="23">'[19]income stmt yr0'!$B$9</definedName>
    <definedName name="rentbasedate">'[22]income stmt yr0'!$B$9</definedName>
    <definedName name="rentgrowth2" localSheetId="23">[16]Assumptions!#REF!</definedName>
    <definedName name="rentgrowth2">[15]Assumptions!#REF!</definedName>
    <definedName name="rentroll" localSheetId="13">IF(#REF!&lt;&gt;"",#REF!*'Another Uselss'!Periodic_rate,"")</definedName>
    <definedName name="rentroll" localSheetId="15">IF(#REF!&lt;&gt;"",#REF!*'Another Uselss (2)'!Periodic_rate,"")</definedName>
    <definedName name="rentroll" localSheetId="11">IF(#REF!&lt;&gt;"",#REF!*'Comparison to Other'!Periodic_rate,"")</definedName>
    <definedName name="rentroll" localSheetId="5">IF(#REF!&lt;&gt;"",#REF!*'Comparison to Previous'!Periodic_rate,"")</definedName>
    <definedName name="rentroll" localSheetId="12">IF(#REF!&lt;&gt;"",#REF!*'Comparison to Previous (2)'!Periodic_rate,"")</definedName>
    <definedName name="rentroll" localSheetId="2">IF(#REF!&lt;&gt;"",#REF!*[0]!Periodic_rate,"")</definedName>
    <definedName name="rentroll" localSheetId="23">IF(#REF!&lt;&gt;"",#REF!*Normalize!Periodic_rate,"")</definedName>
    <definedName name="rentroll" localSheetId="14">IF(#REF!&lt;&gt;"",#REF!*'Useless Breakdown'!Periodic_rate,"")</definedName>
    <definedName name="rentroll">IF(#REF!&lt;&gt;"",#REF!*[10]!Periodic_rate,"")</definedName>
    <definedName name="REPORT">#REF!</definedName>
    <definedName name="ReportedLiquidityChg_1">#REF!</definedName>
    <definedName name="ReportedLiquidityChg_2">#REF!</definedName>
    <definedName name="ReportedLiquidityChg_3">#REF!</definedName>
    <definedName name="ReportedLiquidityChg_4">#REF!</definedName>
    <definedName name="ReportedLiquidityChg_5">#REF!</definedName>
    <definedName name="ReportedLiquidityChg_6">#REF!</definedName>
    <definedName name="ReportedLiquidityCredit_1">#REF!</definedName>
    <definedName name="ReportedLiquidityCredit_2">#REF!</definedName>
    <definedName name="ReportedLiquidityCredit_3">#REF!</definedName>
    <definedName name="ReportedLiquidityCredit_4">#REF!</definedName>
    <definedName name="ReportedLiquidityCredit_5">#REF!</definedName>
    <definedName name="ReportedLiquidityCredit_6">#REF!</definedName>
    <definedName name="Reposweep">#REF!</definedName>
    <definedName name="Repurchase_Agrmt">#REF!</definedName>
    <definedName name="Req_Usage_Rate_1">#REF!</definedName>
    <definedName name="Req_Usage_Rate_2">#REF!</definedName>
    <definedName name="Req_Usage_Rate_3">#REF!</definedName>
    <definedName name="Req_Usage_Rate_4">#REF!</definedName>
    <definedName name="Req_Usage_Rate_5">#REF!</definedName>
    <definedName name="Req_Usage_Rate_6">#REF!</definedName>
    <definedName name="reserve">#REF!</definedName>
    <definedName name="Residential">#N/A</definedName>
    <definedName name="ResidentialRE">#REF!</definedName>
    <definedName name="RETURN">#REF!</definedName>
    <definedName name="rev">#REF!</definedName>
    <definedName name="Reviewed_by">#REF!</definedName>
    <definedName name="RevInflation" localSheetId="23">[7]Assumptions!$G$73</definedName>
    <definedName name="RevInflation">[6]Assumptions!$G$73</definedName>
    <definedName name="rewqrewqrew" localSheetId="23">[41]Site!$D$189</definedName>
    <definedName name="rewqrewqrew">[42]Site!$D$189</definedName>
    <definedName name="rewqrewqrewqrewq" localSheetId="23">[41]Site!$D$252</definedName>
    <definedName name="rewqrewqrewqrewq">[42]Site!$D$252</definedName>
    <definedName name="rfgdf" localSheetId="13">(VLOOKUP([10]!Grade_3,'Another Uselss'!fnjh,2))</definedName>
    <definedName name="rfgdf" localSheetId="15">(VLOOKUP([10]!Grade_3,'Another Uselss (2)'!fnjh,2))</definedName>
    <definedName name="rfgdf" localSheetId="11">(VLOOKUP(Grade_3,'Comparison to Other'!fnjh,2))</definedName>
    <definedName name="rfgdf" localSheetId="5">(VLOOKUP(Grade_3,'Comparison to Previous'!fnjh,2))</definedName>
    <definedName name="rfgdf" localSheetId="12">(VLOOKUP([10]!Grade_3,'Comparison to Previous (2)'!fnjh,2))</definedName>
    <definedName name="rfgdf" localSheetId="2">(VLOOKUP([0]!Grade_3,[0]!fnjh,2))</definedName>
    <definedName name="rfgdf" localSheetId="6">(VLOOKUP(Grade_3,fnjh,2))</definedName>
    <definedName name="rfgdf" localSheetId="23">(VLOOKUP(Grade_3,fnjh,2))</definedName>
    <definedName name="rfgdf" localSheetId="14">(VLOOKUP([10]!Grade_3,'Useless Breakdown'!fnjh,2))</definedName>
    <definedName name="rfgdf">(VLOOKUP(Grade_3,fnjh,2))</definedName>
    <definedName name="rgaaaa" localSheetId="13">#REF!</definedName>
    <definedName name="rgaaaa" localSheetId="15">#REF!</definedName>
    <definedName name="rgaaaa" localSheetId="11">#REF!</definedName>
    <definedName name="rgaaaa" localSheetId="5">#REF!</definedName>
    <definedName name="rgaaaa" localSheetId="12">#REF!</definedName>
    <definedName name="rgaaaa" localSheetId="14">#REF!</definedName>
    <definedName name="rgaaaa">#REF!</definedName>
    <definedName name="rgag" localSheetId="13">#REF!</definedName>
    <definedName name="rgag" localSheetId="15">#REF!</definedName>
    <definedName name="rgag" localSheetId="11">#REF!</definedName>
    <definedName name="rgag" localSheetId="5">#REF!</definedName>
    <definedName name="rgag" localSheetId="12">#REF!</definedName>
    <definedName name="rgag" localSheetId="14">#REF!</definedName>
    <definedName name="rgag">#REF!</definedName>
    <definedName name="rgaga" localSheetId="13">#REF!</definedName>
    <definedName name="rgaga" localSheetId="15">#REF!</definedName>
    <definedName name="rgaga" localSheetId="11">#REF!</definedName>
    <definedName name="rgaga" localSheetId="5">#REF!</definedName>
    <definedName name="rgaga" localSheetId="12">#REF!</definedName>
    <definedName name="rgaga" localSheetId="14">#REF!</definedName>
    <definedName name="rgaga">#REF!</definedName>
    <definedName name="rgargaagrge">#REF!</definedName>
    <definedName name="rggaea">#REF!</definedName>
    <definedName name="rgggaa">#REF!</definedName>
    <definedName name="rgtrg">#REF!</definedName>
    <definedName name="RiskCalc_lookup">#REF!</definedName>
    <definedName name="RiskCalc_SCORE">#REF!</definedName>
    <definedName name="RJSTEICHEN">#REF!</definedName>
    <definedName name="RM">#REF!</definedName>
    <definedName name="ROE_STATUS">#REF!</definedName>
    <definedName name="ROITENBERG">#REF!</definedName>
    <definedName name="Rollover_answer">#REF!</definedName>
    <definedName name="romanos">#REF!</definedName>
    <definedName name="RoughGradingCont" localSheetId="23">[16]Assumptions!#REF!</definedName>
    <definedName name="RoughGradingCont">[15]Assumptions!#REF!</definedName>
    <definedName name="roy" localSheetId="13">#REF!</definedName>
    <definedName name="roy" localSheetId="15">#REF!</definedName>
    <definedName name="roy" localSheetId="11">#REF!</definedName>
    <definedName name="roy" localSheetId="5">#REF!</definedName>
    <definedName name="roy" localSheetId="12">#REF!</definedName>
    <definedName name="roy" localSheetId="14">#REF!</definedName>
    <definedName name="roy">#REF!</definedName>
    <definedName name="RR" localSheetId="13">#REF!</definedName>
    <definedName name="RR" localSheetId="15">#REF!</definedName>
    <definedName name="RR" localSheetId="11">#REF!</definedName>
    <definedName name="RR" localSheetId="5">#REF!</definedName>
    <definedName name="RR" localSheetId="12">#REF!</definedName>
    <definedName name="RR" localSheetId="14">#REF!</definedName>
    <definedName name="RR">#REF!</definedName>
    <definedName name="RR_BORDER" localSheetId="13">#REF!</definedName>
    <definedName name="RR_BORDER" localSheetId="15">#REF!</definedName>
    <definedName name="RR_BORDER" localSheetId="11">#REF!</definedName>
    <definedName name="RR_BORDER" localSheetId="5">#REF!</definedName>
    <definedName name="RR_BORDER" localSheetId="12">#REF!</definedName>
    <definedName name="RR_BORDER" localSheetId="14">#REF!</definedName>
    <definedName name="RR_BORDER">#REF!</definedName>
    <definedName name="ruby">#REF!</definedName>
    <definedName name="rvac">#REF!</definedName>
    <definedName name="RVACANCY">#REF!</definedName>
    <definedName name="Rwvu.ALL." localSheetId="2" hidden="1">#REF!,#REF!</definedName>
    <definedName name="Rwvu.ALL." hidden="1">'[9]SCHEDULE B+C'!$DF$1:$DG$65536,'[9]SCHEDULE B+C'!$DK$1:$DK$65536</definedName>
    <definedName name="Rwvu.CAM._.RATES." localSheetId="13" hidden="1">#REF!,#REF!,#REF!</definedName>
    <definedName name="Rwvu.CAM._.RATES." localSheetId="15" hidden="1">#REF!,#REF!,#REF!</definedName>
    <definedName name="Rwvu.CAM._.RATES." localSheetId="11" hidden="1">#REF!,#REF!,#REF!</definedName>
    <definedName name="Rwvu.CAM._.RATES." localSheetId="5" hidden="1">#REF!,#REF!,#REF!</definedName>
    <definedName name="Rwvu.CAM._.RATES." localSheetId="12" hidden="1">#REF!,#REF!,#REF!</definedName>
    <definedName name="Rwvu.CAM._.RATES." localSheetId="14" hidden="1">#REF!,#REF!,#REF!</definedName>
    <definedName name="Rwvu.CAM._.RATES." hidden="1">#REF!,#REF!,#REF!</definedName>
    <definedName name="Rwvu.CAM._.RECOVERIES." localSheetId="2" hidden="1">#REF!,#REF!,#REF!</definedName>
    <definedName name="Rwvu.CAM._.RECOVERIES." hidden="1">'[9]SCHEDULE B+C'!$B$1:$C$65536,'[9]SCHEDULE B+C'!$E$1:$BH$65536,'[9]SCHEDULE B+C'!$BX$1:$DM$65536</definedName>
    <definedName name="Rwvu.CAM._.RECOVERY." localSheetId="13" hidden="1">#REF!,#REF!,#REF!</definedName>
    <definedName name="Rwvu.CAM._.RECOVERY." localSheetId="15" hidden="1">#REF!,#REF!,#REF!</definedName>
    <definedName name="Rwvu.CAM._.RECOVERY." localSheetId="11" hidden="1">#REF!,#REF!,#REF!</definedName>
    <definedName name="Rwvu.CAM._.RECOVERY." localSheetId="5" hidden="1">#REF!,#REF!,#REF!</definedName>
    <definedName name="Rwvu.CAM._.RECOVERY." localSheetId="12" hidden="1">#REF!,#REF!,#REF!</definedName>
    <definedName name="Rwvu.CAM._.RECOVERY." localSheetId="14" hidden="1">#REF!,#REF!,#REF!</definedName>
    <definedName name="Rwvu.CAM._.RECOVERY." hidden="1">#REF!,#REF!,#REF!</definedName>
    <definedName name="Rwvu.CAM._.TABLE." localSheetId="2" hidden="1">#REF!,#REF!,#REF!</definedName>
    <definedName name="Rwvu.CAM._.TABLE." hidden="1">'[9]SCHEDULE B+C'!$B$1:$C$65536,'[9]SCHEDULE B+C'!$E$1:$BH$65536,'[9]SCHEDULE B+C'!$BX$1:$DM$65536</definedName>
    <definedName name="Rwvu.INSURANCE._.RECOVERIES." localSheetId="2" hidden="1">#REF!,#REF!,#REF!,#REF!</definedName>
    <definedName name="Rwvu.INSURANCE._.RECOVERIES." hidden="1">'[9]SCHEDULE B+C'!$B$1:$C$65536,'[9]SCHEDULE B+C'!$E$1:$BH$65536,'[9]SCHEDULE B+C'!$BJ$1:$CK$65536,'[9]SCHEDULE B+C'!$CZ$1:$EP$65536</definedName>
    <definedName name="Rwvu.LSMEET." localSheetId="13" hidden="1">#REF!,#REF!,#REF!,#REF!</definedName>
    <definedName name="Rwvu.LSMEET." localSheetId="15" hidden="1">#REF!,#REF!,#REF!,#REF!</definedName>
    <definedName name="Rwvu.LSMEET." localSheetId="11" hidden="1">#REF!,#REF!,#REF!,#REF!</definedName>
    <definedName name="Rwvu.LSMEET." localSheetId="5" hidden="1">#REF!,#REF!,#REF!,#REF!</definedName>
    <definedName name="Rwvu.LSMEET." localSheetId="12" hidden="1">#REF!,#REF!,#REF!,#REF!</definedName>
    <definedName name="Rwvu.LSMEET." localSheetId="14" hidden="1">#REF!,#REF!,#REF!,#REF!</definedName>
    <definedName name="Rwvu.LSMEET." hidden="1">#REF!,#REF!,#REF!,#REF!</definedName>
    <definedName name="Rwvu.MARKETING._.REVENUE." localSheetId="13" hidden="1">#REF!,#REF!,#REF!</definedName>
    <definedName name="Rwvu.MARKETING._.REVENUE." localSheetId="15" hidden="1">#REF!,#REF!,#REF!</definedName>
    <definedName name="Rwvu.MARKETING._.REVENUE." localSheetId="11" hidden="1">#REF!,#REF!,#REF!</definedName>
    <definedName name="Rwvu.MARKETING._.REVENUE." localSheetId="5" hidden="1">#REF!,#REF!,#REF!</definedName>
    <definedName name="Rwvu.MARKETING._.REVENUE." localSheetId="12" hidden="1">#REF!,#REF!,#REF!</definedName>
    <definedName name="Rwvu.MARKETING._.REVENUE." localSheetId="14" hidden="1">#REF!,#REF!,#REF!</definedName>
    <definedName name="Rwvu.MARKETING._.REVENUE." hidden="1">#REF!,#REF!,#REF!</definedName>
    <definedName name="Rwvu.MINIMUM._.RENT." localSheetId="2" hidden="1">#REF!,#REF!</definedName>
    <definedName name="Rwvu.MINIMUM._.RENT." hidden="1">'[9]SCHEDULE B+C'!$B$1:$C$65536,'[9]SCHEDULE B+C'!$X$1:$DL$65536</definedName>
    <definedName name="Rwvu.OCCUPANCY." localSheetId="13" hidden="1">#REF!,#REF!,#REF!</definedName>
    <definedName name="Rwvu.OCCUPANCY." localSheetId="15" hidden="1">#REF!,#REF!,#REF!</definedName>
    <definedName name="Rwvu.OCCUPANCY." localSheetId="11" hidden="1">#REF!,#REF!,#REF!</definedName>
    <definedName name="Rwvu.OCCUPANCY." localSheetId="5" hidden="1">#REF!,#REF!,#REF!</definedName>
    <definedName name="Rwvu.OCCUPANCY." localSheetId="12" hidden="1">#REF!,#REF!,#REF!</definedName>
    <definedName name="Rwvu.OCCUPANCY." localSheetId="14" hidden="1">#REF!,#REF!,#REF!</definedName>
    <definedName name="Rwvu.OCCUPANCY." hidden="1">#REF!,#REF!,#REF!</definedName>
    <definedName name="Rwvu.OCCUPANCY._.ANALYSIS." localSheetId="2" hidden="1">#REF!,#REF!,#REF!</definedName>
    <definedName name="Rwvu.OCCUPANCY._.ANALYSIS." hidden="1">'[9]SCHEDULE B+C'!$B$1:$C$65536,'[9]SCHEDULE B+C'!$H$1:$AV$65536,'[9]SCHEDULE B+C'!$BJ$1:$FG$65536</definedName>
    <definedName name="Rwvu.PERCENTAGE._.RENT." localSheetId="2" hidden="1">#REF!,#REF!,#REF!</definedName>
    <definedName name="Rwvu.PERCENTAGE._.RENT." hidden="1">'[9]SCHEDULE B+C'!$B$1:$C$65536,'[9]SCHEDULE B+C'!$E$1:$W$65536,'[9]SCHEDULE B+C'!$AW$1:$DL$65536</definedName>
    <definedName name="Rwvu.TAX._.RATES." localSheetId="13" hidden="1">#REF!,#REF!,#REF!</definedName>
    <definedName name="Rwvu.TAX._.RATES." localSheetId="15" hidden="1">#REF!,#REF!,#REF!</definedName>
    <definedName name="Rwvu.TAX._.RATES." localSheetId="11" hidden="1">#REF!,#REF!,#REF!</definedName>
    <definedName name="Rwvu.TAX._.RATES." localSheetId="5" hidden="1">#REF!,#REF!,#REF!</definedName>
    <definedName name="Rwvu.TAX._.RATES." localSheetId="12" hidden="1">#REF!,#REF!,#REF!</definedName>
    <definedName name="Rwvu.TAX._.RATES." localSheetId="14" hidden="1">#REF!,#REF!,#REF!</definedName>
    <definedName name="Rwvu.TAX._.RATES." hidden="1">#REF!,#REF!,#REF!</definedName>
    <definedName name="Rwvu.TAX._.RECOVERIES." localSheetId="2" hidden="1">#REF!,#REF!,#REF!,#REF!</definedName>
    <definedName name="Rwvu.TAX._.RECOVERIES." hidden="1">'[9]SCHEDULE B+C'!$B$1:$C$65536,'[9]SCHEDULE B+C'!$E$1:$BH$65536,'[9]SCHEDULE B+C'!$BJ$1:$BW$65536,'[9]SCHEDULE B+C'!$CL$1:$EY$65536</definedName>
    <definedName name="Rwvu.TAX._.RECOVERY." localSheetId="13" hidden="1">#REF!,#REF!,#REF!</definedName>
    <definedName name="Rwvu.TAX._.RECOVERY." localSheetId="15" hidden="1">#REF!,#REF!,#REF!</definedName>
    <definedName name="Rwvu.TAX._.RECOVERY." localSheetId="11" hidden="1">#REF!,#REF!,#REF!</definedName>
    <definedName name="Rwvu.TAX._.RECOVERY." localSheetId="5" hidden="1">#REF!,#REF!,#REF!</definedName>
    <definedName name="Rwvu.TAX._.RECOVERY." localSheetId="12" hidden="1">#REF!,#REF!,#REF!</definedName>
    <definedName name="Rwvu.TAX._.RECOVERY." localSheetId="14" hidden="1">#REF!,#REF!,#REF!</definedName>
    <definedName name="Rwvu.TAX._.RECOVERY." hidden="1">#REF!,#REF!,#REF!</definedName>
    <definedName name="Rwvu.WAT." localSheetId="13" hidden="1">#REF!</definedName>
    <definedName name="Rwvu.WAT." localSheetId="15" hidden="1">#REF!</definedName>
    <definedName name="Rwvu.WAT." localSheetId="11" hidden="1">#REF!</definedName>
    <definedName name="Rwvu.WAT." localSheetId="5" hidden="1">#REF!</definedName>
    <definedName name="Rwvu.WAT." localSheetId="12" hidden="1">#REF!</definedName>
    <definedName name="Rwvu.WAT." localSheetId="14" hidden="1">#REF!</definedName>
    <definedName name="Rwvu.WAT." hidden="1">#REF!</definedName>
    <definedName name="S_and_U_Input">#REF!</definedName>
    <definedName name="sale">#REF!</definedName>
    <definedName name="SALE_PER" localSheetId="13">'[5]AVI-JV-PROFORMA'!#REF!</definedName>
    <definedName name="SALE_PER" localSheetId="15">'[5]AVI-JV-PROFORMA'!#REF!</definedName>
    <definedName name="SALE_PER" localSheetId="11">'[5]AVI-JV-PROFORMA'!#REF!</definedName>
    <definedName name="SALE_PER" localSheetId="5">'[5]AVI-JV-PROFORMA'!#REF!</definedName>
    <definedName name="SALE_PER" localSheetId="12">'[5]AVI-JV-PROFORMA'!#REF!</definedName>
    <definedName name="SALE_PER" localSheetId="2">'[3]AVI-JV-PROFORMA'!#REF!</definedName>
    <definedName name="SALE_PER" localSheetId="23">'[4]AVI-JV-PROFORMA'!#REF!</definedName>
    <definedName name="SALE_PER" localSheetId="14">'[5]AVI-JV-PROFORMA'!#REF!</definedName>
    <definedName name="SALE_PER">'[5]AVI-JV-PROFORMA'!#REF!</definedName>
    <definedName name="SaleCap" localSheetId="23">[19]Assumptions!$C$165</definedName>
    <definedName name="SaleCap">[20]Assumptions!$C$165</definedName>
    <definedName name="saledays" localSheetId="13">#REF!</definedName>
    <definedName name="saledays" localSheetId="15">#REF!</definedName>
    <definedName name="saledays" localSheetId="11">#REF!</definedName>
    <definedName name="saledays" localSheetId="5">#REF!</definedName>
    <definedName name="saledays" localSheetId="12">#REF!</definedName>
    <definedName name="saledays" localSheetId="14">#REF!</definedName>
    <definedName name="saledays">#REF!</definedName>
    <definedName name="SALES_PERIOD" localSheetId="13">#REF!</definedName>
    <definedName name="SALES_PERIOD" localSheetId="15">#REF!</definedName>
    <definedName name="SALES_PERIOD" localSheetId="11">#REF!</definedName>
    <definedName name="SALES_PERIOD" localSheetId="5">#REF!</definedName>
    <definedName name="SALES_PERIOD" localSheetId="12">#REF!</definedName>
    <definedName name="SALES_PERIOD" localSheetId="14">#REF!</definedName>
    <definedName name="SALES_PERIOD">#REF!</definedName>
    <definedName name="SALES_TEAM" localSheetId="13">#REF!</definedName>
    <definedName name="SALES_TEAM" localSheetId="15">#REF!</definedName>
    <definedName name="SALES_TEAM" localSheetId="11">#REF!</definedName>
    <definedName name="SALES_TEAM" localSheetId="5">#REF!</definedName>
    <definedName name="SALES_TEAM" localSheetId="12">#REF!</definedName>
    <definedName name="SALES_TEAM" localSheetId="14">#REF!</definedName>
    <definedName name="SALES_TEAM">#REF!</definedName>
    <definedName name="SalesRevInflationPerHome">[68]Formulas!$E$349</definedName>
    <definedName name="SalesTaxPrecentage" localSheetId="23">'[48]Master2328-All Improvements'!#REF!</definedName>
    <definedName name="SalesTaxPrecentage">'[49]Master2328-All Improvements'!#REF!</definedName>
    <definedName name="SaleYear" localSheetId="23">[19]Assumptions!$C$168</definedName>
    <definedName name="SaleYear">[22]Assumptions!$C$168</definedName>
    <definedName name="Sample1">[73]Template!#REF!</definedName>
    <definedName name="SandUsesTaxTreatment">#REF!</definedName>
    <definedName name="sas" localSheetId="13">#REF!</definedName>
    <definedName name="sas" localSheetId="15">#REF!</definedName>
    <definedName name="sas" localSheetId="11">#REF!</definedName>
    <definedName name="sas" localSheetId="5">#REF!</definedName>
    <definedName name="sas" localSheetId="12">#REF!</definedName>
    <definedName name="sas" localSheetId="14">#REF!</definedName>
    <definedName name="sas">#REF!</definedName>
    <definedName name="SAVANNAH" localSheetId="13">#REF!</definedName>
    <definedName name="SAVANNAH" localSheetId="15">#REF!</definedName>
    <definedName name="SAVANNAH" localSheetId="11">#REF!</definedName>
    <definedName name="SAVANNAH" localSheetId="5">#REF!</definedName>
    <definedName name="SAVANNAH" localSheetId="12">#REF!</definedName>
    <definedName name="SAVANNAH" localSheetId="14">#REF!</definedName>
    <definedName name="SAVANNAH">#REF!</definedName>
    <definedName name="Savings" localSheetId="13">#REF!</definedName>
    <definedName name="Savings" localSheetId="15">#REF!</definedName>
    <definedName name="Savings" localSheetId="11">#REF!</definedName>
    <definedName name="Savings" localSheetId="5">#REF!</definedName>
    <definedName name="Savings" localSheetId="12">#REF!</definedName>
    <definedName name="Savings" localSheetId="14">#REF!</definedName>
    <definedName name="Savings">#REF!</definedName>
    <definedName name="SBLCPricing_1">#REF!</definedName>
    <definedName name="SBLCPricing_2">#REF!</definedName>
    <definedName name="SBLCPricing_3">#REF!</definedName>
    <definedName name="SBLCPricing_4">#REF!</definedName>
    <definedName name="SBLCPricing_5">#REF!</definedName>
    <definedName name="SBLCPricing_6">#REF!</definedName>
    <definedName name="Scenario" localSheetId="23">[16]Assumptions!$F$14</definedName>
    <definedName name="Scenario">[22]Assumptions!$F$14</definedName>
    <definedName name="ScenarioDescription" localSheetId="23">[32]Assumptions!$F$14</definedName>
    <definedName name="ScenarioDescription">[33]Assumptions!$F$14</definedName>
    <definedName name="Scurve_dist" localSheetId="13">#REF!</definedName>
    <definedName name="Scurve_dist" localSheetId="15">#REF!</definedName>
    <definedName name="Scurve_dist" localSheetId="11">#REF!</definedName>
    <definedName name="Scurve_dist" localSheetId="5">#REF!</definedName>
    <definedName name="Scurve_dist" localSheetId="12">#REF!</definedName>
    <definedName name="Scurve_dist" localSheetId="23">'[74]Construction Draw Est.'!$C$5</definedName>
    <definedName name="Scurve_dist" localSheetId="14">#REF!</definedName>
    <definedName name="Scurve_dist">#REF!</definedName>
    <definedName name="SE_1" localSheetId="13">#REF!</definedName>
    <definedName name="SE_1" localSheetId="15">#REF!</definedName>
    <definedName name="SE_1" localSheetId="11">#REF!</definedName>
    <definedName name="SE_1" localSheetId="5">#REF!</definedName>
    <definedName name="SE_1" localSheetId="12">#REF!</definedName>
    <definedName name="SE_1" localSheetId="14">#REF!</definedName>
    <definedName name="SE_1">#REF!</definedName>
    <definedName name="SE_2" localSheetId="13">#REF!</definedName>
    <definedName name="SE_2" localSheetId="15">#REF!</definedName>
    <definedName name="SE_2" localSheetId="11">#REF!</definedName>
    <definedName name="SE_2" localSheetId="5">#REF!</definedName>
    <definedName name="SE_2" localSheetId="12">#REF!</definedName>
    <definedName name="SE_2" localSheetId="14">#REF!</definedName>
    <definedName name="SE_2">#REF!</definedName>
    <definedName name="SE_3">#REF!</definedName>
    <definedName name="SE_4">#REF!</definedName>
    <definedName name="SE_5">#REF!</definedName>
    <definedName name="SE_6">#REF!</definedName>
    <definedName name="SE_7">#REF!</definedName>
    <definedName name="secsal">[26]CAMINVBU!#REF!</definedName>
    <definedName name="Section_of_Act" localSheetId="13">#REF!</definedName>
    <definedName name="Section_of_Act" localSheetId="15">#REF!</definedName>
    <definedName name="Section_of_Act" localSheetId="11">#REF!</definedName>
    <definedName name="Section_of_Act" localSheetId="5">#REF!</definedName>
    <definedName name="Section_of_Act" localSheetId="12">#REF!</definedName>
    <definedName name="Section_of_Act" localSheetId="14">#REF!</definedName>
    <definedName name="Section_of_Act">#REF!</definedName>
    <definedName name="SecuritiesLending_Gross" localSheetId="13">#REF!</definedName>
    <definedName name="SecuritiesLending_Gross" localSheetId="15">#REF!</definedName>
    <definedName name="SecuritiesLending_Gross" localSheetId="11">#REF!</definedName>
    <definedName name="SecuritiesLending_Gross" localSheetId="5">#REF!</definedName>
    <definedName name="SecuritiesLending_Gross" localSheetId="12">#REF!</definedName>
    <definedName name="SecuritiesLending_Gross" localSheetId="14">#REF!</definedName>
    <definedName name="SecuritiesLending_Gross">#REF!</definedName>
    <definedName name="Select_LOB" localSheetId="13">#REF!</definedName>
    <definedName name="Select_LOB" localSheetId="15">#REF!</definedName>
    <definedName name="Select_LOB" localSheetId="11">#REF!</definedName>
    <definedName name="Select_LOB" localSheetId="5">#REF!</definedName>
    <definedName name="Select_LOB" localSheetId="12">#REF!</definedName>
    <definedName name="Select_LOB" localSheetId="14">#REF!</definedName>
    <definedName name="Select_LOB">#REF!</definedName>
    <definedName name="Semiannual_netyield">#REF!</definedName>
    <definedName name="sencount" hidden="1">1</definedName>
    <definedName name="Sensitivity1Print">#REF!</definedName>
    <definedName name="Sensitivity2Print">#REF!</definedName>
    <definedName name="SensitivityDataPart1Tables">#REF!</definedName>
    <definedName name="SensitivityDataPart2Tables">#REF!</definedName>
    <definedName name="SensitivityDataTables">#REF!</definedName>
    <definedName name="SensitivityPart1Tables" localSheetId="23">[7]Assumptions!#REF!</definedName>
    <definedName name="SensitivityPart1Tables">[6]Assumptions!#REF!</definedName>
    <definedName name="SensitivityPart2Tables" localSheetId="23">[7]Assumptions!#REF!</definedName>
    <definedName name="SensitivityPart2Tables">[6]Assumptions!#REF!</definedName>
    <definedName name="SensitivityTables" localSheetId="23">[7]Assumptions!#REF!</definedName>
    <definedName name="SensitivityTables">[6]Assumptions!#REF!</definedName>
    <definedName name="serv">#N/A</definedName>
    <definedName name="servicefee">#REF!</definedName>
    <definedName name="servicing_correspondent">#REF!</definedName>
    <definedName name="SF">#REF!</definedName>
    <definedName name="sfdgfsdg">[14]A!$A$193:$Q$241</definedName>
    <definedName name="SFRATE" localSheetId="13">#REF!</definedName>
    <definedName name="SFRATE" localSheetId="15">#REF!</definedName>
    <definedName name="SFRATE" localSheetId="11">#REF!</definedName>
    <definedName name="SFRATE" localSheetId="5">#REF!</definedName>
    <definedName name="SFRATE" localSheetId="12">#REF!</definedName>
    <definedName name="SFRATE" localSheetId="14">#REF!</definedName>
    <definedName name="SFRATE">#REF!</definedName>
    <definedName name="SFRATECALC" localSheetId="13">#REF!</definedName>
    <definedName name="SFRATECALC" localSheetId="15">#REF!</definedName>
    <definedName name="SFRATECALC" localSheetId="11">#REF!</definedName>
    <definedName name="SFRATECALC" localSheetId="5">#REF!</definedName>
    <definedName name="SFRATECALC" localSheetId="12">#REF!</definedName>
    <definedName name="SFRATECALC" localSheetId="14">#REF!</definedName>
    <definedName name="SFRATECALC">#REF!</definedName>
    <definedName name="SH2003A">'[17]CFSH 2003A Consol'!$A$1</definedName>
    <definedName name="ShortTermCostInflation" localSheetId="23">[16]Assumptions!#REF!</definedName>
    <definedName name="ShortTermCostInflation">[15]Assumptions!#REF!</definedName>
    <definedName name="ShortTermRevInflation" localSheetId="23">[16]Assumptions!#REF!</definedName>
    <definedName name="ShortTermRevInflation">[15]Assumptions!#REF!</definedName>
    <definedName name="Show.Date" localSheetId="13">IF('[72]Amortization Table'!XET1048563&lt;&gt;"",DATE(YEAR('Another Uselss'!First_payment_due),MONTH('Another Uselss'!First_payment_due)+('[72]Amortization Table'!XET1048563-1)*12/[10]!Payments_per_year,DAY('Another Uselss'!First_payment_due)),"")</definedName>
    <definedName name="Show.Date" localSheetId="15">IF('[72]Amortization Table'!XET1048563&lt;&gt;"",DATE(YEAR('Another Uselss (2)'!First_payment_due),MONTH('Another Uselss (2)'!First_payment_due)+('[72]Amortization Table'!XET1048563-1)*12/[10]!Payments_per_year,DAY('Another Uselss (2)'!First_payment_due)),"")</definedName>
    <definedName name="Show.Date" localSheetId="11">IF('[72]Amortization Table'!XET1048563&lt;&gt;"",DATE(YEAR('Comparison to Other'!First_payment_due),MONTH('Comparison to Other'!First_payment_due)+('[72]Amortization Table'!XET1048563-1)*12/[10]!Payments_per_year,DAY('Comparison to Other'!First_payment_due)),"")</definedName>
    <definedName name="Show.Date" localSheetId="5">IF('[72]Amortization Table'!XET1048563&lt;&gt;"",DATE(YEAR('Comparison to Previous'!First_payment_due),MONTH('Comparison to Previous'!First_payment_due)+('[72]Amortization Table'!XET1048563-1)*12/[10]!Payments_per_year,DAY('Comparison to Previous'!First_payment_due)),"")</definedName>
    <definedName name="Show.Date" localSheetId="12">IF('[72]Amortization Table'!XET1048563&lt;&gt;"",DATE(YEAR('Comparison to Previous (2)'!First_payment_due),MONTH('Comparison to Previous (2)'!First_payment_due)+('[72]Amortization Table'!XET1048563-1)*12/[10]!Payments_per_year,DAY('Comparison to Previous (2)'!First_payment_due)),"")</definedName>
    <definedName name="Show.Date" localSheetId="2">IF('[72]Amortization Table'!XET1048563&lt;&gt;"",DATE(YEAR([0]!First_payment_due),MONTH([0]!First_payment_due)+('[72]Amortization Table'!XET1048563-1)*12/[0]!Payments_per_year,DAY([0]!First_payment_due)),"")</definedName>
    <definedName name="Show.Date" localSheetId="23">IF('[72]Amortization Table'!XET1048563&lt;&gt;"",DATE(YEAR([0]!First_payment_due),MONTH([0]!First_payment_due)+('[72]Amortization Table'!XET1048563-1)*12/[0]!Payments_per_year,DAY([0]!First_payment_due)),"")</definedName>
    <definedName name="Show.Date" localSheetId="14">IF('[72]Amortization Table'!XET1048563&lt;&gt;"",DATE(YEAR('Useless Breakdown'!First_payment_due),MONTH('Useless Breakdown'!First_payment_due)+('[72]Amortization Table'!XET1048563-1)*12/[10]!Payments_per_year,DAY('Useless Breakdown'!First_payment_due)),"")</definedName>
    <definedName name="Show.Date">IF('[72]Amortization Table'!XET1048563&lt;&gt;"",DATE(YEAR([10]!First_payment_due),MONTH([10]!First_payment_due)+('[72]Amortization Table'!XET1048563-1)*12/[10]!Payments_per_year,DAY([10]!First_payment_due)),"")</definedName>
    <definedName name="SISLEY_EXP">'[26]12_96 CAM'!#REF!</definedName>
    <definedName name="SISLEY_SQ">'[26]12_96 CAM'!#REF!</definedName>
    <definedName name="SKYCOURT" localSheetId="13">#REF!</definedName>
    <definedName name="SKYCOURT" localSheetId="15">#REF!</definedName>
    <definedName name="SKYCOURT" localSheetId="11">#REF!</definedName>
    <definedName name="SKYCOURT" localSheetId="5">#REF!</definedName>
    <definedName name="SKYCOURT" localSheetId="12">#REF!</definedName>
    <definedName name="SKYCOURT" localSheetId="14">#REF!</definedName>
    <definedName name="SKYCOURT">#REF!</definedName>
    <definedName name="snowrem" localSheetId="13">[26]CAMINVBU!#REF!</definedName>
    <definedName name="snowrem" localSheetId="15">[26]CAMINVBU!#REF!</definedName>
    <definedName name="snowrem" localSheetId="11">[26]CAMINVBU!#REF!</definedName>
    <definedName name="snowrem" localSheetId="5">[26]CAMINVBU!#REF!</definedName>
    <definedName name="snowrem" localSheetId="12">[26]CAMINVBU!#REF!</definedName>
    <definedName name="snowrem" localSheetId="14">[26]CAMINVBU!#REF!</definedName>
    <definedName name="snowrem">[26]CAMINVBU!#REF!</definedName>
    <definedName name="soa221d3" localSheetId="13">#REF!</definedName>
    <definedName name="soa221d3" localSheetId="15">#REF!</definedName>
    <definedName name="soa221d3" localSheetId="11">#REF!</definedName>
    <definedName name="soa221d3" localSheetId="5">#REF!</definedName>
    <definedName name="soa221d3" localSheetId="12">#REF!</definedName>
    <definedName name="soa221d3" localSheetId="14">#REF!</definedName>
    <definedName name="soa221d3">#REF!</definedName>
    <definedName name="soa221d4" localSheetId="13">#REF!</definedName>
    <definedName name="soa221d4" localSheetId="15">#REF!</definedName>
    <definedName name="soa221d4" localSheetId="11">#REF!</definedName>
    <definedName name="soa221d4" localSheetId="5">#REF!</definedName>
    <definedName name="soa221d4" localSheetId="12">#REF!</definedName>
    <definedName name="soa221d4" localSheetId="14">#REF!</definedName>
    <definedName name="soa221d4">#REF!</definedName>
    <definedName name="sources" localSheetId="13">#REF!</definedName>
    <definedName name="sources" localSheetId="15">#REF!</definedName>
    <definedName name="sources" localSheetId="11">#REF!</definedName>
    <definedName name="sources" localSheetId="5">#REF!</definedName>
    <definedName name="sources" localSheetId="12">#REF!</definedName>
    <definedName name="sources" localSheetId="14">#REF!</definedName>
    <definedName name="sources">#REF!</definedName>
    <definedName name="SOURCES_and_Uses">#REF!</definedName>
    <definedName name="SourceUseCover">#REF!</definedName>
    <definedName name="sponsor_1_net_worth">#REF!</definedName>
    <definedName name="sponsor_2_net_worth">#REF!</definedName>
    <definedName name="sponsor_name_1">#REF!</definedName>
    <definedName name="sponsor_name_2">#REF!</definedName>
    <definedName name="Spread_1">#REF!</definedName>
    <definedName name="Spread_2">#REF!</definedName>
    <definedName name="Spread_3">#REF!</definedName>
    <definedName name="Spread_4">#REF!</definedName>
    <definedName name="Spread_5">#REF!</definedName>
    <definedName name="Spread_6">#REF!</definedName>
    <definedName name="Spread_Lookup">#REF!</definedName>
    <definedName name="SQ_8.00">#REF!</definedName>
    <definedName name="SQ_9.00">#REF!</definedName>
    <definedName name="SqFt">[56]Inputs!$C$6</definedName>
    <definedName name="SqFt2">[56]Inputs!$C$12</definedName>
    <definedName name="ssm" localSheetId="2" hidden="1">#REF!</definedName>
    <definedName name="ssm" hidden="1">[75]SSMGLA12!$B$168</definedName>
    <definedName name="Standby_1" localSheetId="13">#REF!</definedName>
    <definedName name="Standby_1" localSheetId="15">#REF!</definedName>
    <definedName name="Standby_1" localSheetId="11">#REF!</definedName>
    <definedName name="Standby_1" localSheetId="5">#REF!</definedName>
    <definedName name="Standby_1" localSheetId="12">#REF!</definedName>
    <definedName name="Standby_1" localSheetId="14">#REF!</definedName>
    <definedName name="Standby_1">#REF!</definedName>
    <definedName name="Standby_2" localSheetId="13">#REF!</definedName>
    <definedName name="Standby_2" localSheetId="15">#REF!</definedName>
    <definedName name="Standby_2" localSheetId="11">#REF!</definedName>
    <definedName name="Standby_2" localSheetId="5">#REF!</definedName>
    <definedName name="Standby_2" localSheetId="12">#REF!</definedName>
    <definedName name="Standby_2" localSheetId="14">#REF!</definedName>
    <definedName name="Standby_2">#REF!</definedName>
    <definedName name="Standby_3" localSheetId="13">#REF!</definedName>
    <definedName name="Standby_3" localSheetId="15">#REF!</definedName>
    <definedName name="Standby_3" localSheetId="11">#REF!</definedName>
    <definedName name="Standby_3" localSheetId="5">#REF!</definedName>
    <definedName name="Standby_3" localSheetId="12">#REF!</definedName>
    <definedName name="Standby_3" localSheetId="14">#REF!</definedName>
    <definedName name="Standby_3">#REF!</definedName>
    <definedName name="Standby_4">#REF!</definedName>
    <definedName name="Standby_5">#REF!</definedName>
    <definedName name="Standby_6">#REF!</definedName>
    <definedName name="State">#REF!</definedName>
    <definedName name="Status">#REF!</definedName>
    <definedName name="Status_1">#REF!</definedName>
    <definedName name="Status_2">#REF!</definedName>
    <definedName name="Status_3">#REF!</definedName>
    <definedName name="Status_4">#REF!</definedName>
    <definedName name="Status_5">#REF!</definedName>
    <definedName name="Status_6">#REF!</definedName>
    <definedName name="STEWART_TITLE">'[27]STWRT TTLE'!$A$13:$P$40</definedName>
    <definedName name="Stlinerent" localSheetId="13">#REF!</definedName>
    <definedName name="Stlinerent" localSheetId="15">#REF!</definedName>
    <definedName name="Stlinerent" localSheetId="11">#REF!</definedName>
    <definedName name="Stlinerent" localSheetId="5">#REF!</definedName>
    <definedName name="Stlinerent" localSheetId="12">#REF!</definedName>
    <definedName name="Stlinerent" localSheetId="14">#REF!</definedName>
    <definedName name="Stlinerent">#REF!</definedName>
    <definedName name="STONEMURPHY" localSheetId="13">#REF!</definedName>
    <definedName name="STONEMURPHY" localSheetId="15">#REF!</definedName>
    <definedName name="STONEMURPHY" localSheetId="11">#REF!</definedName>
    <definedName name="STONEMURPHY" localSheetId="5">#REF!</definedName>
    <definedName name="STONEMURPHY" localSheetId="12">#REF!</definedName>
    <definedName name="STONEMURPHY" localSheetId="14">#REF!</definedName>
    <definedName name="STONEMURPHY">#REF!</definedName>
    <definedName name="stop" localSheetId="2">#N/A</definedName>
    <definedName name="stop" localSheetId="23">(VLOOKUP([0]!Grade_5,[0]!AllocTable,2))</definedName>
    <definedName name="stop">#N/A</definedName>
    <definedName name="stop2" localSheetId="13" hidden="1">{#N/A,#N/A,TRUE,"Cerritos Gardens";#N/A,#N/A,TRUE,"Cerritos Gardens Plus .5%";#N/A,#N/A,TRUE,"Corte Bella";#N/A,#N/A,TRUE,"Corte Bella Plus .05%";#N/A,#N/A,TRUE,"Crystal Springs";#N/A,#N/A,TRUE,"Crystal Springs Plus .05%"}</definedName>
    <definedName name="stop2" localSheetId="15" hidden="1">{#N/A,#N/A,TRUE,"Cerritos Gardens";#N/A,#N/A,TRUE,"Cerritos Gardens Plus .5%";#N/A,#N/A,TRUE,"Corte Bella";#N/A,#N/A,TRUE,"Corte Bella Plus .05%";#N/A,#N/A,TRUE,"Crystal Springs";#N/A,#N/A,TRUE,"Crystal Springs Plus .05%"}</definedName>
    <definedName name="stop2" localSheetId="11" hidden="1">{#N/A,#N/A,TRUE,"Cerritos Gardens";#N/A,#N/A,TRUE,"Cerritos Gardens Plus .5%";#N/A,#N/A,TRUE,"Corte Bella";#N/A,#N/A,TRUE,"Corte Bella Plus .05%";#N/A,#N/A,TRUE,"Crystal Springs";#N/A,#N/A,TRUE,"Crystal Springs Plus .05%"}</definedName>
    <definedName name="stop2" localSheetId="5" hidden="1">{#N/A,#N/A,TRUE,"Cerritos Gardens";#N/A,#N/A,TRUE,"Cerritos Gardens Plus .5%";#N/A,#N/A,TRUE,"Corte Bella";#N/A,#N/A,TRUE,"Corte Bella Plus .05%";#N/A,#N/A,TRUE,"Crystal Springs";#N/A,#N/A,TRUE,"Crystal Springs Plus .05%"}</definedName>
    <definedName name="stop2" localSheetId="12" hidden="1">{#N/A,#N/A,TRUE,"Cerritos Gardens";#N/A,#N/A,TRUE,"Cerritos Gardens Plus .5%";#N/A,#N/A,TRUE,"Corte Bella";#N/A,#N/A,TRUE,"Corte Bella Plus .05%";#N/A,#N/A,TRUE,"Crystal Springs";#N/A,#N/A,TRUE,"Crystal Springs Plus .05%"}</definedName>
    <definedName name="stop2" localSheetId="2" hidden="1">{#N/A,#N/A,TRUE,"Cerritos Gardens";#N/A,#N/A,TRUE,"Cerritos Gardens Plus .5%";#N/A,#N/A,TRUE,"Corte Bella";#N/A,#N/A,TRUE,"Corte Bella Plus .05%";#N/A,#N/A,TRUE,"Crystal Springs";#N/A,#N/A,TRUE,"Crystal Springs Plus .05%"}</definedName>
    <definedName name="stop2" localSheetId="6" hidden="1">{#N/A,#N/A,TRUE,"Cerritos Gardens";#N/A,#N/A,TRUE,"Cerritos Gardens Plus .5%";#N/A,#N/A,TRUE,"Corte Bella";#N/A,#N/A,TRUE,"Corte Bella Plus .05%";#N/A,#N/A,TRUE,"Crystal Springs";#N/A,#N/A,TRUE,"Crystal Springs Plus .05%"}</definedName>
    <definedName name="stop2" localSheetId="23" hidden="1">{#N/A,#N/A,TRUE,"Cerritos Gardens";#N/A,#N/A,TRUE,"Cerritos Gardens Plus .5%";#N/A,#N/A,TRUE,"Corte Bella";#N/A,#N/A,TRUE,"Corte Bella Plus .05%";#N/A,#N/A,TRUE,"Crystal Springs";#N/A,#N/A,TRUE,"Crystal Springs Plus .05%"}</definedName>
    <definedName name="stop2" localSheetId="14" hidden="1">{#N/A,#N/A,TRUE,"Cerritos Gardens";#N/A,#N/A,TRUE,"Cerritos Gardens Plus .5%";#N/A,#N/A,TRUE,"Corte Bella";#N/A,#N/A,TRUE,"Corte Bella Plus .05%";#N/A,#N/A,TRUE,"Crystal Springs";#N/A,#N/A,TRUE,"Crystal Springs Plus .05%"}</definedName>
    <definedName name="stop2" hidden="1">{#N/A,#N/A,TRUE,"Cerritos Gardens";#N/A,#N/A,TRUE,"Cerritos Gardens Plus .5%";#N/A,#N/A,TRUE,"Corte Bella";#N/A,#N/A,TRUE,"Corte Bella Plus .05%";#N/A,#N/A,TRUE,"Crystal Springs";#N/A,#N/A,TRUE,"Crystal Springs Plus .05%"}</definedName>
    <definedName name="stop3" localSheetId="13" hidden="1">{#N/A,#N/A,FALSE,"Release Price";#N/A,#N/A,FALSE,"Cash flow for 50 Unit";#N/A,#N/A,FALSE,"Cash Flow for 3 Models"}</definedName>
    <definedName name="stop3" localSheetId="15" hidden="1">{#N/A,#N/A,FALSE,"Release Price";#N/A,#N/A,FALSE,"Cash flow for 50 Unit";#N/A,#N/A,FALSE,"Cash Flow for 3 Models"}</definedName>
    <definedName name="stop3" localSheetId="11" hidden="1">{#N/A,#N/A,FALSE,"Release Price";#N/A,#N/A,FALSE,"Cash flow for 50 Unit";#N/A,#N/A,FALSE,"Cash Flow for 3 Models"}</definedName>
    <definedName name="stop3" localSheetId="5" hidden="1">{#N/A,#N/A,FALSE,"Release Price";#N/A,#N/A,FALSE,"Cash flow for 50 Unit";#N/A,#N/A,FALSE,"Cash Flow for 3 Models"}</definedName>
    <definedName name="stop3" localSheetId="12" hidden="1">{#N/A,#N/A,FALSE,"Release Price";#N/A,#N/A,FALSE,"Cash flow for 50 Unit";#N/A,#N/A,FALSE,"Cash Flow for 3 Models"}</definedName>
    <definedName name="stop3" localSheetId="2" hidden="1">{#N/A,#N/A,FALSE,"Release Price";#N/A,#N/A,FALSE,"Cash flow for 50 Unit";#N/A,#N/A,FALSE,"Cash Flow for 3 Models"}</definedName>
    <definedName name="stop3" localSheetId="6" hidden="1">{#N/A,#N/A,FALSE,"Release Price";#N/A,#N/A,FALSE,"Cash flow for 50 Unit";#N/A,#N/A,FALSE,"Cash Flow for 3 Models"}</definedName>
    <definedName name="stop3" localSheetId="23" hidden="1">{#N/A,#N/A,FALSE,"Release Price";#N/A,#N/A,FALSE,"Cash flow for 50 Unit";#N/A,#N/A,FALSE,"Cash Flow for 3 Models"}</definedName>
    <definedName name="stop3" localSheetId="14" hidden="1">{#N/A,#N/A,FALSE,"Release Price";#N/A,#N/A,FALSE,"Cash flow for 50 Unit";#N/A,#N/A,FALSE,"Cash Flow for 3 Models"}</definedName>
    <definedName name="stop3" hidden="1">{#N/A,#N/A,FALSE,"Release Price";#N/A,#N/A,FALSE,"Cash flow for 50 Unit";#N/A,#N/A,FALSE,"Cash Flow for 3 Models"}</definedName>
    <definedName name="StreetNo" localSheetId="23">[19]Assumptions!$C$7</definedName>
    <definedName name="StreetNo">[22]Assumptions!$C$7</definedName>
    <definedName name="strengths_comment" localSheetId="13">#REF!</definedName>
    <definedName name="strengths_comment" localSheetId="15">#REF!</definedName>
    <definedName name="strengths_comment" localSheetId="11">#REF!</definedName>
    <definedName name="strengths_comment" localSheetId="5">#REF!</definedName>
    <definedName name="strengths_comment" localSheetId="12">#REF!</definedName>
    <definedName name="strengths_comment" localSheetId="14">#REF!</definedName>
    <definedName name="strengths_comment">#REF!</definedName>
    <definedName name="struct_eng" localSheetId="13">#REF!</definedName>
    <definedName name="struct_eng" localSheetId="15">#REF!</definedName>
    <definedName name="struct_eng" localSheetId="11">#REF!</definedName>
    <definedName name="struct_eng" localSheetId="5">#REF!</definedName>
    <definedName name="struct_eng" localSheetId="12">#REF!</definedName>
    <definedName name="struct_eng" localSheetId="14">#REF!</definedName>
    <definedName name="struct_eng">#REF!</definedName>
    <definedName name="struct_eng_b181" localSheetId="13">#REF!</definedName>
    <definedName name="struct_eng_b181" localSheetId="15">#REF!</definedName>
    <definedName name="struct_eng_b181" localSheetId="11">#REF!</definedName>
    <definedName name="struct_eng_b181" localSheetId="5">#REF!</definedName>
    <definedName name="struct_eng_b181" localSheetId="12">#REF!</definedName>
    <definedName name="struct_eng_b181" localSheetId="14">#REF!</definedName>
    <definedName name="struct_eng_b181">#REF!</definedName>
    <definedName name="struct_eng_b181_amend">#REF!</definedName>
    <definedName name="struct_eng_blank">#REF!</definedName>
    <definedName name="struct_eng_coi">#REF!</definedName>
    <definedName name="struct_eng_info">#REF!</definedName>
    <definedName name="struct_eng_license">#REF!</definedName>
    <definedName name="struct_eng_quals">#REF!</definedName>
    <definedName name="StructuredFinance">#REF!</definedName>
    <definedName name="SUM">#REF!</definedName>
    <definedName name="Summary">#REF!</definedName>
    <definedName name="summary1">#REF!</definedName>
    <definedName name="Summationvalue">#REF!</definedName>
    <definedName name="summationvalueltv">#REF!</definedName>
    <definedName name="SV2003A">'[17]CFSV 2003A Consol'!$A$1</definedName>
    <definedName name="Sweep" localSheetId="13">#REF!</definedName>
    <definedName name="Sweep" localSheetId="15">#REF!</definedName>
    <definedName name="Sweep" localSheetId="11">#REF!</definedName>
    <definedName name="Sweep" localSheetId="5">#REF!</definedName>
    <definedName name="Sweep" localSheetId="12">#REF!</definedName>
    <definedName name="Sweep" localSheetId="14">#REF!</definedName>
    <definedName name="Sweep">#REF!</definedName>
    <definedName name="Swvu.ALL." localSheetId="13" hidden="1">#REF!</definedName>
    <definedName name="Swvu.ALL." localSheetId="15" hidden="1">#REF!</definedName>
    <definedName name="Swvu.ALL." localSheetId="11" hidden="1">#REF!</definedName>
    <definedName name="Swvu.ALL." localSheetId="5" hidden="1">#REF!</definedName>
    <definedName name="Swvu.ALL." localSheetId="12" hidden="1">#REF!</definedName>
    <definedName name="Swvu.ALL." localSheetId="14" hidden="1">#REF!</definedName>
    <definedName name="Swvu.ALL." hidden="1">#REF!</definedName>
    <definedName name="Swvu.CAM._.RATES." localSheetId="13" hidden="1">#REF!</definedName>
    <definedName name="Swvu.CAM._.RATES." localSheetId="15" hidden="1">#REF!</definedName>
    <definedName name="Swvu.CAM._.RATES." localSheetId="11" hidden="1">#REF!</definedName>
    <definedName name="Swvu.CAM._.RATES." localSheetId="5" hidden="1">#REF!</definedName>
    <definedName name="Swvu.CAM._.RATES." localSheetId="12" hidden="1">#REF!</definedName>
    <definedName name="Swvu.CAM._.RATES." localSheetId="14" hidden="1">#REF!</definedName>
    <definedName name="Swvu.CAM._.RATES." hidden="1">#REF!</definedName>
    <definedName name="Swvu.CAM._.RECOVERIES." localSheetId="2" hidden="1">#REF!</definedName>
    <definedName name="Swvu.CAM._.RECOVERIES." hidden="1">'[9]SCHEDULE B+C'!$BV$162</definedName>
    <definedName name="Swvu.CAM._.RECOVERY." localSheetId="13" hidden="1">#REF!</definedName>
    <definedName name="Swvu.CAM._.RECOVERY." localSheetId="15" hidden="1">#REF!</definedName>
    <definedName name="Swvu.CAM._.RECOVERY." localSheetId="11" hidden="1">#REF!</definedName>
    <definedName name="Swvu.CAM._.RECOVERY." localSheetId="5" hidden="1">#REF!</definedName>
    <definedName name="Swvu.CAM._.RECOVERY." localSheetId="12" hidden="1">#REF!</definedName>
    <definedName name="Swvu.CAM._.RECOVERY." localSheetId="14" hidden="1">#REF!</definedName>
    <definedName name="Swvu.CAM._.RECOVERY." hidden="1">#REF!</definedName>
    <definedName name="Swvu.CAM._.TABLE." localSheetId="2" hidden="1">#REF!</definedName>
    <definedName name="Swvu.CAM._.TABLE." hidden="1">'[9]SCHEDULE B+C'!$BW$210</definedName>
    <definedName name="Swvu.INSURANCE._.RECOVERIES." localSheetId="2" hidden="1">#REF!</definedName>
    <definedName name="Swvu.INSURANCE._.RECOVERIES." hidden="1">'[9]SCHEDULE B+C'!$CY$159</definedName>
    <definedName name="Swvu.LSMEET." localSheetId="13" hidden="1">#REF!</definedName>
    <definedName name="Swvu.LSMEET." localSheetId="15" hidden="1">#REF!</definedName>
    <definedName name="Swvu.LSMEET." localSheetId="11" hidden="1">#REF!</definedName>
    <definedName name="Swvu.LSMEET." localSheetId="5" hidden="1">#REF!</definedName>
    <definedName name="Swvu.LSMEET." localSheetId="12" hidden="1">#REF!</definedName>
    <definedName name="Swvu.LSMEET." localSheetId="14" hidden="1">#REF!</definedName>
    <definedName name="Swvu.LSMEET." hidden="1">#REF!</definedName>
    <definedName name="Swvu.MARKETING._.REVENUE." localSheetId="13" hidden="1">#REF!</definedName>
    <definedName name="Swvu.MARKETING._.REVENUE." localSheetId="15" hidden="1">#REF!</definedName>
    <definedName name="Swvu.MARKETING._.REVENUE." localSheetId="11" hidden="1">#REF!</definedName>
    <definedName name="Swvu.MARKETING._.REVENUE." localSheetId="5" hidden="1">#REF!</definedName>
    <definedName name="Swvu.MARKETING._.REVENUE." localSheetId="12" hidden="1">#REF!</definedName>
    <definedName name="Swvu.MARKETING._.REVENUE." localSheetId="14" hidden="1">#REF!</definedName>
    <definedName name="Swvu.MARKETING._.REVENUE." hidden="1">#REF!</definedName>
    <definedName name="Swvu.MINIMUM._.RENT." localSheetId="2" hidden="1">#REF!</definedName>
    <definedName name="Swvu.MINIMUM._.RENT." hidden="1">'[9]SCHEDULE B+C'!$A$1</definedName>
    <definedName name="Swvu.OCCUPANCY." localSheetId="13" hidden="1">#REF!</definedName>
    <definedName name="Swvu.OCCUPANCY." localSheetId="15" hidden="1">#REF!</definedName>
    <definedName name="Swvu.OCCUPANCY." localSheetId="11" hidden="1">#REF!</definedName>
    <definedName name="Swvu.OCCUPANCY." localSheetId="5" hidden="1">#REF!</definedName>
    <definedName name="Swvu.OCCUPANCY." localSheetId="12" hidden="1">#REF!</definedName>
    <definedName name="Swvu.OCCUPANCY." localSheetId="14" hidden="1">#REF!</definedName>
    <definedName name="Swvu.OCCUPANCY." hidden="1">#REF!</definedName>
    <definedName name="Swvu.OCCUPANCY._.ANALYSIS." localSheetId="2" hidden="1">#REF!</definedName>
    <definedName name="Swvu.OCCUPANCY._.ANALYSIS." hidden="1">'[9]SCHEDULE B+C'!$BI$168</definedName>
    <definedName name="Swvu.PERCENTAGE._.RENT." localSheetId="2" hidden="1">#REF!</definedName>
    <definedName name="Swvu.PERCENTAGE._.RENT." hidden="1">'[9]SCHEDULE B+C'!$G$1:$G$65536</definedName>
    <definedName name="Swvu.TAX._.RATES." localSheetId="13" hidden="1">#REF!</definedName>
    <definedName name="Swvu.TAX._.RATES." localSheetId="15" hidden="1">#REF!</definedName>
    <definedName name="Swvu.TAX._.RATES." localSheetId="11" hidden="1">#REF!</definedName>
    <definedName name="Swvu.TAX._.RATES." localSheetId="5" hidden="1">#REF!</definedName>
    <definedName name="Swvu.TAX._.RATES." localSheetId="12" hidden="1">#REF!</definedName>
    <definedName name="Swvu.TAX._.RATES." localSheetId="14" hidden="1">#REF!</definedName>
    <definedName name="Swvu.TAX._.RATES." hidden="1">#REF!</definedName>
    <definedName name="Swvu.TAX._.RECOVERIES." localSheetId="2" hidden="1">#REF!</definedName>
    <definedName name="Swvu.TAX._.RECOVERIES." hidden="1">'[9]SCHEDULE B+C'!$CK$167</definedName>
    <definedName name="Swvu.TAX._.RECOVERY." localSheetId="13" hidden="1">#REF!</definedName>
    <definedName name="Swvu.TAX._.RECOVERY." localSheetId="15" hidden="1">#REF!</definedName>
    <definedName name="Swvu.TAX._.RECOVERY." localSheetId="11" hidden="1">#REF!</definedName>
    <definedName name="Swvu.TAX._.RECOVERY." localSheetId="5" hidden="1">#REF!</definedName>
    <definedName name="Swvu.TAX._.RECOVERY." localSheetId="12" hidden="1">#REF!</definedName>
    <definedName name="Swvu.TAX._.RECOVERY." localSheetId="14" hidden="1">#REF!</definedName>
    <definedName name="Swvu.TAX._.RECOVERY." hidden="1">#REF!</definedName>
    <definedName name="Swvu.WAT." localSheetId="13" hidden="1">#REF!</definedName>
    <definedName name="Swvu.WAT." localSheetId="15" hidden="1">#REF!</definedName>
    <definedName name="Swvu.WAT." localSheetId="11" hidden="1">#REF!</definedName>
    <definedName name="Swvu.WAT." localSheetId="5" hidden="1">#REF!</definedName>
    <definedName name="Swvu.WAT." localSheetId="12" hidden="1">#REF!</definedName>
    <definedName name="Swvu.WAT." localSheetId="14" hidden="1">#REF!</definedName>
    <definedName name="Swvu.WAT." hidden="1">#REF!</definedName>
    <definedName name="t" localSheetId="13">'Another Uselss'!Annual_interest_rate/[10]!Payments_per_year</definedName>
    <definedName name="t" localSheetId="15">'Another Uselss (2)'!Annual_interest_rate/[10]!Payments_per_year</definedName>
    <definedName name="t" localSheetId="11">'Comparison to Other'!Annual_interest_rate/[10]!Payments_per_year</definedName>
    <definedName name="t" localSheetId="5">'Comparison to Previous'!Annual_interest_rate/[10]!Payments_per_year</definedName>
    <definedName name="t" localSheetId="12">'Comparison to Previous (2)'!Annual_interest_rate/[10]!Payments_per_year</definedName>
    <definedName name="t" localSheetId="2">[0]!Annual_interest_rate/[0]!Payments_per_year</definedName>
    <definedName name="t" localSheetId="23">[0]!Annual_interest_rate/[0]!Payments_per_year</definedName>
    <definedName name="t" localSheetId="14">'Useless Breakdown'!Annual_interest_rate/[10]!Payments_per_year</definedName>
    <definedName name="t">[10]!Annual_interest_rate/[10]!Payments_per_year</definedName>
    <definedName name="t_cf_brokerage" localSheetId="13">#REF!</definedName>
    <definedName name="t_cf_brokerage" localSheetId="15">#REF!</definedName>
    <definedName name="t_cf_brokerage" localSheetId="11">#REF!</definedName>
    <definedName name="t_cf_brokerage" localSheetId="5">#REF!</definedName>
    <definedName name="t_cf_brokerage" localSheetId="12">#REF!</definedName>
    <definedName name="t_cf_brokerage" localSheetId="14">#REF!</definedName>
    <definedName name="t_cf_brokerage">#REF!</definedName>
    <definedName name="t_cf_business_basic" localSheetId="13">#REF!</definedName>
    <definedName name="t_cf_business_basic" localSheetId="15">#REF!</definedName>
    <definedName name="t_cf_business_basic" localSheetId="11">#REF!</definedName>
    <definedName name="t_cf_business_basic" localSheetId="5">#REF!</definedName>
    <definedName name="t_cf_business_basic" localSheetId="12">#REF!</definedName>
    <definedName name="t_cf_business_basic" localSheetId="14">#REF!</definedName>
    <definedName name="t_cf_business_basic">#REF!</definedName>
    <definedName name="t_cf_business_checking" localSheetId="13">#REF!</definedName>
    <definedName name="t_cf_business_checking" localSheetId="15">#REF!</definedName>
    <definedName name="t_cf_business_checking" localSheetId="11">#REF!</definedName>
    <definedName name="t_cf_business_checking" localSheetId="5">#REF!</definedName>
    <definedName name="t_cf_business_checking" localSheetId="12">#REF!</definedName>
    <definedName name="t_cf_business_checking" localSheetId="14">#REF!</definedName>
    <definedName name="t_cf_business_checking">#REF!</definedName>
    <definedName name="t_cf_business_money_mkt_ckg">#REF!</definedName>
    <definedName name="t_cf_business_saver">#REF!</definedName>
    <definedName name="t_cf_business_timma">#REF!</definedName>
    <definedName name="t_cf_cash_management">#REF!</definedName>
    <definedName name="t_cf_CD_Less_100K">#REF!</definedName>
    <definedName name="t_cf_CD_more_100k">#REF!</definedName>
    <definedName name="t_cf_ECR_Net_Interest_Margin">#REF!</definedName>
    <definedName name="t_cf_eurosweeps">#REF!</definedName>
    <definedName name="t_cf_Excess_balances">#REF!</definedName>
    <definedName name="t_cf_fx">#REF!</definedName>
    <definedName name="t_cf_interest_bearing_checking">#REF!</definedName>
    <definedName name="t_cf_international">#REF!</definedName>
    <definedName name="t_cf_investmentsweep">#REF!</definedName>
    <definedName name="t_cf_Key_Capital_Partners">#REF!</definedName>
    <definedName name="t_cf_key_global_finance">#REF!</definedName>
    <definedName name="t_cf_key_insurance">#REF!</definedName>
    <definedName name="t_cf_Overdraft_Funding_Charge">#REF!</definedName>
    <definedName name="t_cf_placement_fees">#REF!</definedName>
    <definedName name="t_cf_remarketing_fees">#REF!</definedName>
    <definedName name="t_cf_reposweeps">#REF!</definedName>
    <definedName name="t_cf_savings">#REF!</definedName>
    <definedName name="t_cf_total_access">#REF!</definedName>
    <definedName name="t_cf_trust">#REF!</definedName>
    <definedName name="TABLE">#REF!</definedName>
    <definedName name="Table_1">#REF!</definedName>
    <definedName name="Table_1D">#REF!</definedName>
    <definedName name="Table_2">#REF!</definedName>
    <definedName name="Table_2D">#REF!</definedName>
    <definedName name="Table_3">#REF!</definedName>
    <definedName name="Table_3D">#REF!</definedName>
    <definedName name="Table_4">#REF!</definedName>
    <definedName name="Table_4D">#REF!</definedName>
    <definedName name="Table_5">#REF!</definedName>
    <definedName name="Table_5D">#REF!</definedName>
    <definedName name="Table_6">#REF!</definedName>
    <definedName name="Table_6D">#REF!</definedName>
    <definedName name="Table_beg_bal">#REF!</definedName>
    <definedName name="Table_prior_interest">#REF!</definedName>
    <definedName name="Table_start_date">#REF!</definedName>
    <definedName name="Table_start_pmt">#REF!</definedName>
    <definedName name="Table11M" localSheetId="23">[7]AdminMonthly!#REF!</definedName>
    <definedName name="Table11M">[6]AdminMonthly!#REF!</definedName>
    <definedName name="Table14M" localSheetId="23">[7]AdminMonthly!#REF!</definedName>
    <definedName name="Table14M">[6]AdminMonthly!#REF!</definedName>
    <definedName name="Table17M" localSheetId="23">[7]AdminMonthly!#REF!</definedName>
    <definedName name="Table17M">[6]AdminMonthly!#REF!</definedName>
    <definedName name="Table1AM" localSheetId="23">[7]AdminMonthly!#REF!</definedName>
    <definedName name="Table1AM">[6]AdminMonthly!#REF!</definedName>
    <definedName name="Table1BM" localSheetId="23">[7]AdminMonthly!#REF!</definedName>
    <definedName name="Table1BM">[6]AdminMonthly!#REF!</definedName>
    <definedName name="Table1CM" localSheetId="23">[7]AdminMonthly!#REF!</definedName>
    <definedName name="Table1CM">[6]AdminMonthly!#REF!</definedName>
    <definedName name="Table1DM" localSheetId="23">[7]AdminMonthly!#REF!</definedName>
    <definedName name="Table1DM">[6]AdminMonthly!#REF!</definedName>
    <definedName name="Table1EM" localSheetId="23">[7]AdminMonthly!#REF!</definedName>
    <definedName name="Table1EM">[6]AdminMonthly!#REF!</definedName>
    <definedName name="Table20M" localSheetId="23">[7]AdminMonthly!#REF!</definedName>
    <definedName name="Table20M">[6]AdminMonthly!#REF!</definedName>
    <definedName name="Table8M" localSheetId="23">[7]AdminMonthly!#REF!</definedName>
    <definedName name="Table8M">[6]AdminMonthly!#REF!</definedName>
    <definedName name="takedowndelay" localSheetId="13">#REF!</definedName>
    <definedName name="takedowndelay" localSheetId="15">#REF!</definedName>
    <definedName name="takedowndelay" localSheetId="11">#REF!</definedName>
    <definedName name="takedowndelay" localSheetId="5">#REF!</definedName>
    <definedName name="takedowndelay" localSheetId="12">#REF!</definedName>
    <definedName name="takedowndelay" localSheetId="14">#REF!</definedName>
    <definedName name="takedowndelay">#REF!</definedName>
    <definedName name="tax" localSheetId="2">'[3]AVI-JV-PROFORMA'!#REF!</definedName>
    <definedName name="tax" localSheetId="23">'[4]AVI-JV-PROFORMA'!#REF!</definedName>
    <definedName name="tax">'[5]AVI-JV-PROFORMA'!#REF!</definedName>
    <definedName name="Tax_Rate" localSheetId="13">#REF!</definedName>
    <definedName name="Tax_Rate" localSheetId="15">#REF!</definedName>
    <definedName name="Tax_Rate" localSheetId="11">#REF!</definedName>
    <definedName name="Tax_Rate" localSheetId="5">#REF!</definedName>
    <definedName name="Tax_Rate" localSheetId="12">#REF!</definedName>
    <definedName name="Tax_Rate" localSheetId="14">#REF!</definedName>
    <definedName name="Tax_Rate">#REF!</definedName>
    <definedName name="TAXABLE_INCOME">#REF!</definedName>
    <definedName name="TAXCODES" localSheetId="13">[28]PCR96!#REF!</definedName>
    <definedName name="TAXCODES" localSheetId="15">[28]PCR96!#REF!</definedName>
    <definedName name="TAXCODES" localSheetId="11">[28]PCR96!#REF!</definedName>
    <definedName name="TAXCODES" localSheetId="5">[28]PCR96!#REF!</definedName>
    <definedName name="TAXCODES" localSheetId="12">[28]PCR96!#REF!</definedName>
    <definedName name="TAXCODES" localSheetId="14">[28]PCR96!#REF!</definedName>
    <definedName name="TAXCODES">[28]PCR96!#REF!</definedName>
    <definedName name="TaxCreditAnalysis">#REF!</definedName>
    <definedName name="Taxes" localSheetId="13">#REF!</definedName>
    <definedName name="Taxes" localSheetId="15">#REF!</definedName>
    <definedName name="Taxes" localSheetId="11">#REF!</definedName>
    <definedName name="Taxes" localSheetId="5">#REF!</definedName>
    <definedName name="Taxes" localSheetId="12">#REF!</definedName>
    <definedName name="Taxes" localSheetId="14">#REF!</definedName>
    <definedName name="Taxes">#REF!</definedName>
    <definedName name="Taxes_CASHBASIS" localSheetId="13">#REF!</definedName>
    <definedName name="Taxes_CASHBASIS" localSheetId="15">#REF!</definedName>
    <definedName name="Taxes_CASHBASIS" localSheetId="11">#REF!</definedName>
    <definedName name="Taxes_CASHBASIS" localSheetId="5">#REF!</definedName>
    <definedName name="Taxes_CASHBASIS" localSheetId="12">#REF!</definedName>
    <definedName name="Taxes_CASHBASIS" localSheetId="14">#REF!</definedName>
    <definedName name="Taxes_CASHBASIS">#REF!</definedName>
    <definedName name="Taxes_FASB" localSheetId="13">#REF!</definedName>
    <definedName name="Taxes_FASB" localSheetId="15">#REF!</definedName>
    <definedName name="Taxes_FASB" localSheetId="11">#REF!</definedName>
    <definedName name="Taxes_FASB" localSheetId="5">#REF!</definedName>
    <definedName name="Taxes_FASB" localSheetId="12">#REF!</definedName>
    <definedName name="Taxes_FASB" localSheetId="14">#REF!</definedName>
    <definedName name="Taxes_FASB">#REF!</definedName>
    <definedName name="taxes2">#REF!</definedName>
    <definedName name="TAXRATES">[28]MVC96!#REF!</definedName>
    <definedName name="TAXTABLE" localSheetId="13">#REF!</definedName>
    <definedName name="TAXTABLE" localSheetId="15">#REF!</definedName>
    <definedName name="TAXTABLE" localSheetId="11">#REF!</definedName>
    <definedName name="TAXTABLE" localSheetId="5">#REF!</definedName>
    <definedName name="TAXTABLE" localSheetId="12">#REF!</definedName>
    <definedName name="TAXTABLE" localSheetId="14">#REF!</definedName>
    <definedName name="TAXTABLE">#REF!</definedName>
    <definedName name="Team_Leader_Approval" localSheetId="13">#REF!</definedName>
    <definedName name="Team_Leader_Approval" localSheetId="15">#REF!</definedName>
    <definedName name="Team_Leader_Approval" localSheetId="11">#REF!</definedName>
    <definedName name="Team_Leader_Approval" localSheetId="5">#REF!</definedName>
    <definedName name="Team_Leader_Approval" localSheetId="12">#REF!</definedName>
    <definedName name="Team_Leader_Approval" localSheetId="14">#REF!</definedName>
    <definedName name="Team_Leader_Approval">#REF!</definedName>
    <definedName name="temp" localSheetId="13">#REF!</definedName>
    <definedName name="temp" localSheetId="15">#REF!</definedName>
    <definedName name="temp" localSheetId="11">#REF!</definedName>
    <definedName name="temp" localSheetId="5">#REF!</definedName>
    <definedName name="temp" localSheetId="12">#REF!</definedName>
    <definedName name="temp" localSheetId="14">#REF!</definedName>
    <definedName name="temp">#REF!</definedName>
    <definedName name="TemplatePrintArea">#REF!</definedName>
    <definedName name="TempTable12" localSheetId="23">[7]Formulas!#REF!</definedName>
    <definedName name="TempTable12">[6]Formulas!#REF!</definedName>
    <definedName name="TENANT" localSheetId="13">#REF!</definedName>
    <definedName name="TENANT" localSheetId="15">#REF!</definedName>
    <definedName name="TENANT" localSheetId="11">#REF!</definedName>
    <definedName name="TENANT" localSheetId="5">#REF!</definedName>
    <definedName name="TENANT" localSheetId="12">#REF!</definedName>
    <definedName name="TENANT" localSheetId="14">#REF!</definedName>
    <definedName name="TENANT">#REF!</definedName>
    <definedName name="TENSUM" localSheetId="13">#REF!</definedName>
    <definedName name="TENSUM" localSheetId="15">#REF!</definedName>
    <definedName name="TENSUM" localSheetId="11">#REF!</definedName>
    <definedName name="TENSUM" localSheetId="5">#REF!</definedName>
    <definedName name="TENSUM" localSheetId="12">#REF!</definedName>
    <definedName name="TENSUM" localSheetId="14">#REF!</definedName>
    <definedName name="TENSUM">#REF!</definedName>
    <definedName name="Term" localSheetId="23">[29]Proforma!$C$45</definedName>
    <definedName name="Term">[18]Proforma!$C$45</definedName>
    <definedName name="Term_1" localSheetId="13">#REF!</definedName>
    <definedName name="Term_1" localSheetId="15">#REF!</definedName>
    <definedName name="Term_1" localSheetId="11">#REF!</definedName>
    <definedName name="Term_1" localSheetId="5">#REF!</definedName>
    <definedName name="Term_1" localSheetId="12">#REF!</definedName>
    <definedName name="Term_1" localSheetId="14">#REF!</definedName>
    <definedName name="Term_1">#REF!</definedName>
    <definedName name="Term_2" localSheetId="13">#REF!</definedName>
    <definedName name="Term_2" localSheetId="15">#REF!</definedName>
    <definedName name="Term_2" localSheetId="11">#REF!</definedName>
    <definedName name="Term_2" localSheetId="5">#REF!</definedName>
    <definedName name="Term_2" localSheetId="12">#REF!</definedName>
    <definedName name="Term_2" localSheetId="14">#REF!</definedName>
    <definedName name="Term_2">#REF!</definedName>
    <definedName name="Term_3" localSheetId="13">#REF!</definedName>
    <definedName name="Term_3" localSheetId="15">#REF!</definedName>
    <definedName name="Term_3" localSheetId="11">#REF!</definedName>
    <definedName name="Term_3" localSheetId="5">#REF!</definedName>
    <definedName name="Term_3" localSheetId="12">#REF!</definedName>
    <definedName name="Term_3" localSheetId="14">#REF!</definedName>
    <definedName name="Term_3">#REF!</definedName>
    <definedName name="Term_4">#REF!</definedName>
    <definedName name="Term_5">#REF!</definedName>
    <definedName name="Term_6">#REF!</definedName>
    <definedName name="Term_in_Month1">#REF!</definedName>
    <definedName name="Term_in_Month2">#REF!</definedName>
    <definedName name="Term_in_Month3">#REF!</definedName>
    <definedName name="Term_in_Month4">#REF!</definedName>
    <definedName name="Term_in_Month5">#REF!</definedName>
    <definedName name="Term_in_Month6">#REF!</definedName>
    <definedName name="Term_in_years">#REF!</definedName>
    <definedName name="Term_Lease_1">#REF!</definedName>
    <definedName name="Term_Lease_2">#REF!</definedName>
    <definedName name="Term_Lease_3">#REF!</definedName>
    <definedName name="Term_Lease_4">#REF!</definedName>
    <definedName name="Term_Lease_5">#REF!</definedName>
    <definedName name="Term_Lease_6">#REF!</definedName>
    <definedName name="terma">#REF!</definedName>
    <definedName name="th">#REF!</definedName>
    <definedName name="THREE">#REF!</definedName>
    <definedName name="THREELEGEND">#REF!</definedName>
    <definedName name="TI" localSheetId="2">'[3]AVI-JV-PROFORMA'!#REF!</definedName>
    <definedName name="TI" localSheetId="23">'[4]AVI-JV-PROFORMA'!#REF!</definedName>
    <definedName name="TI">'[5]AVI-JV-PROFORMA'!#REF!</definedName>
    <definedName name="tic" localSheetId="13">#REF!</definedName>
    <definedName name="tic" localSheetId="15">#REF!</definedName>
    <definedName name="tic" localSheetId="11">#REF!</definedName>
    <definedName name="tic" localSheetId="5">#REF!</definedName>
    <definedName name="tic" localSheetId="12">#REF!</definedName>
    <definedName name="tic" localSheetId="14">#REF!</definedName>
    <definedName name="tic">#REF!</definedName>
    <definedName name="tica" localSheetId="13">#REF!</definedName>
    <definedName name="tica" localSheetId="15">#REF!</definedName>
    <definedName name="tica" localSheetId="11">#REF!</definedName>
    <definedName name="tica" localSheetId="5">#REF!</definedName>
    <definedName name="tica" localSheetId="12">#REF!</definedName>
    <definedName name="tica" localSheetId="14">#REF!</definedName>
    <definedName name="tica">#REF!</definedName>
    <definedName name="TIN_NUMBER" localSheetId="13">#REF!</definedName>
    <definedName name="TIN_NUMBER" localSheetId="15">#REF!</definedName>
    <definedName name="TIN_NUMBER" localSheetId="11">#REF!</definedName>
    <definedName name="TIN_NUMBER" localSheetId="5">#REF!</definedName>
    <definedName name="TIN_NUMBER" localSheetId="12">#REF!</definedName>
    <definedName name="TIN_NUMBER" localSheetId="14">#REF!</definedName>
    <definedName name="TIN_NUMBER">#REF!</definedName>
    <definedName name="titles">#REF!</definedName>
    <definedName name="TitleTransferDate" localSheetId="23">[19]Assumptions!$C$19</definedName>
    <definedName name="TitleTransferDate">[20]Assumptions!$C$19</definedName>
    <definedName name="toc" localSheetId="13">#REF!</definedName>
    <definedName name="toc" localSheetId="15">#REF!</definedName>
    <definedName name="toc" localSheetId="11">#REF!</definedName>
    <definedName name="toc" localSheetId="5">#REF!</definedName>
    <definedName name="toc" localSheetId="12">#REF!</definedName>
    <definedName name="toc" localSheetId="14">#REF!</definedName>
    <definedName name="toc">#REF!</definedName>
    <definedName name="TopBalanceQtr" localSheetId="13">#REF!</definedName>
    <definedName name="TopBalanceQtr" localSheetId="15">#REF!</definedName>
    <definedName name="TopBalanceQtr" localSheetId="11">#REF!</definedName>
    <definedName name="TopBalanceQtr" localSheetId="5">#REF!</definedName>
    <definedName name="TopBalanceQtr" localSheetId="12">#REF!</definedName>
    <definedName name="TopBalanceQtr" localSheetId="14">#REF!</definedName>
    <definedName name="TopBalanceQtr">#REF!</definedName>
    <definedName name="TopBalanceYr" localSheetId="13">#REF!</definedName>
    <definedName name="TopBalanceYr" localSheetId="15">#REF!</definedName>
    <definedName name="TopBalanceYr" localSheetId="11">#REF!</definedName>
    <definedName name="TopBalanceYr" localSheetId="5">#REF!</definedName>
    <definedName name="TopBalanceYr" localSheetId="12">#REF!</definedName>
    <definedName name="TopBalanceYr" localSheetId="14">#REF!</definedName>
    <definedName name="TopBalanceYr">#REF!</definedName>
    <definedName name="TopCashFlow">#REF!</definedName>
    <definedName name="TopCashFlowQtr">#REF!</definedName>
    <definedName name="TopCashFlowYr">#REF!</definedName>
    <definedName name="TopPandL">#REF!</definedName>
    <definedName name="TopPandLQtr">#REF!</definedName>
    <definedName name="TopPandLYr">#REF!</definedName>
    <definedName name="TOTAL" localSheetId="2">'[3]AVI-JV-PROFORMA'!#REF!</definedName>
    <definedName name="TOTAL" localSheetId="23">'[4]AVI-JV-PROFORMA'!#REF!</definedName>
    <definedName name="TOTAL">'[5]AVI-JV-PROFORMA'!#REF!</definedName>
    <definedName name="total_annualized_rent">'[21]Rent Roll Analysis'!$O$33</definedName>
    <definedName name="total_buydownfee" localSheetId="13">#REF!</definedName>
    <definedName name="total_buydownfee" localSheetId="15">#REF!</definedName>
    <definedName name="total_buydownfee" localSheetId="11">#REF!</definedName>
    <definedName name="total_buydownfee" localSheetId="5">#REF!</definedName>
    <definedName name="total_buydownfee" localSheetId="12">#REF!</definedName>
    <definedName name="total_buydownfee" localSheetId="14">#REF!</definedName>
    <definedName name="total_buydownfee">#REF!</definedName>
    <definedName name="Total_Deposits" localSheetId="13">#REF!</definedName>
    <definedName name="Total_Deposits" localSheetId="15">#REF!</definedName>
    <definedName name="Total_Deposits" localSheetId="11">#REF!</definedName>
    <definedName name="Total_Deposits" localSheetId="5">#REF!</definedName>
    <definedName name="Total_Deposits" localSheetId="12">#REF!</definedName>
    <definedName name="Total_Deposits" localSheetId="14">#REF!</definedName>
    <definedName name="Total_Deposits">#REF!</definedName>
    <definedName name="Total_Equity_Cash" localSheetId="13">#REF!</definedName>
    <definedName name="Total_Equity_Cash" localSheetId="15">#REF!</definedName>
    <definedName name="Total_Equity_Cash" localSheetId="11">#REF!</definedName>
    <definedName name="Total_Equity_Cash" localSheetId="5">#REF!</definedName>
    <definedName name="Total_Equity_Cash" localSheetId="12">#REF!</definedName>
    <definedName name="Total_Equity_Cash" localSheetId="14">#REF!</definedName>
    <definedName name="Total_Equity_Cash">#REF!</definedName>
    <definedName name="Total_Equity_Deriv_Cash">#REF!</definedName>
    <definedName name="Total_Equity_Deriv_FASB">#REF!</definedName>
    <definedName name="Total_Equity_FASB">#REF!</definedName>
    <definedName name="Total_Facilities">#REF!</definedName>
    <definedName name="total_inbeddedfee">#REF!</definedName>
    <definedName name="Total_IPLICOallocation">#REF!</definedName>
    <definedName name="Total_JHLICOallocation">#REF!</definedName>
    <definedName name="Total_JHREallocation">#REF!</definedName>
    <definedName name="Total_JHVTallocation">#REF!</definedName>
    <definedName name="TOTAL_LOAN">#REF!</definedName>
    <definedName name="total_number_units">[51]Underwriting!$C$6</definedName>
    <definedName name="Total_Other_Revenue_Gross" localSheetId="13">#REF!</definedName>
    <definedName name="Total_Other_Revenue_Gross" localSheetId="15">#REF!</definedName>
    <definedName name="Total_Other_Revenue_Gross" localSheetId="11">#REF!</definedName>
    <definedName name="Total_Other_Revenue_Gross" localSheetId="5">#REF!</definedName>
    <definedName name="Total_Other_Revenue_Gross" localSheetId="12">#REF!</definedName>
    <definedName name="Total_Other_Revenue_Gross" localSheetId="14">#REF!</definedName>
    <definedName name="Total_Other_Revenue_Gross">#REF!</definedName>
    <definedName name="TOTAL_OUTSTANDINGS" localSheetId="13">#REF!</definedName>
    <definedName name="TOTAL_OUTSTANDINGS" localSheetId="15">#REF!</definedName>
    <definedName name="TOTAL_OUTSTANDINGS" localSheetId="11">#REF!</definedName>
    <definedName name="TOTAL_OUTSTANDINGS" localSheetId="5">#REF!</definedName>
    <definedName name="TOTAL_OUTSTANDINGS" localSheetId="12">#REF!</definedName>
    <definedName name="TOTAL_OUTSTANDINGS" localSheetId="14">#REF!</definedName>
    <definedName name="TOTAL_OUTSTANDINGS">#REF!</definedName>
    <definedName name="Total_payments" localSheetId="13">[10]!Payments_per_year*[10]!Term_in_years</definedName>
    <definedName name="Total_payments" localSheetId="15">[10]!Payments_per_year*[10]!Term_in_years</definedName>
    <definedName name="Total_payments" localSheetId="11">[10]!Payments_per_year*[10]!Term_in_years</definedName>
    <definedName name="Total_payments" localSheetId="5">[10]!Payments_per_year*[10]!Term_in_years</definedName>
    <definedName name="Total_payments" localSheetId="12">[10]!Payments_per_year*[10]!Term_in_years</definedName>
    <definedName name="Total_payments" localSheetId="2">[0]!Payments_per_year*[0]!Term_in_years</definedName>
    <definedName name="Total_payments" localSheetId="23">[0]!Payments_per_year*[0]!Term_in_years</definedName>
    <definedName name="Total_payments" localSheetId="14">[10]!Payments_per_year*[10]!Term_in_years</definedName>
    <definedName name="Total_payments">[10]!Payments_per_year*[10]!Term_in_years</definedName>
    <definedName name="Total_Reimbursement_Income" localSheetId="13">#REF!</definedName>
    <definedName name="Total_Reimbursement_Income" localSheetId="15">#REF!</definedName>
    <definedName name="Total_Reimbursement_Income" localSheetId="11">#REF!</definedName>
    <definedName name="Total_Reimbursement_Income" localSheetId="5">#REF!</definedName>
    <definedName name="Total_Reimbursement_Income" localSheetId="12">#REF!</definedName>
    <definedName name="Total_Reimbursement_Income" localSheetId="23">'[76]Proforma Underwriting'!#REF!</definedName>
    <definedName name="Total_Reimbursement_Income" localSheetId="14">#REF!</definedName>
    <definedName name="Total_Reimbursement_Income">#REF!</definedName>
    <definedName name="Total_Rental_Revenue" localSheetId="13">#REF!</definedName>
    <definedName name="Total_Rental_Revenue" localSheetId="15">#REF!</definedName>
    <definedName name="Total_Rental_Revenue" localSheetId="11">#REF!</definedName>
    <definedName name="Total_Rental_Revenue" localSheetId="5">#REF!</definedName>
    <definedName name="Total_Rental_Revenue" localSheetId="12">#REF!</definedName>
    <definedName name="Total_Rental_Revenue" localSheetId="23">'[76]Proforma Underwriting'!#REF!</definedName>
    <definedName name="Total_Rental_Revenue" localSheetId="14">#REF!</definedName>
    <definedName name="Total_Rental_Revenue">#REF!</definedName>
    <definedName name="Total_Revenue" localSheetId="13">#REF!</definedName>
    <definedName name="Total_Revenue" localSheetId="15">#REF!</definedName>
    <definedName name="Total_Revenue" localSheetId="11">#REF!</definedName>
    <definedName name="Total_Revenue" localSheetId="5">#REF!</definedName>
    <definedName name="Total_Revenue" localSheetId="12">#REF!</definedName>
    <definedName name="Total_Revenue" localSheetId="14">#REF!</definedName>
    <definedName name="Total_Revenue">#REF!</definedName>
    <definedName name="total_site_improvement_costs">#REF!</definedName>
    <definedName name="Total_VLIallocation">#REF!</definedName>
    <definedName name="TotalAccess">#REF!</definedName>
    <definedName name="totalbuildingcosts">#REF!</definedName>
    <definedName name="totalcommitmentfee">#REF!</definedName>
    <definedName name="TotalCredit_OverUnderTarget">#REF!</definedName>
    <definedName name="TotalCredit_ROA">#REF!</definedName>
    <definedName name="TotalCredit_ROE">#REF!</definedName>
    <definedName name="totaldebtserv">#REF!</definedName>
    <definedName name="TotalDep_CRISP">#REF!</definedName>
    <definedName name="TOTALGLA">#REF!</definedName>
    <definedName name="totallandcosts">#REF!</definedName>
    <definedName name="TotalLandPurchPrice">[77]Assumptions!$F$215</definedName>
    <definedName name="TotalRel_OverUnderTarget" localSheetId="13">#REF!</definedName>
    <definedName name="TotalRel_OverUnderTarget" localSheetId="15">#REF!</definedName>
    <definedName name="TotalRel_OverUnderTarget" localSheetId="11">#REF!</definedName>
    <definedName name="TotalRel_OverUnderTarget" localSheetId="5">#REF!</definedName>
    <definedName name="TotalRel_OverUnderTarget" localSheetId="12">#REF!</definedName>
    <definedName name="TotalRel_OverUnderTarget" localSheetId="14">#REF!</definedName>
    <definedName name="TotalRel_OverUnderTarget">#REF!</definedName>
    <definedName name="TotalRelationship_ROA" localSheetId="13">#REF!</definedName>
    <definedName name="TotalRelationship_ROA" localSheetId="15">#REF!</definedName>
    <definedName name="TotalRelationship_ROA" localSheetId="11">#REF!</definedName>
    <definedName name="TotalRelationship_ROA" localSheetId="5">#REF!</definedName>
    <definedName name="TotalRelationship_ROA" localSheetId="12">#REF!</definedName>
    <definedName name="TotalRelationship_ROA" localSheetId="14">#REF!</definedName>
    <definedName name="TotalRelationship_ROA">#REF!</definedName>
    <definedName name="TotalRelationship_ROE" localSheetId="13">#REF!</definedName>
    <definedName name="TotalRelationship_ROE" localSheetId="15">#REF!</definedName>
    <definedName name="TotalRelationship_ROE" localSheetId="11">#REF!</definedName>
    <definedName name="TotalRelationship_ROE" localSheetId="5">#REF!</definedName>
    <definedName name="TotalRelationship_ROE" localSheetId="12">#REF!</definedName>
    <definedName name="TotalRelationship_ROE" localSheetId="14">#REF!</definedName>
    <definedName name="TotalRelationship_ROE">#REF!</definedName>
    <definedName name="TotalRent">#REF!</definedName>
    <definedName name="TotalSpread_1">#REF!</definedName>
    <definedName name="TotalSpread_2">#REF!</definedName>
    <definedName name="TotalSpread_3">#REF!</definedName>
    <definedName name="TotalSpread_4">#REF!</definedName>
    <definedName name="TotalSpread_5">#REF!</definedName>
    <definedName name="TotalSpread_6">#REF!</definedName>
    <definedName name="TotDep_Rev">#REF!</definedName>
    <definedName name="TotRent">#REF!</definedName>
    <definedName name="Transaction_Penalty_1">#REF!</definedName>
    <definedName name="Transaction_Penalty_2">#REF!</definedName>
    <definedName name="Transaction_Penalty_3">#REF!</definedName>
    <definedName name="Transaction_Penalty_4">#REF!</definedName>
    <definedName name="Transaction_Penalty_5">#REF!</definedName>
    <definedName name="Transaction_Penalty_6">#REF!</definedName>
    <definedName name="TRANSAMERICA">[27]TRNSMRCA!$A$13:$P$44</definedName>
    <definedName name="trdep" localSheetId="13">#REF!</definedName>
    <definedName name="trdep" localSheetId="15">#REF!</definedName>
    <definedName name="trdep" localSheetId="11">#REF!</definedName>
    <definedName name="trdep" localSheetId="5">#REF!</definedName>
    <definedName name="trdep" localSheetId="12">#REF!</definedName>
    <definedName name="trdep" localSheetId="14">#REF!</definedName>
    <definedName name="trdep">#REF!</definedName>
    <definedName name="TREASH" localSheetId="13">#REF!</definedName>
    <definedName name="TREASH" localSheetId="15">#REF!</definedName>
    <definedName name="TREASH" localSheetId="11">#REF!</definedName>
    <definedName name="TREASH" localSheetId="5">#REF!</definedName>
    <definedName name="TREASH" localSheetId="12">#REF!</definedName>
    <definedName name="TREASH" localSheetId="14">#REF!</definedName>
    <definedName name="TREASH">#REF!</definedName>
    <definedName name="TREASL" localSheetId="13">#REF!</definedName>
    <definedName name="TREASL" localSheetId="15">#REF!</definedName>
    <definedName name="TREASL" localSheetId="11">#REF!</definedName>
    <definedName name="TREASL" localSheetId="5">#REF!</definedName>
    <definedName name="TREASL" localSheetId="12">#REF!</definedName>
    <definedName name="TREASL" localSheetId="14">#REF!</definedName>
    <definedName name="TREASL">#REF!</definedName>
    <definedName name="TRESMANN">#REF!</definedName>
    <definedName name="trrate">#REF!</definedName>
    <definedName name="Trust_GrossRev">#REF!</definedName>
    <definedName name="trustee">#REF!</definedName>
    <definedName name="TSP">#REF!</definedName>
    <definedName name="ttt" localSheetId="13">(VLOOKUP([10]!Grade_6,'Another Uselss'!fnjh,2))</definedName>
    <definedName name="ttt" localSheetId="15">(VLOOKUP([10]!Grade_6,'Another Uselss (2)'!fnjh,2))</definedName>
    <definedName name="ttt" localSheetId="11">(VLOOKUP(Grade_6,'Comparison to Other'!fnjh,2))</definedName>
    <definedName name="ttt" localSheetId="5">(VLOOKUP(Grade_6,'Comparison to Previous'!fnjh,2))</definedName>
    <definedName name="ttt" localSheetId="12">(VLOOKUP([10]!Grade_6,'Comparison to Previous (2)'!fnjh,2))</definedName>
    <definedName name="ttt" localSheetId="2">(VLOOKUP([0]!Grade_6,[0]!fnjh,2))</definedName>
    <definedName name="ttt" localSheetId="6">(VLOOKUP(Grade_6,fnjh,2))</definedName>
    <definedName name="ttt" localSheetId="23">(VLOOKUP(Grade_6,fnjh,2))</definedName>
    <definedName name="ttt" localSheetId="14">(VLOOKUP([10]!Grade_6,'Useless Breakdown'!fnjh,2))</definedName>
    <definedName name="ttt">(VLOOKUP(Grade_6,fnjh,2))</definedName>
    <definedName name="TWO" localSheetId="13">#REF!</definedName>
    <definedName name="TWO" localSheetId="15">#REF!</definedName>
    <definedName name="TWO" localSheetId="11">#REF!</definedName>
    <definedName name="TWO" localSheetId="5">#REF!</definedName>
    <definedName name="TWO" localSheetId="12">#REF!</definedName>
    <definedName name="TWO" localSheetId="14">#REF!</definedName>
    <definedName name="TWO">#REF!</definedName>
    <definedName name="TWO_S_PROP">[27]TWOS!$A$13:$P$45</definedName>
    <definedName name="TWOLEGEND" localSheetId="13">#REF!</definedName>
    <definedName name="TWOLEGEND" localSheetId="15">#REF!</definedName>
    <definedName name="TWOLEGEND" localSheetId="11">#REF!</definedName>
    <definedName name="TWOLEGEND" localSheetId="5">#REF!</definedName>
    <definedName name="TWOLEGEND" localSheetId="12">#REF!</definedName>
    <definedName name="TWOLEGEND" localSheetId="14">#REF!</definedName>
    <definedName name="TWOLEGEND">#REF!</definedName>
    <definedName name="UMM" localSheetId="13">#REF!</definedName>
    <definedName name="UMM" localSheetId="15">#REF!</definedName>
    <definedName name="UMM" localSheetId="11">#REF!</definedName>
    <definedName name="UMM" localSheetId="5">#REF!</definedName>
    <definedName name="UMM" localSheetId="12">#REF!</definedName>
    <definedName name="UMM" localSheetId="14">#REF!</definedName>
    <definedName name="UMM">#REF!</definedName>
    <definedName name="underwrittenbaserent">[51]Underwriting!$F$11</definedName>
    <definedName name="underwrittenltv" localSheetId="13">#REF!</definedName>
    <definedName name="underwrittenltv" localSheetId="15">#REF!</definedName>
    <definedName name="underwrittenltv" localSheetId="11">#REF!</definedName>
    <definedName name="underwrittenltv" localSheetId="5">#REF!</definedName>
    <definedName name="underwrittenltv" localSheetId="12">#REF!</definedName>
    <definedName name="underwrittenltv" localSheetId="14">#REF!</definedName>
    <definedName name="underwrittenltv">#REF!</definedName>
    <definedName name="UnderwrittenNOI" localSheetId="13">#REF!</definedName>
    <definedName name="UnderwrittenNOI" localSheetId="15">#REF!</definedName>
    <definedName name="UnderwrittenNOI" localSheetId="11">#REF!</definedName>
    <definedName name="UnderwrittenNOI" localSheetId="5">#REF!</definedName>
    <definedName name="UnderwrittenNOI" localSheetId="12">#REF!</definedName>
    <definedName name="UnderwrittenNOI" localSheetId="14">#REF!</definedName>
    <definedName name="UnderwrittenNOI">#REF!</definedName>
    <definedName name="UNIT">'[78]income buildup'!$E$17</definedName>
    <definedName name="UnitNo" localSheetId="23">'[79]Table of Contents'!$D$13</definedName>
    <definedName name="UnitNo">[22]Assumptions!$C$6</definedName>
    <definedName name="UNITS" localSheetId="13">#REF!</definedName>
    <definedName name="UNITS" localSheetId="15">#REF!</definedName>
    <definedName name="UNITS" localSheetId="11">#REF!</definedName>
    <definedName name="UNITS" localSheetId="5">#REF!</definedName>
    <definedName name="UNITS" localSheetId="12">#REF!</definedName>
    <definedName name="UNITS" localSheetId="14">#REF!</definedName>
    <definedName name="UNITS">#REF!</definedName>
    <definedName name="Units1" localSheetId="13">#REF!</definedName>
    <definedName name="Units1" localSheetId="15">#REF!</definedName>
    <definedName name="Units1" localSheetId="11">#REF!</definedName>
    <definedName name="Units1" localSheetId="5">#REF!</definedName>
    <definedName name="Units1" localSheetId="12">#REF!</definedName>
    <definedName name="Units1" localSheetId="14">#REF!</definedName>
    <definedName name="Units1">#REF!</definedName>
    <definedName name="Units1a" localSheetId="23">[41]Site!$D$5</definedName>
    <definedName name="Units1a">[42]Site!$D$5</definedName>
    <definedName name="Units2" localSheetId="2">[80]Bldg!$D$5</definedName>
    <definedName name="Units2" localSheetId="23">[80]Bldg!$D$5</definedName>
    <definedName name="Units2">[81]Bldg!$D$5</definedName>
    <definedName name="Units2a" localSheetId="13">#REF!</definedName>
    <definedName name="Units2a" localSheetId="15">#REF!</definedName>
    <definedName name="Units2a" localSheetId="11">#REF!</definedName>
    <definedName name="Units2a" localSheetId="5">#REF!</definedName>
    <definedName name="Units2a" localSheetId="12">#REF!</definedName>
    <definedName name="Units2a" localSheetId="14">#REF!</definedName>
    <definedName name="Units2a">#REF!</definedName>
    <definedName name="Units2a2" localSheetId="23">[80]Bldg!#REF!</definedName>
    <definedName name="Units2a2">[81]Bldg!#REF!</definedName>
    <definedName name="Units2b" localSheetId="13">#REF!</definedName>
    <definedName name="Units2b" localSheetId="15">#REF!</definedName>
    <definedName name="Units2b" localSheetId="11">#REF!</definedName>
    <definedName name="Units2b" localSheetId="5">#REF!</definedName>
    <definedName name="Units2b" localSheetId="12">#REF!</definedName>
    <definedName name="Units2b" localSheetId="14">#REF!</definedName>
    <definedName name="Units2b">#REF!</definedName>
    <definedName name="Units2c" localSheetId="13">#REF!</definedName>
    <definedName name="Units2c" localSheetId="15">#REF!</definedName>
    <definedName name="Units2c" localSheetId="11">#REF!</definedName>
    <definedName name="Units2c" localSheetId="5">#REF!</definedName>
    <definedName name="Units2c" localSheetId="12">#REF!</definedName>
    <definedName name="Units2c" localSheetId="14">#REF!</definedName>
    <definedName name="Units2c">#REF!</definedName>
    <definedName name="Units2c2" localSheetId="13">[81]Bldg!#REF!</definedName>
    <definedName name="Units2c2" localSheetId="15">[81]Bldg!#REF!</definedName>
    <definedName name="Units2c2" localSheetId="11">[81]Bldg!#REF!</definedName>
    <definedName name="Units2c2" localSheetId="5">[81]Bldg!#REF!</definedName>
    <definedName name="Units2c2" localSheetId="12">[81]Bldg!#REF!</definedName>
    <definedName name="Units2c2" localSheetId="23">[80]Bldg!#REF!</definedName>
    <definedName name="Units2c2" localSheetId="14">[81]Bldg!#REF!</definedName>
    <definedName name="Units2c2">[81]Bldg!#REF!</definedName>
    <definedName name="Units3" localSheetId="13">#REF!</definedName>
    <definedName name="Units3" localSheetId="15">#REF!</definedName>
    <definedName name="Units3" localSheetId="11">#REF!</definedName>
    <definedName name="Units3" localSheetId="5">#REF!</definedName>
    <definedName name="Units3" localSheetId="12">#REF!</definedName>
    <definedName name="Units3" localSheetId="14">#REF!</definedName>
    <definedName name="Units3">#REF!</definedName>
    <definedName name="unittype22" localSheetId="13">'[82]Rent Roll Analysis'!#REF!</definedName>
    <definedName name="unittype22" localSheetId="15">'[82]Rent Roll Analysis'!#REF!</definedName>
    <definedName name="unittype22" localSheetId="11">'[82]Rent Roll Analysis'!#REF!</definedName>
    <definedName name="unittype22" localSheetId="5">'[82]Rent Roll Analysis'!#REF!</definedName>
    <definedName name="unittype22" localSheetId="12">'[82]Rent Roll Analysis'!#REF!</definedName>
    <definedName name="unittype22" localSheetId="14">'[82]Rent Roll Analysis'!#REF!</definedName>
    <definedName name="unittype22">'[82]Rent Roll Analysis'!#REF!</definedName>
    <definedName name="UnleveredIRR" localSheetId="13">#REF!</definedName>
    <definedName name="UnleveredIRR" localSheetId="15">#REF!</definedName>
    <definedName name="UnleveredIRR" localSheetId="11">#REF!</definedName>
    <definedName name="UnleveredIRR" localSheetId="5">#REF!</definedName>
    <definedName name="UnleveredIRR" localSheetId="12">#REF!</definedName>
    <definedName name="UnleveredIRR" localSheetId="14">#REF!</definedName>
    <definedName name="UnleveredIRR">#REF!</definedName>
    <definedName name="Unused_Lookup" localSheetId="13">#REF!</definedName>
    <definedName name="Unused_Lookup" localSheetId="15">#REF!</definedName>
    <definedName name="Unused_Lookup" localSheetId="11">#REF!</definedName>
    <definedName name="Unused_Lookup" localSheetId="5">#REF!</definedName>
    <definedName name="Unused_Lookup" localSheetId="12">#REF!</definedName>
    <definedName name="Unused_Lookup" localSheetId="14">#REF!</definedName>
    <definedName name="Unused_Lookup">#REF!</definedName>
    <definedName name="UpfrontFees_1" localSheetId="13">#REF!</definedName>
    <definedName name="UpfrontFees_1" localSheetId="15">#REF!</definedName>
    <definedName name="UpfrontFees_1" localSheetId="11">#REF!</definedName>
    <definedName name="UpfrontFees_1" localSheetId="5">#REF!</definedName>
    <definedName name="UpfrontFees_1" localSheetId="12">#REF!</definedName>
    <definedName name="UpfrontFees_1" localSheetId="14">#REF!</definedName>
    <definedName name="UpfrontFees_1">#REF!</definedName>
    <definedName name="UpfrontFees_2">#REF!</definedName>
    <definedName name="UpfrontFees_3">#REF!</definedName>
    <definedName name="UpfrontFees_4">#REF!</definedName>
    <definedName name="UpfrontFees_5">#REF!</definedName>
    <definedName name="UpfrontFees_6">#REF!</definedName>
    <definedName name="US_WEST">#REF!</definedName>
    <definedName name="Usage_Rate_1">#REF!</definedName>
    <definedName name="Usage_Rate_2">#REF!</definedName>
    <definedName name="Usage_Rate_3">#REF!</definedName>
    <definedName name="Usage_Rate_4">#REF!</definedName>
    <definedName name="Usage_Rate_5">#REF!</definedName>
    <definedName name="Usage_Rate_6">#REF!</definedName>
    <definedName name="Use_Notes">#REF!</definedName>
    <definedName name="use_of_Funds">#REF!</definedName>
    <definedName name="Use_of_funds_amount">#REF!</definedName>
    <definedName name="USES" localSheetId="23">#REF!</definedName>
    <definedName name="USES">'[22]sources &amp; uses'!$F$44</definedName>
    <definedName name="UseTable" localSheetId="13">#REF!</definedName>
    <definedName name="UseTable" localSheetId="15">#REF!</definedName>
    <definedName name="UseTable" localSheetId="11">#REF!</definedName>
    <definedName name="UseTable" localSheetId="5">#REF!</definedName>
    <definedName name="UseTable" localSheetId="12">#REF!</definedName>
    <definedName name="UseTable" localSheetId="14">#REF!</definedName>
    <definedName name="UseTable">#REF!</definedName>
    <definedName name="util" localSheetId="13">[26]CAMINVBU!#REF!</definedName>
    <definedName name="util" localSheetId="15">[26]CAMINVBU!#REF!</definedName>
    <definedName name="util" localSheetId="11">[26]CAMINVBU!#REF!</definedName>
    <definedName name="util" localSheetId="5">[26]CAMINVBU!#REF!</definedName>
    <definedName name="util" localSheetId="12">[26]CAMINVBU!#REF!</definedName>
    <definedName name="util" localSheetId="14">[26]CAMINVBU!#REF!</definedName>
    <definedName name="util">[26]CAMINVBU!#REF!</definedName>
    <definedName name="UW_Rate">[56]Inputs!$C$19</definedName>
    <definedName name="Vacancy" localSheetId="13">#REF!</definedName>
    <definedName name="Vacancy" localSheetId="15">#REF!</definedName>
    <definedName name="Vacancy" localSheetId="11">#REF!</definedName>
    <definedName name="Vacancy" localSheetId="5">#REF!</definedName>
    <definedName name="Vacancy" localSheetId="12">#REF!</definedName>
    <definedName name="Vacancy" localSheetId="23">'[76]Proforma Underwriting'!#REF!</definedName>
    <definedName name="Vacancy" localSheetId="14">#REF!</definedName>
    <definedName name="Vacancy">#REF!</definedName>
    <definedName name="VACANCY_EXPENSE" localSheetId="13">#REF!</definedName>
    <definedName name="VACANCY_EXPENSE" localSheetId="15">#REF!</definedName>
    <definedName name="VACANCY_EXPENSE" localSheetId="11">#REF!</definedName>
    <definedName name="VACANCY_EXPENSE" localSheetId="5">#REF!</definedName>
    <definedName name="VACANCY_EXPENSE" localSheetId="12">#REF!</definedName>
    <definedName name="VACANCY_EXPENSE" localSheetId="14">#REF!</definedName>
    <definedName name="VACANCY_EXPENSE">#REF!</definedName>
    <definedName name="vacancy1" localSheetId="23">[19]Assumptions!$C$71</definedName>
    <definedName name="vacancy1">[22]Assumptions!$C$71</definedName>
    <definedName name="vacancy2" localSheetId="23">[19]Assumptions!$D$71</definedName>
    <definedName name="vacancy2">[22]Assumptions!$D$71</definedName>
    <definedName name="vacancy3" localSheetId="23">[19]Assumptions!$E$71</definedName>
    <definedName name="vacancy3">[22]Assumptions!$E$71</definedName>
    <definedName name="valuation_comment" localSheetId="13">#REF!</definedName>
    <definedName name="valuation_comment" localSheetId="15">#REF!</definedName>
    <definedName name="valuation_comment" localSheetId="11">#REF!</definedName>
    <definedName name="valuation_comment" localSheetId="5">#REF!</definedName>
    <definedName name="valuation_comment" localSheetId="12">#REF!</definedName>
    <definedName name="valuation_comment" localSheetId="14">#REF!</definedName>
    <definedName name="valuation_comment">#REF!</definedName>
    <definedName name="ValuationCap" localSheetId="23">[19]Assumptions!$C$164</definedName>
    <definedName name="ValuationCap">[22]Assumptions!$C$164</definedName>
    <definedName name="Value" localSheetId="23">[29]Proforma!$G$22</definedName>
    <definedName name="Value">[18]Proforma!$G$22</definedName>
    <definedName name="Value_SF" localSheetId="23">[29]Proforma!$G$38</definedName>
    <definedName name="Value_SF">[18]Proforma!$G$38</definedName>
    <definedName name="VarianceBasePrice" localSheetId="23">[16]Assumptions!#REF!</definedName>
    <definedName name="VarianceBasePrice">[15]Assumptions!#REF!</definedName>
    <definedName name="VarianceDirConstCost" localSheetId="23">[16]Assumptions!#REF!</definedName>
    <definedName name="VarianceDirConstCost">[15]Assumptions!#REF!</definedName>
    <definedName name="VarianceMasterImp" localSheetId="23">[16]Assumptions!#REF!</definedName>
    <definedName name="VarianceMasterImp">[15]Assumptions!#REF!</definedName>
    <definedName name="VarianceSiteDevCost" localSheetId="23">[16]Assumptions!#REF!</definedName>
    <definedName name="VarianceSiteDevCost">[15]Assumptions!#REF!</definedName>
    <definedName name="Version" localSheetId="23">[7]Project!$D$4</definedName>
    <definedName name="Version">[6]Project!$D$4</definedName>
    <definedName name="Version_ROEModel" localSheetId="13">#REF!</definedName>
    <definedName name="Version_ROEModel" localSheetId="15">#REF!</definedName>
    <definedName name="Version_ROEModel" localSheetId="11">#REF!</definedName>
    <definedName name="Version_ROEModel" localSheetId="5">#REF!</definedName>
    <definedName name="Version_ROEModel" localSheetId="12">#REF!</definedName>
    <definedName name="Version_ROEModel" localSheetId="14">#REF!</definedName>
    <definedName name="Version_ROEModel">#REF!</definedName>
    <definedName name="VFP" localSheetId="13">#REF!</definedName>
    <definedName name="VFP" localSheetId="15">#REF!</definedName>
    <definedName name="VFP" localSheetId="11">#REF!</definedName>
    <definedName name="VFP" localSheetId="5">#REF!</definedName>
    <definedName name="VFP" localSheetId="12">#REF!</definedName>
    <definedName name="VFP" localSheetId="14">#REF!</definedName>
    <definedName name="VFP">#REF!</definedName>
    <definedName name="VFPLC" localSheetId="13">#REF!</definedName>
    <definedName name="VFPLC" localSheetId="15">#REF!</definedName>
    <definedName name="VFPLC" localSheetId="11">#REF!</definedName>
    <definedName name="VFPLC" localSheetId="5">#REF!</definedName>
    <definedName name="VFPLC" localSheetId="12">#REF!</definedName>
    <definedName name="VFPLC" localSheetId="14">#REF!</definedName>
    <definedName name="VFPLC">#REF!</definedName>
    <definedName name="VictoryFund_Gross">#REF!</definedName>
    <definedName name="VLI_account1">#REF!</definedName>
    <definedName name="VLI_account2">#REF!</definedName>
    <definedName name="VLI_account3">#REF!</definedName>
    <definedName name="VLI_account4">#REF!</definedName>
    <definedName name="VLI_account5">#REF!</definedName>
    <definedName name="VLI_account6">#REF!</definedName>
    <definedName name="VLI_loanamt1">#REF!</definedName>
    <definedName name="VLI_loanamt2">#REF!</definedName>
    <definedName name="VLI_loanamt3">#REF!</definedName>
    <definedName name="VLI_loanamt4">#REF!</definedName>
    <definedName name="VLI_loanamt5">#REF!</definedName>
    <definedName name="VLI_loanamt6">#REF!</definedName>
    <definedName name="Votedate">#REF!</definedName>
    <definedName name="VV2003A">'[17]CFVV 2003A Consol'!$A$1</definedName>
    <definedName name="WADE\" localSheetId="13">#REF!</definedName>
    <definedName name="WADE\" localSheetId="15">#REF!</definedName>
    <definedName name="WADE\" localSheetId="11">#REF!</definedName>
    <definedName name="WADE\" localSheetId="5">#REF!</definedName>
    <definedName name="WADE\" localSheetId="12">#REF!</definedName>
    <definedName name="WADE\" localSheetId="14">#REF!</definedName>
    <definedName name="WADE\">#REF!</definedName>
    <definedName name="WALDEN_14_15">[27]WALDEN!$A$13:$P$53</definedName>
    <definedName name="WALDEN_7TH">[27]WALDENEXP!$A$13:$P$40</definedName>
    <definedName name="weaknesses_comment" localSheetId="13">#REF!</definedName>
    <definedName name="weaknesses_comment" localSheetId="15">#REF!</definedName>
    <definedName name="weaknesses_comment" localSheetId="11">#REF!</definedName>
    <definedName name="weaknesses_comment" localSheetId="5">#REF!</definedName>
    <definedName name="weaknesses_comment" localSheetId="12">#REF!</definedName>
    <definedName name="weaknesses_comment" localSheetId="14">#REF!</definedName>
    <definedName name="weaknesses_comment">#REF!</definedName>
    <definedName name="Wealth" localSheetId="13">#REF!</definedName>
    <definedName name="Wealth" localSheetId="15">#REF!</definedName>
    <definedName name="Wealth" localSheetId="11">#REF!</definedName>
    <definedName name="Wealth" localSheetId="5">#REF!</definedName>
    <definedName name="Wealth" localSheetId="12">#REF!</definedName>
    <definedName name="Wealth" localSheetId="14">#REF!</definedName>
    <definedName name="Wealth">#REF!</definedName>
    <definedName name="Weighted_Avg_1" localSheetId="13">#REF!</definedName>
    <definedName name="Weighted_Avg_1" localSheetId="15">#REF!</definedName>
    <definedName name="Weighted_Avg_1" localSheetId="11">#REF!</definedName>
    <definedName name="Weighted_Avg_1" localSheetId="5">#REF!</definedName>
    <definedName name="Weighted_Avg_1" localSheetId="12">#REF!</definedName>
    <definedName name="Weighted_Avg_1" localSheetId="14">#REF!</definedName>
    <definedName name="Weighted_Avg_1">#REF!</definedName>
    <definedName name="Weighted_Avg_1D">#REF!</definedName>
    <definedName name="Weighted_Avg_1D_for_Equity">#REF!</definedName>
    <definedName name="Weighted_Avg_1E_for_Equity">#REF!</definedName>
    <definedName name="Weighted_Avg_1f_for_Equity">#REF!</definedName>
    <definedName name="Weighted_Avg_1g_for_Equity">#REF!</definedName>
    <definedName name="Weighted_Avg_1h_for_Equity">#REF!</definedName>
    <definedName name="Weighted_Avg_1i_for_Equity">#REF!</definedName>
    <definedName name="Weighted_Avg_2">#REF!</definedName>
    <definedName name="Weighted_Avg_2D">#REF!</definedName>
    <definedName name="Weighted_Avg_3">#REF!</definedName>
    <definedName name="Weighted_Avg_3D">#REF!</definedName>
    <definedName name="Weighted_Avg_4">#REF!</definedName>
    <definedName name="Weighted_Avg_4D">#REF!</definedName>
    <definedName name="Weighted_Avg_5">#REF!</definedName>
    <definedName name="Weighted_Avg_5D">#REF!</definedName>
    <definedName name="Weighted_Avg_6">#REF!</definedName>
    <definedName name="Weighted_Avg_6D">#REF!</definedName>
    <definedName name="wescst">#REF!</definedName>
    <definedName name="WEST">#REF!</definedName>
    <definedName name="WH2003A">'[17]CFWH 2003A Consol'!$A$1</definedName>
    <definedName name="Whole_Rel_Grade" localSheetId="13">#REF!</definedName>
    <definedName name="Whole_Rel_Grade" localSheetId="15">#REF!</definedName>
    <definedName name="Whole_Rel_Grade" localSheetId="11">#REF!</definedName>
    <definedName name="Whole_Rel_Grade" localSheetId="5">#REF!</definedName>
    <definedName name="Whole_Rel_Grade" localSheetId="12">#REF!</definedName>
    <definedName name="Whole_Rel_Grade" localSheetId="14">#REF!</definedName>
    <definedName name="Whole_Rel_Grade">#REF!</definedName>
    <definedName name="Wholegrade_1" localSheetId="13">#REF!</definedName>
    <definedName name="Wholegrade_1" localSheetId="15">#REF!</definedName>
    <definedName name="Wholegrade_1" localSheetId="11">#REF!</definedName>
    <definedName name="Wholegrade_1" localSheetId="5">#REF!</definedName>
    <definedName name="Wholegrade_1" localSheetId="12">#REF!</definedName>
    <definedName name="Wholegrade_1" localSheetId="14">#REF!</definedName>
    <definedName name="Wholegrade_1">#REF!</definedName>
    <definedName name="Wholegrade_2" localSheetId="13">#REF!</definedName>
    <definedName name="Wholegrade_2" localSheetId="15">#REF!</definedName>
    <definedName name="Wholegrade_2" localSheetId="11">#REF!</definedName>
    <definedName name="Wholegrade_2" localSheetId="5">#REF!</definedName>
    <definedName name="Wholegrade_2" localSheetId="12">#REF!</definedName>
    <definedName name="Wholegrade_2" localSheetId="14">#REF!</definedName>
    <definedName name="Wholegrade_2">#REF!</definedName>
    <definedName name="Wholegrade_3">#REF!</definedName>
    <definedName name="Wholegrade_4">#REF!</definedName>
    <definedName name="Wholegrade_5">#REF!</definedName>
    <definedName name="Wholegrade_6">#REF!</definedName>
    <definedName name="wrn.ALL." localSheetId="1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1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11"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1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6"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2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14"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CGR." localSheetId="13"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15"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11"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5"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12"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2"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6"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23"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14"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ONDO." localSheetId="13" hidden="1">{#N/A,#N/A,FALSE,"SPCondo"}</definedName>
    <definedName name="wrn.CONDO." localSheetId="15" hidden="1">{#N/A,#N/A,FALSE,"SPCondo"}</definedName>
    <definedName name="wrn.CONDO." localSheetId="11" hidden="1">{#N/A,#N/A,FALSE,"SPCondo"}</definedName>
    <definedName name="wrn.CONDO." localSheetId="5" hidden="1">{#N/A,#N/A,FALSE,"SPCondo"}</definedName>
    <definedName name="wrn.CONDO." localSheetId="12" hidden="1">{#N/A,#N/A,FALSE,"SPCondo"}</definedName>
    <definedName name="wrn.CONDO." localSheetId="2" hidden="1">{#N/A,#N/A,FALSE,"SPCondo"}</definedName>
    <definedName name="wrn.CONDO." localSheetId="6" hidden="1">{#N/A,#N/A,FALSE,"SPCondo"}</definedName>
    <definedName name="wrn.CONDO." localSheetId="23" hidden="1">{#N/A,#N/A,FALSE,"SPCondo"}</definedName>
    <definedName name="wrn.CONDO." localSheetId="14" hidden="1">{#N/A,#N/A,FALSE,"SPCondo"}</definedName>
    <definedName name="wrn.CONDO." hidden="1">{#N/A,#N/A,FALSE,"SPCondo"}</definedName>
    <definedName name="wrn.DETAIL._.SCHEDULES." localSheetId="13" hidden="1">{"ACCOUNT DETAIL",#N/A,FALSE,"SCHEDULE E";"ACCOUNT DETAIL",#N/A,FALSE,"SCHEDULE G";"ACCOUNT DETAIL",#N/A,FALSE,"SCHEDULE H";"ACCOUNT DETAIL",#N/A,FALSE,"SCHEDULE I"}</definedName>
    <definedName name="wrn.DETAIL._.SCHEDULES." localSheetId="15" hidden="1">{"ACCOUNT DETAIL",#N/A,FALSE,"SCHEDULE E";"ACCOUNT DETAIL",#N/A,FALSE,"SCHEDULE G";"ACCOUNT DETAIL",#N/A,FALSE,"SCHEDULE H";"ACCOUNT DETAIL",#N/A,FALSE,"SCHEDULE I"}</definedName>
    <definedName name="wrn.DETAIL._.SCHEDULES." localSheetId="11" hidden="1">{"ACCOUNT DETAIL",#N/A,FALSE,"SCHEDULE E";"ACCOUNT DETAIL",#N/A,FALSE,"SCHEDULE G";"ACCOUNT DETAIL",#N/A,FALSE,"SCHEDULE H";"ACCOUNT DETAIL",#N/A,FALSE,"SCHEDULE I"}</definedName>
    <definedName name="wrn.DETAIL._.SCHEDULES." localSheetId="5" hidden="1">{"ACCOUNT DETAIL",#N/A,FALSE,"SCHEDULE E";"ACCOUNT DETAIL",#N/A,FALSE,"SCHEDULE G";"ACCOUNT DETAIL",#N/A,FALSE,"SCHEDULE H";"ACCOUNT DETAIL",#N/A,FALSE,"SCHEDULE I"}</definedName>
    <definedName name="wrn.DETAIL._.SCHEDULES." localSheetId="12" hidden="1">{"ACCOUNT DETAIL",#N/A,FALSE,"SCHEDULE E";"ACCOUNT DETAIL",#N/A,FALSE,"SCHEDULE G";"ACCOUNT DETAIL",#N/A,FALSE,"SCHEDULE H";"ACCOUNT DETAIL",#N/A,FALSE,"SCHEDULE I"}</definedName>
    <definedName name="wrn.DETAIL._.SCHEDULES." localSheetId="2" hidden="1">{"ACCOUNT DETAIL",#N/A,FALSE,"SCHEDULE E";"ACCOUNT DETAIL",#N/A,FALSE,"SCHEDULE G";"ACCOUNT DETAIL",#N/A,FALSE,"SCHEDULE H";"ACCOUNT DETAIL",#N/A,FALSE,"SCHEDULE I"}</definedName>
    <definedName name="wrn.DETAIL._.SCHEDULES." localSheetId="6" hidden="1">{"ACCOUNT DETAIL",#N/A,FALSE,"SCHEDULE E";"ACCOUNT DETAIL",#N/A,FALSE,"SCHEDULE G";"ACCOUNT DETAIL",#N/A,FALSE,"SCHEDULE H";"ACCOUNT DETAIL",#N/A,FALSE,"SCHEDULE I"}</definedName>
    <definedName name="wrn.DETAIL._.SCHEDULES." localSheetId="23" hidden="1">{"ACCOUNT DETAIL",#N/A,FALSE,"SCHEDULE E";"ACCOUNT DETAIL",#N/A,FALSE,"SCHEDULE G";"ACCOUNT DETAIL",#N/A,FALSE,"SCHEDULE H";"ACCOUNT DETAIL",#N/A,FALSE,"SCHEDULE I"}</definedName>
    <definedName name="wrn.DETAIL._.SCHEDULES." localSheetId="14"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FORESTPARK." localSheetId="13" hidden="1">{#N/A,#N/A,FALSE,"ForestPark"}</definedName>
    <definedName name="wrn.FORESTPARK." localSheetId="15" hidden="1">{#N/A,#N/A,FALSE,"ForestPark"}</definedName>
    <definedName name="wrn.FORESTPARK." localSheetId="11" hidden="1">{#N/A,#N/A,FALSE,"ForestPark"}</definedName>
    <definedName name="wrn.FORESTPARK." localSheetId="5" hidden="1">{#N/A,#N/A,FALSE,"ForestPark"}</definedName>
    <definedName name="wrn.FORESTPARK." localSheetId="12" hidden="1">{#N/A,#N/A,FALSE,"ForestPark"}</definedName>
    <definedName name="wrn.FORESTPARK." localSheetId="2" hidden="1">{#N/A,#N/A,FALSE,"ForestPark"}</definedName>
    <definedName name="wrn.FORESTPARK." localSheetId="6" hidden="1">{#N/A,#N/A,FALSE,"ForestPark"}</definedName>
    <definedName name="wrn.FORESTPARK." localSheetId="23" hidden="1">{#N/A,#N/A,FALSE,"ForestPark"}</definedName>
    <definedName name="wrn.FORESTPARK." localSheetId="14" hidden="1">{#N/A,#N/A,FALSE,"ForestPark"}</definedName>
    <definedName name="wrn.FORESTPARK." hidden="1">{#N/A,#N/A,FALSE,"ForestPark"}</definedName>
    <definedName name="wrn.LC." localSheetId="13" hidden="1">{"LCPR",#N/A,TRUE,"LC"}</definedName>
    <definedName name="wrn.LC." localSheetId="15" hidden="1">{"LCPR",#N/A,TRUE,"LC"}</definedName>
    <definedName name="wrn.LC." localSheetId="11" hidden="1">{"LCPR",#N/A,TRUE,"LC"}</definedName>
    <definedName name="wrn.LC." localSheetId="5" hidden="1">{"LCPR",#N/A,TRUE,"LC"}</definedName>
    <definedName name="wrn.LC." localSheetId="12" hidden="1">{"LCPR",#N/A,TRUE,"LC"}</definedName>
    <definedName name="wrn.LC." localSheetId="2" hidden="1">{"LCPR",#N/A,TRUE,"LC"}</definedName>
    <definedName name="wrn.LC." localSheetId="6" hidden="1">{"LCPR",#N/A,TRUE,"LC"}</definedName>
    <definedName name="wrn.LC." localSheetId="23" hidden="1">{"LCPR",#N/A,TRUE,"LC"}</definedName>
    <definedName name="wrn.LC." localSheetId="14" hidden="1">{"LCPR",#N/A,TRUE,"LC"}</definedName>
    <definedName name="wrn.LC." hidden="1">{"LCPR",#N/A,TRUE,"LC"}</definedName>
    <definedName name="wrn.LETTERED." localSheetId="1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6"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2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MARKETING." localSheetId="13" hidden="1">{#N/A,#N/A,FALSE,"MARKETING I";#N/A,#N/A,FALSE,"MARKETING II";#N/A,#N/A,FALSE,"MARKETING III"}</definedName>
    <definedName name="wrn.MARKETING." localSheetId="15" hidden="1">{#N/A,#N/A,FALSE,"MARKETING I";#N/A,#N/A,FALSE,"MARKETING II";#N/A,#N/A,FALSE,"MARKETING III"}</definedName>
    <definedName name="wrn.MARKETING." localSheetId="11" hidden="1">{#N/A,#N/A,FALSE,"MARKETING I";#N/A,#N/A,FALSE,"MARKETING II";#N/A,#N/A,FALSE,"MARKETING III"}</definedName>
    <definedName name="wrn.MARKETING." localSheetId="5" hidden="1">{#N/A,#N/A,FALSE,"MARKETING I";#N/A,#N/A,FALSE,"MARKETING II";#N/A,#N/A,FALSE,"MARKETING III"}</definedName>
    <definedName name="wrn.MARKETING." localSheetId="12" hidden="1">{#N/A,#N/A,FALSE,"MARKETING I";#N/A,#N/A,FALSE,"MARKETING II";#N/A,#N/A,FALSE,"MARKETING III"}</definedName>
    <definedName name="wrn.MARKETING." localSheetId="2" hidden="1">{#N/A,#N/A,FALSE,"MARKETING I";#N/A,#N/A,FALSE,"MARKETING II";#N/A,#N/A,FALSE,"MARKETING III"}</definedName>
    <definedName name="wrn.MARKETING." localSheetId="6" hidden="1">{#N/A,#N/A,FALSE,"MARKETING I";#N/A,#N/A,FALSE,"MARKETING II";#N/A,#N/A,FALSE,"MARKETING III"}</definedName>
    <definedName name="wrn.MARKETING." localSheetId="23" hidden="1">{#N/A,#N/A,FALSE,"MARKETING I";#N/A,#N/A,FALSE,"MARKETING II";#N/A,#N/A,FALSE,"MARKETING III"}</definedName>
    <definedName name="wrn.MARKETING." localSheetId="14" hidden="1">{#N/A,#N/A,FALSE,"MARKETING I";#N/A,#N/A,FALSE,"MARKETING II";#N/A,#N/A,FALSE,"MARKETING III"}</definedName>
    <definedName name="wrn.MARKETING." hidden="1">{#N/A,#N/A,FALSE,"MARKETING I";#N/A,#N/A,FALSE,"MARKETING II";#N/A,#N/A,FALSE,"MARKETING III"}</definedName>
    <definedName name="wrn.MINRENT." localSheetId="13" hidden="1">{"MINRENT2",#N/A,FALSE,"SCHEDULE B"}</definedName>
    <definedName name="wrn.MINRENT." localSheetId="15" hidden="1">{"MINRENT2",#N/A,FALSE,"SCHEDULE B"}</definedName>
    <definedName name="wrn.MINRENT." localSheetId="11" hidden="1">{"MINRENT2",#N/A,FALSE,"SCHEDULE B"}</definedName>
    <definedName name="wrn.MINRENT." localSheetId="5" hidden="1">{"MINRENT2",#N/A,FALSE,"SCHEDULE B"}</definedName>
    <definedName name="wrn.MINRENT." localSheetId="12" hidden="1">{"MINRENT2",#N/A,FALSE,"SCHEDULE B"}</definedName>
    <definedName name="wrn.MINRENT." localSheetId="2" hidden="1">{"MINRENT2",#N/A,FALSE,"SCHEDULE B"}</definedName>
    <definedName name="wrn.MINRENT." localSheetId="6" hidden="1">{"MINRENT2",#N/A,FALSE,"SCHEDULE B"}</definedName>
    <definedName name="wrn.MINRENT." localSheetId="23" hidden="1">{"MINRENT2",#N/A,FALSE,"SCHEDULE B"}</definedName>
    <definedName name="wrn.MINRENT." localSheetId="14" hidden="1">{"MINRENT2",#N/A,FALSE,"SCHEDULE B"}</definedName>
    <definedName name="wrn.MINRENT." hidden="1">{"MINRENT2",#N/A,FALSE,"SCHEDULE B"}</definedName>
    <definedName name="wrn.PERCENTAGE._.RENT." localSheetId="13" hidden="1">{"PERCENTAGE RENT",#N/A,TRUE,"SCHEDULE B"}</definedName>
    <definedName name="wrn.PERCENTAGE._.RENT." localSheetId="15" hidden="1">{"PERCENTAGE RENT",#N/A,TRUE,"SCHEDULE B"}</definedName>
    <definedName name="wrn.PERCENTAGE._.RENT." localSheetId="11" hidden="1">{"PERCENTAGE RENT",#N/A,TRUE,"SCHEDULE B"}</definedName>
    <definedName name="wrn.PERCENTAGE._.RENT." localSheetId="5" hidden="1">{"PERCENTAGE RENT",#N/A,TRUE,"SCHEDULE B"}</definedName>
    <definedName name="wrn.PERCENTAGE._.RENT." localSheetId="12" hidden="1">{"PERCENTAGE RENT",#N/A,TRUE,"SCHEDULE B"}</definedName>
    <definedName name="wrn.PERCENTAGE._.RENT." localSheetId="2" hidden="1">{"PERCENTAGE RENT",#N/A,TRUE,"SCHEDULE B"}</definedName>
    <definedName name="wrn.PERCENTAGE._.RENT." localSheetId="6" hidden="1">{"PERCENTAGE RENT",#N/A,TRUE,"SCHEDULE B"}</definedName>
    <definedName name="wrn.PERCENTAGE._.RENT." localSheetId="23" hidden="1">{"PERCENTAGE RENT",#N/A,TRUE,"SCHEDULE B"}</definedName>
    <definedName name="wrn.PERCENTAGE._.RENT." localSheetId="14" hidden="1">{"PERCENTAGE RENT",#N/A,TRUE,"SCHEDULE B"}</definedName>
    <definedName name="wrn.PERCENTAGE._.RENT." hidden="1">{"PERCENTAGE RENT",#N/A,TRUE,"SCHEDULE B"}</definedName>
    <definedName name="wrn.Print." localSheetId="13" hidden="1">{#N/A,#N/A,TRUE,"Cerritos Gardens";#N/A,#N/A,TRUE,"Cerritos Gardens Plus .5%";#N/A,#N/A,TRUE,"Corte Bella";#N/A,#N/A,TRUE,"Corte Bella Plus .05%";#N/A,#N/A,TRUE,"Crystal Springs";#N/A,#N/A,TRUE,"Crystal Springs Plus .05%"}</definedName>
    <definedName name="wrn.Print." localSheetId="15" hidden="1">{#N/A,#N/A,TRUE,"Cerritos Gardens";#N/A,#N/A,TRUE,"Cerritos Gardens Plus .5%";#N/A,#N/A,TRUE,"Corte Bella";#N/A,#N/A,TRUE,"Corte Bella Plus .05%";#N/A,#N/A,TRUE,"Crystal Springs";#N/A,#N/A,TRUE,"Crystal Springs Plus .05%"}</definedName>
    <definedName name="wrn.Print." localSheetId="11" hidden="1">{#N/A,#N/A,TRUE,"Cerritos Gardens";#N/A,#N/A,TRUE,"Cerritos Gardens Plus .5%";#N/A,#N/A,TRUE,"Corte Bella";#N/A,#N/A,TRUE,"Corte Bella Plus .05%";#N/A,#N/A,TRUE,"Crystal Springs";#N/A,#N/A,TRUE,"Crystal Springs Plus .05%"}</definedName>
    <definedName name="wrn.Print." localSheetId="5" hidden="1">{#N/A,#N/A,TRUE,"Cerritos Gardens";#N/A,#N/A,TRUE,"Cerritos Gardens Plus .5%";#N/A,#N/A,TRUE,"Corte Bella";#N/A,#N/A,TRUE,"Corte Bella Plus .05%";#N/A,#N/A,TRUE,"Crystal Springs";#N/A,#N/A,TRUE,"Crystal Springs Plus .05%"}</definedName>
    <definedName name="wrn.Print." localSheetId="12" hidden="1">{#N/A,#N/A,TRUE,"Cerritos Gardens";#N/A,#N/A,TRUE,"Cerritos Gardens Plus .5%";#N/A,#N/A,TRUE,"Corte Bella";#N/A,#N/A,TRUE,"Corte Bella Plus .05%";#N/A,#N/A,TRUE,"Crystal Springs";#N/A,#N/A,TRUE,"Crystal Springs Plus .05%"}</definedName>
    <definedName name="wrn.Print." localSheetId="2" hidden="1">{#N/A,#N/A,TRUE,"Cerritos Gardens";#N/A,#N/A,TRUE,"Cerritos Gardens Plus .5%";#N/A,#N/A,TRUE,"Corte Bella";#N/A,#N/A,TRUE,"Corte Bella Plus .05%";#N/A,#N/A,TRUE,"Crystal Springs";#N/A,#N/A,TRUE,"Crystal Springs Plus .05%"}</definedName>
    <definedName name="wrn.Print." localSheetId="6" hidden="1">{#N/A,#N/A,TRUE,"Cerritos Gardens";#N/A,#N/A,TRUE,"Cerritos Gardens Plus .5%";#N/A,#N/A,TRUE,"Corte Bella";#N/A,#N/A,TRUE,"Corte Bella Plus .05%";#N/A,#N/A,TRUE,"Crystal Springs";#N/A,#N/A,TRUE,"Crystal Springs Plus .05%"}</definedName>
    <definedName name="wrn.Print." localSheetId="23" hidden="1">{#N/A,#N/A,TRUE,"Cerritos Gardens";#N/A,#N/A,TRUE,"Cerritos Gardens Plus .5%";#N/A,#N/A,TRUE,"Corte Bella";#N/A,#N/A,TRUE,"Corte Bella Plus .05%";#N/A,#N/A,TRUE,"Crystal Springs";#N/A,#N/A,TRUE,"Crystal Springs Plus .05%"}</definedName>
    <definedName name="wrn.Print." localSheetId="14" hidden="1">{#N/A,#N/A,TRUE,"Cerritos Gardens";#N/A,#N/A,TRUE,"Cerritos Gardens Plus .5%";#N/A,#N/A,TRUE,"Corte Bella";#N/A,#N/A,TRUE,"Corte Bella Plus .05%";#N/A,#N/A,TRUE,"Crystal Springs";#N/A,#N/A,TRUE,"Crystal Springs Plus .05%"}</definedName>
    <definedName name="wrn.Print." hidden="1">{#N/A,#N/A,TRUE,"Cerritos Gardens";#N/A,#N/A,TRUE,"Cerritos Gardens Plus .5%";#N/A,#N/A,TRUE,"Corte Bella";#N/A,#N/A,TRUE,"Corte Bella Plus .05%";#N/A,#N/A,TRUE,"Crystal Springs";#N/A,#N/A,TRUE,"Crystal Springs Plus .05%"}</definedName>
    <definedName name="wrn.Projections." localSheetId="13" hidden="1">{#N/A,#N/A,FALSE,"Release Price";#N/A,#N/A,FALSE,"Cash flow for 50 Unit";#N/A,#N/A,FALSE,"Cash Flow for 3 Models"}</definedName>
    <definedName name="wrn.Projections." localSheetId="15" hidden="1">{#N/A,#N/A,FALSE,"Release Price";#N/A,#N/A,FALSE,"Cash flow for 50 Unit";#N/A,#N/A,FALSE,"Cash Flow for 3 Models"}</definedName>
    <definedName name="wrn.Projections." localSheetId="11" hidden="1">{#N/A,#N/A,FALSE,"Release Price";#N/A,#N/A,FALSE,"Cash flow for 50 Unit";#N/A,#N/A,FALSE,"Cash Flow for 3 Models"}</definedName>
    <definedName name="wrn.Projections." localSheetId="5" hidden="1">{#N/A,#N/A,FALSE,"Release Price";#N/A,#N/A,FALSE,"Cash flow for 50 Unit";#N/A,#N/A,FALSE,"Cash Flow for 3 Models"}</definedName>
    <definedName name="wrn.Projections." localSheetId="12" hidden="1">{#N/A,#N/A,FALSE,"Release Price";#N/A,#N/A,FALSE,"Cash flow for 50 Unit";#N/A,#N/A,FALSE,"Cash Flow for 3 Models"}</definedName>
    <definedName name="wrn.Projections." localSheetId="2" hidden="1">{#N/A,#N/A,FALSE,"Release Price";#N/A,#N/A,FALSE,"Cash flow for 50 Unit";#N/A,#N/A,FALSE,"Cash Flow for 3 Models"}</definedName>
    <definedName name="wrn.Projections." localSheetId="6" hidden="1">{#N/A,#N/A,FALSE,"Release Price";#N/A,#N/A,FALSE,"Cash flow for 50 Unit";#N/A,#N/A,FALSE,"Cash Flow for 3 Models"}</definedName>
    <definedName name="wrn.Projections." localSheetId="23" hidden="1">{#N/A,#N/A,FALSE,"Release Price";#N/A,#N/A,FALSE,"Cash flow for 50 Unit";#N/A,#N/A,FALSE,"Cash Flow for 3 Models"}</definedName>
    <definedName name="wrn.Projections." localSheetId="14" hidden="1">{#N/A,#N/A,FALSE,"Release Price";#N/A,#N/A,FALSE,"Cash flow for 50 Unit";#N/A,#N/A,FALSE,"Cash Flow for 3 Models"}</definedName>
    <definedName name="wrn.Projections." hidden="1">{#N/A,#N/A,FALSE,"Release Price";#N/A,#N/A,FALSE,"Cash flow for 50 Unit";#N/A,#N/A,FALSE,"Cash Flow for 3 Models"}</definedName>
    <definedName name="wrn.RATES." localSheetId="13" hidden="1">{"RATES",#N/A,FALSE,"RECOVERY RATES";"CONTRIBUTIONS",#N/A,FALSE,"RECOVERY RATES";"GLA CATEGORY SUMMARY",#N/A,FALSE,"RECOVERY RATES"}</definedName>
    <definedName name="wrn.RATES." localSheetId="15" hidden="1">{"RATES",#N/A,FALSE,"RECOVERY RATES";"CONTRIBUTIONS",#N/A,FALSE,"RECOVERY RATES";"GLA CATEGORY SUMMARY",#N/A,FALSE,"RECOVERY RATES"}</definedName>
    <definedName name="wrn.RATES." localSheetId="11" hidden="1">{"RATES",#N/A,FALSE,"RECOVERY RATES";"CONTRIBUTIONS",#N/A,FALSE,"RECOVERY RATES";"GLA CATEGORY SUMMARY",#N/A,FALSE,"RECOVERY RATES"}</definedName>
    <definedName name="wrn.RATES." localSheetId="5" hidden="1">{"RATES",#N/A,FALSE,"RECOVERY RATES";"CONTRIBUTIONS",#N/A,FALSE,"RECOVERY RATES";"GLA CATEGORY SUMMARY",#N/A,FALSE,"RECOVERY RATES"}</definedName>
    <definedName name="wrn.RATES." localSheetId="12" hidden="1">{"RATES",#N/A,FALSE,"RECOVERY RATES";"CONTRIBUTIONS",#N/A,FALSE,"RECOVERY RATES";"GLA CATEGORY SUMMARY",#N/A,FALSE,"RECOVERY RATES"}</definedName>
    <definedName name="wrn.RATES." localSheetId="2" hidden="1">{"RATES",#N/A,FALSE,"RECOVERY RATES";"CONTRIBUTIONS",#N/A,FALSE,"RECOVERY RATES";"GLA CATEGORY SUMMARY",#N/A,FALSE,"RECOVERY RATES"}</definedName>
    <definedName name="wrn.RATES." localSheetId="6" hidden="1">{"RATES",#N/A,FALSE,"RECOVERY RATES";"CONTRIBUTIONS",#N/A,FALSE,"RECOVERY RATES";"GLA CATEGORY SUMMARY",#N/A,FALSE,"RECOVERY RATES"}</definedName>
    <definedName name="wrn.RATES." localSheetId="23" hidden="1">{"RATES",#N/A,FALSE,"RECOVERY RATES";"CONTRIBUTIONS",#N/A,FALSE,"RECOVERY RATES";"GLA CATEGORY SUMMARY",#N/A,FALSE,"RECOVERY RATES"}</definedName>
    <definedName name="wrn.RATES." localSheetId="14"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SCHAs." localSheetId="13" hidden="1">{"ACCOUNTING COPY",#N/A,FALSE,"SCHEDULE A";"FINANCE COPY",#N/A,FALSE,"SCHEDULE A";"P.L. COPY",#N/A,FALSE,"SCHEDULE A"}</definedName>
    <definedName name="wrn.SCHAs." localSheetId="15" hidden="1">{"ACCOUNTING COPY",#N/A,FALSE,"SCHEDULE A";"FINANCE COPY",#N/A,FALSE,"SCHEDULE A";"P.L. COPY",#N/A,FALSE,"SCHEDULE A"}</definedName>
    <definedName name="wrn.SCHAs." localSheetId="11" hidden="1">{"ACCOUNTING COPY",#N/A,FALSE,"SCHEDULE A";"FINANCE COPY",#N/A,FALSE,"SCHEDULE A";"P.L. COPY",#N/A,FALSE,"SCHEDULE A"}</definedName>
    <definedName name="wrn.SCHAs." localSheetId="5" hidden="1">{"ACCOUNTING COPY",#N/A,FALSE,"SCHEDULE A";"FINANCE COPY",#N/A,FALSE,"SCHEDULE A";"P.L. COPY",#N/A,FALSE,"SCHEDULE A"}</definedName>
    <definedName name="wrn.SCHAs." localSheetId="12" hidden="1">{"ACCOUNTING COPY",#N/A,FALSE,"SCHEDULE A";"FINANCE COPY",#N/A,FALSE,"SCHEDULE A";"P.L. COPY",#N/A,FALSE,"SCHEDULE A"}</definedName>
    <definedName name="wrn.SCHAs." localSheetId="2" hidden="1">{"ACCOUNTING COPY",#N/A,FALSE,"SCHEDULE A";"FINANCE COPY",#N/A,FALSE,"SCHEDULE A";"P.L. COPY",#N/A,FALSE,"SCHEDULE A"}</definedName>
    <definedName name="wrn.SCHAs." localSheetId="6" hidden="1">{"ACCOUNTING COPY",#N/A,FALSE,"SCHEDULE A";"FINANCE COPY",#N/A,FALSE,"SCHEDULE A";"P.L. COPY",#N/A,FALSE,"SCHEDULE A"}</definedName>
    <definedName name="wrn.SCHAs." localSheetId="23" hidden="1">{"ACCOUNTING COPY",#N/A,FALSE,"SCHEDULE A";"FINANCE COPY",#N/A,FALSE,"SCHEDULE A";"P.L. COPY",#N/A,FALSE,"SCHEDULE A"}</definedName>
    <definedName name="wrn.SCHAs." localSheetId="14" hidden="1">{"ACCOUNTING COPY",#N/A,FALSE,"SCHEDULE A";"FINANCE COPY",#N/A,FALSE,"SCHEDULE A";"P.L. COPY",#N/A,FALSE,"SCHEDULE A"}</definedName>
    <definedName name="wrn.SCHAs." hidden="1">{"ACCOUNTING COPY",#N/A,FALSE,"SCHEDULE A";"FINANCE COPY",#N/A,FALSE,"SCHEDULE A";"P.L. COPY",#N/A,FALSE,"SCHEDULE A"}</definedName>
    <definedName name="wrn.SCHEDULE._.H." localSheetId="13" hidden="1">{"ACCOUNT DETAIL",#N/A,FALSE,"SCHEDULE E";"ACCOUNT DETAIL",#N/A,FALSE,"SCHEDULE G";"ACCOUNT DETAIL",#N/A,FALSE,"SCHEDULE H";"ACCOUNT DETAIL",#N/A,FALSE,"SCHEDULE I"}</definedName>
    <definedName name="wrn.SCHEDULE._.H." localSheetId="15" hidden="1">{"ACCOUNT DETAIL",#N/A,FALSE,"SCHEDULE E";"ACCOUNT DETAIL",#N/A,FALSE,"SCHEDULE G";"ACCOUNT DETAIL",#N/A,FALSE,"SCHEDULE H";"ACCOUNT DETAIL",#N/A,FALSE,"SCHEDULE I"}</definedName>
    <definedName name="wrn.SCHEDULE._.H." localSheetId="11" hidden="1">{"ACCOUNT DETAIL",#N/A,FALSE,"SCHEDULE E";"ACCOUNT DETAIL",#N/A,FALSE,"SCHEDULE G";"ACCOUNT DETAIL",#N/A,FALSE,"SCHEDULE H";"ACCOUNT DETAIL",#N/A,FALSE,"SCHEDULE I"}</definedName>
    <definedName name="wrn.SCHEDULE._.H." localSheetId="5" hidden="1">{"ACCOUNT DETAIL",#N/A,FALSE,"SCHEDULE E";"ACCOUNT DETAIL",#N/A,FALSE,"SCHEDULE G";"ACCOUNT DETAIL",#N/A,FALSE,"SCHEDULE H";"ACCOUNT DETAIL",#N/A,FALSE,"SCHEDULE I"}</definedName>
    <definedName name="wrn.SCHEDULE._.H." localSheetId="12" hidden="1">{"ACCOUNT DETAIL",#N/A,FALSE,"SCHEDULE E";"ACCOUNT DETAIL",#N/A,FALSE,"SCHEDULE G";"ACCOUNT DETAIL",#N/A,FALSE,"SCHEDULE H";"ACCOUNT DETAIL",#N/A,FALSE,"SCHEDULE I"}</definedName>
    <definedName name="wrn.SCHEDULE._.H." localSheetId="2" hidden="1">{"ACCOUNT DETAIL",#N/A,FALSE,"SCHEDULE E";"ACCOUNT DETAIL",#N/A,FALSE,"SCHEDULE G";"ACCOUNT DETAIL",#N/A,FALSE,"SCHEDULE H";"ACCOUNT DETAIL",#N/A,FALSE,"SCHEDULE I"}</definedName>
    <definedName name="wrn.SCHEDULE._.H." localSheetId="6" hidden="1">{"ACCOUNT DETAIL",#N/A,FALSE,"SCHEDULE E";"ACCOUNT DETAIL",#N/A,FALSE,"SCHEDULE G";"ACCOUNT DETAIL",#N/A,FALSE,"SCHEDULE H";"ACCOUNT DETAIL",#N/A,FALSE,"SCHEDULE I"}</definedName>
    <definedName name="wrn.SCHEDULE._.H." localSheetId="23" hidden="1">{"ACCOUNT DETAIL",#N/A,FALSE,"SCHEDULE E";"ACCOUNT DETAIL",#N/A,FALSE,"SCHEDULE G";"ACCOUNT DETAIL",#N/A,FALSE,"SCHEDULE H";"ACCOUNT DETAIL",#N/A,FALSE,"SCHEDULE I"}</definedName>
    <definedName name="wrn.SCHEDULE._.H." localSheetId="14" hidden="1">{"ACCOUNT DETAIL",#N/A,FALSE,"SCHEDULE E";"ACCOUNT DETAIL",#N/A,FALSE,"SCHEDULE G";"ACCOUNT DETAIL",#N/A,FALSE,"SCHEDULE H";"ACCOUNT DETAIL",#N/A,FALSE,"SCHEDULE I"}</definedName>
    <definedName name="wrn.SCHEDULE._.H." hidden="1">{"ACCOUNT DETAIL",#N/A,FALSE,"SCHEDULE E";"ACCOUNT DETAIL",#N/A,FALSE,"SCHEDULE G";"ACCOUNT DETAIL",#N/A,FALSE,"SCHEDULE H";"ACCOUNT DETAIL",#N/A,FALSE,"SCHEDULE I"}</definedName>
    <definedName name="wrn.SCHEDULES._.ABC." localSheetId="13" hidden="1">{#N/A,#N/A,FALSE,"SCHEDULE A";"MINIMUM RENT",#N/A,FALSE,"SCHEDULES B &amp; C";"PERCENTAGE RENT",#N/A,FALSE,"SCHEDULES B &amp; C"}</definedName>
    <definedName name="wrn.SCHEDULES._.ABC." localSheetId="15" hidden="1">{#N/A,#N/A,FALSE,"SCHEDULE A";"MINIMUM RENT",#N/A,FALSE,"SCHEDULES B &amp; C";"PERCENTAGE RENT",#N/A,FALSE,"SCHEDULES B &amp; C"}</definedName>
    <definedName name="wrn.SCHEDULES._.ABC." localSheetId="11" hidden="1">{#N/A,#N/A,FALSE,"SCHEDULE A";"MINIMUM RENT",#N/A,FALSE,"SCHEDULES B &amp; C";"PERCENTAGE RENT",#N/A,FALSE,"SCHEDULES B &amp; C"}</definedName>
    <definedName name="wrn.SCHEDULES._.ABC." localSheetId="5" hidden="1">{#N/A,#N/A,FALSE,"SCHEDULE A";"MINIMUM RENT",#N/A,FALSE,"SCHEDULES B &amp; C";"PERCENTAGE RENT",#N/A,FALSE,"SCHEDULES B &amp; C"}</definedName>
    <definedName name="wrn.SCHEDULES._.ABC." localSheetId="12" hidden="1">{#N/A,#N/A,FALSE,"SCHEDULE A";"MINIMUM RENT",#N/A,FALSE,"SCHEDULES B &amp; C";"PERCENTAGE RENT",#N/A,FALSE,"SCHEDULES B &amp; C"}</definedName>
    <definedName name="wrn.SCHEDULES._.ABC." localSheetId="2" hidden="1">{#N/A,#N/A,FALSE,"SCHEDULE A";"MINIMUM RENT",#N/A,FALSE,"SCHEDULES B &amp; C";"PERCENTAGE RENT",#N/A,FALSE,"SCHEDULES B &amp; C"}</definedName>
    <definedName name="wrn.SCHEDULES._.ABC." localSheetId="6" hidden="1">{#N/A,#N/A,FALSE,"SCHEDULE A";"MINIMUM RENT",#N/A,FALSE,"SCHEDULES B &amp; C";"PERCENTAGE RENT",#N/A,FALSE,"SCHEDULES B &amp; C"}</definedName>
    <definedName name="wrn.SCHEDULES._.ABC." localSheetId="23" hidden="1">{#N/A,#N/A,FALSE,"SCHEDULE A";"MINIMUM RENT",#N/A,FALSE,"SCHEDULES B &amp; C";"PERCENTAGE RENT",#N/A,FALSE,"SCHEDULES B &amp; C"}</definedName>
    <definedName name="wrn.SCHEDULES._.ABC." localSheetId="14"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P2." localSheetId="13" hidden="1">{#N/A,#N/A,FALSE,"SP2"}</definedName>
    <definedName name="wrn.SP2." localSheetId="15" hidden="1">{#N/A,#N/A,FALSE,"SP2"}</definedName>
    <definedName name="wrn.SP2." localSheetId="11" hidden="1">{#N/A,#N/A,FALSE,"SP2"}</definedName>
    <definedName name="wrn.SP2." localSheetId="5" hidden="1">{#N/A,#N/A,FALSE,"SP2"}</definedName>
    <definedName name="wrn.SP2." localSheetId="12" hidden="1">{#N/A,#N/A,FALSE,"SP2"}</definedName>
    <definedName name="wrn.SP2." localSheetId="2" hidden="1">{#N/A,#N/A,FALSE,"SP2"}</definedName>
    <definedName name="wrn.SP2." localSheetId="6" hidden="1">{#N/A,#N/A,FALSE,"SP2"}</definedName>
    <definedName name="wrn.SP2." localSheetId="23" hidden="1">{#N/A,#N/A,FALSE,"SP2"}</definedName>
    <definedName name="wrn.SP2." localSheetId="14" hidden="1">{#N/A,#N/A,FALSE,"SP2"}</definedName>
    <definedName name="wrn.SP2." hidden="1">{#N/A,#N/A,FALSE,"SP2"}</definedName>
    <definedName name="wrn.TEST." localSheetId="13" hidden="1">{#N/A,#N/A,FALSE,"SCHEDULE G"}</definedName>
    <definedName name="wrn.TEST." localSheetId="15" hidden="1">{#N/A,#N/A,FALSE,"SCHEDULE G"}</definedName>
    <definedName name="wrn.TEST." localSheetId="11" hidden="1">{#N/A,#N/A,FALSE,"SCHEDULE G"}</definedName>
    <definedName name="wrn.TEST." localSheetId="5" hidden="1">{#N/A,#N/A,FALSE,"SCHEDULE G"}</definedName>
    <definedName name="wrn.TEST." localSheetId="12" hidden="1">{#N/A,#N/A,FALSE,"SCHEDULE G"}</definedName>
    <definedName name="wrn.TEST." localSheetId="2" hidden="1">{#N/A,#N/A,FALSE,"SCHEDULE G"}</definedName>
    <definedName name="wrn.TEST." localSheetId="6" hidden="1">{#N/A,#N/A,FALSE,"SCHEDULE G"}</definedName>
    <definedName name="wrn.TEST." localSheetId="23" hidden="1">{#N/A,#N/A,FALSE,"SCHEDULE G"}</definedName>
    <definedName name="wrn.TEST." localSheetId="14" hidden="1">{#N/A,#N/A,FALSE,"SCHEDULE G"}</definedName>
    <definedName name="wrn.TEST." hidden="1">{#N/A,#N/A,FALSE,"SCHEDULE G"}</definedName>
    <definedName name="wrr">#REF!</definedName>
    <definedName name="WSP">#REF!</definedName>
    <definedName name="wsplc">#REF!</definedName>
    <definedName name="wvu.ALL." localSheetId="13"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15"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11"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5"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12"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2"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6"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23"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14"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CAM._.RATES." localSheetId="13"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15"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11"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5"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12"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2"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6"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23"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14"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ECOVERY." localSheetId="13"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15"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11"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5"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12"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2"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6"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23"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14"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LSMEET." localSheetId="13"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15"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11"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5"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12"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2"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6"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23"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14"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MARKETING._.REVENUE." localSheetId="13"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15"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11"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5"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12"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2"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6"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23"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14"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INIMUM._.RENT." localSheetId="13"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15"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11"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5"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12"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2"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6"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23"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14"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OCCUPANCY." localSheetId="13"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15"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11"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5"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12"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2"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6"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23"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14"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PERCENTAGE._.RENT." localSheetId="13"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15"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11"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5"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12"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2"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6"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23"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14"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TAX._.RATES." localSheetId="13"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15"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11"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5"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12"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2"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6"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23"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14"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ECOVERY." localSheetId="13"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15"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11"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5"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12"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2"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6"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23"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14"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www">#REF!</definedName>
    <definedName name="xxfgg">#REF!</definedName>
    <definedName name="YearBooked_1">#REF!</definedName>
    <definedName name="YearBooked_2">#REF!</definedName>
    <definedName name="YearBooked_3">#REF!</definedName>
    <definedName name="YearBooked_4">#REF!</definedName>
    <definedName name="YearBooked_5">#REF!</definedName>
    <definedName name="YearBooked_6">#REF!</definedName>
    <definedName name="Years_amortized_1">#REF!</definedName>
    <definedName name="Years_amortized_1D">#REF!</definedName>
    <definedName name="Years_amortized_2">#REF!</definedName>
    <definedName name="Years_amortized_2D">#REF!</definedName>
    <definedName name="Years_amortized_3">#REF!</definedName>
    <definedName name="Years_amortized_3D">#REF!</definedName>
    <definedName name="Years_amortized_4">#REF!</definedName>
    <definedName name="Years_amortized_4D">#REF!</definedName>
    <definedName name="Years_amortized_5">#REF!</definedName>
    <definedName name="Years_amortized_5D">#REF!</definedName>
    <definedName name="Years_amortized_6">#REF!</definedName>
    <definedName name="Years_amortized_6D">#REF!</definedName>
    <definedName name="yield1">#REF!</definedName>
    <definedName name="yield2">#REF!</definedName>
    <definedName name="yieldmaint_name1">#REF!</definedName>
    <definedName name="yieldmaint_name10">#REF!</definedName>
    <definedName name="yieldmaint_name11">#REF!</definedName>
    <definedName name="yieldmaint_name12">#REF!</definedName>
    <definedName name="yieldmaint_name13">#REF!</definedName>
    <definedName name="yieldmaint_name14">#REF!</definedName>
    <definedName name="yieldmaint_name15">#REF!</definedName>
    <definedName name="yieldmaint_name16">#REF!</definedName>
    <definedName name="yieldmaint_name2">#REF!</definedName>
    <definedName name="yieldmaint_name3">#REF!</definedName>
    <definedName name="yieldmaint_name4">#REF!</definedName>
    <definedName name="yieldmaint_name5">#REF!</definedName>
    <definedName name="yieldmaint_name6">#REF!</definedName>
    <definedName name="yieldmaint_name7">#REF!</definedName>
    <definedName name="yieldmaint_name8">#REF!</definedName>
    <definedName name="yieldmaint_name9">#REF!</definedName>
    <definedName name="yieldtype1">#REF!</definedName>
    <definedName name="yieldtype10">#REF!</definedName>
    <definedName name="yieldtype11">#REF!</definedName>
    <definedName name="yieldtype12">#REF!</definedName>
    <definedName name="yieldtype13">#REF!</definedName>
    <definedName name="yieldtype14">#REF!</definedName>
    <definedName name="yieldtype15">#REF!</definedName>
    <definedName name="yieldtype16">#REF!</definedName>
    <definedName name="yieldtype2">#REF!</definedName>
    <definedName name="yieldtype3">#REF!</definedName>
    <definedName name="yieldtype4">#REF!</definedName>
    <definedName name="yieldtype5">#REF!</definedName>
    <definedName name="yieldtype6">#REF!</definedName>
    <definedName name="yieldtype7">#REF!</definedName>
    <definedName name="yieldtype8">#REF!</definedName>
    <definedName name="yieldtype9">#REF!</definedName>
    <definedName name="yjfy" localSheetId="13" hidden="1">{#N/A,#N/A,FALSE,"Release Price";#N/A,#N/A,FALSE,"Cash flow for 50 Unit";#N/A,#N/A,FALSE,"Cash Flow for 3 Models"}</definedName>
    <definedName name="yjfy" localSheetId="15" hidden="1">{#N/A,#N/A,FALSE,"Release Price";#N/A,#N/A,FALSE,"Cash flow for 50 Unit";#N/A,#N/A,FALSE,"Cash Flow for 3 Models"}</definedName>
    <definedName name="yjfy" localSheetId="11" hidden="1">{#N/A,#N/A,FALSE,"Release Price";#N/A,#N/A,FALSE,"Cash flow for 50 Unit";#N/A,#N/A,FALSE,"Cash Flow for 3 Models"}</definedName>
    <definedName name="yjfy" localSheetId="5" hidden="1">{#N/A,#N/A,FALSE,"Release Price";#N/A,#N/A,FALSE,"Cash flow for 50 Unit";#N/A,#N/A,FALSE,"Cash Flow for 3 Models"}</definedName>
    <definedName name="yjfy" localSheetId="12" hidden="1">{#N/A,#N/A,FALSE,"Release Price";#N/A,#N/A,FALSE,"Cash flow for 50 Unit";#N/A,#N/A,FALSE,"Cash Flow for 3 Models"}</definedName>
    <definedName name="yjfy" localSheetId="2" hidden="1">{#N/A,#N/A,FALSE,"Release Price";#N/A,#N/A,FALSE,"Cash flow for 50 Unit";#N/A,#N/A,FALSE,"Cash Flow for 3 Models"}</definedName>
    <definedName name="yjfy" localSheetId="6" hidden="1">{#N/A,#N/A,FALSE,"Release Price";#N/A,#N/A,FALSE,"Cash flow for 50 Unit";#N/A,#N/A,FALSE,"Cash Flow for 3 Models"}</definedName>
    <definedName name="yjfy" localSheetId="23" hidden="1">{#N/A,#N/A,FALSE,"Release Price";#N/A,#N/A,FALSE,"Cash flow for 50 Unit";#N/A,#N/A,FALSE,"Cash Flow for 3 Models"}</definedName>
    <definedName name="yjfy" localSheetId="14" hidden="1">{#N/A,#N/A,FALSE,"Release Price";#N/A,#N/A,FALSE,"Cash flow for 50 Unit";#N/A,#N/A,FALSE,"Cash Flow for 3 Models"}</definedName>
    <definedName name="yjfy" hidden="1">{#N/A,#N/A,FALSE,"Release Price";#N/A,#N/A,FALSE,"Cash flow for 50 Unit";#N/A,#N/A,FALSE,"Cash Flow for 3 Models"}</definedName>
    <definedName name="Z">'[26]12_96 CAM'!#REF!</definedName>
    <definedName name="Z_28BDDCCC_2551_11D1_BD8E_0020AF42250B_.wvu.Cols" localSheetId="13" hidden="1">#REF!,#REF!,#REF!</definedName>
    <definedName name="Z_28BDDCCC_2551_11D1_BD8E_0020AF42250B_.wvu.Cols" localSheetId="15" hidden="1">#REF!,#REF!,#REF!</definedName>
    <definedName name="Z_28BDDCCC_2551_11D1_BD8E_0020AF42250B_.wvu.Cols" localSheetId="11" hidden="1">#REF!,#REF!,#REF!</definedName>
    <definedName name="Z_28BDDCCC_2551_11D1_BD8E_0020AF42250B_.wvu.Cols" localSheetId="5" hidden="1">#REF!,#REF!,#REF!</definedName>
    <definedName name="Z_28BDDCCC_2551_11D1_BD8E_0020AF42250B_.wvu.Cols" localSheetId="12" hidden="1">#REF!,#REF!,#REF!</definedName>
    <definedName name="Z_28BDDCCC_2551_11D1_BD8E_0020AF42250B_.wvu.Cols" localSheetId="14" hidden="1">#REF!,#REF!,#REF!</definedName>
    <definedName name="Z_28BDDCCC_2551_11D1_BD8E_0020AF42250B_.wvu.Cols" hidden="1">#REF!,#REF!,#REF!</definedName>
    <definedName name="Z_28BDDCCD_2551_11D1_BD8E_0020AF42250B_.wvu.Cols" localSheetId="13" hidden="1">#REF!,#REF!,#REF!</definedName>
    <definedName name="Z_28BDDCCD_2551_11D1_BD8E_0020AF42250B_.wvu.Cols" localSheetId="15" hidden="1">#REF!,#REF!,#REF!</definedName>
    <definedName name="Z_28BDDCCD_2551_11D1_BD8E_0020AF42250B_.wvu.Cols" localSheetId="11" hidden="1">#REF!,#REF!,#REF!</definedName>
    <definedName name="Z_28BDDCCD_2551_11D1_BD8E_0020AF42250B_.wvu.Cols" localSheetId="5" hidden="1">#REF!,#REF!,#REF!</definedName>
    <definedName name="Z_28BDDCCD_2551_11D1_BD8E_0020AF42250B_.wvu.Cols" localSheetId="12" hidden="1">#REF!,#REF!,#REF!</definedName>
    <definedName name="Z_28BDDCCD_2551_11D1_BD8E_0020AF42250B_.wvu.Cols" localSheetId="14" hidden="1">#REF!,#REF!,#REF!</definedName>
    <definedName name="Z_28BDDCCD_2551_11D1_BD8E_0020AF42250B_.wvu.Cols" hidden="1">#REF!,#REF!,#REF!</definedName>
    <definedName name="Z_28BDDCCF_2551_11D1_BD8E_0020AF42250B_.wvu.Cols" localSheetId="13" hidden="1">#REF!,#REF!,#REF!,#REF!</definedName>
    <definedName name="Z_28BDDCCF_2551_11D1_BD8E_0020AF42250B_.wvu.Cols" localSheetId="15" hidden="1">#REF!,#REF!,#REF!,#REF!</definedName>
    <definedName name="Z_28BDDCCF_2551_11D1_BD8E_0020AF42250B_.wvu.Cols" localSheetId="11" hidden="1">#REF!,#REF!,#REF!,#REF!</definedName>
    <definedName name="Z_28BDDCCF_2551_11D1_BD8E_0020AF42250B_.wvu.Cols" localSheetId="5" hidden="1">#REF!,#REF!,#REF!,#REF!</definedName>
    <definedName name="Z_28BDDCCF_2551_11D1_BD8E_0020AF42250B_.wvu.Cols" localSheetId="12" hidden="1">#REF!,#REF!,#REF!,#REF!</definedName>
    <definedName name="Z_28BDDCCF_2551_11D1_BD8E_0020AF42250B_.wvu.Cols" localSheetId="2" hidden="1">#REF!,#REF!,#REF!,#REF!</definedName>
    <definedName name="Z_28BDDCCF_2551_11D1_BD8E_0020AF42250B_.wvu.Cols" localSheetId="14" hidden="1">#REF!,#REF!,#REF!,#REF!</definedName>
    <definedName name="Z_28BDDCCF_2551_11D1_BD8E_0020AF42250B_.wvu.Cols" hidden="1">#REF!,#REF!,#REF!,#REF!</definedName>
    <definedName name="Z_28BDDCD0_2551_11D1_BD8E_0020AF42250B_.wvu.Cols" localSheetId="13" hidden="1">#REF!,#REF!,#REF!</definedName>
    <definedName name="Z_28BDDCD0_2551_11D1_BD8E_0020AF42250B_.wvu.Cols" localSheetId="15" hidden="1">#REF!,#REF!,#REF!</definedName>
    <definedName name="Z_28BDDCD0_2551_11D1_BD8E_0020AF42250B_.wvu.Cols" localSheetId="11" hidden="1">#REF!,#REF!,#REF!</definedName>
    <definedName name="Z_28BDDCD0_2551_11D1_BD8E_0020AF42250B_.wvu.Cols" localSheetId="5" hidden="1">#REF!,#REF!,#REF!</definedName>
    <definedName name="Z_28BDDCD0_2551_11D1_BD8E_0020AF42250B_.wvu.Cols" localSheetId="12" hidden="1">#REF!,#REF!,#REF!</definedName>
    <definedName name="Z_28BDDCD0_2551_11D1_BD8E_0020AF42250B_.wvu.Cols" localSheetId="14" hidden="1">#REF!,#REF!,#REF!</definedName>
    <definedName name="Z_28BDDCD0_2551_11D1_BD8E_0020AF42250B_.wvu.Cols" hidden="1">#REF!,#REF!,#REF!</definedName>
    <definedName name="Z_28BDDCD1_2551_11D1_BD8E_0020AF42250B_.wvu.Cols" localSheetId="13" hidden="1">#REF!,#REF!</definedName>
    <definedName name="Z_28BDDCD1_2551_11D1_BD8E_0020AF42250B_.wvu.Cols" localSheetId="15" hidden="1">#REF!,#REF!</definedName>
    <definedName name="Z_28BDDCD1_2551_11D1_BD8E_0020AF42250B_.wvu.Cols" localSheetId="11" hidden="1">#REF!,#REF!</definedName>
    <definedName name="Z_28BDDCD1_2551_11D1_BD8E_0020AF42250B_.wvu.Cols" localSheetId="5" hidden="1">#REF!,#REF!</definedName>
    <definedName name="Z_28BDDCD1_2551_11D1_BD8E_0020AF42250B_.wvu.Cols" localSheetId="12" hidden="1">#REF!,#REF!</definedName>
    <definedName name="Z_28BDDCD1_2551_11D1_BD8E_0020AF42250B_.wvu.Cols" localSheetId="14" hidden="1">#REF!,#REF!</definedName>
    <definedName name="Z_28BDDCD1_2551_11D1_BD8E_0020AF42250B_.wvu.Cols" hidden="1">#REF!,#REF!</definedName>
    <definedName name="Z_28BDDCD2_2551_11D1_BD8E_0020AF42250B_.wvu.Cols" hidden="1">#REF!,#REF!,#REF!</definedName>
    <definedName name="Z_28BDDCD3_2551_11D1_BD8E_0020AF42250B_.wvu.Cols" localSheetId="13" hidden="1">#REF!,#REF!,#REF!,#REF!</definedName>
    <definedName name="Z_28BDDCD3_2551_11D1_BD8E_0020AF42250B_.wvu.Cols" localSheetId="15" hidden="1">#REF!,#REF!,#REF!,#REF!</definedName>
    <definedName name="Z_28BDDCD3_2551_11D1_BD8E_0020AF42250B_.wvu.Cols" localSheetId="11" hidden="1">#REF!,#REF!,#REF!,#REF!</definedName>
    <definedName name="Z_28BDDCD3_2551_11D1_BD8E_0020AF42250B_.wvu.Cols" localSheetId="5" hidden="1">#REF!,#REF!,#REF!,#REF!</definedName>
    <definedName name="Z_28BDDCD3_2551_11D1_BD8E_0020AF42250B_.wvu.Cols" localSheetId="12" hidden="1">#REF!,#REF!,#REF!,#REF!</definedName>
    <definedName name="Z_28BDDCD3_2551_11D1_BD8E_0020AF42250B_.wvu.Cols" localSheetId="14" hidden="1">#REF!,#REF!,#REF!,#REF!</definedName>
    <definedName name="Z_28BDDCD3_2551_11D1_BD8E_0020AF42250B_.wvu.Cols" hidden="1">#REF!,#REF!,#REF!,#REF!</definedName>
    <definedName name="Z_28BDDCD8_2551_11D1_BD8E_0020AF42250B_.wvu.Cols" localSheetId="13" hidden="1">#REF!,#REF!,#REF!</definedName>
    <definedName name="Z_28BDDCD8_2551_11D1_BD8E_0020AF42250B_.wvu.Cols" localSheetId="15" hidden="1">#REF!,#REF!,#REF!</definedName>
    <definedName name="Z_28BDDCD8_2551_11D1_BD8E_0020AF42250B_.wvu.Cols" localSheetId="11" hidden="1">#REF!,#REF!,#REF!</definedName>
    <definedName name="Z_28BDDCD8_2551_11D1_BD8E_0020AF42250B_.wvu.Cols" localSheetId="5" hidden="1">#REF!,#REF!,#REF!</definedName>
    <definedName name="Z_28BDDCD8_2551_11D1_BD8E_0020AF42250B_.wvu.Cols" localSheetId="12" hidden="1">#REF!,#REF!,#REF!</definedName>
    <definedName name="Z_28BDDCD8_2551_11D1_BD8E_0020AF42250B_.wvu.Cols" localSheetId="14" hidden="1">#REF!,#REF!,#REF!</definedName>
    <definedName name="Z_28BDDCD8_2551_11D1_BD8E_0020AF42250B_.wvu.Cols" hidden="1">#REF!,#REF!,#REF!</definedName>
    <definedName name="Z_28BDDCD9_2551_11D1_BD8E_0020AF42250B_.wvu.Cols" localSheetId="13" hidden="1">#REF!,#REF!,#REF!</definedName>
    <definedName name="Z_28BDDCD9_2551_11D1_BD8E_0020AF42250B_.wvu.Cols" localSheetId="15" hidden="1">#REF!,#REF!,#REF!</definedName>
    <definedName name="Z_28BDDCD9_2551_11D1_BD8E_0020AF42250B_.wvu.Cols" localSheetId="11" hidden="1">#REF!,#REF!,#REF!</definedName>
    <definedName name="Z_28BDDCD9_2551_11D1_BD8E_0020AF42250B_.wvu.Cols" localSheetId="5" hidden="1">#REF!,#REF!,#REF!</definedName>
    <definedName name="Z_28BDDCD9_2551_11D1_BD8E_0020AF42250B_.wvu.Cols" localSheetId="12" hidden="1">#REF!,#REF!,#REF!</definedName>
    <definedName name="Z_28BDDCD9_2551_11D1_BD8E_0020AF42250B_.wvu.Cols" localSheetId="14" hidden="1">#REF!,#REF!,#REF!</definedName>
    <definedName name="Z_28BDDCD9_2551_11D1_BD8E_0020AF42250B_.wvu.Cols" hidden="1">#REF!,#REF!,#REF!</definedName>
    <definedName name="Z_38B66622_465C_11D1_8554_0080C7F00AC6_.wvu.Cols" hidden="1">#REF!,#REF!,#REF!</definedName>
    <definedName name="Z_38B66623_465C_11D1_8554_0080C7F00AC6_.wvu.Cols" hidden="1">#REF!,#REF!,#REF!</definedName>
    <definedName name="Z_38B66625_465C_11D1_8554_0080C7F00AC6_.wvu.Cols" localSheetId="13" hidden="1">#REF!,#REF!,#REF!,#REF!</definedName>
    <definedName name="Z_38B66625_465C_11D1_8554_0080C7F00AC6_.wvu.Cols" localSheetId="15" hidden="1">#REF!,#REF!,#REF!,#REF!</definedName>
    <definedName name="Z_38B66625_465C_11D1_8554_0080C7F00AC6_.wvu.Cols" localSheetId="11" hidden="1">#REF!,#REF!,#REF!,#REF!</definedName>
    <definedName name="Z_38B66625_465C_11D1_8554_0080C7F00AC6_.wvu.Cols" localSheetId="5" hidden="1">#REF!,#REF!,#REF!,#REF!</definedName>
    <definedName name="Z_38B66625_465C_11D1_8554_0080C7F00AC6_.wvu.Cols" localSheetId="12" hidden="1">#REF!,#REF!,#REF!,#REF!</definedName>
    <definedName name="Z_38B66625_465C_11D1_8554_0080C7F00AC6_.wvu.Cols" localSheetId="14" hidden="1">#REF!,#REF!,#REF!,#REF!</definedName>
    <definedName name="Z_38B66625_465C_11D1_8554_0080C7F00AC6_.wvu.Cols" hidden="1">#REF!,#REF!,#REF!,#REF!</definedName>
    <definedName name="Z_38B66626_465C_11D1_8554_0080C7F00AC6_.wvu.Cols" localSheetId="13" hidden="1">#REF!,#REF!,#REF!</definedName>
    <definedName name="Z_38B66626_465C_11D1_8554_0080C7F00AC6_.wvu.Cols" localSheetId="15" hidden="1">#REF!,#REF!,#REF!</definedName>
    <definedName name="Z_38B66626_465C_11D1_8554_0080C7F00AC6_.wvu.Cols" localSheetId="11" hidden="1">#REF!,#REF!,#REF!</definedName>
    <definedName name="Z_38B66626_465C_11D1_8554_0080C7F00AC6_.wvu.Cols" localSheetId="5" hidden="1">#REF!,#REF!,#REF!</definedName>
    <definedName name="Z_38B66626_465C_11D1_8554_0080C7F00AC6_.wvu.Cols" localSheetId="12" hidden="1">#REF!,#REF!,#REF!</definedName>
    <definedName name="Z_38B66626_465C_11D1_8554_0080C7F00AC6_.wvu.Cols" localSheetId="14" hidden="1">#REF!,#REF!,#REF!</definedName>
    <definedName name="Z_38B66626_465C_11D1_8554_0080C7F00AC6_.wvu.Cols" hidden="1">#REF!,#REF!,#REF!</definedName>
    <definedName name="Z_38B66627_465C_11D1_8554_0080C7F00AC6_.wvu.Cols" localSheetId="13" hidden="1">#REF!,#REF!</definedName>
    <definedName name="Z_38B66627_465C_11D1_8554_0080C7F00AC6_.wvu.Cols" localSheetId="15" hidden="1">#REF!,#REF!</definedName>
    <definedName name="Z_38B66627_465C_11D1_8554_0080C7F00AC6_.wvu.Cols" localSheetId="11" hidden="1">#REF!,#REF!</definedName>
    <definedName name="Z_38B66627_465C_11D1_8554_0080C7F00AC6_.wvu.Cols" localSheetId="5" hidden="1">#REF!,#REF!</definedName>
    <definedName name="Z_38B66627_465C_11D1_8554_0080C7F00AC6_.wvu.Cols" localSheetId="12" hidden="1">#REF!,#REF!</definedName>
    <definedName name="Z_38B66627_465C_11D1_8554_0080C7F00AC6_.wvu.Cols" localSheetId="14" hidden="1">#REF!,#REF!</definedName>
    <definedName name="Z_38B66627_465C_11D1_8554_0080C7F00AC6_.wvu.Cols" hidden="1">#REF!,#REF!</definedName>
    <definedName name="Z_38B66628_465C_11D1_8554_0080C7F00AC6_.wvu.Cols" hidden="1">#REF!,#REF!,#REF!</definedName>
    <definedName name="Z_38B66629_465C_11D1_8554_0080C7F00AC6_.wvu.Cols" hidden="1">#REF!,#REF!,#REF!,#REF!</definedName>
    <definedName name="Z_38B6662E_465C_11D1_8554_0080C7F00AC6_.wvu.Cols" hidden="1">#REF!,#REF!,#REF!</definedName>
    <definedName name="Z_38B6662F_465C_11D1_8554_0080C7F00AC6_.wvu.Cols" hidden="1">#REF!,#REF!,#REF!</definedName>
    <definedName name="Z_3FFCEA43_F8AA_11D0_BD29_0020AF42250B_.wvu.Cols" hidden="1">#REF!,#REF!,#REF!</definedName>
    <definedName name="Z_3FFCEA43_F8AA_11D0_BD29_0020AF42250B_.wvu.PrintArea" hidden="1">#REF!</definedName>
    <definedName name="Z_3FFCEA43_F8AA_11D0_BD29_0020AF42250B_.wvu.PrintTitles" hidden="1">#REF!</definedName>
    <definedName name="Z_40D1A02B_1594_11D1_BD73_0020AF42250B_.wvu.Cols" hidden="1">#REF!,#REF!,#REF!</definedName>
    <definedName name="Z_40D1A02C_1594_11D1_BD73_0020AF42250B_.wvu.Cols" hidden="1">#REF!,#REF!,#REF!</definedName>
    <definedName name="Z_40D1A02D_1594_11D1_BD73_0020AF42250B_.wvu.Cols" hidden="1">#REF!,#REF!,#REF!,#REF!</definedName>
    <definedName name="Z_40D1A02E_1594_11D1_BD73_0020AF42250B_.wvu.Cols" hidden="1">#REF!,#REF!,#REF!</definedName>
    <definedName name="Z_40D1A02F_1594_11D1_BD73_0020AF42250B_.wvu.Cols" hidden="1">#REF!,#REF!</definedName>
    <definedName name="Z_40D1A030_1594_11D1_BD73_0020AF42250B_.wvu.Cols" hidden="1">#REF!,#REF!,#REF!</definedName>
    <definedName name="Z_40D1A031_1594_11D1_BD73_0020AF42250B_.wvu.Cols" hidden="1">#REF!,#REF!,#REF!,#REF!</definedName>
    <definedName name="Z_40D1A032_1594_11D1_BD73_0020AF42250B_.wvu.Cols" hidden="1">#REF!,#REF!,#REF!</definedName>
    <definedName name="Z_40D1A033_1594_11D1_BD73_0020AF42250B_.wvu.Cols" hidden="1">#REF!,#REF!,#REF!</definedName>
    <definedName name="Z_40D1A104_1594_11D1_BD73_0020AF42250B_.wvu.Cols" hidden="1">#REF!,#REF!,#REF!</definedName>
    <definedName name="Z_40D1A105_1594_11D1_BD73_0020AF42250B_.wvu.Cols" hidden="1">#REF!,#REF!,#REF!</definedName>
    <definedName name="Z_40D1A107_1594_11D1_BD73_0020AF42250B_.wvu.Cols" hidden="1">#REF!,#REF!,#REF!,#REF!</definedName>
    <definedName name="Z_40D1A109_1594_11D1_BD73_0020AF42250B_.wvu.Cols" hidden="1">#REF!,#REF!,#REF!</definedName>
    <definedName name="Z_40D1A10B_1594_11D1_BD73_0020AF42250B_.wvu.Cols" hidden="1">#REF!,#REF!</definedName>
    <definedName name="Z_40D1A10C_1594_11D1_BD73_0020AF42250B_.wvu.Cols" hidden="1">#REF!,#REF!,#REF!</definedName>
    <definedName name="Z_40D1A10F_1594_11D1_BD73_0020AF42250B_.wvu.Cols" hidden="1">#REF!,#REF!,#REF!,#REF!</definedName>
    <definedName name="Z_40D1A114_1594_11D1_BD73_0020AF42250B_.wvu.Cols" hidden="1">#REF!,#REF!,#REF!</definedName>
    <definedName name="Z_40D1A115_1594_11D1_BD73_0020AF42250B_.wvu.Cols" hidden="1">#REF!,#REF!,#REF!</definedName>
    <definedName name="Z_49179D1A_043D_11D1_BD55_0020AF42250B_.wvu.Cols" hidden="1">#REF!,#REF!</definedName>
    <definedName name="Z_49179D1A_043D_11D1_BD55_0020AF42250B_.wvu.PrintArea" hidden="1">#REF!</definedName>
    <definedName name="Z_49179D1A_043D_11D1_BD55_0020AF42250B_.wvu.PrintTitles" hidden="1">#REF!</definedName>
    <definedName name="Z_49179D1D_043D_11D1_BD55_0020AF42250B_.wvu.Cols" hidden="1">#REF!,#REF!,#REF!</definedName>
    <definedName name="Z_49179D1D_043D_11D1_BD55_0020AF42250B_.wvu.PrintArea" hidden="1">#REF!</definedName>
    <definedName name="Z_49179D1D_043D_11D1_BD55_0020AF42250B_.wvu.PrintTitles" hidden="1">#REF!</definedName>
    <definedName name="Z_627E98CA_893D_11D2_9EFC_00C04FE0572F_.wvu.PrintArea" hidden="1">#REF!</definedName>
    <definedName name="Z_627E98CB_893D_11D2_9EFC_00C04FE0572F_.wvu.Cols" hidden="1">#REF!,#REF!,#REF!</definedName>
    <definedName name="Z_627E98CB_893D_11D2_9EFC_00C04FE0572F_.wvu.PrintArea" hidden="1">#REF!</definedName>
    <definedName name="Z_627E98CB_893D_11D2_9EFC_00C04FE0572F_.wvu.PrintTitles" hidden="1">#REF!</definedName>
    <definedName name="Z_6DFA7DCF_3C08_11D1_BDBE_0020AF42250B_.wvu.PrintArea" hidden="1">#REF!</definedName>
    <definedName name="Z_6DFA7DCF_3C08_11D1_BDBE_0020AF42250B_.wvu.PrintTitles" hidden="1">#REF!</definedName>
    <definedName name="Z_6DFA7DD9_3C08_11D1_BDBE_0020AF42250B_.wvu.Cols" hidden="1">#REF!,#REF!,#REF!</definedName>
    <definedName name="Z_6DFA7DD9_3C08_11D1_BDBE_0020AF42250B_.wvu.PrintArea" hidden="1">#REF!</definedName>
    <definedName name="Z_6DFA7DD9_3C08_11D1_BDBE_0020AF42250B_.wvu.PrintTitles" hidden="1">#REF!</definedName>
    <definedName name="Z_6DFA7DDA_3C08_11D1_BDBE_0020AF42250B_.wvu.Cols" hidden="1">#REF!,#REF!,#REF!</definedName>
    <definedName name="Z_6DFA7DDA_3C08_11D1_BDBE_0020AF42250B_.wvu.PrintArea" hidden="1">#REF!</definedName>
    <definedName name="Z_6DFA7DDA_3C08_11D1_BDBE_0020AF42250B_.wvu.PrintTitles" hidden="1">#REF!</definedName>
    <definedName name="Z_6DFA7DDC_3C08_11D1_BDBE_0020AF42250B_.wvu.Cols" hidden="1">#REF!,#REF!,#REF!,#REF!</definedName>
    <definedName name="Z_6DFA7DDC_3C08_11D1_BDBE_0020AF42250B_.wvu.PrintArea" hidden="1">#REF!</definedName>
    <definedName name="Z_6DFA7DDC_3C08_11D1_BDBE_0020AF42250B_.wvu.PrintTitles" hidden="1">#REF!</definedName>
    <definedName name="Z_6DFA7DDD_3C08_11D1_BDBE_0020AF42250B_.wvu.Cols" hidden="1">#REF!,#REF!,#REF!</definedName>
    <definedName name="Z_6DFA7DDD_3C08_11D1_BDBE_0020AF42250B_.wvu.PrintArea" hidden="1">#REF!</definedName>
    <definedName name="Z_6DFA7DDD_3C08_11D1_BDBE_0020AF42250B_.wvu.PrintTitles" hidden="1">#REF!</definedName>
    <definedName name="Z_6DFA7DDE_3C08_11D1_BDBE_0020AF42250B_.wvu.Cols" hidden="1">#REF!,#REF!</definedName>
    <definedName name="Z_6DFA7DDE_3C08_11D1_BDBE_0020AF42250B_.wvu.PrintArea" hidden="1">#REF!</definedName>
    <definedName name="Z_6DFA7DDE_3C08_11D1_BDBE_0020AF42250B_.wvu.PrintTitles" hidden="1">#REF!</definedName>
    <definedName name="Z_6DFA7DDF_3C08_11D1_BDBE_0020AF42250B_.wvu.Cols" hidden="1">#REF!,#REF!,#REF!</definedName>
    <definedName name="Z_6DFA7DDF_3C08_11D1_BDBE_0020AF42250B_.wvu.PrintArea" hidden="1">#REF!</definedName>
    <definedName name="Z_6DFA7DDF_3C08_11D1_BDBE_0020AF42250B_.wvu.PrintTitles" hidden="1">#REF!</definedName>
    <definedName name="Z_6DFA7DE0_3C08_11D1_BDBE_0020AF42250B_.wvu.Cols" hidden="1">#REF!,#REF!,#REF!,#REF!</definedName>
    <definedName name="Z_6DFA7DE0_3C08_11D1_BDBE_0020AF42250B_.wvu.PrintArea" hidden="1">#REF!</definedName>
    <definedName name="Z_6DFA7DE0_3C08_11D1_BDBE_0020AF42250B_.wvu.PrintTitles" hidden="1">#REF!</definedName>
    <definedName name="Z_6DFA7DE5_3C08_11D1_BDBE_0020AF42250B_.wvu.Cols" hidden="1">#REF!,#REF!,#REF!</definedName>
    <definedName name="Z_6DFA7DE5_3C08_11D1_BDBE_0020AF42250B_.wvu.PrintArea" hidden="1">#REF!</definedName>
    <definedName name="Z_6DFA7DE5_3C08_11D1_BDBE_0020AF42250B_.wvu.PrintTitles" hidden="1">#REF!</definedName>
    <definedName name="Z_6DFA7DE6_3C08_11D1_BDBE_0020AF42250B_.wvu.Cols" hidden="1">#REF!,#REF!,#REF!</definedName>
    <definedName name="Z_6DFA7DE6_3C08_11D1_BDBE_0020AF42250B_.wvu.PrintArea" hidden="1">#REF!</definedName>
    <definedName name="Z_6DFA7DE6_3C08_11D1_BDBE_0020AF42250B_.wvu.PrintTitles" hidden="1">#REF!</definedName>
    <definedName name="Z_6ECC8A59_F873_11D0_BD29_0020AF42250B_.wvu.Cols" hidden="1">#REF!,#REF!,#REF!</definedName>
    <definedName name="Z_6ECC8A5A_F873_11D0_BD29_0020AF42250B_.wvu.Cols" hidden="1">#REF!,#REF!,#REF!</definedName>
    <definedName name="Z_6ECC8A5C_F873_11D0_BD29_0020AF42250B_.wvu.Cols" hidden="1">#REF!,#REF!,#REF!,#REF!</definedName>
    <definedName name="Z_6ECC8A5D_F873_11D0_BD29_0020AF42250B_.wvu.Cols" hidden="1">#REF!,#REF!,#REF!</definedName>
    <definedName name="Z_6ECC8A5E_F873_11D0_BD29_0020AF42250B_.wvu.Cols" hidden="1">#REF!,#REF!</definedName>
    <definedName name="Z_6ECC8A5F_F873_11D0_BD29_0020AF42250B_.wvu.Cols" hidden="1">#REF!,#REF!,#REF!</definedName>
    <definedName name="Z_6ECC8A60_F873_11D0_BD29_0020AF42250B_.wvu.Cols" localSheetId="13" hidden="1">#REF!,#REF!,#REF!,#REF!,#REF!,#REF!,#REF!</definedName>
    <definedName name="Z_6ECC8A60_F873_11D0_BD29_0020AF42250B_.wvu.Cols" localSheetId="15" hidden="1">#REF!,#REF!,#REF!,#REF!,#REF!,#REF!,#REF!</definedName>
    <definedName name="Z_6ECC8A60_F873_11D0_BD29_0020AF42250B_.wvu.Cols" localSheetId="11" hidden="1">#REF!,#REF!,#REF!,#REF!,#REF!,#REF!,#REF!</definedName>
    <definedName name="Z_6ECC8A60_F873_11D0_BD29_0020AF42250B_.wvu.Cols" localSheetId="5" hidden="1">#REF!,#REF!,#REF!,#REF!,#REF!,#REF!,#REF!</definedName>
    <definedName name="Z_6ECC8A60_F873_11D0_BD29_0020AF42250B_.wvu.Cols" localSheetId="12" hidden="1">#REF!,#REF!,#REF!,#REF!,#REF!,#REF!,#REF!</definedName>
    <definedName name="Z_6ECC8A60_F873_11D0_BD29_0020AF42250B_.wvu.Cols" localSheetId="2" hidden="1">#REF!,#REF!,#REF!,#REF!,#REF!,#REF!,#REF!</definedName>
    <definedName name="Z_6ECC8A60_F873_11D0_BD29_0020AF42250B_.wvu.Cols" localSheetId="14" hidden="1">#REF!,#REF!,#REF!,#REF!,#REF!,#REF!,#REF!</definedName>
    <definedName name="Z_6ECC8A60_F873_11D0_BD29_0020AF42250B_.wvu.Cols" hidden="1">#REF!,#REF!,#REF!,#REF!,#REF!,#REF!,#REF!</definedName>
    <definedName name="Z_6ECC8A65_F873_11D0_BD29_0020AF42250B_.wvu.Cols" localSheetId="13" hidden="1">#REF!,#REF!,#REF!</definedName>
    <definedName name="Z_6ECC8A65_F873_11D0_BD29_0020AF42250B_.wvu.Cols" localSheetId="15" hidden="1">#REF!,#REF!,#REF!</definedName>
    <definedName name="Z_6ECC8A65_F873_11D0_BD29_0020AF42250B_.wvu.Cols" localSheetId="11" hidden="1">#REF!,#REF!,#REF!</definedName>
    <definedName name="Z_6ECC8A65_F873_11D0_BD29_0020AF42250B_.wvu.Cols" localSheetId="5" hidden="1">#REF!,#REF!,#REF!</definedName>
    <definedName name="Z_6ECC8A65_F873_11D0_BD29_0020AF42250B_.wvu.Cols" localSheetId="12" hidden="1">#REF!,#REF!,#REF!</definedName>
    <definedName name="Z_6ECC8A65_F873_11D0_BD29_0020AF42250B_.wvu.Cols" localSheetId="14" hidden="1">#REF!,#REF!,#REF!</definedName>
    <definedName name="Z_6ECC8A65_F873_11D0_BD29_0020AF42250B_.wvu.Cols" hidden="1">#REF!,#REF!,#REF!</definedName>
    <definedName name="Z_6ECC8A66_F873_11D0_BD29_0020AF42250B_.wvu.Cols" localSheetId="13" hidden="1">#REF!,#REF!,#REF!</definedName>
    <definedName name="Z_6ECC8A66_F873_11D0_BD29_0020AF42250B_.wvu.Cols" localSheetId="15" hidden="1">#REF!,#REF!,#REF!</definedName>
    <definedName name="Z_6ECC8A66_F873_11D0_BD29_0020AF42250B_.wvu.Cols" localSheetId="11" hidden="1">#REF!,#REF!,#REF!</definedName>
    <definedName name="Z_6ECC8A66_F873_11D0_BD29_0020AF42250B_.wvu.Cols" localSheetId="5" hidden="1">#REF!,#REF!,#REF!</definedName>
    <definedName name="Z_6ECC8A66_F873_11D0_BD29_0020AF42250B_.wvu.Cols" localSheetId="12" hidden="1">#REF!,#REF!,#REF!</definedName>
    <definedName name="Z_6ECC8A66_F873_11D0_BD29_0020AF42250B_.wvu.Cols" localSheetId="14" hidden="1">#REF!,#REF!,#REF!</definedName>
    <definedName name="Z_6ECC8A66_F873_11D0_BD29_0020AF42250B_.wvu.Cols" hidden="1">#REF!,#REF!,#REF!</definedName>
    <definedName name="Z_6ECC8A90_F873_11D0_BD29_0020AF42250B_.wvu.PrintTitles" hidden="1">#REF!</definedName>
    <definedName name="Z_6ECC8A95_F873_11D0_BD29_0020AF42250B_.wvu.Cols" hidden="1">#REF!,#REF!,#REF!</definedName>
    <definedName name="Z_6ECC8A95_F873_11D0_BD29_0020AF42250B_.wvu.PrintArea" hidden="1">#REF!</definedName>
    <definedName name="Z_6ECC8A95_F873_11D0_BD29_0020AF42250B_.wvu.PrintTitles" hidden="1">#REF!</definedName>
    <definedName name="Z_995DB91B_DC87_11D2_BCA9_00C04F8BBE86_.wvu.PrintArea" hidden="1">#REF!</definedName>
    <definedName name="Z_995DB91E_DC87_11D2_BCA9_00C04F8BBE86_.wvu.Cols" hidden="1">#REF!</definedName>
    <definedName name="Z_995DB91E_DC87_11D2_BCA9_00C04F8BBE86_.wvu.PrintArea" hidden="1">#REF!</definedName>
    <definedName name="Z_995DB91E_DC87_11D2_BCA9_00C04F8BBE86_.wvu.Rows" hidden="1">#REF!</definedName>
    <definedName name="Z_995DB91F_DC87_11D2_BCA9_00C04F8BBE86_.wvu.Cols" hidden="1">#REF!,#REF!,#REF!</definedName>
    <definedName name="Z_995DB91F_DC87_11D2_BCA9_00C04F8BBE86_.wvu.PrintArea" hidden="1">#REF!</definedName>
    <definedName name="Z_995DB91F_DC87_11D2_BCA9_00C04F8BBE86_.wvu.Rows" hidden="1">#REF!,#REF!</definedName>
    <definedName name="Z_9A8750D3_468A_11D3_8ECF_00C04F9226C7_.wvu.Cols" hidden="1">#REF!,#REF!,#REF!</definedName>
    <definedName name="Z_9A8750D3_468A_11D3_8ECF_00C04F9226C7_.wvu.PrintArea" hidden="1">#REF!</definedName>
    <definedName name="Z_9A8750D3_468A_11D3_8ECF_00C04F9226C7_.wvu.Rows" hidden="1">#REF!</definedName>
    <definedName name="Z_A73E33D1_2630_11D1_BD91_0020AF42250B_.wvu.Cols" hidden="1">#REF!,#REF!,#REF!</definedName>
    <definedName name="Z_A73E33D2_2630_11D1_BD91_0020AF42250B_.wvu.Cols" hidden="1">#REF!,#REF!,#REF!</definedName>
    <definedName name="Z_A73E33D4_2630_11D1_BD91_0020AF42250B_.wvu.Cols" hidden="1">#REF!,#REF!,#REF!,#REF!</definedName>
    <definedName name="Z_A73E33D5_2630_11D1_BD91_0020AF42250B_.wvu.Cols" hidden="1">#REF!,#REF!,#REF!</definedName>
    <definedName name="Z_A73E33D6_2630_11D1_BD91_0020AF42250B_.wvu.Cols" hidden="1">#REF!,#REF!</definedName>
    <definedName name="Z_A73E33D7_2630_11D1_BD91_0020AF42250B_.wvu.Cols" hidden="1">#REF!,#REF!,#REF!</definedName>
    <definedName name="Z_A73E33D8_2630_11D1_BD91_0020AF42250B_.wvu.Cols" hidden="1">#REF!,#REF!,#REF!,#REF!</definedName>
    <definedName name="Z_A73E33DD_2630_11D1_BD91_0020AF42250B_.wvu.Cols" hidden="1">#REF!,#REF!,#REF!</definedName>
    <definedName name="Z_A73E33DE_2630_11D1_BD91_0020AF42250B_.wvu.Cols" hidden="1">#REF!,#REF!,#REF!</definedName>
    <definedName name="Z_B47DD997_1976_11D1_BD7C_0020AF42250B_.wvu.Cols" hidden="1">#REF!,#REF!,#REF!</definedName>
    <definedName name="Z_B47DD998_1976_11D1_BD7C_0020AF42250B_.wvu.Cols" hidden="1">#REF!,#REF!,#REF!</definedName>
    <definedName name="Z_B47DD99A_1976_11D1_BD7C_0020AF42250B_.wvu.Cols" hidden="1">#REF!,#REF!,#REF!,#REF!</definedName>
    <definedName name="Z_B47DD99B_1976_11D1_BD7C_0020AF42250B_.wvu.Cols" hidden="1">#REF!,#REF!,#REF!</definedName>
    <definedName name="Z_B47DD99C_1976_11D1_BD7C_0020AF42250B_.wvu.Cols" hidden="1">#REF!,#REF!</definedName>
    <definedName name="Z_B47DD99D_1976_11D1_BD7C_0020AF42250B_.wvu.Cols" hidden="1">#REF!,#REF!,#REF!</definedName>
    <definedName name="Z_B47DD99E_1976_11D1_BD7C_0020AF42250B_.wvu.Cols" hidden="1">#REF!,#REF!,#REF!,#REF!</definedName>
    <definedName name="Z_B47DD9A3_1976_11D1_BD7C_0020AF42250B_.wvu.Cols" hidden="1">#REF!,#REF!,#REF!</definedName>
    <definedName name="Z_B47DD9A4_1976_11D1_BD7C_0020AF42250B_.wvu.Cols" hidden="1">#REF!,#REF!,#REF!</definedName>
    <definedName name="Z_B6AE087C_DC06_11D2_BCA9_00C04F8BBE86_.wvu.Cols" localSheetId="13" hidden="1">#REF!,#REF!,#REF!,#REF!,#REF!</definedName>
    <definedName name="Z_B6AE087C_DC06_11D2_BCA9_00C04F8BBE86_.wvu.Cols" localSheetId="15" hidden="1">#REF!,#REF!,#REF!,#REF!,#REF!</definedName>
    <definedName name="Z_B6AE087C_DC06_11D2_BCA9_00C04F8BBE86_.wvu.Cols" localSheetId="11" hidden="1">#REF!,#REF!,#REF!,#REF!,#REF!</definedName>
    <definedName name="Z_B6AE087C_DC06_11D2_BCA9_00C04F8BBE86_.wvu.Cols" localSheetId="5" hidden="1">#REF!,#REF!,#REF!,#REF!,#REF!</definedName>
    <definedName name="Z_B6AE087C_DC06_11D2_BCA9_00C04F8BBE86_.wvu.Cols" localSheetId="12" hidden="1">#REF!,#REF!,#REF!,#REF!,#REF!</definedName>
    <definedName name="Z_B6AE087C_DC06_11D2_BCA9_00C04F8BBE86_.wvu.Cols" localSheetId="14" hidden="1">#REF!,#REF!,#REF!,#REF!,#REF!</definedName>
    <definedName name="Z_B6AE087C_DC06_11D2_BCA9_00C04F8BBE86_.wvu.Cols" hidden="1">#REF!,#REF!,#REF!,#REF!,#REF!</definedName>
    <definedName name="Z_B6AE087C_DC06_11D2_BCA9_00C04F8BBE86_.wvu.PrintArea" hidden="1">#REF!</definedName>
    <definedName name="Z_B6AE087C_DC06_11D2_BCA9_00C04F8BBE86_.wvu.Rows" hidden="1">#REF!,#REF!</definedName>
    <definedName name="Z_F2D042EF_2606_11D1_BD91_0020AF42250B_.wvu.Cols" hidden="1">#REF!,#REF!,#REF!</definedName>
    <definedName name="Z_F2D042F0_2606_11D1_BD91_0020AF42250B_.wvu.Cols" hidden="1">#REF!,#REF!,#REF!</definedName>
    <definedName name="Z_F2D042F2_2606_11D1_BD91_0020AF42250B_.wvu.Cols" hidden="1">#REF!,#REF!,#REF!,#REF!</definedName>
    <definedName name="Z_F2D042F3_2606_11D1_BD91_0020AF42250B_.wvu.Cols" hidden="1">#REF!,#REF!,#REF!</definedName>
    <definedName name="Z_F2D042F4_2606_11D1_BD91_0020AF42250B_.wvu.Cols" hidden="1">#REF!,#REF!</definedName>
    <definedName name="Z_F2D042F5_2606_11D1_BD91_0020AF42250B_.wvu.Cols" hidden="1">#REF!,#REF!,#REF!</definedName>
    <definedName name="Z_F2D042F6_2606_11D1_BD91_0020AF42250B_.wvu.Cols" hidden="1">#REF!,#REF!,#REF!,#REF!</definedName>
    <definedName name="Z_F2D042FB_2606_11D1_BD91_0020AF42250B_.wvu.Cols" hidden="1">#REF!,#REF!,#REF!</definedName>
    <definedName name="Z_F2D042FC_2606_11D1_BD91_0020AF42250B_.wvu.Cols" hidden="1">#REF!,#REF!,#REF!</definedName>
    <definedName name="Z_FAFA6ED0_0531_11D1_BD56_0020AF42250B_.wvu.Cols" hidden="1">#REF!,#REF!,#REF!,#REF!</definedName>
    <definedName name="Z_FAFA6ED0_0531_11D1_BD56_0020AF42250B_.wvu.PrintArea" hidden="1">#REF!</definedName>
    <definedName name="Z_FAFA6ED0_0531_11D1_BD56_0020AF42250B_.wvu.PrintTitles" hidden="1">#REF!</definedName>
    <definedName name="Z_FAFA6ED1_0531_11D1_BD56_0020AF42250B_.wvu.Cols" hidden="1">#REF!,#REF!,#REF!</definedName>
    <definedName name="Z_FAFA6ED1_0531_11D1_BD56_0020AF42250B_.wvu.PrintArea" hidden="1">#REF!</definedName>
    <definedName name="Z_FAFA6ED1_0531_11D1_BD56_0020AF42250B_.wvu.PrintTitles" hidden="1">#REF!</definedName>
    <definedName name="zdf">#REF!</definedName>
    <definedName name="zeta_lookup">#REF!</definedName>
    <definedName name="ZETA_SCORE">#REF!</definedName>
    <definedName name="zvssd" localSheetId="2">#N/A</definedName>
    <definedName name="zvssd" localSheetId="23">(VLOOKUP(Grade_1,AllocTable,2))</definedName>
    <definedName name="zvssd">#N/A</definedName>
  </definedNames>
  <calcPr calcId="191028"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10" l="1"/>
  <c r="M16" i="10" l="1"/>
  <c r="M15" i="10" l="1"/>
  <c r="H150" i="32"/>
  <c r="J150" i="32" s="1"/>
  <c r="H157" i="32"/>
  <c r="A19" i="37" l="1"/>
  <c r="A18" i="37"/>
  <c r="A17" i="37"/>
  <c r="A16" i="37"/>
  <c r="C15" i="37"/>
  <c r="A15" i="37"/>
  <c r="A14" i="37"/>
  <c r="A13" i="37"/>
  <c r="A12" i="37"/>
  <c r="A11" i="37"/>
  <c r="A10" i="37"/>
  <c r="B9" i="37"/>
  <c r="A9" i="37"/>
  <c r="A8" i="37"/>
  <c r="H114" i="32"/>
  <c r="G114" i="32"/>
  <c r="A7" i="37"/>
  <c r="A6" i="37"/>
  <c r="B5" i="37"/>
  <c r="A5" i="37"/>
  <c r="B4" i="37"/>
  <c r="A4" i="37"/>
  <c r="B3" i="37"/>
  <c r="N41" i="11"/>
  <c r="P41" i="11"/>
  <c r="J45" i="32"/>
  <c r="K45" i="32" s="1"/>
  <c r="R41" i="11" s="1"/>
  <c r="G231" i="32"/>
  <c r="U41" i="11" l="1"/>
  <c r="T41" i="11"/>
  <c r="G223" i="32"/>
  <c r="G130" i="32"/>
  <c r="H130" i="32"/>
  <c r="G122" i="32"/>
  <c r="H111" i="32"/>
  <c r="G43" i="32"/>
  <c r="K28" i="10" l="1"/>
  <c r="H163" i="32" s="1"/>
  <c r="U57" i="11"/>
  <c r="U255" i="11"/>
  <c r="U205" i="11"/>
  <c r="U148" i="11"/>
  <c r="U64" i="11"/>
  <c r="U62" i="11"/>
  <c r="K289" i="11"/>
  <c r="B19" i="37" s="1"/>
  <c r="R312" i="11"/>
  <c r="R311" i="11"/>
  <c r="K310" i="11"/>
  <c r="K173" i="11"/>
  <c r="K95" i="11"/>
  <c r="K308" i="11"/>
  <c r="K306" i="11"/>
  <c r="K315" i="11"/>
  <c r="K314" i="11"/>
  <c r="L316" i="11"/>
  <c r="L313" i="11"/>
  <c r="L309" i="11"/>
  <c r="L307" i="11"/>
  <c r="L305" i="11"/>
  <c r="L290" i="11"/>
  <c r="L287" i="11"/>
  <c r="L277" i="11"/>
  <c r="L273" i="11"/>
  <c r="L271" i="11"/>
  <c r="L253" i="11"/>
  <c r="L216" i="11"/>
  <c r="L206" i="11"/>
  <c r="L201" i="11"/>
  <c r="L197" i="11"/>
  <c r="L179" i="11"/>
  <c r="L176" i="11"/>
  <c r="L170" i="11"/>
  <c r="L166" i="11"/>
  <c r="L163" i="11"/>
  <c r="L159" i="11"/>
  <c r="L150" i="11"/>
  <c r="L146" i="11"/>
  <c r="L129" i="11"/>
  <c r="L90" i="11"/>
  <c r="L74" i="11"/>
  <c r="L60" i="11"/>
  <c r="L46" i="11"/>
  <c r="L36" i="11"/>
  <c r="L30" i="11"/>
  <c r="K16" i="11"/>
  <c r="L17" i="11" s="1"/>
  <c r="K312" i="11"/>
  <c r="K311" i="11"/>
  <c r="K304" i="11"/>
  <c r="K303" i="11"/>
  <c r="K302" i="11"/>
  <c r="K301" i="11"/>
  <c r="K300" i="11"/>
  <c r="K299" i="11"/>
  <c r="K298" i="11"/>
  <c r="K297" i="11"/>
  <c r="K296" i="11"/>
  <c r="K295" i="11"/>
  <c r="K294" i="11"/>
  <c r="K293" i="11"/>
  <c r="K292" i="11"/>
  <c r="K291" i="11"/>
  <c r="K288" i="11"/>
  <c r="K286" i="11"/>
  <c r="K285" i="11"/>
  <c r="K284" i="11"/>
  <c r="K283" i="11"/>
  <c r="K282" i="11"/>
  <c r="K281" i="11"/>
  <c r="K280" i="11"/>
  <c r="K279" i="11"/>
  <c r="K278" i="11"/>
  <c r="K276" i="11"/>
  <c r="K275" i="11"/>
  <c r="K274" i="11"/>
  <c r="B18" i="37" s="1"/>
  <c r="K272" i="11"/>
  <c r="K270" i="11"/>
  <c r="K269" i="11"/>
  <c r="K268" i="11"/>
  <c r="B17" i="37" s="1"/>
  <c r="K267" i="11"/>
  <c r="B16" i="37" s="1"/>
  <c r="K266" i="11"/>
  <c r="K265" i="11"/>
  <c r="K264" i="11"/>
  <c r="K263" i="11"/>
  <c r="K262" i="11"/>
  <c r="K261" i="11"/>
  <c r="K260" i="11"/>
  <c r="K259" i="11"/>
  <c r="K258" i="11"/>
  <c r="K257" i="11"/>
  <c r="K256" i="11"/>
  <c r="K254" i="11"/>
  <c r="K252" i="11"/>
  <c r="K251" i="11"/>
  <c r="K250" i="11"/>
  <c r="B15" i="37" s="1"/>
  <c r="D15" i="37" s="1"/>
  <c r="K249" i="11"/>
  <c r="K248" i="11"/>
  <c r="K247" i="11"/>
  <c r="K246" i="11"/>
  <c r="B14" i="37" s="1"/>
  <c r="K245" i="11"/>
  <c r="K244" i="11"/>
  <c r="K243" i="11"/>
  <c r="K242" i="11"/>
  <c r="K241" i="11"/>
  <c r="K240" i="11"/>
  <c r="K239" i="11"/>
  <c r="K238" i="11"/>
  <c r="K237" i="11"/>
  <c r="K236" i="11"/>
  <c r="B13" i="37" s="1"/>
  <c r="K235" i="11"/>
  <c r="K234" i="11"/>
  <c r="K233" i="11"/>
  <c r="K232" i="11"/>
  <c r="K231" i="11"/>
  <c r="K230" i="11"/>
  <c r="K229" i="11"/>
  <c r="K228" i="11"/>
  <c r="K227" i="11"/>
  <c r="K226" i="11"/>
  <c r="K225" i="11"/>
  <c r="K224" i="11"/>
  <c r="K223" i="11"/>
  <c r="K222" i="11"/>
  <c r="K221" i="11"/>
  <c r="K220" i="11"/>
  <c r="K219" i="11"/>
  <c r="K218" i="11"/>
  <c r="K217" i="11"/>
  <c r="K215" i="11"/>
  <c r="K214" i="11"/>
  <c r="K213" i="11"/>
  <c r="K212" i="11"/>
  <c r="K211" i="11"/>
  <c r="B12" i="37" s="1"/>
  <c r="K210" i="11"/>
  <c r="K209" i="11"/>
  <c r="K208" i="11"/>
  <c r="K207" i="11"/>
  <c r="K204" i="11"/>
  <c r="K203" i="11"/>
  <c r="K202" i="11"/>
  <c r="K200" i="11"/>
  <c r="K199" i="11"/>
  <c r="K198" i="11"/>
  <c r="K196" i="11"/>
  <c r="K195" i="11"/>
  <c r="K194" i="11"/>
  <c r="K193" i="11"/>
  <c r="K192" i="11"/>
  <c r="K191" i="11"/>
  <c r="K190" i="11"/>
  <c r="K189" i="11"/>
  <c r="K188" i="11"/>
  <c r="K187" i="11"/>
  <c r="K186" i="11"/>
  <c r="K185" i="11"/>
  <c r="K184" i="11"/>
  <c r="K183" i="11"/>
  <c r="K182" i="11"/>
  <c r="K181" i="11"/>
  <c r="K180" i="11"/>
  <c r="B11" i="37" s="1"/>
  <c r="K178" i="11"/>
  <c r="K177" i="11"/>
  <c r="B10" i="37" s="1"/>
  <c r="K175" i="11"/>
  <c r="K174" i="11"/>
  <c r="K172" i="11"/>
  <c r="K171" i="11"/>
  <c r="K169" i="11"/>
  <c r="K168" i="11"/>
  <c r="K167" i="11"/>
  <c r="K165" i="11"/>
  <c r="K164" i="11"/>
  <c r="K162" i="11"/>
  <c r="K161" i="11"/>
  <c r="K160" i="11"/>
  <c r="K158" i="11"/>
  <c r="K157" i="11"/>
  <c r="K156" i="11"/>
  <c r="K155" i="11"/>
  <c r="K154" i="11"/>
  <c r="K153" i="11"/>
  <c r="K152" i="11"/>
  <c r="K151" i="11"/>
  <c r="K149" i="11"/>
  <c r="K147" i="11"/>
  <c r="K145" i="11"/>
  <c r="K144" i="11"/>
  <c r="K143" i="11"/>
  <c r="K142" i="11"/>
  <c r="K141" i="11"/>
  <c r="K140" i="11"/>
  <c r="K139" i="11"/>
  <c r="K138" i="11"/>
  <c r="K137" i="11"/>
  <c r="K136" i="11"/>
  <c r="K135" i="11"/>
  <c r="K134" i="11"/>
  <c r="K133" i="11"/>
  <c r="K132" i="11"/>
  <c r="K131" i="11"/>
  <c r="K130" i="11"/>
  <c r="K128" i="11"/>
  <c r="K127" i="11"/>
  <c r="K126" i="11"/>
  <c r="K125" i="11"/>
  <c r="K124" i="11"/>
  <c r="K123" i="11"/>
  <c r="K122" i="11"/>
  <c r="K121" i="11"/>
  <c r="K120" i="11"/>
  <c r="K119" i="11"/>
  <c r="K118" i="11"/>
  <c r="K117" i="11"/>
  <c r="K116" i="11"/>
  <c r="K115" i="11"/>
  <c r="K114" i="11"/>
  <c r="B8" i="37" s="1"/>
  <c r="K113" i="11"/>
  <c r="K112" i="11"/>
  <c r="K111" i="11"/>
  <c r="K110" i="11"/>
  <c r="K109" i="11"/>
  <c r="K108" i="11"/>
  <c r="K107" i="11"/>
  <c r="K106" i="11"/>
  <c r="K105" i="11"/>
  <c r="K104" i="11"/>
  <c r="K103" i="11"/>
  <c r="K102" i="11"/>
  <c r="K101" i="11"/>
  <c r="K100" i="11"/>
  <c r="K99" i="11"/>
  <c r="K98" i="11"/>
  <c r="K97" i="11"/>
  <c r="K96" i="11"/>
  <c r="K94" i="11"/>
  <c r="K93" i="11"/>
  <c r="K92" i="11"/>
  <c r="K91" i="11"/>
  <c r="K89" i="11"/>
  <c r="K88" i="11"/>
  <c r="K87" i="11"/>
  <c r="K86" i="11"/>
  <c r="K85" i="11"/>
  <c r="K84" i="11"/>
  <c r="K83" i="11"/>
  <c r="K82" i="11"/>
  <c r="K81" i="11"/>
  <c r="K80" i="11"/>
  <c r="K79" i="11"/>
  <c r="K78" i="11"/>
  <c r="K77" i="11"/>
  <c r="K76" i="11"/>
  <c r="K75" i="11"/>
  <c r="K73" i="11"/>
  <c r="K72" i="11"/>
  <c r="K71" i="11"/>
  <c r="K70" i="11"/>
  <c r="K69" i="11"/>
  <c r="K68" i="11"/>
  <c r="K67" i="11"/>
  <c r="K66" i="11"/>
  <c r="K65" i="11"/>
  <c r="K63" i="11"/>
  <c r="K61" i="11"/>
  <c r="B7" i="37" s="1"/>
  <c r="K59" i="11"/>
  <c r="K58" i="11"/>
  <c r="K56" i="11"/>
  <c r="K55" i="11"/>
  <c r="K54" i="11"/>
  <c r="K53" i="11"/>
  <c r="K52" i="11"/>
  <c r="K51" i="11"/>
  <c r="K50" i="11"/>
  <c r="K49" i="11"/>
  <c r="K48" i="11"/>
  <c r="B6" i="37" s="1"/>
  <c r="K47" i="11"/>
  <c r="K45" i="11"/>
  <c r="K44" i="11"/>
  <c r="K43" i="11"/>
  <c r="K42" i="11"/>
  <c r="K40" i="11"/>
  <c r="K39" i="11"/>
  <c r="K38" i="11"/>
  <c r="K37" i="11"/>
  <c r="K35" i="11"/>
  <c r="K34" i="11"/>
  <c r="K33" i="11"/>
  <c r="K32" i="11"/>
  <c r="K31" i="11"/>
  <c r="K29" i="11"/>
  <c r="K28" i="11"/>
  <c r="K27" i="11"/>
  <c r="K26" i="11"/>
  <c r="K25" i="11"/>
  <c r="K24" i="11"/>
  <c r="K23" i="11"/>
  <c r="K22" i="11"/>
  <c r="K21" i="11"/>
  <c r="K20" i="11"/>
  <c r="K18" i="11"/>
  <c r="L19" i="11" s="1"/>
  <c r="G277" i="32"/>
  <c r="K318" i="11" l="1"/>
  <c r="L317" i="11"/>
  <c r="L318" i="11" s="1"/>
  <c r="J59" i="32"/>
  <c r="G59" i="32"/>
  <c r="G32" i="32"/>
  <c r="K319" i="11" l="1"/>
  <c r="K59" i="32"/>
  <c r="F45" i="40"/>
  <c r="M33" i="40"/>
  <c r="M32" i="40"/>
  <c r="O23" i="40"/>
  <c r="P23" i="40" s="1"/>
  <c r="Q23" i="40" s="1"/>
  <c r="O21" i="40"/>
  <c r="P21" i="40" s="1"/>
  <c r="Q21" i="40" s="1"/>
  <c r="O20" i="40"/>
  <c r="P20" i="40" s="1"/>
  <c r="Q20" i="40" s="1"/>
  <c r="O19" i="40"/>
  <c r="P19" i="40" s="1"/>
  <c r="Q19" i="40" s="1"/>
  <c r="O18" i="40"/>
  <c r="P18" i="40" s="1"/>
  <c r="Q18" i="40" s="1"/>
  <c r="O17" i="40"/>
  <c r="J68" i="32"/>
  <c r="K68" i="32" s="1"/>
  <c r="R64" i="11" s="1"/>
  <c r="T64" i="11" s="1"/>
  <c r="J255" i="32"/>
  <c r="K255" i="32" s="1"/>
  <c r="J254" i="32"/>
  <c r="K254" i="32" s="1"/>
  <c r="R252" i="11" s="1"/>
  <c r="J207" i="32"/>
  <c r="K207" i="32" s="1"/>
  <c r="R205" i="11" s="1"/>
  <c r="T205" i="11" s="1"/>
  <c r="J151" i="32"/>
  <c r="K151" i="32" s="1"/>
  <c r="R148" i="11" s="1"/>
  <c r="J61" i="32"/>
  <c r="K61" i="32" s="1"/>
  <c r="R57" i="11" s="1"/>
  <c r="T57" i="11" s="1"/>
  <c r="T148" i="11" l="1"/>
  <c r="C9" i="37"/>
  <c r="C17" i="10"/>
  <c r="R55" i="11"/>
  <c r="M34" i="40"/>
  <c r="D46" i="40" s="1"/>
  <c r="F46" i="40" s="1"/>
  <c r="K311" i="32" s="1"/>
  <c r="R308" i="11" s="1"/>
  <c r="P17" i="40"/>
  <c r="Q17" i="40" s="1"/>
  <c r="G48" i="32" l="1"/>
  <c r="G35" i="32"/>
  <c r="J258" i="32"/>
  <c r="K258" i="32" s="1"/>
  <c r="R255" i="11" s="1"/>
  <c r="T255" i="11" s="1"/>
  <c r="K3" i="32"/>
  <c r="F529" i="38"/>
  <c r="F528" i="38"/>
  <c r="F527" i="38"/>
  <c r="F526" i="38"/>
  <c r="F525" i="38"/>
  <c r="F524" i="38"/>
  <c r="F523" i="38"/>
  <c r="F522" i="38"/>
  <c r="F521" i="38"/>
  <c r="F520" i="38"/>
  <c r="F519" i="38"/>
  <c r="F518" i="38"/>
  <c r="F517" i="38"/>
  <c r="F516" i="38"/>
  <c r="F515" i="38"/>
  <c r="F514" i="38"/>
  <c r="F513" i="38"/>
  <c r="F512" i="38"/>
  <c r="F511" i="38"/>
  <c r="F510" i="38"/>
  <c r="F509" i="38"/>
  <c r="F508" i="38"/>
  <c r="F507" i="38"/>
  <c r="F506" i="38"/>
  <c r="F505" i="38"/>
  <c r="F504" i="38"/>
  <c r="F503" i="38"/>
  <c r="F502" i="38"/>
  <c r="F501" i="38"/>
  <c r="F500" i="38"/>
  <c r="F499" i="38"/>
  <c r="F498" i="38"/>
  <c r="F497" i="38"/>
  <c r="F496" i="38"/>
  <c r="F495" i="38"/>
  <c r="F494" i="38"/>
  <c r="F493" i="38"/>
  <c r="F492" i="38"/>
  <c r="F491" i="38"/>
  <c r="F490" i="38"/>
  <c r="F489" i="38"/>
  <c r="F488" i="38"/>
  <c r="F487" i="38"/>
  <c r="F486" i="38"/>
  <c r="F485" i="38"/>
  <c r="F484" i="38"/>
  <c r="F483" i="38"/>
  <c r="F482" i="38"/>
  <c r="F481" i="38"/>
  <c r="F480" i="38"/>
  <c r="F477" i="38"/>
  <c r="F473" i="38"/>
  <c r="F472" i="38"/>
  <c r="F471" i="38"/>
  <c r="F470" i="38"/>
  <c r="F469" i="38"/>
  <c r="F468" i="38"/>
  <c r="F467" i="38"/>
  <c r="F466" i="38"/>
  <c r="F465" i="38"/>
  <c r="F464" i="38"/>
  <c r="F463" i="38"/>
  <c r="F446" i="38"/>
  <c r="F445" i="38"/>
  <c r="F444" i="38"/>
  <c r="F443" i="38"/>
  <c r="F442" i="38"/>
  <c r="F441" i="38"/>
  <c r="F440" i="38"/>
  <c r="F439" i="38"/>
  <c r="F436" i="38"/>
  <c r="F435" i="38"/>
  <c r="F434" i="38"/>
  <c r="F433" i="38"/>
  <c r="F432" i="38"/>
  <c r="F431" i="38"/>
  <c r="F447" i="38" s="1"/>
  <c r="F425" i="38"/>
  <c r="F424" i="38"/>
  <c r="F423" i="38"/>
  <c r="F422" i="38"/>
  <c r="F421" i="38"/>
  <c r="F420" i="38"/>
  <c r="F419" i="38"/>
  <c r="F418" i="38"/>
  <c r="F417" i="38"/>
  <c r="F416" i="38"/>
  <c r="F415" i="38"/>
  <c r="F409" i="38"/>
  <c r="F408" i="38"/>
  <c r="F407" i="38"/>
  <c r="F406" i="38"/>
  <c r="F405" i="38"/>
  <c r="F404" i="38"/>
  <c r="F403" i="38"/>
  <c r="F402" i="38"/>
  <c r="F401" i="38"/>
  <c r="F400" i="38"/>
  <c r="F399" i="38"/>
  <c r="F398" i="38"/>
  <c r="F397" i="38"/>
  <c r="F396" i="38"/>
  <c r="F395" i="38"/>
  <c r="F394" i="38"/>
  <c r="F393" i="38"/>
  <c r="F392" i="38"/>
  <c r="F391" i="38"/>
  <c r="F390" i="38"/>
  <c r="F389" i="38"/>
  <c r="F388" i="38"/>
  <c r="F387" i="38"/>
  <c r="F386" i="38"/>
  <c r="F385" i="38"/>
  <c r="F384" i="38"/>
  <c r="F383" i="38"/>
  <c r="F382" i="38"/>
  <c r="F381" i="38"/>
  <c r="F410" i="38" s="1"/>
  <c r="F411" i="38" s="1"/>
  <c r="F380" i="38"/>
  <c r="F379" i="38"/>
  <c r="E372" i="38"/>
  <c r="E371" i="38"/>
  <c r="E370" i="38"/>
  <c r="E369" i="38"/>
  <c r="E368" i="38"/>
  <c r="E367" i="38"/>
  <c r="E366" i="38"/>
  <c r="E365" i="38"/>
  <c r="E364" i="38"/>
  <c r="E363" i="38"/>
  <c r="E362" i="38"/>
  <c r="E361" i="38"/>
  <c r="E360" i="38"/>
  <c r="E359" i="38"/>
  <c r="E358" i="38"/>
  <c r="E357" i="38"/>
  <c r="E356" i="38"/>
  <c r="E355" i="38"/>
  <c r="E354" i="38"/>
  <c r="E353" i="38"/>
  <c r="L352" i="38"/>
  <c r="L354" i="38" s="1"/>
  <c r="E352" i="38"/>
  <c r="E351" i="38"/>
  <c r="E350" i="38"/>
  <c r="E349" i="38"/>
  <c r="L348" i="38"/>
  <c r="E348" i="38"/>
  <c r="E347" i="38"/>
  <c r="E346" i="38"/>
  <c r="E345" i="38"/>
  <c r="E344" i="38"/>
  <c r="E343" i="38"/>
  <c r="L342" i="38"/>
  <c r="L343" i="38" s="1"/>
  <c r="L349" i="38" s="1"/>
  <c r="E342" i="38"/>
  <c r="E341" i="38"/>
  <c r="E340" i="38"/>
  <c r="E339" i="38"/>
  <c r="P338" i="38"/>
  <c r="P339" i="38" s="1"/>
  <c r="P340" i="38" s="1"/>
  <c r="E338" i="38"/>
  <c r="E337" i="38"/>
  <c r="L336" i="38"/>
  <c r="AC199" i="38"/>
  <c r="AD199" i="38" s="1"/>
  <c r="AC198" i="38"/>
  <c r="AD198" i="38" s="1"/>
  <c r="AC197" i="38"/>
  <c r="AD197" i="38" s="1"/>
  <c r="AD191" i="38"/>
  <c r="AD190" i="38"/>
  <c r="AD188" i="38"/>
  <c r="AB156" i="38"/>
  <c r="AD156" i="38" s="1"/>
  <c r="AB155" i="38"/>
  <c r="AD155" i="38" s="1"/>
  <c r="AB154" i="38"/>
  <c r="AD154" i="38" s="1"/>
  <c r="AD157" i="38" s="1"/>
  <c r="AD159" i="38" s="1"/>
  <c r="BI69" i="38"/>
  <c r="BG69" i="38"/>
  <c r="BE68" i="38"/>
  <c r="BE64" i="38"/>
  <c r="BE63" i="38"/>
  <c r="BE62" i="38"/>
  <c r="BH61" i="38"/>
  <c r="BH69" i="38" s="1"/>
  <c r="BE61" i="38"/>
  <c r="BI60" i="38"/>
  <c r="BH60" i="38"/>
  <c r="BG60" i="38"/>
  <c r="BE60" i="38"/>
  <c r="BI49" i="38"/>
  <c r="BG49" i="38"/>
  <c r="BH48" i="38"/>
  <c r="BE48" i="38"/>
  <c r="BH47" i="38"/>
  <c r="BE47" i="38"/>
  <c r="AY47" i="38"/>
  <c r="BH46" i="38"/>
  <c r="BH49" i="38" s="1"/>
  <c r="BE46" i="38"/>
  <c r="BE49" i="38" s="1"/>
  <c r="BJ49" i="38" s="1"/>
  <c r="AI40" i="38"/>
  <c r="AE39" i="38"/>
  <c r="AH38" i="38"/>
  <c r="AH40" i="38" s="1"/>
  <c r="AG38" i="38"/>
  <c r="AG40" i="38" s="1"/>
  <c r="AF38" i="38"/>
  <c r="AF40" i="38" s="1"/>
  <c r="AE38" i="38"/>
  <c r="AE40" i="38" s="1"/>
  <c r="AI35" i="38"/>
  <c r="AH34" i="38"/>
  <c r="AG34" i="38"/>
  <c r="AF34" i="38"/>
  <c r="AE34" i="38"/>
  <c r="AE33" i="38"/>
  <c r="AL33" i="38" s="1"/>
  <c r="AD32" i="38"/>
  <c r="AH32" i="38" s="1"/>
  <c r="AF27" i="38"/>
  <c r="AX26" i="38"/>
  <c r="AZ25" i="38"/>
  <c r="AZ24" i="38"/>
  <c r="AY24" i="38"/>
  <c r="AZ23" i="38"/>
  <c r="AZ22" i="38"/>
  <c r="AZ26" i="38" s="1"/>
  <c r="AY22" i="38"/>
  <c r="AY26" i="38" s="1"/>
  <c r="AB17" i="38"/>
  <c r="AB15" i="38"/>
  <c r="AC15" i="38" s="1"/>
  <c r="BK14" i="38"/>
  <c r="AF14" i="38"/>
  <c r="AF15" i="38" s="1"/>
  <c r="BI13" i="38"/>
  <c r="BF13" i="38"/>
  <c r="AF13" i="38"/>
  <c r="BK12" i="38"/>
  <c r="AF12" i="38"/>
  <c r="BK11" i="38"/>
  <c r="AF11" i="38"/>
  <c r="BK10" i="38"/>
  <c r="BK9" i="38"/>
  <c r="AQ9" i="38"/>
  <c r="AB9" i="38"/>
  <c r="BK8" i="38"/>
  <c r="AZ8" i="38"/>
  <c r="BB8" i="38" s="1"/>
  <c r="AT8" i="38"/>
  <c r="AB8" i="38"/>
  <c r="BK7" i="38"/>
  <c r="BA7" i="38"/>
  <c r="AZ7" i="38"/>
  <c r="AT7" i="38"/>
  <c r="AI7" i="38"/>
  <c r="AJ7" i="38" s="1"/>
  <c r="AB7" i="38"/>
  <c r="BK6" i="38"/>
  <c r="BA6" i="38"/>
  <c r="AZ6" i="38"/>
  <c r="AT6" i="38"/>
  <c r="AI6" i="38"/>
  <c r="AJ6" i="38" s="1"/>
  <c r="AF6" i="38"/>
  <c r="AB6" i="38"/>
  <c r="BK5" i="38"/>
  <c r="BA5" i="38"/>
  <c r="AZ5" i="38"/>
  <c r="AT5" i="38"/>
  <c r="AI5" i="38"/>
  <c r="AJ5" i="38" s="1"/>
  <c r="AF5" i="38"/>
  <c r="AB5" i="38"/>
  <c r="BK4" i="38"/>
  <c r="BA4" i="38"/>
  <c r="AZ4" i="38"/>
  <c r="AT4" i="38"/>
  <c r="AI4" i="38"/>
  <c r="AJ4" i="38" s="1"/>
  <c r="AF4" i="38"/>
  <c r="BK3" i="38"/>
  <c r="AF3" i="38"/>
  <c r="AH35" i="38" l="1"/>
  <c r="BK13" i="38"/>
  <c r="AC9" i="38"/>
  <c r="AF7" i="38"/>
  <c r="BB5" i="38"/>
  <c r="AJ40" i="38"/>
  <c r="BB4" i="38"/>
  <c r="AT9" i="38"/>
  <c r="AT10" i="38" s="1"/>
  <c r="AT11" i="38" s="1"/>
  <c r="BL18" i="38"/>
  <c r="BL19" i="38" s="1"/>
  <c r="BB7" i="38"/>
  <c r="BE69" i="38"/>
  <c r="AD193" i="38"/>
  <c r="AD194" i="38" s="1"/>
  <c r="BB6" i="38"/>
  <c r="AJ8" i="38"/>
  <c r="AJ9" i="38" s="1"/>
  <c r="F426" i="38"/>
  <c r="E373" i="38"/>
  <c r="BJ69" i="38"/>
  <c r="AD200" i="38"/>
  <c r="AD202" i="38" s="1"/>
  <c r="AE32" i="38"/>
  <c r="AE35" i="38" s="1"/>
  <c r="AF32" i="38"/>
  <c r="AF35" i="38" s="1"/>
  <c r="AG32" i="38"/>
  <c r="AG35" i="38" s="1"/>
  <c r="BB9" i="38" l="1"/>
  <c r="AJ35" i="38"/>
  <c r="AL34" i="38" s="1"/>
  <c r="K10" i="33" l="1"/>
  <c r="D20" i="37" l="1"/>
  <c r="D9" i="37"/>
  <c r="X37" i="36" l="1"/>
  <c r="X36" i="36"/>
  <c r="X38" i="36" s="1"/>
  <c r="X39" i="36" s="1"/>
  <c r="X35" i="36"/>
  <c r="X34" i="36"/>
  <c r="AC26" i="36" l="1"/>
  <c r="AC27" i="36"/>
  <c r="AC28" i="36" l="1"/>
  <c r="AC29" i="36" s="1"/>
  <c r="F480" i="35"/>
  <c r="F481" i="35"/>
  <c r="F482" i="35"/>
  <c r="F483" i="35"/>
  <c r="F484" i="35"/>
  <c r="F485" i="35"/>
  <c r="F486" i="35"/>
  <c r="F487" i="35"/>
  <c r="F488" i="35"/>
  <c r="F489" i="35"/>
  <c r="F490" i="35"/>
  <c r="F491" i="35"/>
  <c r="F492" i="35"/>
  <c r="F493" i="35"/>
  <c r="F494" i="35"/>
  <c r="F495" i="35"/>
  <c r="F496" i="35"/>
  <c r="F497" i="35"/>
  <c r="F498" i="35"/>
  <c r="F499" i="35"/>
  <c r="F500" i="35"/>
  <c r="F501" i="35"/>
  <c r="F502" i="35"/>
  <c r="F503" i="35"/>
  <c r="F504" i="35"/>
  <c r="F505" i="35"/>
  <c r="F506" i="35"/>
  <c r="F507" i="35"/>
  <c r="F508" i="35"/>
  <c r="F509" i="35"/>
  <c r="F510" i="35"/>
  <c r="F511" i="35"/>
  <c r="F512" i="35"/>
  <c r="F513" i="35"/>
  <c r="F514" i="35"/>
  <c r="F515" i="35"/>
  <c r="F516" i="35"/>
  <c r="F517" i="35"/>
  <c r="F518" i="35"/>
  <c r="F519" i="35"/>
  <c r="F520" i="35"/>
  <c r="F521" i="35"/>
  <c r="F522" i="35"/>
  <c r="F523" i="35"/>
  <c r="F524" i="35"/>
  <c r="F525" i="35"/>
  <c r="F526" i="35"/>
  <c r="F527" i="35"/>
  <c r="F528" i="35"/>
  <c r="F529" i="35"/>
  <c r="F477" i="35"/>
  <c r="F463" i="35"/>
  <c r="F464" i="35"/>
  <c r="F465" i="35"/>
  <c r="F466" i="35"/>
  <c r="F467" i="35"/>
  <c r="F468" i="35"/>
  <c r="F469" i="35"/>
  <c r="F470" i="35"/>
  <c r="F471" i="35"/>
  <c r="F472" i="35"/>
  <c r="F473" i="35"/>
  <c r="F439" i="35"/>
  <c r="F440" i="35"/>
  <c r="F441" i="35"/>
  <c r="F442" i="35"/>
  <c r="F443" i="35"/>
  <c r="F444" i="35"/>
  <c r="F445" i="35"/>
  <c r="F446" i="35"/>
  <c r="F431" i="35"/>
  <c r="F432" i="35"/>
  <c r="F433" i="35"/>
  <c r="F434" i="35"/>
  <c r="F435" i="35"/>
  <c r="F436" i="35"/>
  <c r="F415" i="35"/>
  <c r="F416" i="35"/>
  <c r="F417" i="35"/>
  <c r="F418" i="35"/>
  <c r="F419" i="35"/>
  <c r="F420" i="35"/>
  <c r="F421" i="35"/>
  <c r="F422" i="35"/>
  <c r="F423" i="35"/>
  <c r="F424" i="35"/>
  <c r="F425" i="35"/>
  <c r="F379" i="35"/>
  <c r="F380" i="35"/>
  <c r="F381" i="35"/>
  <c r="F382" i="35"/>
  <c r="F383" i="35"/>
  <c r="F384" i="35"/>
  <c r="F385" i="35"/>
  <c r="F386" i="35"/>
  <c r="F387" i="35"/>
  <c r="F388" i="35"/>
  <c r="F389" i="35"/>
  <c r="F390" i="35"/>
  <c r="F391" i="35"/>
  <c r="F392" i="35"/>
  <c r="F393" i="35"/>
  <c r="F394" i="35"/>
  <c r="F395" i="35"/>
  <c r="F396" i="35"/>
  <c r="F397" i="35"/>
  <c r="F398" i="35"/>
  <c r="F399" i="35"/>
  <c r="F400" i="35"/>
  <c r="F401" i="35"/>
  <c r="F402" i="35"/>
  <c r="F403" i="35"/>
  <c r="F404" i="35"/>
  <c r="F405" i="35"/>
  <c r="F406" i="35"/>
  <c r="F407" i="35"/>
  <c r="F408" i="35"/>
  <c r="F409" i="35"/>
  <c r="AF3" i="35"/>
  <c r="BK3" i="35"/>
  <c r="AF4" i="35"/>
  <c r="AI4" i="35"/>
  <c r="AJ4" i="35"/>
  <c r="AT4" i="35"/>
  <c r="AZ4" i="35"/>
  <c r="BA4" i="35"/>
  <c r="BK4" i="35"/>
  <c r="AB5" i="35"/>
  <c r="AF5" i="35"/>
  <c r="AI5" i="35"/>
  <c r="AJ5" i="35"/>
  <c r="AT5" i="35"/>
  <c r="AZ5" i="35"/>
  <c r="BA5" i="35"/>
  <c r="BK5" i="35"/>
  <c r="AB6" i="35"/>
  <c r="AF6" i="35"/>
  <c r="AI6" i="35"/>
  <c r="AJ6" i="35"/>
  <c r="AT6" i="35"/>
  <c r="AZ6" i="35"/>
  <c r="BA6" i="35"/>
  <c r="BB6" i="35"/>
  <c r="BK6" i="35"/>
  <c r="AB7" i="35"/>
  <c r="AI7" i="35"/>
  <c r="AJ7" i="35"/>
  <c r="AT7" i="35"/>
  <c r="AZ7" i="35"/>
  <c r="BA7" i="35"/>
  <c r="BB7" i="35"/>
  <c r="BK7" i="35"/>
  <c r="AB8" i="35"/>
  <c r="AT8" i="35"/>
  <c r="AZ8" i="35"/>
  <c r="BB8" i="35"/>
  <c r="BK8" i="35"/>
  <c r="AB9" i="35"/>
  <c r="AC9" i="35"/>
  <c r="AQ9" i="35"/>
  <c r="BK9" i="35"/>
  <c r="BK10" i="35"/>
  <c r="AF11" i="35"/>
  <c r="BK11" i="35"/>
  <c r="AF12" i="35"/>
  <c r="BK12" i="35"/>
  <c r="AF13" i="35"/>
  <c r="BF13" i="35"/>
  <c r="BI13" i="35"/>
  <c r="AF14" i="35"/>
  <c r="BK14" i="35"/>
  <c r="AB15" i="35"/>
  <c r="AC15" i="35" s="1"/>
  <c r="AB17" i="35"/>
  <c r="AY22" i="35"/>
  <c r="AZ22" i="35"/>
  <c r="AZ23" i="35"/>
  <c r="AY24" i="35"/>
  <c r="AZ24" i="35"/>
  <c r="AZ25" i="35"/>
  <c r="AX26" i="35"/>
  <c r="AF27" i="35"/>
  <c r="AD32" i="35"/>
  <c r="AF32" i="35" s="1"/>
  <c r="AE32" i="35"/>
  <c r="AE33" i="35"/>
  <c r="AL33" i="35"/>
  <c r="AE34" i="35"/>
  <c r="AF34" i="35"/>
  <c r="AG34" i="35"/>
  <c r="AH34" i="35"/>
  <c r="AI35" i="35"/>
  <c r="AE38" i="35"/>
  <c r="AF38" i="35"/>
  <c r="AF40" i="35" s="1"/>
  <c r="AG38" i="35"/>
  <c r="AG40" i="35" s="1"/>
  <c r="AH38" i="35"/>
  <c r="AH40" i="35" s="1"/>
  <c r="AE39" i="35"/>
  <c r="AI40" i="35"/>
  <c r="BE46" i="35"/>
  <c r="BH46" i="35"/>
  <c r="AY47" i="35"/>
  <c r="BE47" i="35"/>
  <c r="BH47" i="35"/>
  <c r="BE48" i="35"/>
  <c r="BH48" i="35"/>
  <c r="BG49" i="35"/>
  <c r="BI49" i="35"/>
  <c r="BE60" i="35"/>
  <c r="BG60" i="35"/>
  <c r="BG69" i="35" s="1"/>
  <c r="BH60" i="35"/>
  <c r="BI60" i="35"/>
  <c r="BI69" i="35" s="1"/>
  <c r="BE61" i="35"/>
  <c r="BH61" i="35"/>
  <c r="BE62" i="35"/>
  <c r="BE63" i="35"/>
  <c r="BE64" i="35"/>
  <c r="BE68" i="35"/>
  <c r="AB154" i="35"/>
  <c r="AD154" i="35" s="1"/>
  <c r="AB155" i="35"/>
  <c r="AD155" i="35" s="1"/>
  <c r="AB156" i="35"/>
  <c r="AD156" i="35"/>
  <c r="AD188" i="35"/>
  <c r="AD190" i="35"/>
  <c r="AD191" i="35"/>
  <c r="AC197" i="35"/>
  <c r="AD197" i="35" s="1"/>
  <c r="AC198" i="35"/>
  <c r="AD198" i="35"/>
  <c r="AC199" i="35"/>
  <c r="AD199" i="35"/>
  <c r="L336" i="35"/>
  <c r="E337" i="35"/>
  <c r="E338" i="35"/>
  <c r="P338" i="35"/>
  <c r="E339" i="35"/>
  <c r="P339" i="35"/>
  <c r="P340" i="35" s="1"/>
  <c r="E340" i="35"/>
  <c r="E341" i="35"/>
  <c r="E342" i="35"/>
  <c r="E343" i="35"/>
  <c r="E344" i="35"/>
  <c r="E345" i="35"/>
  <c r="E346" i="35"/>
  <c r="E347" i="35"/>
  <c r="E348" i="35"/>
  <c r="E349" i="35"/>
  <c r="E350" i="35"/>
  <c r="E351" i="35"/>
  <c r="E352" i="35"/>
  <c r="E353" i="35"/>
  <c r="E354" i="35"/>
  <c r="E355" i="35"/>
  <c r="E356" i="35"/>
  <c r="E357" i="35"/>
  <c r="E358" i="35"/>
  <c r="E359" i="35"/>
  <c r="E360" i="35"/>
  <c r="E361" i="35"/>
  <c r="E362" i="35"/>
  <c r="E363" i="35"/>
  <c r="E364" i="35"/>
  <c r="E365" i="35"/>
  <c r="E366" i="35"/>
  <c r="E367" i="35"/>
  <c r="E368" i="35"/>
  <c r="E369" i="35"/>
  <c r="E370" i="35"/>
  <c r="E371" i="35"/>
  <c r="E372" i="35"/>
  <c r="E19" i="33"/>
  <c r="E31" i="33" s="1"/>
  <c r="AF15" i="35" l="1"/>
  <c r="AD193" i="35"/>
  <c r="AD194" i="35" s="1"/>
  <c r="AH32" i="35"/>
  <c r="AH35" i="35" s="1"/>
  <c r="AF35" i="35"/>
  <c r="AG32" i="35"/>
  <c r="BK13" i="35"/>
  <c r="BL18" i="35" s="1"/>
  <c r="BL19" i="35" s="1"/>
  <c r="F426" i="35"/>
  <c r="BB4" i="35"/>
  <c r="AG35" i="35"/>
  <c r="AE40" i="35"/>
  <c r="BH69" i="35"/>
  <c r="AT9" i="35"/>
  <c r="AT10" i="35" s="1"/>
  <c r="AT11" i="35" s="1"/>
  <c r="AD200" i="35"/>
  <c r="AD202" i="35" s="1"/>
  <c r="BE49" i="35"/>
  <c r="AJ40" i="35"/>
  <c r="AZ26" i="35"/>
  <c r="AY26" i="35"/>
  <c r="BB5" i="35"/>
  <c r="BB9" i="35" s="1"/>
  <c r="AE35" i="35"/>
  <c r="AD157" i="35"/>
  <c r="AD159" i="35" s="1"/>
  <c r="BH49" i="35"/>
  <c r="AJ8" i="35"/>
  <c r="AJ9" i="35" s="1"/>
  <c r="BE69" i="35"/>
  <c r="AF7" i="35"/>
  <c r="G31" i="33"/>
  <c r="G19" i="33"/>
  <c r="E373" i="35"/>
  <c r="F447" i="35"/>
  <c r="F410" i="35"/>
  <c r="F411" i="35" s="1"/>
  <c r="BJ49" i="35" l="1"/>
  <c r="AJ35" i="35"/>
  <c r="AL34" i="35" s="1"/>
  <c r="BJ69" i="35"/>
  <c r="C53" i="29"/>
  <c r="B53" i="29"/>
  <c r="E48" i="29"/>
  <c r="B48" i="29"/>
  <c r="E18" i="29"/>
  <c r="B18" i="29"/>
  <c r="A18" i="29"/>
  <c r="B10" i="29"/>
  <c r="D53" i="29" l="1"/>
  <c r="D21" i="34" l="1"/>
  <c r="D22" i="34"/>
  <c r="D23" i="34"/>
  <c r="D20" i="34"/>
  <c r="D19" i="34"/>
  <c r="D24" i="34" l="1"/>
  <c r="Q14" i="34"/>
  <c r="Q13" i="34"/>
  <c r="Q12" i="34"/>
  <c r="B7" i="34" s="1"/>
  <c r="Q8" i="34"/>
  <c r="O7" i="34"/>
  <c r="Q7" i="34" s="1"/>
  <c r="Q6" i="34"/>
  <c r="D37" i="30"/>
  <c r="H32" i="30" s="1"/>
  <c r="B6" i="34" l="1"/>
  <c r="B8" i="34" s="1"/>
  <c r="B9" i="34" s="1"/>
  <c r="Q13" i="32"/>
  <c r="G187" i="32" s="1"/>
  <c r="H16" i="30" l="1"/>
  <c r="D30" i="30"/>
  <c r="H30" i="30" s="1"/>
  <c r="D29" i="30"/>
  <c r="H29" i="30" s="1"/>
  <c r="H28" i="30"/>
  <c r="D27" i="30"/>
  <c r="H27" i="30" s="1"/>
  <c r="E16" i="29"/>
  <c r="B16" i="29"/>
  <c r="H31" i="30" l="1"/>
  <c r="H33" i="30" l="1"/>
  <c r="D10" i="30" s="1"/>
  <c r="H10" i="30" s="1"/>
  <c r="J10" i="30" s="1"/>
  <c r="B23" i="29"/>
  <c r="C42" i="29"/>
  <c r="B42" i="29"/>
  <c r="C39" i="29"/>
  <c r="B8" i="29" l="1"/>
  <c r="B35" i="29" l="1"/>
  <c r="B34" i="29"/>
  <c r="B29" i="29"/>
  <c r="C58" i="29"/>
  <c r="B71" i="29"/>
  <c r="B70" i="29"/>
  <c r="J271" i="32"/>
  <c r="G36" i="31"/>
  <c r="I35" i="31"/>
  <c r="I37" i="31" s="1"/>
  <c r="H35" i="31"/>
  <c r="H37" i="31" s="1"/>
  <c r="I36" i="31" l="1"/>
  <c r="H36" i="31"/>
  <c r="H60" i="32" l="1"/>
  <c r="C18" i="29" s="1"/>
  <c r="D18" i="29" s="1"/>
  <c r="F18" i="29" s="1"/>
  <c r="O53" i="33" l="1"/>
  <c r="K52" i="33"/>
  <c r="L52" i="33" s="1"/>
  <c r="P51" i="33"/>
  <c r="J53" i="33"/>
  <c r="P53" i="33" l="1"/>
  <c r="G224" i="32"/>
  <c r="C45" i="29" l="1"/>
  <c r="G104" i="32"/>
  <c r="H146" i="32" l="1"/>
  <c r="C35" i="29" s="1"/>
  <c r="G121" i="32" l="1"/>
  <c r="W5" i="32"/>
  <c r="W6" i="32"/>
  <c r="W4" i="32"/>
  <c r="W3" i="32"/>
  <c r="W7" i="32" l="1"/>
  <c r="H145" i="32"/>
  <c r="C34" i="29" s="1"/>
  <c r="J131" i="32" l="1"/>
  <c r="K131" i="32" s="1"/>
  <c r="R128" i="11" s="1"/>
  <c r="J130" i="32"/>
  <c r="K130" i="32" s="1"/>
  <c r="R127" i="11" s="1"/>
  <c r="D36" i="33" l="1"/>
  <c r="D35" i="33"/>
  <c r="C30" i="29" s="1"/>
  <c r="C10" i="29"/>
  <c r="X35" i="33" l="1"/>
  <c r="X34" i="33"/>
  <c r="W37" i="33"/>
  <c r="W36" i="33"/>
  <c r="W35" i="33"/>
  <c r="W34" i="33"/>
  <c r="V37" i="33"/>
  <c r="V36" i="33"/>
  <c r="V35" i="33"/>
  <c r="V34" i="33"/>
  <c r="K42" i="33"/>
  <c r="K40" i="33"/>
  <c r="J40" i="33"/>
  <c r="J41" i="33"/>
  <c r="J42" i="33"/>
  <c r="K43" i="33"/>
  <c r="J43" i="33"/>
  <c r="G161" i="32"/>
  <c r="A17" i="29"/>
  <c r="C15" i="29"/>
  <c r="C11" i="29"/>
  <c r="B11" i="29"/>
  <c r="D11" i="29" l="1"/>
  <c r="E13" i="10"/>
  <c r="F5" i="10"/>
  <c r="F4" i="10"/>
  <c r="J18" i="33"/>
  <c r="M18" i="33" s="1"/>
  <c r="L16" i="33"/>
  <c r="K16" i="33"/>
  <c r="J16" i="33"/>
  <c r="M16" i="33" s="1"/>
  <c r="M17" i="33"/>
  <c r="M19" i="33"/>
  <c r="L10" i="33"/>
  <c r="O10" i="33"/>
  <c r="P10" i="33"/>
  <c r="S10" i="33"/>
  <c r="T10" i="33" s="1"/>
  <c r="K11" i="33"/>
  <c r="L11" i="33"/>
  <c r="O11" i="33"/>
  <c r="P11" i="33"/>
  <c r="S11" i="33"/>
  <c r="T11" i="33"/>
  <c r="K12" i="33"/>
  <c r="L12" i="33" s="1"/>
  <c r="O12" i="33"/>
  <c r="P12" i="33"/>
  <c r="K13" i="33"/>
  <c r="L13" i="33" s="1"/>
  <c r="O13" i="33"/>
  <c r="P13" i="33" s="1"/>
  <c r="J30" i="33"/>
  <c r="M30" i="33" s="1"/>
  <c r="L28" i="33"/>
  <c r="K28" i="33"/>
  <c r="J28" i="33"/>
  <c r="M29" i="33"/>
  <c r="M31" i="33"/>
  <c r="K22" i="33"/>
  <c r="L22" i="33"/>
  <c r="O22" i="33"/>
  <c r="P22" i="33" s="1"/>
  <c r="S22" i="33"/>
  <c r="T22" i="33"/>
  <c r="K23" i="33"/>
  <c r="L23" i="33"/>
  <c r="O23" i="33"/>
  <c r="P23" i="33"/>
  <c r="S23" i="33"/>
  <c r="T23" i="33" s="1"/>
  <c r="K24" i="33"/>
  <c r="L24" i="33" s="1"/>
  <c r="O24" i="33"/>
  <c r="P24" i="33" s="1"/>
  <c r="K25" i="33"/>
  <c r="L25" i="33"/>
  <c r="O25" i="33"/>
  <c r="P25" i="33" s="1"/>
  <c r="M43" i="33"/>
  <c r="M42" i="33"/>
  <c r="M41" i="33"/>
  <c r="M40" i="33"/>
  <c r="E39" i="33" s="1"/>
  <c r="E41" i="33" s="1"/>
  <c r="L34" i="33"/>
  <c r="P34" i="33"/>
  <c r="T34" i="33"/>
  <c r="L35" i="33"/>
  <c r="P35" i="33"/>
  <c r="T35" i="33"/>
  <c r="L36" i="33"/>
  <c r="P36" i="33"/>
  <c r="L37" i="33"/>
  <c r="P37" i="33"/>
  <c r="H13" i="10" l="1"/>
  <c r="I13" i="10"/>
  <c r="J13" i="10"/>
  <c r="I9" i="10"/>
  <c r="H9" i="10"/>
  <c r="J11" i="10"/>
  <c r="I11" i="10"/>
  <c r="H11" i="10"/>
  <c r="J9" i="10"/>
  <c r="J8" i="10"/>
  <c r="H8" i="10"/>
  <c r="I8" i="10"/>
  <c r="M28" i="33"/>
  <c r="E33" i="33"/>
  <c r="E36" i="33" s="1"/>
  <c r="R42" i="33"/>
  <c r="P42" i="33"/>
  <c r="E15" i="33"/>
  <c r="E18" i="33" s="1"/>
  <c r="E9" i="33"/>
  <c r="E27" i="33"/>
  <c r="E21" i="33"/>
  <c r="G158" i="32" s="1"/>
  <c r="D47" i="33"/>
  <c r="K11" i="10" l="1"/>
  <c r="H107" i="32" s="1"/>
  <c r="C29" i="29" s="1"/>
  <c r="K13" i="10"/>
  <c r="H248" i="32" s="1"/>
  <c r="K8" i="10"/>
  <c r="H52" i="32" s="1"/>
  <c r="K9" i="10"/>
  <c r="H183" i="32" s="1"/>
  <c r="G156" i="32"/>
  <c r="E11" i="33"/>
  <c r="G11" i="33" s="1"/>
  <c r="P43" i="33"/>
  <c r="Q42" i="33"/>
  <c r="E12" i="33"/>
  <c r="E23" i="33"/>
  <c r="E24" i="33"/>
  <c r="E35" i="33"/>
  <c r="F35" i="33" s="1"/>
  <c r="F36" i="33"/>
  <c r="G36" i="33"/>
  <c r="G35" i="33" l="1"/>
  <c r="F41" i="30"/>
  <c r="E58" i="29"/>
  <c r="C16" i="29"/>
  <c r="D16" i="29" s="1"/>
  <c r="F16" i="29" s="1"/>
  <c r="E15" i="29"/>
  <c r="F12" i="33"/>
  <c r="F11" i="33"/>
  <c r="F42" i="30" l="1"/>
  <c r="H42" i="30" s="1"/>
  <c r="J42" i="30" s="1"/>
  <c r="J43" i="30" s="1"/>
  <c r="H41" i="30"/>
  <c r="T308" i="11"/>
  <c r="U308" i="11" s="1"/>
  <c r="T160" i="11"/>
  <c r="S5" i="11"/>
  <c r="T4" i="11"/>
  <c r="U4" i="11" s="1"/>
  <c r="U19" i="11"/>
  <c r="U17" i="11"/>
  <c r="J44" i="30" l="1"/>
  <c r="G100" i="32"/>
  <c r="C27" i="29" s="1"/>
  <c r="E19" i="10"/>
  <c r="E17" i="33"/>
  <c r="G18" i="33"/>
  <c r="E30" i="33"/>
  <c r="G30" i="33" s="1"/>
  <c r="E29" i="33"/>
  <c r="G241" i="32"/>
  <c r="J19" i="10" l="1"/>
  <c r="I19" i="10"/>
  <c r="H19" i="10"/>
  <c r="G29" i="33"/>
  <c r="F31" i="33"/>
  <c r="F19" i="33"/>
  <c r="F18" i="33"/>
  <c r="F29" i="33"/>
  <c r="F30" i="33"/>
  <c r="F24" i="33"/>
  <c r="G24" i="33"/>
  <c r="F23" i="33"/>
  <c r="G23" i="33"/>
  <c r="F17" i="33"/>
  <c r="G17" i="33"/>
  <c r="K19" i="10" l="1"/>
  <c r="H100" i="32"/>
  <c r="E27" i="29" s="1"/>
  <c r="G41" i="32"/>
  <c r="Q14" i="32" l="1"/>
  <c r="E21" i="10" l="1"/>
  <c r="E23" i="29"/>
  <c r="G55" i="32"/>
  <c r="Q6" i="32"/>
  <c r="J21" i="10" l="1"/>
  <c r="I21" i="10"/>
  <c r="H21" i="10"/>
  <c r="T6" i="32"/>
  <c r="G33" i="32" s="1"/>
  <c r="E11" i="29" s="1"/>
  <c r="F11" i="29" s="1"/>
  <c r="Q4" i="32"/>
  <c r="E8" i="29"/>
  <c r="E10" i="29"/>
  <c r="K21" i="10" l="1"/>
  <c r="H67" i="32" s="1"/>
  <c r="J67" i="32" s="1"/>
  <c r="E30" i="29"/>
  <c r="C17" i="29"/>
  <c r="C7" i="29"/>
  <c r="E14" i="10"/>
  <c r="E17" i="29"/>
  <c r="E2" i="33"/>
  <c r="F463" i="32"/>
  <c r="F459" i="32"/>
  <c r="F458" i="32"/>
  <c r="F457" i="32"/>
  <c r="F456" i="32"/>
  <c r="F455" i="32"/>
  <c r="F454" i="32"/>
  <c r="F453" i="32"/>
  <c r="F452" i="32"/>
  <c r="F451" i="32"/>
  <c r="F450" i="32"/>
  <c r="F449" i="32"/>
  <c r="F431" i="32"/>
  <c r="F430" i="32"/>
  <c r="F428" i="32"/>
  <c r="F427" i="32"/>
  <c r="F405" i="32"/>
  <c r="E337" i="32"/>
  <c r="J307" i="32"/>
  <c r="K307" i="32" s="1"/>
  <c r="R304" i="11" s="1"/>
  <c r="J306" i="32"/>
  <c r="K306" i="32" s="1"/>
  <c r="R303" i="11" s="1"/>
  <c r="J305" i="32"/>
  <c r="K305" i="32" s="1"/>
  <c r="R302" i="11" s="1"/>
  <c r="J304" i="32"/>
  <c r="K304" i="32" s="1"/>
  <c r="R301" i="11" s="1"/>
  <c r="J303" i="32"/>
  <c r="K303" i="32" s="1"/>
  <c r="R300" i="11" s="1"/>
  <c r="J302" i="32"/>
  <c r="K302" i="32" s="1"/>
  <c r="R299" i="11" s="1"/>
  <c r="J301" i="32"/>
  <c r="K301" i="32" s="1"/>
  <c r="R298" i="11" s="1"/>
  <c r="J300" i="32"/>
  <c r="K300" i="32" s="1"/>
  <c r="R297" i="11" s="1"/>
  <c r="J299" i="32"/>
  <c r="K299" i="32" s="1"/>
  <c r="R296" i="11" s="1"/>
  <c r="J298" i="32"/>
  <c r="K298" i="32" s="1"/>
  <c r="R295" i="11" s="1"/>
  <c r="J297" i="32"/>
  <c r="K297" i="32" s="1"/>
  <c r="R294" i="11" s="1"/>
  <c r="J296" i="32"/>
  <c r="K296" i="32" s="1"/>
  <c r="R293" i="11" s="1"/>
  <c r="J295" i="32"/>
  <c r="K295" i="32" s="1"/>
  <c r="R292" i="11" s="1"/>
  <c r="J294" i="32"/>
  <c r="K294" i="32" s="1"/>
  <c r="R291" i="11" s="1"/>
  <c r="J289" i="32"/>
  <c r="G289" i="32"/>
  <c r="J288" i="32"/>
  <c r="G288" i="32"/>
  <c r="J287" i="32"/>
  <c r="G287" i="32"/>
  <c r="J286" i="32"/>
  <c r="G286" i="32"/>
  <c r="J285" i="32"/>
  <c r="G285" i="32"/>
  <c r="J284" i="32"/>
  <c r="G284" i="32"/>
  <c r="J283" i="32"/>
  <c r="K283" i="32" s="1"/>
  <c r="R280" i="11" s="1"/>
  <c r="J282" i="32"/>
  <c r="J281" i="32"/>
  <c r="G281" i="32"/>
  <c r="G282" i="32" s="1"/>
  <c r="J279" i="32"/>
  <c r="K279" i="32" s="1"/>
  <c r="R276" i="11" s="1"/>
  <c r="J278" i="32"/>
  <c r="K278" i="32" s="1"/>
  <c r="R275" i="11" s="1"/>
  <c r="J277" i="32"/>
  <c r="J275" i="32"/>
  <c r="K275" i="32" s="1"/>
  <c r="R272" i="11" s="1"/>
  <c r="J273" i="32"/>
  <c r="K273" i="32" s="1"/>
  <c r="R270" i="11" s="1"/>
  <c r="J272" i="32"/>
  <c r="K272" i="32" s="1"/>
  <c r="R269" i="11" s="1"/>
  <c r="K271" i="32"/>
  <c r="R268" i="11" s="1"/>
  <c r="C17" i="37" s="1"/>
  <c r="D17" i="37" s="1"/>
  <c r="J270" i="32"/>
  <c r="K270" i="32" s="1"/>
  <c r="R267" i="11" s="1"/>
  <c r="C16" i="37" s="1"/>
  <c r="J269" i="32"/>
  <c r="K269" i="32" s="1"/>
  <c r="R266" i="11" s="1"/>
  <c r="J268" i="32"/>
  <c r="K268" i="32" s="1"/>
  <c r="R265" i="11" s="1"/>
  <c r="J267" i="32"/>
  <c r="K267" i="32" s="1"/>
  <c r="R264" i="11" s="1"/>
  <c r="J266" i="32"/>
  <c r="K266" i="32" s="1"/>
  <c r="R263" i="11" s="1"/>
  <c r="J265" i="32"/>
  <c r="K265" i="32" s="1"/>
  <c r="R262" i="11" s="1"/>
  <c r="J264" i="32"/>
  <c r="K264" i="32" s="1"/>
  <c r="R261" i="11" s="1"/>
  <c r="H263" i="32"/>
  <c r="J263" i="32" s="1"/>
  <c r="K263" i="32" s="1"/>
  <c r="R260" i="11" s="1"/>
  <c r="J262" i="32"/>
  <c r="K262" i="32" s="1"/>
  <c r="R259" i="11" s="1"/>
  <c r="J261" i="32"/>
  <c r="K261" i="32" s="1"/>
  <c r="R258" i="11" s="1"/>
  <c r="J260" i="32"/>
  <c r="K260" i="32" s="1"/>
  <c r="R257" i="11" s="1"/>
  <c r="J259" i="32"/>
  <c r="K259" i="32" s="1"/>
  <c r="R256" i="11" s="1"/>
  <c r="H257" i="32"/>
  <c r="J257" i="32" s="1"/>
  <c r="J253" i="32"/>
  <c r="K253" i="32" s="1"/>
  <c r="R251" i="11" s="1"/>
  <c r="J252" i="32"/>
  <c r="K252" i="32" s="1"/>
  <c r="R250" i="11" s="1"/>
  <c r="J251" i="32"/>
  <c r="K251" i="32" s="1"/>
  <c r="R249" i="11" s="1"/>
  <c r="H250" i="32"/>
  <c r="J250" i="32" s="1"/>
  <c r="K250" i="32" s="1"/>
  <c r="R248" i="11" s="1"/>
  <c r="J249" i="32"/>
  <c r="K249" i="32" s="1"/>
  <c r="R247" i="11" s="1"/>
  <c r="J248" i="32"/>
  <c r="J247" i="32"/>
  <c r="K247" i="32" s="1"/>
  <c r="R245" i="11" s="1"/>
  <c r="J246" i="32"/>
  <c r="K246" i="32" s="1"/>
  <c r="R244" i="11" s="1"/>
  <c r="J245" i="32"/>
  <c r="K245" i="32" s="1"/>
  <c r="R243" i="11" s="1"/>
  <c r="J244" i="32"/>
  <c r="K244" i="32" s="1"/>
  <c r="R242" i="11" s="1"/>
  <c r="J243" i="32"/>
  <c r="K243" i="32" s="1"/>
  <c r="R241" i="11" s="1"/>
  <c r="J242" i="32"/>
  <c r="G242" i="32"/>
  <c r="J241" i="32"/>
  <c r="K241" i="32" s="1"/>
  <c r="R239" i="11" s="1"/>
  <c r="J240" i="32"/>
  <c r="J239" i="32"/>
  <c r="K239" i="32" s="1"/>
  <c r="R237" i="11" s="1"/>
  <c r="J238" i="32"/>
  <c r="K238" i="32" s="1"/>
  <c r="R236" i="11" s="1"/>
  <c r="C13" i="37" s="1"/>
  <c r="D13" i="37" s="1"/>
  <c r="J237" i="32"/>
  <c r="G237" i="32"/>
  <c r="J236" i="32"/>
  <c r="J235" i="32"/>
  <c r="K235" i="32" s="1"/>
  <c r="R233" i="11" s="1"/>
  <c r="J234" i="32"/>
  <c r="K234" i="32" s="1"/>
  <c r="R232" i="11" s="1"/>
  <c r="J233" i="32"/>
  <c r="J232" i="32"/>
  <c r="K232" i="32" s="1"/>
  <c r="R230" i="11" s="1"/>
  <c r="J231" i="32"/>
  <c r="J230" i="32"/>
  <c r="G230" i="32"/>
  <c r="J229" i="32"/>
  <c r="K229" i="32" s="1"/>
  <c r="R227" i="11" s="1"/>
  <c r="J228" i="32"/>
  <c r="K228" i="32" s="1"/>
  <c r="R226" i="11" s="1"/>
  <c r="J227" i="32"/>
  <c r="K227" i="32" s="1"/>
  <c r="R225" i="11" s="1"/>
  <c r="J226" i="32"/>
  <c r="K226" i="32" s="1"/>
  <c r="R224" i="11" s="1"/>
  <c r="J225" i="32"/>
  <c r="K225" i="32" s="1"/>
  <c r="R223" i="11" s="1"/>
  <c r="J224" i="32"/>
  <c r="K224" i="32" s="1"/>
  <c r="R222" i="11" s="1"/>
  <c r="J223" i="32"/>
  <c r="K223" i="32" s="1"/>
  <c r="R221" i="11" s="1"/>
  <c r="J222" i="32"/>
  <c r="K222" i="32" s="1"/>
  <c r="R220" i="11" s="1"/>
  <c r="J221" i="32"/>
  <c r="K221" i="32" s="1"/>
  <c r="R219" i="11" s="1"/>
  <c r="J220" i="32"/>
  <c r="K220" i="32" s="1"/>
  <c r="R218" i="11" s="1"/>
  <c r="J219" i="32"/>
  <c r="K219" i="32" s="1"/>
  <c r="R217" i="11" s="1"/>
  <c r="J217" i="32"/>
  <c r="J216" i="32"/>
  <c r="K216" i="32" s="1"/>
  <c r="R214" i="11" s="1"/>
  <c r="J215" i="32"/>
  <c r="K215" i="32" s="1"/>
  <c r="R213" i="11" s="1"/>
  <c r="J214" i="32"/>
  <c r="K214" i="32" s="1"/>
  <c r="R212" i="11" s="1"/>
  <c r="J213" i="32"/>
  <c r="K213" i="32" s="1"/>
  <c r="R211" i="11" s="1"/>
  <c r="C12" i="37" s="1"/>
  <c r="D12" i="37" s="1"/>
  <c r="J212" i="32"/>
  <c r="K212" i="32" s="1"/>
  <c r="R210" i="11" s="1"/>
  <c r="J211" i="32"/>
  <c r="K211" i="32" s="1"/>
  <c r="R209" i="11" s="1"/>
  <c r="J210" i="32"/>
  <c r="G210" i="32"/>
  <c r="J209" i="32"/>
  <c r="G209" i="32"/>
  <c r="J206" i="32"/>
  <c r="J205" i="32"/>
  <c r="J204" i="32"/>
  <c r="J202" i="32"/>
  <c r="G202" i="32"/>
  <c r="J201" i="32"/>
  <c r="J200" i="32"/>
  <c r="G200" i="32"/>
  <c r="J198" i="32"/>
  <c r="G198" i="32"/>
  <c r="J197" i="32"/>
  <c r="G197" i="32"/>
  <c r="J196" i="32"/>
  <c r="G196" i="32"/>
  <c r="J195" i="32"/>
  <c r="J194" i="32"/>
  <c r="J193" i="32"/>
  <c r="G193" i="32"/>
  <c r="J192" i="32"/>
  <c r="G192" i="32"/>
  <c r="J191" i="32"/>
  <c r="K191" i="32" s="1"/>
  <c r="R189" i="11" s="1"/>
  <c r="J190" i="32"/>
  <c r="K190" i="32" s="1"/>
  <c r="R188" i="11" s="1"/>
  <c r="J189" i="32"/>
  <c r="K189" i="32" s="1"/>
  <c r="R187" i="11" s="1"/>
  <c r="J188" i="32"/>
  <c r="G188" i="32"/>
  <c r="J187" i="32"/>
  <c r="J186" i="32"/>
  <c r="J185" i="32"/>
  <c r="J184" i="32"/>
  <c r="J183" i="32"/>
  <c r="C48" i="29" s="1"/>
  <c r="D48" i="29" s="1"/>
  <c r="F48" i="29" s="1"/>
  <c r="J181" i="32"/>
  <c r="K181" i="32" s="1"/>
  <c r="R178" i="11" s="1"/>
  <c r="J178" i="32"/>
  <c r="G178" i="32"/>
  <c r="J177" i="32"/>
  <c r="K177" i="32" s="1"/>
  <c r="R174" i="11" s="1"/>
  <c r="J176" i="32"/>
  <c r="K176" i="32" s="1"/>
  <c r="R173" i="11" s="1"/>
  <c r="T173" i="11" s="1"/>
  <c r="U173" i="11" s="1"/>
  <c r="J175" i="32"/>
  <c r="J174" i="32"/>
  <c r="J172" i="32"/>
  <c r="G172" i="32"/>
  <c r="J171" i="32"/>
  <c r="J170" i="32"/>
  <c r="J168" i="32"/>
  <c r="G168" i="32"/>
  <c r="J167" i="32"/>
  <c r="G167" i="32"/>
  <c r="J165" i="32"/>
  <c r="G165" i="32"/>
  <c r="J164" i="32"/>
  <c r="G164" i="32"/>
  <c r="J163" i="32"/>
  <c r="G163" i="32"/>
  <c r="J161" i="32"/>
  <c r="K161" i="32" s="1"/>
  <c r="R158" i="11" s="1"/>
  <c r="J160" i="32"/>
  <c r="K160" i="32" s="1"/>
  <c r="R157" i="11" s="1"/>
  <c r="J159" i="32"/>
  <c r="K159" i="32" s="1"/>
  <c r="R156" i="11" s="1"/>
  <c r="J158" i="32"/>
  <c r="K158" i="32" s="1"/>
  <c r="J157" i="32"/>
  <c r="K157" i="32" s="1"/>
  <c r="R154" i="11" s="1"/>
  <c r="J156" i="32"/>
  <c r="J155" i="32"/>
  <c r="J154" i="32"/>
  <c r="K154" i="32" s="1"/>
  <c r="J152" i="32"/>
  <c r="K152" i="32" s="1"/>
  <c r="R149" i="11" s="1"/>
  <c r="J148" i="32"/>
  <c r="G148" i="32"/>
  <c r="J147" i="32"/>
  <c r="G147" i="32"/>
  <c r="J146" i="32"/>
  <c r="J145" i="32"/>
  <c r="J144" i="32"/>
  <c r="J143" i="32"/>
  <c r="G143" i="32"/>
  <c r="J142" i="32"/>
  <c r="G142" i="32"/>
  <c r="J141" i="32"/>
  <c r="K141" i="32" s="1"/>
  <c r="R138" i="11" s="1"/>
  <c r="J140" i="32"/>
  <c r="K140" i="32" s="1"/>
  <c r="R137" i="11" s="1"/>
  <c r="J139" i="32"/>
  <c r="K139" i="32" s="1"/>
  <c r="R136" i="11" s="1"/>
  <c r="J138" i="32"/>
  <c r="J137" i="32"/>
  <c r="K137" i="32" s="1"/>
  <c r="R134" i="11" s="1"/>
  <c r="J136" i="32"/>
  <c r="K136" i="32" s="1"/>
  <c r="R133" i="11" s="1"/>
  <c r="J135" i="32"/>
  <c r="K135" i="32" s="1"/>
  <c r="R132" i="11" s="1"/>
  <c r="J134" i="32"/>
  <c r="J133" i="32"/>
  <c r="K133" i="32" s="1"/>
  <c r="R130" i="11" s="1"/>
  <c r="J129" i="32"/>
  <c r="K129" i="32" s="1"/>
  <c r="R126" i="11" s="1"/>
  <c r="J128" i="32"/>
  <c r="K128" i="32" s="1"/>
  <c r="R125" i="11" s="1"/>
  <c r="J127" i="32"/>
  <c r="K127" i="32" s="1"/>
  <c r="R124" i="11" s="1"/>
  <c r="J126" i="32"/>
  <c r="J125" i="32"/>
  <c r="J124" i="32"/>
  <c r="J123" i="32"/>
  <c r="J122" i="32"/>
  <c r="J121" i="32"/>
  <c r="J120" i="32"/>
  <c r="K120" i="32" s="1"/>
  <c r="R117" i="11" s="1"/>
  <c r="J119" i="32"/>
  <c r="J118" i="32"/>
  <c r="G118" i="32"/>
  <c r="J117" i="32"/>
  <c r="J116" i="32"/>
  <c r="K116" i="32" s="1"/>
  <c r="R113" i="11" s="1"/>
  <c r="J115" i="32"/>
  <c r="K115" i="32" s="1"/>
  <c r="R112" i="11" s="1"/>
  <c r="J114" i="32"/>
  <c r="J113" i="32"/>
  <c r="K113" i="32" s="1"/>
  <c r="R110" i="11" s="1"/>
  <c r="J112" i="32"/>
  <c r="K112" i="32" s="1"/>
  <c r="R109" i="11" s="1"/>
  <c r="J111" i="32"/>
  <c r="J110" i="32"/>
  <c r="K110" i="32" s="1"/>
  <c r="R107" i="11" s="1"/>
  <c r="J109" i="32"/>
  <c r="J108" i="32"/>
  <c r="K108" i="32" s="1"/>
  <c r="R105" i="11" s="1"/>
  <c r="J107" i="32"/>
  <c r="J106" i="32"/>
  <c r="K106" i="32" s="1"/>
  <c r="R103" i="11" s="1"/>
  <c r="J105" i="32"/>
  <c r="K105" i="32" s="1"/>
  <c r="R102" i="11" s="1"/>
  <c r="J104" i="32"/>
  <c r="K104" i="32" s="1"/>
  <c r="R101" i="11" s="1"/>
  <c r="J103" i="32"/>
  <c r="J102" i="32"/>
  <c r="K102" i="32" s="1"/>
  <c r="R99" i="11" s="1"/>
  <c r="J101" i="32"/>
  <c r="G101" i="32"/>
  <c r="J100" i="32"/>
  <c r="J99" i="32"/>
  <c r="K99" i="32" s="1"/>
  <c r="R96" i="11" s="1"/>
  <c r="J98" i="32"/>
  <c r="J97" i="32"/>
  <c r="K97" i="32" s="1"/>
  <c r="R94" i="11" s="1"/>
  <c r="J96" i="32"/>
  <c r="J95" i="32"/>
  <c r="K95" i="32" s="1"/>
  <c r="R92" i="11" s="1"/>
  <c r="J94" i="32"/>
  <c r="K94" i="32" s="1"/>
  <c r="R91" i="11" s="1"/>
  <c r="J92" i="32"/>
  <c r="K92" i="32" s="1"/>
  <c r="R89" i="11" s="1"/>
  <c r="J91" i="32"/>
  <c r="J90" i="32"/>
  <c r="K90" i="32" s="1"/>
  <c r="R87" i="11" s="1"/>
  <c r="J89" i="32"/>
  <c r="K89" i="32" s="1"/>
  <c r="R86" i="11" s="1"/>
  <c r="J88" i="32"/>
  <c r="K88" i="32" s="1"/>
  <c r="R85" i="11" s="1"/>
  <c r="J87" i="32"/>
  <c r="K87" i="32" s="1"/>
  <c r="R84" i="11" s="1"/>
  <c r="J86" i="32"/>
  <c r="K86" i="32" s="1"/>
  <c r="R83" i="11" s="1"/>
  <c r="J85" i="32"/>
  <c r="K85" i="32" s="1"/>
  <c r="R82" i="11" s="1"/>
  <c r="J84" i="32"/>
  <c r="J82" i="32"/>
  <c r="K82" i="32" s="1"/>
  <c r="R79" i="11" s="1"/>
  <c r="J81" i="32"/>
  <c r="K81" i="32" s="1"/>
  <c r="R78" i="11" s="1"/>
  <c r="J80" i="32"/>
  <c r="K80" i="32" s="1"/>
  <c r="R77" i="11" s="1"/>
  <c r="J79" i="32"/>
  <c r="K79" i="32" s="1"/>
  <c r="R76" i="11" s="1"/>
  <c r="J77" i="32"/>
  <c r="K77" i="32" s="1"/>
  <c r="R73" i="11" s="1"/>
  <c r="J76" i="32"/>
  <c r="J75" i="32"/>
  <c r="K75" i="32" s="1"/>
  <c r="R71" i="11" s="1"/>
  <c r="J74" i="32"/>
  <c r="J73" i="32"/>
  <c r="J72" i="32"/>
  <c r="J71" i="32"/>
  <c r="K71" i="32" s="1"/>
  <c r="R67" i="11" s="1"/>
  <c r="J70" i="32"/>
  <c r="K70" i="32" s="1"/>
  <c r="R66" i="11" s="1"/>
  <c r="J69" i="32"/>
  <c r="K69" i="32" s="1"/>
  <c r="R65" i="11" s="1"/>
  <c r="J63" i="32"/>
  <c r="K63" i="32" s="1"/>
  <c r="R59" i="11" s="1"/>
  <c r="J62" i="32"/>
  <c r="G62" i="32"/>
  <c r="J60" i="32"/>
  <c r="J58" i="32"/>
  <c r="K58" i="32" s="1"/>
  <c r="R54" i="11" s="1"/>
  <c r="J57" i="32"/>
  <c r="K57" i="32" s="1"/>
  <c r="R53" i="11" s="1"/>
  <c r="J56" i="32"/>
  <c r="K56" i="32" s="1"/>
  <c r="R52" i="11" s="1"/>
  <c r="J55" i="32"/>
  <c r="K55" i="32" s="1"/>
  <c r="R51" i="11" s="1"/>
  <c r="J54" i="32"/>
  <c r="K54" i="32" s="1"/>
  <c r="R50" i="11" s="1"/>
  <c r="J53" i="32"/>
  <c r="K53" i="32" s="1"/>
  <c r="R49" i="11" s="1"/>
  <c r="J52" i="32"/>
  <c r="J51" i="32"/>
  <c r="K51" i="32" s="1"/>
  <c r="J49" i="32"/>
  <c r="K49" i="32" s="1"/>
  <c r="R45" i="11" s="1"/>
  <c r="J48" i="32"/>
  <c r="K48" i="32" s="1"/>
  <c r="R44" i="11" s="1"/>
  <c r="J47" i="32"/>
  <c r="K47" i="32" s="1"/>
  <c r="R43" i="11" s="1"/>
  <c r="J46" i="32"/>
  <c r="K46" i="32" s="1"/>
  <c r="R42" i="11" s="1"/>
  <c r="J44" i="32"/>
  <c r="K44" i="32" s="1"/>
  <c r="R40" i="11" s="1"/>
  <c r="J43" i="32"/>
  <c r="K43" i="32" s="1"/>
  <c r="R39" i="11" s="1"/>
  <c r="J42" i="32"/>
  <c r="K42" i="32" s="1"/>
  <c r="R38" i="11" s="1"/>
  <c r="J41" i="32"/>
  <c r="K41" i="32" s="1"/>
  <c r="J39" i="32"/>
  <c r="G39" i="32"/>
  <c r="J38" i="32"/>
  <c r="J37" i="32"/>
  <c r="K37" i="32" s="1"/>
  <c r="R33" i="11" s="1"/>
  <c r="J36" i="32"/>
  <c r="J35" i="32"/>
  <c r="J33" i="32"/>
  <c r="K33" i="32" s="1"/>
  <c r="R29" i="11" s="1"/>
  <c r="J32" i="32"/>
  <c r="K32" i="32" s="1"/>
  <c r="J31" i="32"/>
  <c r="K31" i="32" s="1"/>
  <c r="R27" i="11" s="1"/>
  <c r="J30" i="32"/>
  <c r="K30" i="32" s="1"/>
  <c r="R26" i="11" s="1"/>
  <c r="J29" i="32"/>
  <c r="G29" i="32"/>
  <c r="J28" i="32"/>
  <c r="J27" i="32"/>
  <c r="K27" i="32" s="1"/>
  <c r="R23" i="11" s="1"/>
  <c r="H26" i="32"/>
  <c r="J26" i="32" s="1"/>
  <c r="K26" i="32" s="1"/>
  <c r="R22" i="11" s="1"/>
  <c r="J25" i="32"/>
  <c r="K25" i="32" s="1"/>
  <c r="R21" i="11" s="1"/>
  <c r="G24" i="32"/>
  <c r="J22" i="32"/>
  <c r="K22" i="32" s="1"/>
  <c r="R18" i="11" s="1"/>
  <c r="T15" i="32"/>
  <c r="F15" i="32"/>
  <c r="T12" i="32"/>
  <c r="T10" i="32"/>
  <c r="G67" i="32"/>
  <c r="C22" i="29" s="1"/>
  <c r="B10" i="32"/>
  <c r="T4" i="32"/>
  <c r="J4" i="32"/>
  <c r="J3" i="32"/>
  <c r="G111" i="32" s="1"/>
  <c r="R37" i="11" l="1"/>
  <c r="C5" i="37"/>
  <c r="D5" i="37" s="1"/>
  <c r="E22" i="29"/>
  <c r="C23" i="29"/>
  <c r="D23" i="29" s="1"/>
  <c r="F23" i="29" s="1"/>
  <c r="E25" i="10"/>
  <c r="C23" i="10"/>
  <c r="R28" i="11"/>
  <c r="J14" i="10"/>
  <c r="I14" i="10"/>
  <c r="H14" i="10"/>
  <c r="R151" i="11"/>
  <c r="R75" i="11"/>
  <c r="R47" i="11"/>
  <c r="C26" i="10"/>
  <c r="R155" i="11"/>
  <c r="K282" i="32"/>
  <c r="R279" i="11" s="1"/>
  <c r="L308" i="32"/>
  <c r="C56" i="29"/>
  <c r="C57" i="29"/>
  <c r="C60" i="29"/>
  <c r="C49" i="29"/>
  <c r="C59" i="29"/>
  <c r="C65" i="29"/>
  <c r="C64" i="29"/>
  <c r="C9" i="29"/>
  <c r="F477" i="32"/>
  <c r="F407" i="32"/>
  <c r="F483" i="32"/>
  <c r="F506" i="32"/>
  <c r="F510" i="32"/>
  <c r="F511" i="32"/>
  <c r="F473" i="32"/>
  <c r="F512" i="32"/>
  <c r="F474" i="32"/>
  <c r="F513" i="32"/>
  <c r="F468" i="32"/>
  <c r="F509" i="32"/>
  <c r="F469" i="32"/>
  <c r="F402" i="32"/>
  <c r="F475" i="32"/>
  <c r="F403" i="32"/>
  <c r="F470" i="32"/>
  <c r="L276" i="32"/>
  <c r="F515" i="32"/>
  <c r="F478" i="32"/>
  <c r="F495" i="32"/>
  <c r="F500" i="32"/>
  <c r="F482" i="32"/>
  <c r="E4" i="33"/>
  <c r="F4" i="33" s="1"/>
  <c r="E5" i="33"/>
  <c r="F488" i="32"/>
  <c r="F490" i="32"/>
  <c r="F476" i="32"/>
  <c r="E6" i="33"/>
  <c r="E42" i="33"/>
  <c r="G42" i="33" s="1"/>
  <c r="G41" i="33"/>
  <c r="K197" i="32"/>
  <c r="R195" i="11" s="1"/>
  <c r="K165" i="32"/>
  <c r="R162" i="11" s="1"/>
  <c r="K237" i="32"/>
  <c r="R235" i="11" s="1"/>
  <c r="K67" i="32"/>
  <c r="K172" i="32"/>
  <c r="K188" i="32"/>
  <c r="R186" i="11" s="1"/>
  <c r="K142" i="32"/>
  <c r="R139" i="11" s="1"/>
  <c r="K36" i="32"/>
  <c r="R32" i="11" s="1"/>
  <c r="K147" i="32"/>
  <c r="R144" i="11" s="1"/>
  <c r="K101" i="32"/>
  <c r="R98" i="11" s="1"/>
  <c r="K195" i="32"/>
  <c r="R193" i="11" s="1"/>
  <c r="K62" i="32"/>
  <c r="R58" i="11" s="1"/>
  <c r="K231" i="32"/>
  <c r="R229" i="11" s="1"/>
  <c r="K242" i="32"/>
  <c r="R240" i="11" s="1"/>
  <c r="K284" i="32"/>
  <c r="R281" i="11" s="1"/>
  <c r="K163" i="32"/>
  <c r="R160" i="11" s="1"/>
  <c r="K198" i="32"/>
  <c r="R196" i="11" s="1"/>
  <c r="K103" i="32"/>
  <c r="R100" i="11" s="1"/>
  <c r="K164" i="32"/>
  <c r="R161" i="11" s="1"/>
  <c r="K121" i="32"/>
  <c r="R118" i="11" s="1"/>
  <c r="K148" i="32"/>
  <c r="R145" i="11" s="1"/>
  <c r="K202" i="32"/>
  <c r="R200" i="11" s="1"/>
  <c r="K192" i="32"/>
  <c r="R190" i="11" s="1"/>
  <c r="K178" i="32"/>
  <c r="R175" i="11" s="1"/>
  <c r="K217" i="32"/>
  <c r="R215" i="11" s="1"/>
  <c r="K285" i="32"/>
  <c r="R282" i="11" s="1"/>
  <c r="K248" i="32"/>
  <c r="K286" i="32"/>
  <c r="R283" i="11" s="1"/>
  <c r="K288" i="32"/>
  <c r="R285" i="11" s="1"/>
  <c r="K193" i="32"/>
  <c r="R191" i="11" s="1"/>
  <c r="K289" i="32"/>
  <c r="R286" i="11" s="1"/>
  <c r="K168" i="32"/>
  <c r="R165" i="11" s="1"/>
  <c r="K194" i="32"/>
  <c r="R192" i="11" s="1"/>
  <c r="E351" i="32"/>
  <c r="K38" i="32"/>
  <c r="R34" i="11" s="1"/>
  <c r="K210" i="32"/>
  <c r="R208" i="11" s="1"/>
  <c r="K187" i="32"/>
  <c r="R185" i="11" s="1"/>
  <c r="K39" i="32"/>
  <c r="R35" i="11" s="1"/>
  <c r="K281" i="32"/>
  <c r="R278" i="11" s="1"/>
  <c r="K100" i="32"/>
  <c r="K114" i="32"/>
  <c r="K230" i="32"/>
  <c r="R228" i="11" s="1"/>
  <c r="K72" i="32"/>
  <c r="R68" i="11" s="1"/>
  <c r="K28" i="32"/>
  <c r="R24" i="11" s="1"/>
  <c r="K233" i="32"/>
  <c r="R231" i="11" s="1"/>
  <c r="K35" i="32"/>
  <c r="K167" i="32"/>
  <c r="R164" i="11" s="1"/>
  <c r="G96" i="32"/>
  <c r="K96" i="32" s="1"/>
  <c r="R93" i="11" s="1"/>
  <c r="G171" i="32"/>
  <c r="K171" i="32" s="1"/>
  <c r="K74" i="32"/>
  <c r="R70" i="11" s="1"/>
  <c r="G170" i="32"/>
  <c r="K170" i="32" s="1"/>
  <c r="R167" i="11" s="1"/>
  <c r="G65" i="32"/>
  <c r="G201" i="32"/>
  <c r="K201" i="32" s="1"/>
  <c r="R199" i="11" s="1"/>
  <c r="G107" i="32"/>
  <c r="K107" i="32" s="1"/>
  <c r="K60" i="32"/>
  <c r="R56" i="11" s="1"/>
  <c r="G206" i="32"/>
  <c r="K73" i="32"/>
  <c r="R69" i="11" s="1"/>
  <c r="G52" i="32"/>
  <c r="K52" i="32" s="1"/>
  <c r="R48" i="11" s="1"/>
  <c r="C6" i="37" s="1"/>
  <c r="D6" i="37" s="1"/>
  <c r="G126" i="32"/>
  <c r="K126" i="32" s="1"/>
  <c r="K143" i="32"/>
  <c r="R140" i="11" s="1"/>
  <c r="F426" i="32"/>
  <c r="G183" i="32"/>
  <c r="K183" i="32" s="1"/>
  <c r="K122" i="32"/>
  <c r="R119" i="11" s="1"/>
  <c r="F481" i="32"/>
  <c r="F480" i="32"/>
  <c r="K76" i="32"/>
  <c r="R72" i="11" s="1"/>
  <c r="K287" i="32"/>
  <c r="R284" i="11" s="1"/>
  <c r="K209" i="32"/>
  <c r="R207" i="11" s="1"/>
  <c r="K200" i="32"/>
  <c r="R198" i="11" s="1"/>
  <c r="K29" i="32"/>
  <c r="R25" i="11" s="1"/>
  <c r="K118" i="32"/>
  <c r="R115" i="11" s="1"/>
  <c r="E326" i="32"/>
  <c r="K196" i="32"/>
  <c r="R194" i="11" s="1"/>
  <c r="K236" i="32"/>
  <c r="R234" i="11" s="1"/>
  <c r="L23" i="32"/>
  <c r="G121" i="28"/>
  <c r="R31" i="11" l="1"/>
  <c r="C4" i="37"/>
  <c r="D4" i="37" s="1"/>
  <c r="K14" i="10"/>
  <c r="C21" i="10"/>
  <c r="R63" i="11"/>
  <c r="B10" i="26"/>
  <c r="S19" i="11"/>
  <c r="C11" i="10"/>
  <c r="R104" i="11"/>
  <c r="F421" i="32"/>
  <c r="S273" i="11"/>
  <c r="C29" i="10"/>
  <c r="R169" i="11"/>
  <c r="C9" i="10"/>
  <c r="R180" i="11"/>
  <c r="C11" i="37" s="1"/>
  <c r="D11" i="37" s="1"/>
  <c r="C22" i="10"/>
  <c r="R123" i="11"/>
  <c r="C25" i="10"/>
  <c r="R111" i="11"/>
  <c r="C13" i="10"/>
  <c r="R246" i="11"/>
  <c r="C14" i="37" s="1"/>
  <c r="D14" i="37" s="1"/>
  <c r="C19" i="10"/>
  <c r="R97" i="11"/>
  <c r="B36" i="26"/>
  <c r="S305" i="11"/>
  <c r="C20" i="10"/>
  <c r="R168" i="11"/>
  <c r="L64" i="32"/>
  <c r="S60" i="11" s="1"/>
  <c r="C8" i="10"/>
  <c r="F429" i="32"/>
  <c r="C28" i="10"/>
  <c r="F388" i="32"/>
  <c r="L290" i="32"/>
  <c r="F5" i="33"/>
  <c r="K206" i="32"/>
  <c r="E53" i="29"/>
  <c r="F53" i="29" s="1"/>
  <c r="L173" i="32"/>
  <c r="S170" i="11" s="1"/>
  <c r="L169" i="32"/>
  <c r="S166" i="11" s="1"/>
  <c r="L203" i="32"/>
  <c r="S201" i="11" s="1"/>
  <c r="L218" i="32"/>
  <c r="F491" i="32"/>
  <c r="L166" i="32"/>
  <c r="L40" i="32"/>
  <c r="B14" i="34"/>
  <c r="D14" i="34" s="1"/>
  <c r="J16" i="30"/>
  <c r="E348" i="32"/>
  <c r="F408" i="32"/>
  <c r="F472" i="32"/>
  <c r="F6" i="33"/>
  <c r="F507" i="32"/>
  <c r="F502" i="32"/>
  <c r="D13" i="30"/>
  <c r="H13" i="30" s="1"/>
  <c r="B32" i="26"/>
  <c r="D14" i="30"/>
  <c r="H14" i="30" s="1"/>
  <c r="F471" i="32"/>
  <c r="D15" i="30"/>
  <c r="F501" i="32"/>
  <c r="F493" i="32"/>
  <c r="D11" i="30"/>
  <c r="F494" i="32"/>
  <c r="F508" i="32"/>
  <c r="F503" i="32"/>
  <c r="F467" i="32"/>
  <c r="F496" i="32"/>
  <c r="F485" i="32"/>
  <c r="F409" i="32"/>
  <c r="F489" i="32"/>
  <c r="F479" i="32"/>
  <c r="F401" i="32"/>
  <c r="F42" i="33"/>
  <c r="F41" i="33"/>
  <c r="F486" i="32"/>
  <c r="F425" i="32"/>
  <c r="F492" i="32"/>
  <c r="F484" i="32"/>
  <c r="F417" i="32"/>
  <c r="F366" i="32"/>
  <c r="E324" i="32"/>
  <c r="E353" i="32"/>
  <c r="F392" i="32"/>
  <c r="F514" i="32"/>
  <c r="F504" i="32"/>
  <c r="F499" i="32"/>
  <c r="F497" i="32"/>
  <c r="Q11" i="27"/>
  <c r="C8" i="29" l="1"/>
  <c r="D8" i="29" s="1"/>
  <c r="F8" i="29" s="1"/>
  <c r="E7" i="29"/>
  <c r="J24" i="32"/>
  <c r="K24" i="32" s="1"/>
  <c r="C3" i="37" s="1"/>
  <c r="D3" i="37" s="1"/>
  <c r="C24" i="10"/>
  <c r="R204" i="11"/>
  <c r="F418" i="32"/>
  <c r="S216" i="11"/>
  <c r="E350" i="32"/>
  <c r="S287" i="11"/>
  <c r="E9" i="36"/>
  <c r="S36" i="11"/>
  <c r="E336" i="32"/>
  <c r="S163" i="11"/>
  <c r="H11" i="30"/>
  <c r="H15" i="30"/>
  <c r="J15" i="30" s="1"/>
  <c r="F377" i="32"/>
  <c r="E345" i="32"/>
  <c r="F385" i="32"/>
  <c r="B34" i="26"/>
  <c r="F390" i="32"/>
  <c r="E327" i="32"/>
  <c r="B12" i="26"/>
  <c r="B23" i="26"/>
  <c r="B27" i="26"/>
  <c r="B22" i="26"/>
  <c r="B29" i="26"/>
  <c r="B21" i="26"/>
  <c r="F378" i="32"/>
  <c r="E338" i="32"/>
  <c r="F368" i="32"/>
  <c r="F379" i="32"/>
  <c r="E339" i="32"/>
  <c r="E343" i="32"/>
  <c r="F383" i="32"/>
  <c r="P315" i="11"/>
  <c r="P314" i="11"/>
  <c r="P312" i="11"/>
  <c r="P311" i="11"/>
  <c r="P310" i="11"/>
  <c r="P308" i="11"/>
  <c r="P306" i="11"/>
  <c r="P304" i="11"/>
  <c r="P303" i="11"/>
  <c r="P302" i="11"/>
  <c r="P301" i="11"/>
  <c r="P300" i="11"/>
  <c r="P299" i="11"/>
  <c r="P298" i="11"/>
  <c r="P297" i="11"/>
  <c r="P296" i="11"/>
  <c r="P295" i="11"/>
  <c r="P294" i="11"/>
  <c r="P293" i="11"/>
  <c r="P292" i="11"/>
  <c r="P291" i="11"/>
  <c r="P289" i="11"/>
  <c r="P288" i="11"/>
  <c r="P286" i="11"/>
  <c r="P285" i="11"/>
  <c r="P284" i="11"/>
  <c r="P283" i="11"/>
  <c r="P282" i="11"/>
  <c r="P281" i="11"/>
  <c r="P280" i="11"/>
  <c r="P279" i="11"/>
  <c r="P278" i="11"/>
  <c r="P276" i="11"/>
  <c r="P275" i="11"/>
  <c r="P274" i="11"/>
  <c r="P272" i="11"/>
  <c r="P270" i="11"/>
  <c r="P269" i="11"/>
  <c r="P268" i="11"/>
  <c r="P267" i="11"/>
  <c r="P266" i="11"/>
  <c r="P265" i="11"/>
  <c r="P264" i="11"/>
  <c r="P263" i="11"/>
  <c r="P262" i="11"/>
  <c r="P261" i="11"/>
  <c r="P260" i="11"/>
  <c r="P259" i="11"/>
  <c r="P258" i="11"/>
  <c r="P257" i="11"/>
  <c r="P256" i="11"/>
  <c r="P254" i="11"/>
  <c r="P252" i="11"/>
  <c r="P251" i="11"/>
  <c r="P250" i="11"/>
  <c r="P249" i="11"/>
  <c r="P248" i="11"/>
  <c r="P247" i="11"/>
  <c r="P246" i="11"/>
  <c r="P245" i="11"/>
  <c r="P244" i="11"/>
  <c r="P243" i="11"/>
  <c r="P242" i="11"/>
  <c r="P241" i="11"/>
  <c r="P240" i="11"/>
  <c r="P239" i="11"/>
  <c r="P238" i="11"/>
  <c r="P237" i="11"/>
  <c r="P236" i="11"/>
  <c r="P235" i="11"/>
  <c r="P234" i="11"/>
  <c r="P233" i="11"/>
  <c r="P232" i="11"/>
  <c r="P231" i="11"/>
  <c r="P230" i="11"/>
  <c r="P229" i="11"/>
  <c r="P228" i="11"/>
  <c r="P227" i="11"/>
  <c r="P226" i="11"/>
  <c r="P225" i="11"/>
  <c r="P224" i="11"/>
  <c r="P223" i="11"/>
  <c r="P222" i="11"/>
  <c r="P221" i="11"/>
  <c r="P220" i="11"/>
  <c r="P219" i="11"/>
  <c r="P218" i="11"/>
  <c r="P217" i="11"/>
  <c r="P215" i="11"/>
  <c r="P214" i="11"/>
  <c r="P213" i="11"/>
  <c r="P212" i="11"/>
  <c r="P211" i="11"/>
  <c r="P210" i="11"/>
  <c r="P209" i="11"/>
  <c r="P208" i="11"/>
  <c r="P207" i="11"/>
  <c r="P204" i="11"/>
  <c r="P203" i="11"/>
  <c r="P202" i="11"/>
  <c r="P200" i="11"/>
  <c r="P199" i="11"/>
  <c r="P198" i="11"/>
  <c r="P196" i="11"/>
  <c r="P195" i="11"/>
  <c r="P194" i="11"/>
  <c r="P193" i="11"/>
  <c r="P192" i="11"/>
  <c r="P191" i="11"/>
  <c r="P190" i="11"/>
  <c r="P189" i="11"/>
  <c r="P188" i="11"/>
  <c r="P187" i="11"/>
  <c r="P186" i="11"/>
  <c r="P185" i="11"/>
  <c r="P184" i="11"/>
  <c r="P183" i="11"/>
  <c r="P182" i="11"/>
  <c r="P181" i="11"/>
  <c r="P180" i="11"/>
  <c r="P178" i="11"/>
  <c r="P177" i="11"/>
  <c r="P175" i="11"/>
  <c r="P174" i="11"/>
  <c r="P172" i="11"/>
  <c r="P171" i="11"/>
  <c r="P169" i="11"/>
  <c r="P168" i="11"/>
  <c r="P167" i="11"/>
  <c r="P165" i="11"/>
  <c r="P164" i="11"/>
  <c r="P162" i="11"/>
  <c r="P161" i="11"/>
  <c r="P160" i="11"/>
  <c r="P158" i="11"/>
  <c r="P157" i="11"/>
  <c r="P156" i="11"/>
  <c r="P155" i="11"/>
  <c r="P154" i="11"/>
  <c r="P153" i="11"/>
  <c r="P152" i="11"/>
  <c r="P151" i="11"/>
  <c r="P149" i="11"/>
  <c r="P147" i="11"/>
  <c r="P145" i="11"/>
  <c r="P144" i="11"/>
  <c r="P143" i="11"/>
  <c r="P142" i="11"/>
  <c r="P141" i="11"/>
  <c r="P140" i="11"/>
  <c r="P139" i="11"/>
  <c r="P138" i="11"/>
  <c r="P137" i="11"/>
  <c r="P136" i="11"/>
  <c r="P135" i="11"/>
  <c r="P134" i="11"/>
  <c r="P133" i="11"/>
  <c r="P132" i="11"/>
  <c r="P131" i="11"/>
  <c r="P130" i="11"/>
  <c r="P128" i="11"/>
  <c r="P127" i="11"/>
  <c r="P126" i="11"/>
  <c r="P125" i="11"/>
  <c r="P124" i="11"/>
  <c r="P123" i="11"/>
  <c r="P122" i="11"/>
  <c r="P121" i="11"/>
  <c r="P120" i="11"/>
  <c r="P119" i="11"/>
  <c r="P118" i="11"/>
  <c r="P117" i="11"/>
  <c r="P116" i="11"/>
  <c r="P115" i="11"/>
  <c r="P114" i="11"/>
  <c r="P113" i="11"/>
  <c r="P112" i="11"/>
  <c r="P111" i="11"/>
  <c r="P110" i="11"/>
  <c r="P109" i="11"/>
  <c r="P108" i="11"/>
  <c r="P107" i="11"/>
  <c r="P106" i="11"/>
  <c r="P105" i="11"/>
  <c r="P104" i="11"/>
  <c r="P103" i="11"/>
  <c r="P102" i="11"/>
  <c r="P101" i="11"/>
  <c r="P100" i="11"/>
  <c r="P99" i="11"/>
  <c r="P98" i="11"/>
  <c r="P97" i="11"/>
  <c r="P96" i="11"/>
  <c r="P95" i="11"/>
  <c r="P94" i="11"/>
  <c r="P93" i="11"/>
  <c r="P92" i="11"/>
  <c r="P91" i="11"/>
  <c r="P89" i="11"/>
  <c r="P88" i="11"/>
  <c r="P87" i="11"/>
  <c r="P86" i="11"/>
  <c r="P85" i="11"/>
  <c r="P84" i="11"/>
  <c r="P83" i="11"/>
  <c r="P82" i="11"/>
  <c r="P81" i="11"/>
  <c r="P80" i="11"/>
  <c r="P79" i="11"/>
  <c r="P78" i="11"/>
  <c r="P77" i="11"/>
  <c r="P76" i="11"/>
  <c r="P75" i="11"/>
  <c r="P73" i="11"/>
  <c r="P72" i="11"/>
  <c r="P71" i="11"/>
  <c r="P70" i="11"/>
  <c r="P69" i="11"/>
  <c r="P68" i="11"/>
  <c r="P67" i="11"/>
  <c r="P66" i="11"/>
  <c r="P65" i="11"/>
  <c r="P63" i="11"/>
  <c r="P61" i="11"/>
  <c r="P59" i="11"/>
  <c r="P58" i="11"/>
  <c r="P56" i="11"/>
  <c r="P55" i="11"/>
  <c r="P54" i="11"/>
  <c r="P53" i="11"/>
  <c r="P52" i="11"/>
  <c r="P51" i="11"/>
  <c r="P50" i="11"/>
  <c r="P49" i="11"/>
  <c r="P48" i="11"/>
  <c r="P47" i="11"/>
  <c r="P45" i="11"/>
  <c r="P44" i="11"/>
  <c r="P43" i="11"/>
  <c r="P42" i="11"/>
  <c r="P40" i="11"/>
  <c r="P39" i="11"/>
  <c r="P38" i="11"/>
  <c r="P37" i="11"/>
  <c r="P35" i="11"/>
  <c r="P34" i="11"/>
  <c r="P33" i="11"/>
  <c r="P32" i="11"/>
  <c r="P31" i="11"/>
  <c r="P29" i="11"/>
  <c r="P28" i="11"/>
  <c r="P27" i="11"/>
  <c r="P26" i="11"/>
  <c r="P25" i="11"/>
  <c r="P24" i="11"/>
  <c r="P23" i="11"/>
  <c r="P22" i="11"/>
  <c r="P21" i="11"/>
  <c r="P20" i="11"/>
  <c r="P18" i="11"/>
  <c r="P16" i="11"/>
  <c r="I315" i="11"/>
  <c r="I314" i="11"/>
  <c r="I312" i="11"/>
  <c r="I311" i="11"/>
  <c r="I310" i="11"/>
  <c r="I308" i="11"/>
  <c r="I306" i="11"/>
  <c r="I304" i="11"/>
  <c r="I303" i="11"/>
  <c r="I302" i="11"/>
  <c r="I301" i="11"/>
  <c r="I300" i="11"/>
  <c r="I299" i="11"/>
  <c r="I298" i="11"/>
  <c r="I297" i="11"/>
  <c r="I296" i="11"/>
  <c r="I295" i="11"/>
  <c r="I294" i="11"/>
  <c r="I293" i="11"/>
  <c r="I292" i="11"/>
  <c r="I291" i="11"/>
  <c r="I289" i="11"/>
  <c r="I288" i="11"/>
  <c r="I286" i="11"/>
  <c r="I285" i="11"/>
  <c r="I284" i="11"/>
  <c r="I283" i="11"/>
  <c r="I282" i="11"/>
  <c r="I281" i="11"/>
  <c r="I280" i="11"/>
  <c r="I279" i="11"/>
  <c r="I278" i="11"/>
  <c r="I276" i="11"/>
  <c r="I275" i="11"/>
  <c r="I274" i="11"/>
  <c r="I272" i="11"/>
  <c r="I270" i="11"/>
  <c r="I269" i="11"/>
  <c r="I268" i="11"/>
  <c r="I267" i="11"/>
  <c r="I266" i="11"/>
  <c r="I265" i="11"/>
  <c r="I264" i="11"/>
  <c r="I263" i="11"/>
  <c r="I262" i="11"/>
  <c r="I261" i="11"/>
  <c r="I260" i="11"/>
  <c r="I259" i="11"/>
  <c r="I258" i="11"/>
  <c r="I257" i="11"/>
  <c r="I256" i="11"/>
  <c r="I254" i="11"/>
  <c r="I252" i="11"/>
  <c r="I251" i="11"/>
  <c r="I250" i="11"/>
  <c r="I249" i="11"/>
  <c r="I248" i="11"/>
  <c r="I247" i="11"/>
  <c r="I246" i="11"/>
  <c r="I245" i="11"/>
  <c r="I244" i="11"/>
  <c r="I243" i="11"/>
  <c r="I242" i="11"/>
  <c r="I241" i="11"/>
  <c r="I240" i="11"/>
  <c r="I239" i="11"/>
  <c r="I238" i="11"/>
  <c r="I237" i="11"/>
  <c r="I236" i="11"/>
  <c r="I235" i="11"/>
  <c r="I234" i="11"/>
  <c r="I233" i="11"/>
  <c r="I232" i="11"/>
  <c r="I231" i="11"/>
  <c r="I230" i="11"/>
  <c r="I229" i="11"/>
  <c r="I228" i="11"/>
  <c r="I227" i="11"/>
  <c r="I226" i="11"/>
  <c r="I225" i="11"/>
  <c r="I224" i="11"/>
  <c r="I223" i="11"/>
  <c r="I222" i="11"/>
  <c r="I221" i="11"/>
  <c r="I220" i="11"/>
  <c r="I219" i="11"/>
  <c r="I218" i="11"/>
  <c r="I217" i="11"/>
  <c r="I215" i="11"/>
  <c r="I214" i="11"/>
  <c r="I213" i="11"/>
  <c r="I212" i="11"/>
  <c r="I211" i="11"/>
  <c r="I210" i="11"/>
  <c r="I209" i="11"/>
  <c r="I208" i="11"/>
  <c r="I207" i="11"/>
  <c r="I204" i="11"/>
  <c r="I203" i="11"/>
  <c r="I202" i="11"/>
  <c r="I200" i="11"/>
  <c r="I199" i="11"/>
  <c r="I198" i="11"/>
  <c r="I196" i="11"/>
  <c r="I195" i="11"/>
  <c r="I194" i="11"/>
  <c r="I193" i="11"/>
  <c r="I192" i="11"/>
  <c r="I191" i="11"/>
  <c r="I190" i="11"/>
  <c r="I189" i="11"/>
  <c r="I188" i="11"/>
  <c r="I187" i="11"/>
  <c r="I186" i="11"/>
  <c r="I185" i="11"/>
  <c r="I184" i="11"/>
  <c r="I183" i="11"/>
  <c r="I182" i="11"/>
  <c r="I181" i="11"/>
  <c r="I180" i="11"/>
  <c r="I178" i="11"/>
  <c r="I177" i="11"/>
  <c r="I175" i="11"/>
  <c r="I174" i="11"/>
  <c r="I172" i="11"/>
  <c r="I171" i="11"/>
  <c r="I169" i="11"/>
  <c r="I168" i="11"/>
  <c r="I167" i="11"/>
  <c r="I165" i="11"/>
  <c r="I164" i="11"/>
  <c r="I162" i="11"/>
  <c r="I161" i="11"/>
  <c r="I160" i="11"/>
  <c r="I158" i="11"/>
  <c r="I157" i="11"/>
  <c r="I156" i="11"/>
  <c r="I155" i="11"/>
  <c r="I154" i="11"/>
  <c r="I153" i="11"/>
  <c r="I152" i="11"/>
  <c r="I151" i="11"/>
  <c r="I149" i="11"/>
  <c r="I147" i="11"/>
  <c r="I145" i="11"/>
  <c r="I144" i="11"/>
  <c r="I143" i="11"/>
  <c r="I142" i="11"/>
  <c r="I141" i="11"/>
  <c r="I140" i="11"/>
  <c r="I139" i="11"/>
  <c r="I138" i="11"/>
  <c r="I137" i="11"/>
  <c r="I136" i="11"/>
  <c r="I135" i="11"/>
  <c r="I134" i="11"/>
  <c r="I133" i="11"/>
  <c r="I132" i="11"/>
  <c r="I131" i="11"/>
  <c r="I130"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89" i="11"/>
  <c r="I88" i="11"/>
  <c r="I87" i="11"/>
  <c r="I86" i="11"/>
  <c r="I85" i="11"/>
  <c r="I84" i="11"/>
  <c r="I83" i="11"/>
  <c r="I82" i="11"/>
  <c r="I81" i="11"/>
  <c r="I80" i="11"/>
  <c r="I79" i="11"/>
  <c r="I78" i="11"/>
  <c r="I77" i="11"/>
  <c r="I76" i="11"/>
  <c r="I75" i="11"/>
  <c r="I73" i="11"/>
  <c r="I72" i="11"/>
  <c r="I71" i="11"/>
  <c r="I70" i="11"/>
  <c r="I69" i="11"/>
  <c r="I68" i="11"/>
  <c r="I67" i="11"/>
  <c r="I66" i="11"/>
  <c r="I65" i="11"/>
  <c r="I63" i="11"/>
  <c r="I61" i="11"/>
  <c r="I59" i="11"/>
  <c r="I58" i="11"/>
  <c r="I56" i="11"/>
  <c r="I55" i="11"/>
  <c r="I54" i="11"/>
  <c r="I53" i="11"/>
  <c r="I52" i="11"/>
  <c r="I51" i="11"/>
  <c r="I50" i="11"/>
  <c r="I49" i="11"/>
  <c r="I48" i="11"/>
  <c r="I47" i="11"/>
  <c r="I45" i="11"/>
  <c r="I44" i="11"/>
  <c r="I43" i="11"/>
  <c r="I42" i="11"/>
  <c r="I40" i="11"/>
  <c r="I39" i="11"/>
  <c r="I38" i="11"/>
  <c r="I37" i="11"/>
  <c r="I35" i="11"/>
  <c r="I34" i="11"/>
  <c r="I33" i="11"/>
  <c r="I32" i="11"/>
  <c r="I31" i="11"/>
  <c r="I29" i="11"/>
  <c r="I28" i="11"/>
  <c r="I27" i="11"/>
  <c r="I26" i="11"/>
  <c r="I25" i="11"/>
  <c r="I24" i="11"/>
  <c r="I23" i="11"/>
  <c r="I22" i="11"/>
  <c r="I21" i="11"/>
  <c r="I20" i="11"/>
  <c r="I18" i="11"/>
  <c r="I16" i="11"/>
  <c r="L34" i="32" l="1"/>
  <c r="F432" i="32"/>
  <c r="F466" i="32"/>
  <c r="C14" i="10"/>
  <c r="R20" i="11"/>
  <c r="L50" i="32"/>
  <c r="D12" i="30"/>
  <c r="E8" i="36" l="1"/>
  <c r="S30" i="11"/>
  <c r="B11" i="26"/>
  <c r="F367" i="32"/>
  <c r="E325" i="32"/>
  <c r="E328" i="32"/>
  <c r="S46" i="11"/>
  <c r="F369" i="32"/>
  <c r="H12" i="30"/>
  <c r="D17" i="30"/>
  <c r="D18" i="30" s="1"/>
  <c r="B13" i="26"/>
  <c r="B14" i="26"/>
  <c r="E329" i="32"/>
  <c r="F370" i="32"/>
  <c r="H157" i="28"/>
  <c r="B39" i="29" s="1"/>
  <c r="D39" i="29" s="1"/>
  <c r="Q29" i="10" l="1"/>
  <c r="O29" i="10"/>
  <c r="T181" i="11" l="1"/>
  <c r="J192" i="28"/>
  <c r="K192" i="28" s="1"/>
  <c r="U181" i="11" l="1"/>
  <c r="N181" i="11"/>
  <c r="H129" i="28" l="1"/>
  <c r="G129" i="28"/>
  <c r="H124" i="28"/>
  <c r="O25" i="10" l="1"/>
  <c r="H121" i="28"/>
  <c r="B30" i="29" s="1"/>
  <c r="D30" i="29" s="1"/>
  <c r="F30" i="29" s="1"/>
  <c r="H183" i="28" l="1"/>
  <c r="B45" i="29" s="1"/>
  <c r="D45" i="29" s="1"/>
  <c r="J134" i="28" l="1"/>
  <c r="K134" i="28" s="1"/>
  <c r="J115" i="28"/>
  <c r="K115" i="28" s="1"/>
  <c r="J189" i="28"/>
  <c r="K189" i="28" s="1"/>
  <c r="T178" i="11" s="1"/>
  <c r="T105" i="11" l="1"/>
  <c r="U105" i="11" s="1"/>
  <c r="T124" i="11"/>
  <c r="U124" i="11" s="1"/>
  <c r="N178" i="11"/>
  <c r="U178" i="11"/>
  <c r="H259" i="28" l="1"/>
  <c r="G253" i="27"/>
  <c r="G257" i="28"/>
  <c r="B58" i="29" s="1"/>
  <c r="D26" i="31"/>
  <c r="D19" i="31"/>
  <c r="D12" i="31"/>
  <c r="D58" i="29" l="1"/>
  <c r="F58" i="29" s="1"/>
  <c r="M6" i="10"/>
  <c r="G170" i="28" l="1"/>
  <c r="F149" i="11" l="1"/>
  <c r="J156" i="6"/>
  <c r="K156" i="6" s="1"/>
  <c r="C149" i="11" s="1"/>
  <c r="J156" i="27"/>
  <c r="K156" i="27" s="1"/>
  <c r="J158" i="28"/>
  <c r="K158" i="28" s="1"/>
  <c r="T149" i="11" s="1"/>
  <c r="N149" i="11" l="1"/>
  <c r="H149" i="11"/>
  <c r="U149" i="11" s="1"/>
  <c r="E28" i="29" l="1"/>
  <c r="G107" i="6"/>
  <c r="D29" i="29" l="1"/>
  <c r="F29" i="29" s="1"/>
  <c r="K36" i="27" l="1"/>
  <c r="K36" i="28"/>
  <c r="D17" i="29" l="1"/>
  <c r="F17" i="29" s="1"/>
  <c r="K321" i="27"/>
  <c r="K335" i="6"/>
  <c r="H4" i="11"/>
  <c r="T311" i="11" l="1"/>
  <c r="U311" i="11" s="1"/>
  <c r="T312" i="11"/>
  <c r="U312" i="11" s="1"/>
  <c r="H21" i="27"/>
  <c r="F312" i="11"/>
  <c r="F311" i="11"/>
  <c r="F310" i="11"/>
  <c r="F308" i="11"/>
  <c r="F306" i="11"/>
  <c r="I4" i="11"/>
  <c r="J107" i="28"/>
  <c r="G21" i="28" l="1"/>
  <c r="AI40" i="27"/>
  <c r="AE39" i="27"/>
  <c r="AH38" i="27"/>
  <c r="AH40" i="27" s="1"/>
  <c r="AG38" i="27"/>
  <c r="AG40" i="27" s="1"/>
  <c r="AF38" i="27"/>
  <c r="AF40" i="27" s="1"/>
  <c r="AE38" i="27"/>
  <c r="AH38" i="28"/>
  <c r="AH40" i="28" s="1"/>
  <c r="AH43" i="28" s="1"/>
  <c r="O8" i="28"/>
  <c r="B8" i="28" s="1"/>
  <c r="J4" i="28"/>
  <c r="J3" i="28"/>
  <c r="T15" i="27"/>
  <c r="Q14" i="27"/>
  <c r="G53" i="27" s="1"/>
  <c r="Q12" i="27"/>
  <c r="G68" i="27" s="1"/>
  <c r="Q6" i="27"/>
  <c r="Q4" i="27"/>
  <c r="G173" i="27" s="1"/>
  <c r="F477" i="28"/>
  <c r="F473" i="28"/>
  <c r="F472" i="28"/>
  <c r="F471" i="28"/>
  <c r="F470" i="28"/>
  <c r="F469" i="28"/>
  <c r="F468" i="28"/>
  <c r="F467" i="28"/>
  <c r="F466" i="28"/>
  <c r="F465" i="28"/>
  <c r="F464" i="28"/>
  <c r="F463" i="28"/>
  <c r="F445" i="28"/>
  <c r="F444" i="28"/>
  <c r="F442" i="28"/>
  <c r="F441" i="28"/>
  <c r="F419" i="28"/>
  <c r="E351" i="28"/>
  <c r="L328" i="28"/>
  <c r="J323" i="28"/>
  <c r="K323" i="28" s="1"/>
  <c r="T304" i="11" s="1"/>
  <c r="J322" i="28"/>
  <c r="K322" i="28" s="1"/>
  <c r="J321" i="28"/>
  <c r="K321" i="28" s="1"/>
  <c r="T302" i="11" s="1"/>
  <c r="J320" i="28"/>
  <c r="K320" i="28" s="1"/>
  <c r="T301" i="11" s="1"/>
  <c r="J319" i="28"/>
  <c r="K319" i="28" s="1"/>
  <c r="T300" i="11" s="1"/>
  <c r="J318" i="28"/>
  <c r="K318" i="28" s="1"/>
  <c r="J317" i="28"/>
  <c r="K317" i="28" s="1"/>
  <c r="T298" i="11" s="1"/>
  <c r="J316" i="28"/>
  <c r="K316" i="28" s="1"/>
  <c r="T297" i="11" s="1"/>
  <c r="J315" i="28"/>
  <c r="K315" i="28" s="1"/>
  <c r="J314" i="28"/>
  <c r="G314" i="28"/>
  <c r="J313" i="28"/>
  <c r="K313" i="28" s="1"/>
  <c r="J312" i="28"/>
  <c r="K312" i="28" s="1"/>
  <c r="J311" i="28"/>
  <c r="K311" i="28" s="1"/>
  <c r="J310" i="28"/>
  <c r="K310" i="28" s="1"/>
  <c r="T291" i="11" s="1"/>
  <c r="J305" i="28"/>
  <c r="K305" i="28" s="1"/>
  <c r="J304" i="28"/>
  <c r="K304" i="28" s="1"/>
  <c r="J303" i="28"/>
  <c r="K303" i="28" s="1"/>
  <c r="J302" i="28"/>
  <c r="K302" i="28" s="1"/>
  <c r="J301" i="28"/>
  <c r="K301" i="28" s="1"/>
  <c r="J300" i="28"/>
  <c r="K300" i="28" s="1"/>
  <c r="J299" i="28"/>
  <c r="K299" i="28" s="1"/>
  <c r="J298" i="28"/>
  <c r="K298" i="28" s="1"/>
  <c r="J296" i="28"/>
  <c r="G296" i="28"/>
  <c r="J295" i="28"/>
  <c r="G295" i="28"/>
  <c r="J294" i="28"/>
  <c r="G294" i="28"/>
  <c r="J293" i="28"/>
  <c r="G293" i="28"/>
  <c r="J292" i="28"/>
  <c r="G292" i="28"/>
  <c r="J291" i="28"/>
  <c r="G291" i="28"/>
  <c r="J290" i="28"/>
  <c r="G290" i="28"/>
  <c r="J289" i="28"/>
  <c r="G289" i="28"/>
  <c r="J288" i="28"/>
  <c r="G288" i="28"/>
  <c r="K288" i="28" s="1"/>
  <c r="T278" i="11" s="1"/>
  <c r="J286" i="28"/>
  <c r="K286" i="28" s="1"/>
  <c r="T276" i="11" s="1"/>
  <c r="J285" i="28"/>
  <c r="K285" i="28" s="1"/>
  <c r="T275" i="11" s="1"/>
  <c r="J284" i="28"/>
  <c r="J282" i="28"/>
  <c r="K282" i="28" s="1"/>
  <c r="J280" i="28"/>
  <c r="K280" i="28" s="1"/>
  <c r="T270" i="11" s="1"/>
  <c r="J279" i="28"/>
  <c r="K279" i="28" s="1"/>
  <c r="T269" i="11" s="1"/>
  <c r="J278" i="28"/>
  <c r="K278" i="28" s="1"/>
  <c r="B65" i="29" s="1"/>
  <c r="J277" i="28"/>
  <c r="K277" i="28" s="1"/>
  <c r="B64" i="29" s="1"/>
  <c r="J276" i="28"/>
  <c r="K276" i="28" s="1"/>
  <c r="J275" i="28"/>
  <c r="K275" i="28" s="1"/>
  <c r="J274" i="28"/>
  <c r="K274" i="28" s="1"/>
  <c r="H273" i="28"/>
  <c r="J273" i="28" s="1"/>
  <c r="K273" i="28" s="1"/>
  <c r="T263" i="11" s="1"/>
  <c r="J272" i="28"/>
  <c r="K272" i="28" s="1"/>
  <c r="T262" i="11" s="1"/>
  <c r="J271" i="28"/>
  <c r="K271" i="28" s="1"/>
  <c r="T261" i="11" s="1"/>
  <c r="H270" i="28"/>
  <c r="J270" i="28" s="1"/>
  <c r="K270" i="28" s="1"/>
  <c r="T260" i="11" s="1"/>
  <c r="J269" i="28"/>
  <c r="K269" i="28" s="1"/>
  <c r="J268" i="28"/>
  <c r="K268" i="28" s="1"/>
  <c r="T258" i="11" s="1"/>
  <c r="J267" i="28"/>
  <c r="K267" i="28" s="1"/>
  <c r="T257" i="11" s="1"/>
  <c r="J266" i="28"/>
  <c r="K266" i="28" s="1"/>
  <c r="H265" i="28"/>
  <c r="J265" i="28" s="1"/>
  <c r="J263" i="28"/>
  <c r="K263" i="28" s="1"/>
  <c r="J262" i="28"/>
  <c r="K262" i="28" s="1"/>
  <c r="T251" i="11" s="1"/>
  <c r="J261" i="28"/>
  <c r="K261" i="28" s="1"/>
  <c r="J260" i="28"/>
  <c r="K260" i="28" s="1"/>
  <c r="T249" i="11" s="1"/>
  <c r="J259" i="28"/>
  <c r="K259" i="28" s="1"/>
  <c r="T248" i="11" s="1"/>
  <c r="J258" i="28"/>
  <c r="K258" i="28" s="1"/>
  <c r="J257" i="28"/>
  <c r="K257" i="28" s="1"/>
  <c r="F13" i="10" s="1"/>
  <c r="J256" i="28"/>
  <c r="K256" i="28" s="1"/>
  <c r="T245" i="11" s="1"/>
  <c r="J255" i="28"/>
  <c r="K255" i="28" s="1"/>
  <c r="J254" i="28"/>
  <c r="K254" i="28" s="1"/>
  <c r="J253" i="28"/>
  <c r="K253" i="28" s="1"/>
  <c r="J252" i="28"/>
  <c r="K252" i="28" s="1"/>
  <c r="T241" i="11" s="1"/>
  <c r="J251" i="28"/>
  <c r="G251" i="28"/>
  <c r="J250" i="28"/>
  <c r="K250" i="28" s="1"/>
  <c r="J249" i="28"/>
  <c r="K249" i="28" s="1"/>
  <c r="J248" i="28"/>
  <c r="K248" i="28" s="1"/>
  <c r="T237" i="11" s="1"/>
  <c r="J247" i="28"/>
  <c r="K247" i="28" s="1"/>
  <c r="T236" i="11" s="1"/>
  <c r="J246" i="28"/>
  <c r="G246" i="28"/>
  <c r="J245" i="28"/>
  <c r="J244" i="28"/>
  <c r="J243" i="28"/>
  <c r="K243" i="28" s="1"/>
  <c r="T232" i="11" s="1"/>
  <c r="J242" i="28"/>
  <c r="G242" i="28"/>
  <c r="J241" i="28"/>
  <c r="K241" i="28" s="1"/>
  <c r="T230" i="11" s="1"/>
  <c r="J240" i="28"/>
  <c r="G240" i="28"/>
  <c r="J239" i="28"/>
  <c r="G239" i="28"/>
  <c r="J238" i="28"/>
  <c r="K238" i="28" s="1"/>
  <c r="J236" i="28"/>
  <c r="K236" i="28" s="1"/>
  <c r="T225" i="11" s="1"/>
  <c r="J235" i="28"/>
  <c r="K235" i="28" s="1"/>
  <c r="T224" i="11" s="1"/>
  <c r="J234" i="28"/>
  <c r="J233" i="28"/>
  <c r="J232" i="28"/>
  <c r="K232" i="28" s="1"/>
  <c r="T221" i="11" s="1"/>
  <c r="J231" i="28"/>
  <c r="K231" i="28" s="1"/>
  <c r="T220" i="11" s="1"/>
  <c r="J230" i="28"/>
  <c r="K230" i="28" s="1"/>
  <c r="T219" i="11" s="1"/>
  <c r="J229" i="28"/>
  <c r="K229" i="28" s="1"/>
  <c r="T218" i="11" s="1"/>
  <c r="J228" i="28"/>
  <c r="K228" i="28" s="1"/>
  <c r="J226" i="28"/>
  <c r="G226" i="28"/>
  <c r="J225" i="28"/>
  <c r="K225" i="28" s="1"/>
  <c r="J224" i="28"/>
  <c r="K224" i="28" s="1"/>
  <c r="T213" i="11" s="1"/>
  <c r="J223" i="28"/>
  <c r="K223" i="28" s="1"/>
  <c r="T212" i="11" s="1"/>
  <c r="J222" i="28"/>
  <c r="K222" i="28" s="1"/>
  <c r="T211" i="11" s="1"/>
  <c r="J221" i="28"/>
  <c r="K221" i="28" s="1"/>
  <c r="T210" i="11" s="1"/>
  <c r="J220" i="28"/>
  <c r="K220" i="28" s="1"/>
  <c r="T209" i="11" s="1"/>
  <c r="J219" i="28"/>
  <c r="G219" i="28"/>
  <c r="J218" i="28"/>
  <c r="G218" i="28"/>
  <c r="J216" i="28"/>
  <c r="J215" i="28"/>
  <c r="J214" i="28"/>
  <c r="J212" i="28"/>
  <c r="G212" i="28"/>
  <c r="J211" i="28"/>
  <c r="J210" i="28"/>
  <c r="G210" i="28"/>
  <c r="J208" i="28"/>
  <c r="G208" i="28"/>
  <c r="J207" i="28"/>
  <c r="G207" i="28"/>
  <c r="J206" i="28"/>
  <c r="G206" i="28"/>
  <c r="J205" i="28"/>
  <c r="G205" i="28"/>
  <c r="J204" i="28"/>
  <c r="G204" i="28"/>
  <c r="J203" i="28"/>
  <c r="G203" i="28"/>
  <c r="J202" i="28"/>
  <c r="G202" i="28"/>
  <c r="K202" i="28" s="1"/>
  <c r="T190" i="11" s="1"/>
  <c r="J201" i="28"/>
  <c r="K201" i="28" s="1"/>
  <c r="H200" i="28"/>
  <c r="J200" i="28" s="1"/>
  <c r="K200" i="28" s="1"/>
  <c r="AC199" i="28"/>
  <c r="AD199" i="28" s="1"/>
  <c r="J199" i="28"/>
  <c r="K199" i="28" s="1"/>
  <c r="AC198" i="28"/>
  <c r="AD198" i="28" s="1"/>
  <c r="J198" i="28"/>
  <c r="K198" i="28" s="1"/>
  <c r="AC197" i="28"/>
  <c r="AD197" i="28" s="1"/>
  <c r="J197" i="28"/>
  <c r="J196" i="28"/>
  <c r="J195" i="28"/>
  <c r="J194" i="28"/>
  <c r="J193" i="28"/>
  <c r="AD191" i="28"/>
  <c r="J191" i="28"/>
  <c r="AD190" i="28"/>
  <c r="AD188" i="28"/>
  <c r="J188" i="28"/>
  <c r="J186" i="28"/>
  <c r="G186" i="28"/>
  <c r="J185" i="28"/>
  <c r="K185" i="28" s="1"/>
  <c r="J184" i="28"/>
  <c r="K184" i="28" s="1"/>
  <c r="J183" i="28"/>
  <c r="J182" i="28"/>
  <c r="J180" i="28"/>
  <c r="G180" i="28"/>
  <c r="J179" i="28"/>
  <c r="J178" i="28"/>
  <c r="J176" i="28"/>
  <c r="G176" i="28"/>
  <c r="J175" i="28"/>
  <c r="J173" i="28"/>
  <c r="K173" i="28" s="1"/>
  <c r="L172" i="28" s="1"/>
  <c r="J171" i="28"/>
  <c r="G171" i="28"/>
  <c r="J170" i="28"/>
  <c r="J169" i="28"/>
  <c r="G169" i="28"/>
  <c r="K169" i="28" s="1"/>
  <c r="J167" i="28"/>
  <c r="K167" i="28" s="1"/>
  <c r="J166" i="28"/>
  <c r="K166" i="28" s="1"/>
  <c r="J165" i="28"/>
  <c r="K165" i="28" s="1"/>
  <c r="T156" i="11" s="1"/>
  <c r="J164" i="28"/>
  <c r="J163" i="28"/>
  <c r="K163" i="28" s="1"/>
  <c r="T154" i="11" s="1"/>
  <c r="J162" i="28"/>
  <c r="J161" i="28"/>
  <c r="J160" i="28"/>
  <c r="K160" i="28" s="1"/>
  <c r="J157" i="28"/>
  <c r="AB156" i="28"/>
  <c r="AD156" i="28" s="1"/>
  <c r="AB155" i="28"/>
  <c r="AD155" i="28" s="1"/>
  <c r="J155" i="28"/>
  <c r="G155" i="28"/>
  <c r="AB154" i="28"/>
  <c r="AD154" i="28" s="1"/>
  <c r="H154" i="28"/>
  <c r="J154" i="28" s="1"/>
  <c r="G154" i="28"/>
  <c r="J153" i="28"/>
  <c r="J152" i="28"/>
  <c r="J151" i="28"/>
  <c r="J150" i="28"/>
  <c r="G150" i="28"/>
  <c r="J149" i="28"/>
  <c r="G149" i="28"/>
  <c r="J148" i="28"/>
  <c r="K148" i="28" s="1"/>
  <c r="J147" i="28"/>
  <c r="K147" i="28" s="1"/>
  <c r="J146" i="28"/>
  <c r="K146" i="28" s="1"/>
  <c r="J145" i="28"/>
  <c r="J144" i="28"/>
  <c r="K144" i="28" s="1"/>
  <c r="T134" i="11" s="1"/>
  <c r="J143" i="28"/>
  <c r="K143" i="28" s="1"/>
  <c r="T133" i="11" s="1"/>
  <c r="J142" i="28"/>
  <c r="K142" i="28" s="1"/>
  <c r="T132" i="11" s="1"/>
  <c r="J141" i="28"/>
  <c r="J140" i="28"/>
  <c r="K140" i="28" s="1"/>
  <c r="J138" i="28"/>
  <c r="K138" i="28" s="1"/>
  <c r="J137" i="28"/>
  <c r="K137" i="28" s="1"/>
  <c r="J136" i="28"/>
  <c r="K136" i="28" s="1"/>
  <c r="J135" i="28"/>
  <c r="K135" i="28" s="1"/>
  <c r="J133" i="28"/>
  <c r="J132" i="28"/>
  <c r="J131" i="28"/>
  <c r="G131" i="28"/>
  <c r="J130" i="28"/>
  <c r="G130" i="28"/>
  <c r="J129" i="28"/>
  <c r="J128" i="28"/>
  <c r="G128" i="28"/>
  <c r="J127" i="28"/>
  <c r="K127" i="28" s="1"/>
  <c r="J126" i="28"/>
  <c r="K126" i="28" s="1"/>
  <c r="J125" i="28"/>
  <c r="G125" i="28"/>
  <c r="J124" i="28"/>
  <c r="J123" i="28"/>
  <c r="K123" i="28" s="1"/>
  <c r="J122" i="28"/>
  <c r="K122" i="28" s="1"/>
  <c r="F416" i="28" s="1"/>
  <c r="J121" i="28"/>
  <c r="J120" i="28"/>
  <c r="K120" i="28" s="1"/>
  <c r="J119" i="28"/>
  <c r="K119" i="28" s="1"/>
  <c r="J118" i="28"/>
  <c r="K118" i="28" s="1"/>
  <c r="J117" i="28"/>
  <c r="K117" i="28" s="1"/>
  <c r="J116" i="28"/>
  <c r="J114" i="28"/>
  <c r="H113" i="28"/>
  <c r="J113" i="28" s="1"/>
  <c r="K113" i="28" s="1"/>
  <c r="T103" i="11" s="1"/>
  <c r="J112" i="28"/>
  <c r="K112" i="28" s="1"/>
  <c r="J111" i="28"/>
  <c r="K111" i="28" s="1"/>
  <c r="J110" i="28"/>
  <c r="G110" i="28"/>
  <c r="J109" i="28"/>
  <c r="K109" i="28" s="1"/>
  <c r="J108" i="28"/>
  <c r="G108" i="28"/>
  <c r="G107" i="28"/>
  <c r="J106" i="28"/>
  <c r="K106" i="28" s="1"/>
  <c r="T96" i="11" s="1"/>
  <c r="J105" i="28"/>
  <c r="J104" i="28"/>
  <c r="K104" i="28" s="1"/>
  <c r="T94" i="11" s="1"/>
  <c r="J103" i="28"/>
  <c r="J102" i="28"/>
  <c r="K102" i="28" s="1"/>
  <c r="T92" i="11" s="1"/>
  <c r="J101" i="28"/>
  <c r="K101" i="28" s="1"/>
  <c r="J99" i="28"/>
  <c r="K99" i="28" s="1"/>
  <c r="T89" i="11" s="1"/>
  <c r="J98" i="28"/>
  <c r="J97" i="28"/>
  <c r="K97" i="28" s="1"/>
  <c r="J96" i="28"/>
  <c r="K96" i="28" s="1"/>
  <c r="J95" i="28"/>
  <c r="K95" i="28" s="1"/>
  <c r="J94" i="28"/>
  <c r="K94" i="28" s="1"/>
  <c r="J93" i="28"/>
  <c r="K93" i="28" s="1"/>
  <c r="J92" i="28"/>
  <c r="K92" i="28" s="1"/>
  <c r="J91" i="28"/>
  <c r="J90" i="28"/>
  <c r="J89" i="28"/>
  <c r="K89" i="28" s="1"/>
  <c r="J88" i="28"/>
  <c r="K88" i="28" s="1"/>
  <c r="J87" i="28"/>
  <c r="K87" i="28" s="1"/>
  <c r="J86" i="28"/>
  <c r="K86" i="28" s="1"/>
  <c r="J85" i="28"/>
  <c r="K85" i="28" s="1"/>
  <c r="J83" i="28"/>
  <c r="K83" i="28" s="1"/>
  <c r="J82" i="28"/>
  <c r="G82" i="28"/>
  <c r="J81" i="28"/>
  <c r="G81" i="28"/>
  <c r="J80" i="28"/>
  <c r="J79" i="28"/>
  <c r="J78" i="28"/>
  <c r="G78" i="28"/>
  <c r="J77" i="28"/>
  <c r="G77" i="28"/>
  <c r="K77" i="28" s="1"/>
  <c r="T67" i="11" s="1"/>
  <c r="J76" i="28"/>
  <c r="K76" i="28" s="1"/>
  <c r="T66" i="11" s="1"/>
  <c r="J75" i="28"/>
  <c r="K75" i="28" s="1"/>
  <c r="J74" i="28"/>
  <c r="J73" i="28"/>
  <c r="J71" i="28"/>
  <c r="K71" i="28" s="1"/>
  <c r="J70" i="28"/>
  <c r="G70" i="28"/>
  <c r="J69" i="28"/>
  <c r="J68" i="28"/>
  <c r="J67" i="28"/>
  <c r="K67" i="28" s="1"/>
  <c r="J66" i="28"/>
  <c r="K66" i="28" s="1"/>
  <c r="J65" i="28"/>
  <c r="K65" i="28" s="1"/>
  <c r="J64" i="28"/>
  <c r="G64" i="28"/>
  <c r="J63" i="28"/>
  <c r="K63" i="28" s="1"/>
  <c r="J62" i="28"/>
  <c r="K62" i="28" s="1"/>
  <c r="J61" i="28"/>
  <c r="J60" i="28"/>
  <c r="K60" i="28" s="1"/>
  <c r="J58" i="28"/>
  <c r="K58" i="28" s="1"/>
  <c r="J57" i="28"/>
  <c r="J56" i="28"/>
  <c r="J55" i="28"/>
  <c r="K55" i="28" s="1"/>
  <c r="J54" i="28"/>
  <c r="K54" i="28" s="1"/>
  <c r="J53" i="28"/>
  <c r="G53" i="28"/>
  <c r="J52" i="28"/>
  <c r="J51" i="28"/>
  <c r="K51" i="28" s="1"/>
  <c r="T37" i="11" s="1"/>
  <c r="J49" i="28"/>
  <c r="G49" i="28"/>
  <c r="J48" i="28"/>
  <c r="G48" i="28"/>
  <c r="J47" i="28"/>
  <c r="K47" i="28" s="1"/>
  <c r="J46" i="28"/>
  <c r="G46" i="28"/>
  <c r="J45" i="28"/>
  <c r="G45" i="28"/>
  <c r="J43" i="28"/>
  <c r="K43" i="28" s="1"/>
  <c r="J42" i="28"/>
  <c r="K42" i="28" s="1"/>
  <c r="J41" i="28"/>
  <c r="K41" i="28" s="1"/>
  <c r="AI40" i="28"/>
  <c r="J40" i="28"/>
  <c r="K40" i="28" s="1"/>
  <c r="AE39" i="28"/>
  <c r="J39" i="28"/>
  <c r="K39" i="28" s="1"/>
  <c r="AG38" i="28"/>
  <c r="AG40" i="28" s="1"/>
  <c r="AG43" i="28" s="1"/>
  <c r="AF38" i="28"/>
  <c r="AF40" i="28" s="1"/>
  <c r="AF43" i="28" s="1"/>
  <c r="AE38" i="28"/>
  <c r="J38" i="28"/>
  <c r="K38" i="28" s="1"/>
  <c r="J37" i="28"/>
  <c r="K37" i="28" s="1"/>
  <c r="AI35" i="28"/>
  <c r="AH34" i="28"/>
  <c r="AG34" i="28"/>
  <c r="AF34" i="28"/>
  <c r="AE34" i="28"/>
  <c r="J34" i="28"/>
  <c r="AE33" i="28"/>
  <c r="AL33" i="28" s="1"/>
  <c r="J33" i="28"/>
  <c r="AD32" i="28"/>
  <c r="J32" i="28"/>
  <c r="K32" i="28" s="1"/>
  <c r="J31" i="28"/>
  <c r="K31" i="28" s="1"/>
  <c r="B9" i="29" s="1"/>
  <c r="D9" i="29" s="1"/>
  <c r="F9" i="29" s="1"/>
  <c r="J30" i="28"/>
  <c r="G30" i="28"/>
  <c r="J29" i="28"/>
  <c r="G29" i="28"/>
  <c r="J28" i="28"/>
  <c r="K28" i="28" s="1"/>
  <c r="T23" i="11" s="1"/>
  <c r="AF27" i="28"/>
  <c r="H27" i="28"/>
  <c r="J27" i="28" s="1"/>
  <c r="K27" i="28" s="1"/>
  <c r="T22" i="11" s="1"/>
  <c r="J26" i="28"/>
  <c r="K26" i="28" s="1"/>
  <c r="J25" i="28"/>
  <c r="J23" i="28"/>
  <c r="K23" i="28" s="1"/>
  <c r="J21" i="28"/>
  <c r="W18" i="28"/>
  <c r="AI17" i="28"/>
  <c r="AB17" i="28"/>
  <c r="AI15" i="28"/>
  <c r="AJ15" i="28" s="1"/>
  <c r="AB15" i="28"/>
  <c r="AC15" i="28" s="1"/>
  <c r="T15" i="28"/>
  <c r="F15" i="28"/>
  <c r="AF14" i="28"/>
  <c r="AF13" i="28"/>
  <c r="G196" i="28"/>
  <c r="AF12" i="28"/>
  <c r="T12" i="28"/>
  <c r="AM11" i="28"/>
  <c r="AF11" i="28"/>
  <c r="G245" i="28"/>
  <c r="T10" i="28"/>
  <c r="B10" i="28"/>
  <c r="AQ9" i="28"/>
  <c r="AI9" i="28"/>
  <c r="AJ9" i="28" s="1"/>
  <c r="AB9" i="28"/>
  <c r="AZ8" i="28"/>
  <c r="BB8" i="28" s="1"/>
  <c r="AT8" i="28"/>
  <c r="AB8" i="28"/>
  <c r="N8" i="28"/>
  <c r="T5" i="28" s="1"/>
  <c r="M8" i="28"/>
  <c r="E6" i="28" s="1"/>
  <c r="L8" i="28"/>
  <c r="T3" i="28" s="1"/>
  <c r="K8" i="28"/>
  <c r="E4" i="28" s="1"/>
  <c r="I8" i="28"/>
  <c r="BA7" i="28"/>
  <c r="AZ7" i="28"/>
  <c r="AT7" i="28"/>
  <c r="AB7" i="28"/>
  <c r="BA6" i="28"/>
  <c r="AZ6" i="28"/>
  <c r="AT6" i="28"/>
  <c r="AF6" i="28"/>
  <c r="AB6" i="28"/>
  <c r="T6" i="28"/>
  <c r="G34" i="28" s="1"/>
  <c r="BA5" i="28"/>
  <c r="AZ5" i="28"/>
  <c r="AT5" i="28"/>
  <c r="AF5" i="28"/>
  <c r="AB5" i="28"/>
  <c r="BA4" i="28"/>
  <c r="AZ4" i="28"/>
  <c r="AT4" i="28"/>
  <c r="AF4" i="28"/>
  <c r="T4" i="28"/>
  <c r="G175" i="28"/>
  <c r="AM3" i="28"/>
  <c r="AF3" i="28"/>
  <c r="F473" i="27"/>
  <c r="F469" i="27"/>
  <c r="F468" i="27"/>
  <c r="F467" i="27"/>
  <c r="F466" i="27"/>
  <c r="F465" i="27"/>
  <c r="F464" i="27"/>
  <c r="F463" i="27"/>
  <c r="F462" i="27"/>
  <c r="F461" i="27"/>
  <c r="F460" i="27"/>
  <c r="F459" i="27"/>
  <c r="F441" i="27"/>
  <c r="F440" i="27"/>
  <c r="F438" i="27"/>
  <c r="F437" i="27"/>
  <c r="F415" i="27"/>
  <c r="E347" i="27"/>
  <c r="L324" i="27"/>
  <c r="L322" i="27"/>
  <c r="J319" i="27"/>
  <c r="K319" i="27" s="1"/>
  <c r="F304" i="11" s="1"/>
  <c r="J318" i="27"/>
  <c r="K318" i="27" s="1"/>
  <c r="J317" i="27"/>
  <c r="K317" i="27" s="1"/>
  <c r="F302" i="11" s="1"/>
  <c r="J316" i="27"/>
  <c r="K316" i="27" s="1"/>
  <c r="F301" i="11" s="1"/>
  <c r="J315" i="27"/>
  <c r="K315" i="27" s="1"/>
  <c r="F300" i="11" s="1"/>
  <c r="J314" i="27"/>
  <c r="K314" i="27" s="1"/>
  <c r="F299" i="11" s="1"/>
  <c r="J313" i="27"/>
  <c r="K313" i="27" s="1"/>
  <c r="F298" i="11" s="1"/>
  <c r="J312" i="27"/>
  <c r="K312" i="27" s="1"/>
  <c r="F297" i="11" s="1"/>
  <c r="J311" i="27"/>
  <c r="K311" i="27" s="1"/>
  <c r="J310" i="27"/>
  <c r="G310" i="27"/>
  <c r="J309" i="27"/>
  <c r="K309" i="27" s="1"/>
  <c r="J308" i="27"/>
  <c r="K308" i="27" s="1"/>
  <c r="J307" i="27"/>
  <c r="K307" i="27" s="1"/>
  <c r="F292" i="11" s="1"/>
  <c r="J306" i="27"/>
  <c r="K306" i="27" s="1"/>
  <c r="F291" i="11" s="1"/>
  <c r="J301" i="27"/>
  <c r="K301" i="27" s="1"/>
  <c r="J300" i="27"/>
  <c r="K300" i="27" s="1"/>
  <c r="J299" i="27"/>
  <c r="K299" i="27" s="1"/>
  <c r="J298" i="27"/>
  <c r="K298" i="27" s="1"/>
  <c r="J297" i="27"/>
  <c r="K297" i="27" s="1"/>
  <c r="J296" i="27"/>
  <c r="K296" i="27" s="1"/>
  <c r="J295" i="27"/>
  <c r="K295" i="27" s="1"/>
  <c r="J294" i="27"/>
  <c r="K294" i="27" s="1"/>
  <c r="J292" i="27"/>
  <c r="G292" i="27"/>
  <c r="J291" i="27"/>
  <c r="G291" i="27"/>
  <c r="J290" i="27"/>
  <c r="G290" i="27"/>
  <c r="J289" i="27"/>
  <c r="G289" i="27"/>
  <c r="J288" i="27"/>
  <c r="G288" i="27"/>
  <c r="J287" i="27"/>
  <c r="G287" i="27"/>
  <c r="J286" i="27"/>
  <c r="G286" i="27"/>
  <c r="J285" i="27"/>
  <c r="G285" i="27"/>
  <c r="J284" i="27"/>
  <c r="G284" i="27"/>
  <c r="J282" i="27"/>
  <c r="K282" i="27" s="1"/>
  <c r="F276" i="11" s="1"/>
  <c r="J281" i="27"/>
  <c r="K281" i="27" s="1"/>
  <c r="F275" i="11" s="1"/>
  <c r="J280" i="27"/>
  <c r="J278" i="27"/>
  <c r="K278" i="27" s="1"/>
  <c r="J276" i="27"/>
  <c r="K276" i="27" s="1"/>
  <c r="F270" i="11" s="1"/>
  <c r="J275" i="27"/>
  <c r="K275" i="27" s="1"/>
  <c r="F269" i="11" s="1"/>
  <c r="J274" i="27"/>
  <c r="K274" i="27" s="1"/>
  <c r="F268" i="11" s="1"/>
  <c r="J273" i="27"/>
  <c r="K273" i="27" s="1"/>
  <c r="F267" i="11" s="1"/>
  <c r="J272" i="27"/>
  <c r="K272" i="27" s="1"/>
  <c r="F266" i="11" s="1"/>
  <c r="J271" i="27"/>
  <c r="K271" i="27" s="1"/>
  <c r="F265" i="11" s="1"/>
  <c r="J270" i="27"/>
  <c r="K270" i="27" s="1"/>
  <c r="F264" i="11" s="1"/>
  <c r="H269" i="27"/>
  <c r="J269" i="27" s="1"/>
  <c r="K269" i="27" s="1"/>
  <c r="F263" i="11" s="1"/>
  <c r="J268" i="27"/>
  <c r="K268" i="27" s="1"/>
  <c r="F262" i="11" s="1"/>
  <c r="J267" i="27"/>
  <c r="K267" i="27" s="1"/>
  <c r="F261" i="11" s="1"/>
  <c r="H266" i="27"/>
  <c r="J266" i="27" s="1"/>
  <c r="K266" i="27" s="1"/>
  <c r="F260" i="11" s="1"/>
  <c r="J265" i="27"/>
  <c r="K265" i="27" s="1"/>
  <c r="F259" i="11" s="1"/>
  <c r="J264" i="27"/>
  <c r="K264" i="27" s="1"/>
  <c r="F258" i="11" s="1"/>
  <c r="J263" i="27"/>
  <c r="K263" i="27" s="1"/>
  <c r="F257" i="11" s="1"/>
  <c r="J262" i="27"/>
  <c r="K262" i="27" s="1"/>
  <c r="F256" i="11" s="1"/>
  <c r="H261" i="27"/>
  <c r="J261" i="27" s="1"/>
  <c r="J259" i="27"/>
  <c r="K259" i="27" s="1"/>
  <c r="F252" i="11" s="1"/>
  <c r="J258" i="27"/>
  <c r="K258" i="27" s="1"/>
  <c r="F251" i="11" s="1"/>
  <c r="J257" i="27"/>
  <c r="K257" i="27" s="1"/>
  <c r="F250" i="11" s="1"/>
  <c r="J256" i="27"/>
  <c r="K256" i="27" s="1"/>
  <c r="F249" i="11" s="1"/>
  <c r="J255" i="27"/>
  <c r="K255" i="27" s="1"/>
  <c r="F248" i="11" s="1"/>
  <c r="J254" i="27"/>
  <c r="K254" i="27" s="1"/>
  <c r="F247" i="11" s="1"/>
  <c r="J253" i="27"/>
  <c r="K253" i="27" s="1"/>
  <c r="F246" i="11" s="1"/>
  <c r="J252" i="27"/>
  <c r="K252" i="27" s="1"/>
  <c r="F245" i="11" s="1"/>
  <c r="J251" i="27"/>
  <c r="K251" i="27" s="1"/>
  <c r="J250" i="27"/>
  <c r="K250" i="27" s="1"/>
  <c r="F243" i="11" s="1"/>
  <c r="J249" i="27"/>
  <c r="K249" i="27" s="1"/>
  <c r="F242" i="11" s="1"/>
  <c r="H248" i="27"/>
  <c r="J248" i="27" s="1"/>
  <c r="K248" i="27" s="1"/>
  <c r="F241" i="11" s="1"/>
  <c r="J247" i="27"/>
  <c r="G247" i="27"/>
  <c r="J246" i="27"/>
  <c r="K246" i="27" s="1"/>
  <c r="F239" i="11" s="1"/>
  <c r="J245" i="27"/>
  <c r="K245" i="27" s="1"/>
  <c r="F238" i="11" s="1"/>
  <c r="J244" i="27"/>
  <c r="K244" i="27" s="1"/>
  <c r="F237" i="11" s="1"/>
  <c r="J243" i="27"/>
  <c r="K243" i="27" s="1"/>
  <c r="F236" i="11" s="1"/>
  <c r="J242" i="27"/>
  <c r="G242" i="27"/>
  <c r="J241" i="27"/>
  <c r="G241" i="27"/>
  <c r="J240" i="27"/>
  <c r="J239" i="27"/>
  <c r="K239" i="27" s="1"/>
  <c r="F232" i="11" s="1"/>
  <c r="J238" i="27"/>
  <c r="G238" i="27"/>
  <c r="H237" i="27"/>
  <c r="J237" i="27" s="1"/>
  <c r="K237" i="27" s="1"/>
  <c r="F230" i="11" s="1"/>
  <c r="J236" i="27"/>
  <c r="G236" i="27"/>
  <c r="J235" i="27"/>
  <c r="G235" i="27"/>
  <c r="J234" i="27"/>
  <c r="K234" i="27" s="1"/>
  <c r="F227" i="11" s="1"/>
  <c r="H232" i="27"/>
  <c r="J232" i="27" s="1"/>
  <c r="K232" i="27" s="1"/>
  <c r="F225" i="11" s="1"/>
  <c r="H231" i="27"/>
  <c r="J231" i="27" s="1"/>
  <c r="K231" i="27" s="1"/>
  <c r="F224" i="11" s="1"/>
  <c r="J230" i="27"/>
  <c r="J229" i="27"/>
  <c r="G229" i="27"/>
  <c r="J228" i="27"/>
  <c r="K228" i="27" s="1"/>
  <c r="F221" i="11" s="1"/>
  <c r="J227" i="27"/>
  <c r="K227" i="27" s="1"/>
  <c r="F220" i="11" s="1"/>
  <c r="J226" i="27"/>
  <c r="K226" i="27" s="1"/>
  <c r="F219" i="11" s="1"/>
  <c r="J225" i="27"/>
  <c r="K225" i="27" s="1"/>
  <c r="F218" i="11" s="1"/>
  <c r="J224" i="27"/>
  <c r="K224" i="27" s="1"/>
  <c r="F217" i="11" s="1"/>
  <c r="J222" i="27"/>
  <c r="G222" i="27"/>
  <c r="J221" i="27"/>
  <c r="K221" i="27" s="1"/>
  <c r="F214" i="11" s="1"/>
  <c r="J220" i="27"/>
  <c r="K220" i="27" s="1"/>
  <c r="F213" i="11" s="1"/>
  <c r="J219" i="27"/>
  <c r="K219" i="27" s="1"/>
  <c r="F212" i="11" s="1"/>
  <c r="J218" i="27"/>
  <c r="K218" i="27" s="1"/>
  <c r="F211" i="11" s="1"/>
  <c r="J217" i="27"/>
  <c r="K217" i="27" s="1"/>
  <c r="F210" i="11" s="1"/>
  <c r="J216" i="27"/>
  <c r="K216" i="27" s="1"/>
  <c r="F209" i="11" s="1"/>
  <c r="J215" i="27"/>
  <c r="G215" i="27"/>
  <c r="J214" i="27"/>
  <c r="G214" i="27"/>
  <c r="J212" i="27"/>
  <c r="J211" i="27"/>
  <c r="J210" i="27"/>
  <c r="J208" i="27"/>
  <c r="G208" i="27"/>
  <c r="J207" i="27"/>
  <c r="J206" i="27"/>
  <c r="G206" i="27"/>
  <c r="J204" i="27"/>
  <c r="G204" i="27"/>
  <c r="J203" i="27"/>
  <c r="G203" i="27"/>
  <c r="J202" i="27"/>
  <c r="G202" i="27"/>
  <c r="J201" i="27"/>
  <c r="G201" i="27"/>
  <c r="J200" i="27"/>
  <c r="G200" i="27"/>
  <c r="J199" i="27"/>
  <c r="G199" i="27"/>
  <c r="J198" i="27"/>
  <c r="G198" i="27"/>
  <c r="J197" i="27"/>
  <c r="K197" i="27" s="1"/>
  <c r="H196" i="27"/>
  <c r="J196" i="27" s="1"/>
  <c r="K196" i="27" s="1"/>
  <c r="F189" i="11" s="1"/>
  <c r="AC195" i="27"/>
  <c r="AD195" i="27" s="1"/>
  <c r="J195" i="27"/>
  <c r="K195" i="27" s="1"/>
  <c r="AC194" i="27"/>
  <c r="AD194" i="27" s="1"/>
  <c r="J194" i="27"/>
  <c r="K194" i="27" s="1"/>
  <c r="F187" i="11" s="1"/>
  <c r="AC193" i="27"/>
  <c r="AD193" i="27" s="1"/>
  <c r="J193" i="27"/>
  <c r="J192" i="27"/>
  <c r="J191" i="27"/>
  <c r="J190" i="27"/>
  <c r="J189" i="27"/>
  <c r="AD188" i="27"/>
  <c r="J188" i="27"/>
  <c r="AD187" i="27"/>
  <c r="AD186" i="27"/>
  <c r="J186" i="27"/>
  <c r="J184" i="27"/>
  <c r="G184" i="27"/>
  <c r="J183" i="27"/>
  <c r="K183" i="27" s="1"/>
  <c r="J182" i="27"/>
  <c r="K182" i="27" s="1"/>
  <c r="J181" i="27"/>
  <c r="J180" i="27"/>
  <c r="J178" i="27"/>
  <c r="G178" i="27"/>
  <c r="J177" i="27"/>
  <c r="J176" i="27"/>
  <c r="J174" i="27"/>
  <c r="G174" i="27"/>
  <c r="J173" i="27"/>
  <c r="J171" i="27"/>
  <c r="K171" i="27" s="1"/>
  <c r="L170" i="27" s="1"/>
  <c r="J169" i="27"/>
  <c r="G169" i="27"/>
  <c r="J168" i="27"/>
  <c r="J167" i="27"/>
  <c r="G167" i="27"/>
  <c r="J165" i="27"/>
  <c r="K165" i="27" s="1"/>
  <c r="J164" i="27"/>
  <c r="K164" i="27" s="1"/>
  <c r="F157" i="11" s="1"/>
  <c r="J163" i="27"/>
  <c r="K163" i="27" s="1"/>
  <c r="F156" i="11" s="1"/>
  <c r="J162" i="27"/>
  <c r="J161" i="27"/>
  <c r="K161" i="27" s="1"/>
  <c r="F154" i="11" s="1"/>
  <c r="J160" i="27"/>
  <c r="J159" i="27"/>
  <c r="J158" i="27"/>
  <c r="K158" i="27" s="1"/>
  <c r="J155" i="27"/>
  <c r="AB154" i="27"/>
  <c r="AD154" i="27" s="1"/>
  <c r="AB153" i="27"/>
  <c r="AD153" i="27" s="1"/>
  <c r="J153" i="27"/>
  <c r="G153" i="27"/>
  <c r="AB152" i="27"/>
  <c r="AD152" i="27" s="1"/>
  <c r="AD155" i="27" s="1"/>
  <c r="AD157" i="27" s="1"/>
  <c r="H152" i="27"/>
  <c r="J152" i="27" s="1"/>
  <c r="G152" i="27"/>
  <c r="J151" i="27"/>
  <c r="J150" i="27"/>
  <c r="J149" i="27"/>
  <c r="J148" i="27"/>
  <c r="G148" i="27"/>
  <c r="J147" i="27"/>
  <c r="G147" i="27"/>
  <c r="J146" i="27"/>
  <c r="K146" i="27" s="1"/>
  <c r="J145" i="27"/>
  <c r="K145" i="27" s="1"/>
  <c r="F137" i="11" s="1"/>
  <c r="J144" i="27"/>
  <c r="K144" i="27" s="1"/>
  <c r="F136" i="11" s="1"/>
  <c r="J143" i="27"/>
  <c r="J142" i="27"/>
  <c r="K142" i="27" s="1"/>
  <c r="F134" i="11" s="1"/>
  <c r="J141" i="27"/>
  <c r="K141" i="27" s="1"/>
  <c r="F133" i="11" s="1"/>
  <c r="J140" i="27"/>
  <c r="K140" i="27" s="1"/>
  <c r="F132" i="11" s="1"/>
  <c r="J139" i="27"/>
  <c r="J138" i="27"/>
  <c r="K138" i="27" s="1"/>
  <c r="F130" i="11" s="1"/>
  <c r="J136" i="27"/>
  <c r="K136" i="27" s="1"/>
  <c r="F128" i="11" s="1"/>
  <c r="J135" i="27"/>
  <c r="K135" i="27" s="1"/>
  <c r="F127" i="11" s="1"/>
  <c r="J134" i="27"/>
  <c r="K134" i="27" s="1"/>
  <c r="F126" i="11" s="1"/>
  <c r="J133" i="27"/>
  <c r="K133" i="27" s="1"/>
  <c r="F125" i="11" s="1"/>
  <c r="J132" i="27"/>
  <c r="J131" i="27"/>
  <c r="J130" i="27"/>
  <c r="G130" i="27"/>
  <c r="J129" i="27"/>
  <c r="G129" i="27"/>
  <c r="H128" i="27"/>
  <c r="J128" i="27" s="1"/>
  <c r="G128" i="27"/>
  <c r="J127" i="27"/>
  <c r="G127" i="27"/>
  <c r="J126" i="27"/>
  <c r="K126" i="27" s="1"/>
  <c r="J125" i="27"/>
  <c r="K125" i="27" s="1"/>
  <c r="J124" i="27"/>
  <c r="G124" i="27"/>
  <c r="J123" i="27"/>
  <c r="J122" i="27"/>
  <c r="K122" i="27" s="1"/>
  <c r="F113" i="11" s="1"/>
  <c r="J121" i="27"/>
  <c r="K121" i="27" s="1"/>
  <c r="J120" i="27"/>
  <c r="J119" i="27"/>
  <c r="K119" i="27" s="1"/>
  <c r="F110" i="11" s="1"/>
  <c r="J118" i="27"/>
  <c r="K118" i="27" s="1"/>
  <c r="F109" i="11" s="1"/>
  <c r="J117" i="27"/>
  <c r="K117" i="27" s="1"/>
  <c r="F108" i="11" s="1"/>
  <c r="J116" i="27"/>
  <c r="K116" i="27" s="1"/>
  <c r="F107" i="11" s="1"/>
  <c r="J115" i="27"/>
  <c r="J114" i="27"/>
  <c r="H113" i="27"/>
  <c r="J113" i="27" s="1"/>
  <c r="K113" i="27" s="1"/>
  <c r="F103" i="11" s="1"/>
  <c r="J112" i="27"/>
  <c r="K112" i="27" s="1"/>
  <c r="F102" i="11" s="1"/>
  <c r="J111" i="27"/>
  <c r="K111" i="27" s="1"/>
  <c r="F101" i="11" s="1"/>
  <c r="J110" i="27"/>
  <c r="G110" i="27"/>
  <c r="J109" i="27"/>
  <c r="K109" i="27" s="1"/>
  <c r="F99" i="11" s="1"/>
  <c r="J108" i="27"/>
  <c r="G108" i="27"/>
  <c r="J106" i="27"/>
  <c r="K106" i="27" s="1"/>
  <c r="F96" i="11" s="1"/>
  <c r="J105" i="27"/>
  <c r="J104" i="27"/>
  <c r="K104" i="27" s="1"/>
  <c r="F94" i="11" s="1"/>
  <c r="J103" i="27"/>
  <c r="J102" i="27"/>
  <c r="K102" i="27" s="1"/>
  <c r="F92" i="11" s="1"/>
  <c r="J101" i="27"/>
  <c r="K101" i="27" s="1"/>
  <c r="F91" i="11" s="1"/>
  <c r="J99" i="27"/>
  <c r="K99" i="27" s="1"/>
  <c r="F89" i="11" s="1"/>
  <c r="J98" i="27"/>
  <c r="J97" i="27"/>
  <c r="K97" i="27" s="1"/>
  <c r="F87" i="11" s="1"/>
  <c r="J96" i="27"/>
  <c r="K96" i="27" s="1"/>
  <c r="F86" i="11" s="1"/>
  <c r="J95" i="27"/>
  <c r="K95" i="27" s="1"/>
  <c r="F85" i="11" s="1"/>
  <c r="J94" i="27"/>
  <c r="K94" i="27" s="1"/>
  <c r="F84" i="11" s="1"/>
  <c r="J93" i="27"/>
  <c r="K93" i="27" s="1"/>
  <c r="J92" i="27"/>
  <c r="K92" i="27" s="1"/>
  <c r="J91" i="27"/>
  <c r="J90" i="27"/>
  <c r="J89" i="27"/>
  <c r="K89" i="27" s="1"/>
  <c r="F79" i="11" s="1"/>
  <c r="J88" i="27"/>
  <c r="K88" i="27" s="1"/>
  <c r="F78" i="11" s="1"/>
  <c r="J87" i="27"/>
  <c r="K87" i="27" s="1"/>
  <c r="F77" i="11" s="1"/>
  <c r="J86" i="27"/>
  <c r="K86" i="27" s="1"/>
  <c r="F76" i="11" s="1"/>
  <c r="J85" i="27"/>
  <c r="K85" i="27" s="1"/>
  <c r="J83" i="27"/>
  <c r="K83" i="27" s="1"/>
  <c r="F73" i="11" s="1"/>
  <c r="J82" i="27"/>
  <c r="G82" i="27"/>
  <c r="J81" i="27"/>
  <c r="G81" i="27"/>
  <c r="J80" i="27"/>
  <c r="J79" i="27"/>
  <c r="J78" i="27"/>
  <c r="G78" i="27"/>
  <c r="J77" i="27"/>
  <c r="G77" i="27"/>
  <c r="J76" i="27"/>
  <c r="K76" i="27" s="1"/>
  <c r="F66" i="11" s="1"/>
  <c r="J75" i="27"/>
  <c r="K75" i="27" s="1"/>
  <c r="J74" i="27"/>
  <c r="J73" i="27"/>
  <c r="J71" i="27"/>
  <c r="K71" i="27" s="1"/>
  <c r="F59" i="11" s="1"/>
  <c r="J70" i="27"/>
  <c r="G70" i="27"/>
  <c r="J69" i="27"/>
  <c r="J68" i="27"/>
  <c r="J67" i="27"/>
  <c r="K67" i="27" s="1"/>
  <c r="F54" i="11" s="1"/>
  <c r="J66" i="27"/>
  <c r="K66" i="27" s="1"/>
  <c r="F53" i="11" s="1"/>
  <c r="J65" i="27"/>
  <c r="K65" i="27" s="1"/>
  <c r="J64" i="27"/>
  <c r="G64" i="27"/>
  <c r="J63" i="27"/>
  <c r="K63" i="27" s="1"/>
  <c r="J62" i="27"/>
  <c r="K62" i="27" s="1"/>
  <c r="F49" i="11" s="1"/>
  <c r="J61" i="27"/>
  <c r="J60" i="27"/>
  <c r="K60" i="27" s="1"/>
  <c r="J58" i="27"/>
  <c r="K58" i="27" s="1"/>
  <c r="F45" i="11" s="1"/>
  <c r="J57" i="27"/>
  <c r="J56" i="27"/>
  <c r="G56" i="27"/>
  <c r="J55" i="27"/>
  <c r="K55" i="27" s="1"/>
  <c r="J54" i="27"/>
  <c r="K54" i="27" s="1"/>
  <c r="F40" i="11" s="1"/>
  <c r="J53" i="27"/>
  <c r="J52" i="27"/>
  <c r="G52" i="27"/>
  <c r="J51" i="27"/>
  <c r="K51" i="27" s="1"/>
  <c r="F37" i="11" s="1"/>
  <c r="J49" i="27"/>
  <c r="G49" i="27"/>
  <c r="J48" i="27"/>
  <c r="G48" i="27"/>
  <c r="J47" i="27"/>
  <c r="K47" i="27" s="1"/>
  <c r="F33" i="11" s="1"/>
  <c r="J46" i="27"/>
  <c r="G46" i="27"/>
  <c r="J45" i="27"/>
  <c r="J43" i="27"/>
  <c r="K43" i="27" s="1"/>
  <c r="J42" i="27"/>
  <c r="K42" i="27" s="1"/>
  <c r="J41" i="27"/>
  <c r="K41" i="27" s="1"/>
  <c r="J40" i="27"/>
  <c r="K40" i="27" s="1"/>
  <c r="J39" i="27"/>
  <c r="K39" i="27" s="1"/>
  <c r="J38" i="27"/>
  <c r="K38" i="27" s="1"/>
  <c r="J37" i="27"/>
  <c r="K37" i="27" s="1"/>
  <c r="AI35" i="27"/>
  <c r="AG34" i="27"/>
  <c r="AF34" i="27"/>
  <c r="AE34" i="27"/>
  <c r="J34" i="27"/>
  <c r="AH33" i="27"/>
  <c r="AG33" i="27"/>
  <c r="AE33" i="27"/>
  <c r="J33" i="27"/>
  <c r="AD32" i="27"/>
  <c r="J32" i="27"/>
  <c r="K32" i="27" s="1"/>
  <c r="J31" i="27"/>
  <c r="K31" i="27" s="1"/>
  <c r="J30" i="27"/>
  <c r="G30" i="27"/>
  <c r="H29" i="27"/>
  <c r="J29" i="27" s="1"/>
  <c r="G29" i="27"/>
  <c r="J28" i="27"/>
  <c r="K28" i="27" s="1"/>
  <c r="F23" i="11" s="1"/>
  <c r="AF27" i="27"/>
  <c r="H27" i="27"/>
  <c r="J27" i="27" s="1"/>
  <c r="K27" i="27" s="1"/>
  <c r="F22" i="11" s="1"/>
  <c r="J26" i="27"/>
  <c r="K26" i="27" s="1"/>
  <c r="F21" i="11" s="1"/>
  <c r="J25" i="27"/>
  <c r="J23" i="27"/>
  <c r="K23" i="27" s="1"/>
  <c r="F18" i="11" s="1"/>
  <c r="J21" i="27"/>
  <c r="G21" i="27"/>
  <c r="W18" i="27"/>
  <c r="AI17" i="27"/>
  <c r="AB17" i="27"/>
  <c r="AI15" i="27"/>
  <c r="AJ15" i="27" s="1"/>
  <c r="AB15" i="27"/>
  <c r="AC15" i="27" s="1"/>
  <c r="F15" i="27"/>
  <c r="AF14" i="27"/>
  <c r="AF13" i="27"/>
  <c r="Q13" i="27"/>
  <c r="G168" i="27" s="1"/>
  <c r="AF12" i="27"/>
  <c r="T12" i="27"/>
  <c r="G240" i="27" s="1"/>
  <c r="AM11" i="27"/>
  <c r="AF11" i="27"/>
  <c r="T11" i="27"/>
  <c r="T10" i="27"/>
  <c r="G230" i="27" s="1"/>
  <c r="B10" i="27"/>
  <c r="AQ9" i="27"/>
  <c r="AI9" i="27"/>
  <c r="AJ9" i="27" s="1"/>
  <c r="AB9" i="27"/>
  <c r="AZ8" i="27"/>
  <c r="BB8" i="27" s="1"/>
  <c r="AT8" i="27"/>
  <c r="AB8" i="27"/>
  <c r="O8" i="27"/>
  <c r="B8" i="27" s="1"/>
  <c r="N8" i="27"/>
  <c r="M8" i="27"/>
  <c r="E6" i="27" s="1"/>
  <c r="L8" i="27"/>
  <c r="T3" i="27" s="1"/>
  <c r="K8" i="27"/>
  <c r="T2" i="27" s="1"/>
  <c r="I8" i="27"/>
  <c r="BA7" i="27"/>
  <c r="AZ7" i="27"/>
  <c r="AT7" i="27"/>
  <c r="AB7" i="27"/>
  <c r="BA6" i="27"/>
  <c r="AZ6" i="27"/>
  <c r="AT6" i="27"/>
  <c r="AF6" i="27"/>
  <c r="AB6" i="27"/>
  <c r="T6" i="27"/>
  <c r="G34" i="27" s="1"/>
  <c r="BA5" i="27"/>
  <c r="AZ5" i="27"/>
  <c r="AT5" i="27"/>
  <c r="AF5" i="27"/>
  <c r="AB5" i="27"/>
  <c r="BA4" i="27"/>
  <c r="AZ4" i="27"/>
  <c r="AT4" i="27"/>
  <c r="AF4" i="27"/>
  <c r="T4" i="27"/>
  <c r="J4" i="27"/>
  <c r="AM3" i="27"/>
  <c r="AF3" i="27"/>
  <c r="J3" i="27"/>
  <c r="K289" i="27" l="1"/>
  <c r="F283" i="11" s="1"/>
  <c r="AD189" i="27"/>
  <c r="AD190" i="27" s="1"/>
  <c r="K310" i="27"/>
  <c r="G124" i="28"/>
  <c r="B15" i="29"/>
  <c r="AF15" i="27"/>
  <c r="K229" i="27"/>
  <c r="F222" i="11" s="1"/>
  <c r="K30" i="27"/>
  <c r="F477" i="27" s="1"/>
  <c r="T243" i="11"/>
  <c r="B57" i="29"/>
  <c r="D57" i="29" s="1"/>
  <c r="F57" i="29" s="1"/>
  <c r="AE40" i="27"/>
  <c r="AJ40" i="27" s="1"/>
  <c r="T8" i="27" s="1"/>
  <c r="G33" i="27" s="1"/>
  <c r="K33" i="27" s="1"/>
  <c r="F28" i="11" s="1"/>
  <c r="K286" i="27"/>
  <c r="F280" i="11" s="1"/>
  <c r="K173" i="27"/>
  <c r="F164" i="11" s="1"/>
  <c r="T252" i="11"/>
  <c r="B60" i="29"/>
  <c r="D60" i="29" s="1"/>
  <c r="F60" i="29" s="1"/>
  <c r="K107" i="28"/>
  <c r="B27" i="29"/>
  <c r="D27" i="29" s="1"/>
  <c r="F27" i="29" s="1"/>
  <c r="K178" i="27"/>
  <c r="F169" i="11" s="1"/>
  <c r="K292" i="27"/>
  <c r="F286" i="11" s="1"/>
  <c r="T189" i="11"/>
  <c r="B49" i="29"/>
  <c r="D49" i="29" s="1"/>
  <c r="F49" i="29" s="1"/>
  <c r="F50" i="29" s="1"/>
  <c r="K241" i="27"/>
  <c r="F234" i="11" s="1"/>
  <c r="K236" i="27"/>
  <c r="F229" i="11" s="1"/>
  <c r="BB5" i="27"/>
  <c r="K48" i="27"/>
  <c r="F481" i="27" s="1"/>
  <c r="G120" i="27"/>
  <c r="T250" i="11"/>
  <c r="B59" i="29"/>
  <c r="D59" i="29" s="1"/>
  <c r="F59" i="29" s="1"/>
  <c r="K200" i="27"/>
  <c r="F511" i="27" s="1"/>
  <c r="AC9" i="27"/>
  <c r="K81" i="27"/>
  <c r="F71" i="11" s="1"/>
  <c r="K201" i="27"/>
  <c r="F193" i="11" s="1"/>
  <c r="K235" i="27"/>
  <c r="F228" i="11" s="1"/>
  <c r="K207" i="28"/>
  <c r="T195" i="11" s="1"/>
  <c r="U127" i="11"/>
  <c r="T127" i="11"/>
  <c r="U264" i="11"/>
  <c r="T264" i="11"/>
  <c r="U87" i="11"/>
  <c r="T87" i="11"/>
  <c r="U109" i="11"/>
  <c r="T109" i="11"/>
  <c r="U128" i="11"/>
  <c r="T128" i="11"/>
  <c r="U265" i="11"/>
  <c r="T265" i="11"/>
  <c r="U110" i="11"/>
  <c r="T110" i="11"/>
  <c r="U130" i="11"/>
  <c r="T130" i="11"/>
  <c r="U242" i="11"/>
  <c r="T242" i="11"/>
  <c r="U266" i="11"/>
  <c r="T266" i="11"/>
  <c r="U299" i="11"/>
  <c r="T299" i="11"/>
  <c r="U45" i="11"/>
  <c r="T45" i="11"/>
  <c r="U91" i="11"/>
  <c r="T91" i="11"/>
  <c r="U112" i="11"/>
  <c r="T112" i="11"/>
  <c r="U227" i="11"/>
  <c r="T227" i="11"/>
  <c r="U49" i="11"/>
  <c r="T49" i="11"/>
  <c r="T138" i="11"/>
  <c r="U138" i="11" s="1"/>
  <c r="U77" i="11"/>
  <c r="T77" i="11"/>
  <c r="U99" i="11"/>
  <c r="T99" i="11"/>
  <c r="U86" i="11"/>
  <c r="T86" i="11"/>
  <c r="U53" i="11"/>
  <c r="T53" i="11"/>
  <c r="U54" i="11"/>
  <c r="T54" i="11"/>
  <c r="U78" i="11"/>
  <c r="T78" i="11"/>
  <c r="U214" i="11"/>
  <c r="T214" i="11"/>
  <c r="U256" i="11"/>
  <c r="T256" i="11"/>
  <c r="U136" i="11"/>
  <c r="T136" i="11"/>
  <c r="U79" i="11"/>
  <c r="T79" i="11"/>
  <c r="U76" i="11"/>
  <c r="T76" i="11"/>
  <c r="T101" i="11"/>
  <c r="U101" i="11" s="1"/>
  <c r="U292" i="11"/>
  <c r="T292" i="11"/>
  <c r="U59" i="11"/>
  <c r="T59" i="11"/>
  <c r="U102" i="11"/>
  <c r="T102" i="11"/>
  <c r="U259" i="11"/>
  <c r="T259" i="11"/>
  <c r="T137" i="11"/>
  <c r="U137" i="11" s="1"/>
  <c r="U33" i="11"/>
  <c r="T33" i="11"/>
  <c r="T65" i="11"/>
  <c r="U65" i="11" s="1"/>
  <c r="U84" i="11"/>
  <c r="T84" i="11"/>
  <c r="U125" i="11"/>
  <c r="T125" i="11"/>
  <c r="T239" i="11"/>
  <c r="U239" i="11" s="1"/>
  <c r="T247" i="11"/>
  <c r="U247" i="11" s="1"/>
  <c r="U73" i="11"/>
  <c r="T73" i="11"/>
  <c r="U157" i="11"/>
  <c r="T157" i="11"/>
  <c r="U21" i="11"/>
  <c r="T21" i="11"/>
  <c r="U40" i="11"/>
  <c r="T40" i="11"/>
  <c r="U85" i="11"/>
  <c r="T85" i="11"/>
  <c r="U107" i="11"/>
  <c r="T107" i="11"/>
  <c r="U126" i="11"/>
  <c r="T126" i="11"/>
  <c r="T187" i="11"/>
  <c r="U187" i="11" s="1"/>
  <c r="F502" i="28"/>
  <c r="AD157" i="28"/>
  <c r="AD159" i="28" s="1"/>
  <c r="BB7" i="28"/>
  <c r="K129" i="28"/>
  <c r="F423" i="28" s="1"/>
  <c r="K246" i="28"/>
  <c r="T235" i="11" s="1"/>
  <c r="K45" i="28"/>
  <c r="T31" i="11" s="1"/>
  <c r="L5" i="11"/>
  <c r="T5" i="11" s="1"/>
  <c r="U5" i="11" s="1"/>
  <c r="K70" i="28"/>
  <c r="F493" i="28" s="1"/>
  <c r="T217" i="11"/>
  <c r="T97" i="11"/>
  <c r="K244" i="28"/>
  <c r="T233" i="11" s="1"/>
  <c r="K196" i="28"/>
  <c r="T185" i="11" s="1"/>
  <c r="K290" i="28"/>
  <c r="T280" i="11" s="1"/>
  <c r="K226" i="28"/>
  <c r="T215" i="11" s="1"/>
  <c r="K219" i="28"/>
  <c r="T208" i="11" s="1"/>
  <c r="F112" i="11"/>
  <c r="F412" i="27"/>
  <c r="F416" i="27"/>
  <c r="F116" i="11"/>
  <c r="F478" i="27"/>
  <c r="F26" i="11"/>
  <c r="F519" i="27"/>
  <c r="F244" i="11"/>
  <c r="F82" i="11"/>
  <c r="F492" i="27"/>
  <c r="F34" i="11"/>
  <c r="G45" i="27"/>
  <c r="K45" i="27" s="1"/>
  <c r="F31" i="11" s="1"/>
  <c r="BB7" i="27"/>
  <c r="K204" i="27"/>
  <c r="F196" i="11" s="1"/>
  <c r="K70" i="27"/>
  <c r="K285" i="27"/>
  <c r="F279" i="11" s="1"/>
  <c r="F505" i="27"/>
  <c r="F174" i="11"/>
  <c r="BB4" i="27"/>
  <c r="BB9" i="27" s="1"/>
  <c r="F500" i="27"/>
  <c r="F158" i="11"/>
  <c r="F483" i="27"/>
  <c r="F42" i="11"/>
  <c r="K56" i="27"/>
  <c r="K108" i="27"/>
  <c r="F98" i="11" s="1"/>
  <c r="K46" i="27"/>
  <c r="F32" i="11" s="1"/>
  <c r="K77" i="27"/>
  <c r="F67" i="11" s="1"/>
  <c r="K110" i="27"/>
  <c r="F100" i="11" s="1"/>
  <c r="K199" i="27"/>
  <c r="F191" i="11" s="1"/>
  <c r="F413" i="27"/>
  <c r="F525" i="27"/>
  <c r="F303" i="11"/>
  <c r="K168" i="27"/>
  <c r="F161" i="11" s="1"/>
  <c r="C28" i="29"/>
  <c r="E366" i="27"/>
  <c r="G313" i="11"/>
  <c r="F493" i="27"/>
  <c r="F83" i="11"/>
  <c r="K214" i="27"/>
  <c r="F207" i="11" s="1"/>
  <c r="F510" i="27"/>
  <c r="F188" i="11"/>
  <c r="K153" i="27"/>
  <c r="F145" i="11" s="1"/>
  <c r="K288" i="27"/>
  <c r="F282" i="11" s="1"/>
  <c r="K215" i="27"/>
  <c r="F208" i="11" s="1"/>
  <c r="K230" i="27"/>
  <c r="G192" i="27"/>
  <c r="K192" i="27" s="1"/>
  <c r="F185" i="11" s="1"/>
  <c r="K290" i="27"/>
  <c r="F284" i="11" s="1"/>
  <c r="F521" i="27"/>
  <c r="F294" i="11"/>
  <c r="F403" i="27"/>
  <c r="G309" i="11"/>
  <c r="F490" i="27"/>
  <c r="F65" i="11"/>
  <c r="K198" i="27"/>
  <c r="F190" i="11" s="1"/>
  <c r="F520" i="27"/>
  <c r="F293" i="11"/>
  <c r="AT9" i="27"/>
  <c r="AT10" i="27" s="1"/>
  <c r="AT11" i="27" s="1"/>
  <c r="K21" i="27"/>
  <c r="F16" i="11" s="1"/>
  <c r="K127" i="27"/>
  <c r="F487" i="27"/>
  <c r="F52" i="11"/>
  <c r="L277" i="27"/>
  <c r="G273" i="11" s="1"/>
  <c r="F272" i="11"/>
  <c r="K169" i="27"/>
  <c r="F151" i="11"/>
  <c r="F47" i="11"/>
  <c r="F95" i="11"/>
  <c r="F75" i="11"/>
  <c r="G193" i="27"/>
  <c r="K193" i="27" s="1"/>
  <c r="F186" i="11" s="1"/>
  <c r="F522" i="27"/>
  <c r="F295" i="11"/>
  <c r="BB6" i="27"/>
  <c r="K247" i="27"/>
  <c r="F240" i="11" s="1"/>
  <c r="F523" i="27"/>
  <c r="F296" i="11"/>
  <c r="F479" i="27"/>
  <c r="F27" i="11"/>
  <c r="F485" i="27"/>
  <c r="F50" i="11"/>
  <c r="K78" i="27"/>
  <c r="F68" i="11" s="1"/>
  <c r="F417" i="27"/>
  <c r="F117" i="11"/>
  <c r="F498" i="27"/>
  <c r="F138" i="11"/>
  <c r="AD196" i="27"/>
  <c r="AD198" i="27" s="1"/>
  <c r="E4" i="27"/>
  <c r="K68" i="27"/>
  <c r="F55" i="11" s="1"/>
  <c r="K203" i="27"/>
  <c r="F195" i="11" s="1"/>
  <c r="T18" i="11"/>
  <c r="L22" i="28"/>
  <c r="T19" i="11" s="1"/>
  <c r="T113" i="11"/>
  <c r="F417" i="28"/>
  <c r="F420" i="28"/>
  <c r="F421" i="28"/>
  <c r="T272" i="11"/>
  <c r="L281" i="28"/>
  <c r="F496" i="28"/>
  <c r="F529" i="28"/>
  <c r="T303" i="11"/>
  <c r="K34" i="28"/>
  <c r="K294" i="28"/>
  <c r="T284" i="11" s="1"/>
  <c r="F527" i="28"/>
  <c r="BB5" i="28"/>
  <c r="K295" i="28"/>
  <c r="T285" i="11" s="1"/>
  <c r="K21" i="28"/>
  <c r="F497" i="28"/>
  <c r="L297" i="28"/>
  <c r="E365" i="28" s="1"/>
  <c r="K208" i="28"/>
  <c r="T196" i="11" s="1"/>
  <c r="BB6" i="28"/>
  <c r="K48" i="28"/>
  <c r="F489" i="28"/>
  <c r="K180" i="28"/>
  <c r="F443" i="28"/>
  <c r="T267" i="11"/>
  <c r="F487" i="28"/>
  <c r="K296" i="28"/>
  <c r="T286" i="11" s="1"/>
  <c r="AC9" i="28"/>
  <c r="AF15" i="28"/>
  <c r="F514" i="28"/>
  <c r="F523" i="28"/>
  <c r="T244" i="11"/>
  <c r="K49" i="28"/>
  <c r="F491" i="28"/>
  <c r="K81" i="28"/>
  <c r="T71" i="11" s="1"/>
  <c r="E370" i="28"/>
  <c r="F509" i="28"/>
  <c r="T174" i="11"/>
  <c r="F504" i="28"/>
  <c r="T158" i="11"/>
  <c r="K186" i="28"/>
  <c r="K291" i="28"/>
  <c r="T281" i="11" s="1"/>
  <c r="K30" i="28"/>
  <c r="T25" i="11" s="1"/>
  <c r="AD193" i="28"/>
  <c r="AD194" i="28" s="1"/>
  <c r="T268" i="11"/>
  <c r="F524" i="28"/>
  <c r="T293" i="11"/>
  <c r="BB4" i="28"/>
  <c r="F482" i="28"/>
  <c r="T26" i="11"/>
  <c r="K203" i="28"/>
  <c r="T191" i="11" s="1"/>
  <c r="F525" i="28"/>
  <c r="T294" i="11"/>
  <c r="F483" i="28"/>
  <c r="T27" i="11"/>
  <c r="K314" i="28"/>
  <c r="L309" i="28" s="1"/>
  <c r="T305" i="11" s="1"/>
  <c r="U305" i="11" s="1"/>
  <c r="T246" i="11"/>
  <c r="G69" i="27"/>
  <c r="K69" i="27" s="1"/>
  <c r="F56" i="11" s="1"/>
  <c r="G5" i="11"/>
  <c r="H5" i="11" s="1"/>
  <c r="I5" i="11" s="1"/>
  <c r="K78" i="28"/>
  <c r="T68" i="11" s="1"/>
  <c r="K64" i="28"/>
  <c r="K149" i="28"/>
  <c r="K154" i="28"/>
  <c r="AA21" i="27"/>
  <c r="G107" i="27"/>
  <c r="K107" i="27" s="1"/>
  <c r="F97" i="11" s="1"/>
  <c r="K130" i="28"/>
  <c r="K131" i="28"/>
  <c r="K176" i="28"/>
  <c r="K171" i="28"/>
  <c r="K204" i="28"/>
  <c r="K110" i="28"/>
  <c r="T100" i="11" s="1"/>
  <c r="K46" i="28"/>
  <c r="K52" i="28"/>
  <c r="T38" i="11" s="1"/>
  <c r="K242" i="28"/>
  <c r="T231" i="11" s="1"/>
  <c r="K212" i="28"/>
  <c r="T200" i="11" s="1"/>
  <c r="K53" i="28"/>
  <c r="T39" i="11" s="1"/>
  <c r="K175" i="28"/>
  <c r="K150" i="28"/>
  <c r="T140" i="11" s="1"/>
  <c r="K245" i="28"/>
  <c r="K56" i="28"/>
  <c r="K108" i="28"/>
  <c r="K155" i="28"/>
  <c r="K205" i="28"/>
  <c r="K29" i="28"/>
  <c r="T24" i="11" s="1"/>
  <c r="K239" i="28"/>
  <c r="K210" i="28"/>
  <c r="T198" i="11" s="1"/>
  <c r="K82" i="28"/>
  <c r="T72" i="11" s="1"/>
  <c r="K124" i="28"/>
  <c r="G191" i="28"/>
  <c r="K191" i="28" s="1"/>
  <c r="G179" i="28"/>
  <c r="K179" i="28" s="1"/>
  <c r="T2" i="28"/>
  <c r="E5" i="28"/>
  <c r="G182" i="28" s="1"/>
  <c r="K182" i="28" s="1"/>
  <c r="K64" i="27"/>
  <c r="K147" i="27"/>
  <c r="K129" i="27"/>
  <c r="F120" i="11" s="1"/>
  <c r="K152" i="27"/>
  <c r="F144" i="11" s="1"/>
  <c r="K53" i="27"/>
  <c r="F39" i="11" s="1"/>
  <c r="K124" i="27"/>
  <c r="F115" i="11" s="1"/>
  <c r="G114" i="27"/>
  <c r="K114" i="27" s="1"/>
  <c r="F104" i="11" s="1"/>
  <c r="G212" i="27"/>
  <c r="K212" i="27" s="1"/>
  <c r="F204" i="11" s="1"/>
  <c r="G79" i="27"/>
  <c r="K79" i="27" s="1"/>
  <c r="F69" i="11" s="1"/>
  <c r="E5" i="27"/>
  <c r="K206" i="27"/>
  <c r="F198" i="11" s="1"/>
  <c r="L35" i="28"/>
  <c r="F495" i="28"/>
  <c r="F494" i="28"/>
  <c r="F492" i="28"/>
  <c r="G69" i="28"/>
  <c r="K69" i="28" s="1"/>
  <c r="T56" i="11" s="1"/>
  <c r="K121" i="28"/>
  <c r="F25" i="10" s="1"/>
  <c r="K289" i="28"/>
  <c r="G211" i="28"/>
  <c r="K211" i="28" s="1"/>
  <c r="T199" i="11" s="1"/>
  <c r="G133" i="28"/>
  <c r="K133" i="28" s="1"/>
  <c r="G178" i="28"/>
  <c r="K178" i="28" s="1"/>
  <c r="G79" i="28"/>
  <c r="K79" i="28" s="1"/>
  <c r="T69" i="11" s="1"/>
  <c r="G103" i="28"/>
  <c r="K103" i="28" s="1"/>
  <c r="T93" i="11" s="1"/>
  <c r="G73" i="28"/>
  <c r="G80" i="28"/>
  <c r="K80" i="28" s="1"/>
  <c r="T70" i="11" s="1"/>
  <c r="G216" i="28"/>
  <c r="K216" i="28" s="1"/>
  <c r="G61" i="28"/>
  <c r="K61" i="28" s="1"/>
  <c r="K128" i="28"/>
  <c r="K234" i="28"/>
  <c r="K170" i="28"/>
  <c r="K206" i="28"/>
  <c r="K292" i="28"/>
  <c r="T282" i="11" s="1"/>
  <c r="E7" i="28"/>
  <c r="G183" i="28" s="1"/>
  <c r="K183" i="28" s="1"/>
  <c r="AT9" i="28"/>
  <c r="AT10" i="28" s="1"/>
  <c r="AT11" i="28" s="1"/>
  <c r="K233" i="28"/>
  <c r="T222" i="11" s="1"/>
  <c r="F440" i="28"/>
  <c r="G197" i="28"/>
  <c r="K197" i="28" s="1"/>
  <c r="T186" i="11" s="1"/>
  <c r="F505" i="28"/>
  <c r="K240" i="28"/>
  <c r="T229" i="11" s="1"/>
  <c r="K125" i="28"/>
  <c r="AD200" i="28"/>
  <c r="AD202" i="28" s="1"/>
  <c r="K251" i="28"/>
  <c r="T240" i="11" s="1"/>
  <c r="AF7" i="28"/>
  <c r="G114" i="28"/>
  <c r="K114" i="28" s="1"/>
  <c r="J8" i="28"/>
  <c r="G98" i="28" s="1"/>
  <c r="K98" i="28" s="1"/>
  <c r="AH32" i="28"/>
  <c r="AH35" i="28" s="1"/>
  <c r="AG32" i="28"/>
  <c r="AG35" i="28" s="1"/>
  <c r="AF32" i="28"/>
  <c r="AF35" i="28" s="1"/>
  <c r="AE32" i="28"/>
  <c r="AE35" i="28" s="1"/>
  <c r="J237" i="28"/>
  <c r="K237" i="28" s="1"/>
  <c r="K218" i="28"/>
  <c r="K293" i="28"/>
  <c r="T283" i="11" s="1"/>
  <c r="AE40" i="28"/>
  <c r="L305" i="27"/>
  <c r="G305" i="11" s="1"/>
  <c r="K242" i="27"/>
  <c r="F235" i="11" s="1"/>
  <c r="K49" i="27"/>
  <c r="F435" i="27"/>
  <c r="K184" i="27"/>
  <c r="K287" i="27"/>
  <c r="F281" i="11" s="1"/>
  <c r="L22" i="27"/>
  <c r="G19" i="11" s="1"/>
  <c r="K52" i="27"/>
  <c r="F38" i="11" s="1"/>
  <c r="F488" i="27"/>
  <c r="T5" i="27"/>
  <c r="E7" i="27"/>
  <c r="G181" i="27" s="1"/>
  <c r="K181" i="27" s="1"/>
  <c r="F172" i="11" s="1"/>
  <c r="K34" i="27"/>
  <c r="K130" i="27"/>
  <c r="F121" i="11" s="1"/>
  <c r="K208" i="27"/>
  <c r="F200" i="11" s="1"/>
  <c r="K222" i="27"/>
  <c r="F431" i="27"/>
  <c r="F398" i="27"/>
  <c r="K174" i="27"/>
  <c r="F491" i="27"/>
  <c r="G180" i="27"/>
  <c r="K180" i="27" s="1"/>
  <c r="F171" i="11" s="1"/>
  <c r="K29" i="27"/>
  <c r="F24" i="11" s="1"/>
  <c r="K238" i="27"/>
  <c r="F231" i="11" s="1"/>
  <c r="K120" i="27"/>
  <c r="K132" i="27"/>
  <c r="F123" i="11" s="1"/>
  <c r="K291" i="27"/>
  <c r="F285" i="11" s="1"/>
  <c r="L35" i="27"/>
  <c r="K82" i="27"/>
  <c r="F72" i="11" s="1"/>
  <c r="K240" i="27"/>
  <c r="F233" i="11" s="1"/>
  <c r="L293" i="27"/>
  <c r="E361" i="27" s="1"/>
  <c r="F436" i="27"/>
  <c r="K284" i="27"/>
  <c r="G207" i="27"/>
  <c r="K207" i="27" s="1"/>
  <c r="G132" i="27"/>
  <c r="G188" i="27"/>
  <c r="K188" i="27" s="1"/>
  <c r="F180" i="11" s="1"/>
  <c r="G73" i="27"/>
  <c r="K73" i="27" s="1"/>
  <c r="F61" i="11" s="1"/>
  <c r="G80" i="27"/>
  <c r="K80" i="27" s="1"/>
  <c r="F70" i="11" s="1"/>
  <c r="G177" i="27"/>
  <c r="K177" i="27" s="1"/>
  <c r="F168" i="11" s="1"/>
  <c r="G61" i="27"/>
  <c r="K61" i="27" s="1"/>
  <c r="F48" i="11" s="1"/>
  <c r="J8" i="27"/>
  <c r="G98" i="27" s="1"/>
  <c r="K98" i="27" s="1"/>
  <c r="F88" i="11" s="1"/>
  <c r="G103" i="27"/>
  <c r="K103" i="27" s="1"/>
  <c r="F93" i="11" s="1"/>
  <c r="G123" i="27"/>
  <c r="K123" i="27" s="1"/>
  <c r="AF7" i="27"/>
  <c r="G176" i="27"/>
  <c r="K176" i="27" s="1"/>
  <c r="F167" i="11" s="1"/>
  <c r="H233" i="27"/>
  <c r="J233" i="27" s="1"/>
  <c r="K233" i="27" s="1"/>
  <c r="F226" i="11" s="1"/>
  <c r="K202" i="27"/>
  <c r="AH35" i="27"/>
  <c r="AF32" i="27"/>
  <c r="AF35" i="27" s="1"/>
  <c r="AG32" i="27"/>
  <c r="AG35" i="27" s="1"/>
  <c r="AE32" i="27"/>
  <c r="AE35" i="27" s="1"/>
  <c r="K148" i="27"/>
  <c r="F140" i="11" s="1"/>
  <c r="K167" i="27"/>
  <c r="F160" i="11" s="1"/>
  <c r="E365" i="27"/>
  <c r="K128" i="27"/>
  <c r="H21" i="6"/>
  <c r="F494" i="27" l="1"/>
  <c r="F498" i="28"/>
  <c r="L223" i="27"/>
  <c r="G253" i="11" s="1"/>
  <c r="F517" i="27"/>
  <c r="F192" i="11"/>
  <c r="F512" i="27"/>
  <c r="L20" i="27"/>
  <c r="L44" i="27"/>
  <c r="G36" i="11" s="1"/>
  <c r="F502" i="27"/>
  <c r="L20" i="28"/>
  <c r="B69" i="29"/>
  <c r="L172" i="27"/>
  <c r="G166" i="11" s="1"/>
  <c r="AJ40" i="28"/>
  <c r="AE43" i="28"/>
  <c r="AE44" i="28" s="1"/>
  <c r="F496" i="27"/>
  <c r="F25" i="11"/>
  <c r="F518" i="27"/>
  <c r="T226" i="11"/>
  <c r="B56" i="29"/>
  <c r="D56" i="29" s="1"/>
  <c r="F56" i="29" s="1"/>
  <c r="F61" i="29" s="1"/>
  <c r="T8" i="28"/>
  <c r="G33" i="28" s="1"/>
  <c r="U75" i="11"/>
  <c r="T188" i="11"/>
  <c r="U188" i="11" s="1"/>
  <c r="U47" i="11"/>
  <c r="T47" i="11"/>
  <c r="U52" i="11"/>
  <c r="T52" i="11"/>
  <c r="U42" i="11"/>
  <c r="T42" i="11"/>
  <c r="U116" i="11"/>
  <c r="U83" i="11"/>
  <c r="T83" i="11"/>
  <c r="T296" i="11"/>
  <c r="U296" i="11" s="1"/>
  <c r="U82" i="11"/>
  <c r="T82" i="11"/>
  <c r="T50" i="11"/>
  <c r="U50" i="11" s="1"/>
  <c r="U151" i="11"/>
  <c r="T151" i="11"/>
  <c r="U117" i="11"/>
  <c r="T117" i="11"/>
  <c r="U113" i="11"/>
  <c r="T58" i="11"/>
  <c r="T119" i="11"/>
  <c r="BB9" i="28"/>
  <c r="F481" i="28"/>
  <c r="T48" i="11"/>
  <c r="T168" i="11"/>
  <c r="L227" i="28"/>
  <c r="T55" i="11"/>
  <c r="T123" i="11"/>
  <c r="T204" i="11"/>
  <c r="T104" i="11"/>
  <c r="T169" i="11"/>
  <c r="T180" i="11"/>
  <c r="T161" i="11"/>
  <c r="L283" i="27"/>
  <c r="G287" i="11" s="1"/>
  <c r="F278" i="11"/>
  <c r="L213" i="27"/>
  <c r="G216" i="11" s="1"/>
  <c r="F215" i="11"/>
  <c r="F513" i="27"/>
  <c r="F194" i="11"/>
  <c r="F411" i="27"/>
  <c r="F111" i="11"/>
  <c r="F524" i="27"/>
  <c r="F419" i="27"/>
  <c r="F119" i="11"/>
  <c r="F506" i="27"/>
  <c r="F175" i="11"/>
  <c r="F482" i="27"/>
  <c r="F35" i="11"/>
  <c r="F495" i="27"/>
  <c r="F504" i="27"/>
  <c r="F165" i="11"/>
  <c r="F418" i="27"/>
  <c r="F118" i="11"/>
  <c r="E358" i="27"/>
  <c r="F516" i="27"/>
  <c r="F223" i="11"/>
  <c r="F503" i="27"/>
  <c r="F162" i="11"/>
  <c r="F499" i="27"/>
  <c r="F139" i="11"/>
  <c r="F489" i="27"/>
  <c r="F58" i="11"/>
  <c r="F480" i="27"/>
  <c r="F29" i="11"/>
  <c r="F486" i="27"/>
  <c r="F51" i="11"/>
  <c r="F484" i="27"/>
  <c r="F43" i="11"/>
  <c r="E337" i="28"/>
  <c r="F379" i="28"/>
  <c r="L44" i="28"/>
  <c r="T36" i="11" s="1"/>
  <c r="U36" i="11" s="1"/>
  <c r="T32" i="11"/>
  <c r="F515" i="28"/>
  <c r="T192" i="11"/>
  <c r="F431" i="28"/>
  <c r="L217" i="28"/>
  <c r="T216" i="11" s="1"/>
  <c r="U216" i="11" s="1"/>
  <c r="T207" i="11"/>
  <c r="E338" i="28"/>
  <c r="F380" i="28"/>
  <c r="F516" i="28"/>
  <c r="T193" i="11"/>
  <c r="AJ35" i="28"/>
  <c r="L287" i="28"/>
  <c r="T287" i="11" s="1"/>
  <c r="U287" i="11" s="1"/>
  <c r="T279" i="11"/>
  <c r="T145" i="11"/>
  <c r="E362" i="28"/>
  <c r="T273" i="11"/>
  <c r="U273" i="11" s="1"/>
  <c r="F435" i="28"/>
  <c r="F402" i="28"/>
  <c r="F528" i="28"/>
  <c r="F415" i="28"/>
  <c r="T111" i="11"/>
  <c r="F500" i="28"/>
  <c r="T98" i="11"/>
  <c r="F488" i="28"/>
  <c r="T43" i="11"/>
  <c r="J13" i="30"/>
  <c r="T144" i="11"/>
  <c r="F522" i="28"/>
  <c r="T234" i="11"/>
  <c r="F503" i="28"/>
  <c r="T139" i="11"/>
  <c r="T29" i="11"/>
  <c r="F484" i="28"/>
  <c r="F520" i="28"/>
  <c r="T223" i="11"/>
  <c r="F418" i="28"/>
  <c r="T115" i="11"/>
  <c r="F422" i="28"/>
  <c r="T118" i="11"/>
  <c r="T175" i="11"/>
  <c r="F510" i="28"/>
  <c r="F486" i="28"/>
  <c r="T35" i="11"/>
  <c r="F485" i="28"/>
  <c r="T34" i="11"/>
  <c r="F490" i="28"/>
  <c r="T51" i="11"/>
  <c r="F517" i="28"/>
  <c r="T194" i="11"/>
  <c r="L174" i="28"/>
  <c r="T164" i="11"/>
  <c r="K73" i="28"/>
  <c r="F507" i="28"/>
  <c r="T162" i="11"/>
  <c r="F508" i="28"/>
  <c r="F526" i="28"/>
  <c r="T295" i="11"/>
  <c r="F521" i="28"/>
  <c r="T228" i="11"/>
  <c r="L177" i="28"/>
  <c r="T170" i="11" s="1"/>
  <c r="U170" i="11" s="1"/>
  <c r="T167" i="11"/>
  <c r="F414" i="27"/>
  <c r="F114" i="11"/>
  <c r="L205" i="27"/>
  <c r="G201" i="11" s="1"/>
  <c r="F199" i="11"/>
  <c r="E336" i="27"/>
  <c r="E340" i="28"/>
  <c r="F499" i="28"/>
  <c r="L209" i="28"/>
  <c r="T201" i="11" s="1"/>
  <c r="U201" i="11" s="1"/>
  <c r="E8" i="28"/>
  <c r="G68" i="28" s="1"/>
  <c r="K68" i="28" s="1"/>
  <c r="N16" i="28" s="1"/>
  <c r="L59" i="27"/>
  <c r="G60" i="11" s="1"/>
  <c r="L175" i="27"/>
  <c r="G170" i="11" s="1"/>
  <c r="L179" i="27"/>
  <c r="F390" i="27" s="1"/>
  <c r="F518" i="28"/>
  <c r="F511" i="28"/>
  <c r="F513" i="28"/>
  <c r="F506" i="28"/>
  <c r="F439" i="28"/>
  <c r="L168" i="28"/>
  <c r="T163" i="11" s="1"/>
  <c r="U163" i="11" s="1"/>
  <c r="L181" i="28"/>
  <c r="E367" i="28"/>
  <c r="F406" i="28"/>
  <c r="F514" i="27"/>
  <c r="F507" i="27"/>
  <c r="F509" i="27"/>
  <c r="F396" i="27"/>
  <c r="E356" i="27"/>
  <c r="F429" i="27"/>
  <c r="F501" i="27"/>
  <c r="L166" i="27"/>
  <c r="G163" i="11" s="1"/>
  <c r="F439" i="27"/>
  <c r="AJ35" i="27"/>
  <c r="Q9" i="27" s="1"/>
  <c r="G57" i="27" s="1"/>
  <c r="K57" i="27" s="1"/>
  <c r="F44" i="11" s="1"/>
  <c r="F376" i="27"/>
  <c r="E334" i="27"/>
  <c r="F427" i="27"/>
  <c r="E337" i="27"/>
  <c r="F378" i="27"/>
  <c r="E363" i="27"/>
  <c r="F402" i="27"/>
  <c r="E8" i="27"/>
  <c r="Q25" i="26"/>
  <c r="T21" i="26"/>
  <c r="Q14" i="26"/>
  <c r="Q11" i="26"/>
  <c r="F428" i="27" l="1"/>
  <c r="E355" i="27"/>
  <c r="F395" i="27"/>
  <c r="F388" i="27"/>
  <c r="E348" i="27"/>
  <c r="F399" i="28"/>
  <c r="F389" i="27"/>
  <c r="F400" i="27"/>
  <c r="E353" i="27"/>
  <c r="L59" i="28"/>
  <c r="T60" i="11" s="1"/>
  <c r="U60" i="11" s="1"/>
  <c r="G17" i="11"/>
  <c r="F375" i="27"/>
  <c r="E333" i="27"/>
  <c r="E360" i="27"/>
  <c r="K33" i="28"/>
  <c r="T28" i="11" s="1"/>
  <c r="E23" i="10"/>
  <c r="T165" i="11"/>
  <c r="U165" i="11" s="1"/>
  <c r="E359" i="28"/>
  <c r="G105" i="28"/>
  <c r="K105" i="28" s="1"/>
  <c r="J14" i="30"/>
  <c r="G132" i="28"/>
  <c r="K132" i="28" s="1"/>
  <c r="G194" i="28"/>
  <c r="K194" i="28" s="1"/>
  <c r="G193" i="28"/>
  <c r="K193" i="28" s="1"/>
  <c r="F393" i="28"/>
  <c r="J11" i="30"/>
  <c r="F393" i="27"/>
  <c r="E350" i="27"/>
  <c r="G176" i="11"/>
  <c r="G265" i="28"/>
  <c r="K265" i="28" s="1"/>
  <c r="G91" i="28"/>
  <c r="K91" i="28" s="1"/>
  <c r="F6" i="28"/>
  <c r="G141" i="28"/>
  <c r="K141" i="28" s="1"/>
  <c r="E364" i="28"/>
  <c r="E357" i="28"/>
  <c r="G188" i="28"/>
  <c r="K188" i="28" s="1"/>
  <c r="G90" i="28"/>
  <c r="K90" i="28" s="1"/>
  <c r="G151" i="28"/>
  <c r="K151" i="28" s="1"/>
  <c r="G157" i="28"/>
  <c r="K157" i="28" s="1"/>
  <c r="F5" i="28"/>
  <c r="F400" i="28"/>
  <c r="T18" i="28"/>
  <c r="G284" i="28"/>
  <c r="K284" i="28" s="1"/>
  <c r="F404" i="28"/>
  <c r="F3" i="28"/>
  <c r="F397" i="28"/>
  <c r="F16" i="28"/>
  <c r="F433" i="28"/>
  <c r="G116" i="28"/>
  <c r="K116" i="28" s="1"/>
  <c r="F382" i="28"/>
  <c r="E360" i="28"/>
  <c r="G153" i="28"/>
  <c r="K153" i="28" s="1"/>
  <c r="E341" i="28"/>
  <c r="G162" i="28"/>
  <c r="K162" i="28" s="1"/>
  <c r="G215" i="28"/>
  <c r="K215" i="28" s="1"/>
  <c r="E353" i="28"/>
  <c r="Q9" i="28"/>
  <c r="AL34" i="28"/>
  <c r="G195" i="28"/>
  <c r="K195" i="28" s="1"/>
  <c r="F392" i="28"/>
  <c r="T166" i="11"/>
  <c r="U166" i="11" s="1"/>
  <c r="E352" i="28"/>
  <c r="F8" i="28"/>
  <c r="F432" i="28"/>
  <c r="G152" i="28"/>
  <c r="K152" i="28" s="1"/>
  <c r="L50" i="27"/>
  <c r="E349" i="27"/>
  <c r="F380" i="27"/>
  <c r="E339" i="27"/>
  <c r="F4" i="28"/>
  <c r="G145" i="28"/>
  <c r="K145" i="28" s="1"/>
  <c r="G214" i="28"/>
  <c r="K214" i="28" s="1"/>
  <c r="F7" i="28"/>
  <c r="G161" i="28"/>
  <c r="K161" i="28" s="1"/>
  <c r="G164" i="28"/>
  <c r="K164" i="28" s="1"/>
  <c r="F391" i="28"/>
  <c r="E350" i="28"/>
  <c r="E354" i="28"/>
  <c r="F394" i="28"/>
  <c r="G149" i="27"/>
  <c r="K149" i="27" s="1"/>
  <c r="F141" i="11" s="1"/>
  <c r="G90" i="27"/>
  <c r="K90" i="27" s="1"/>
  <c r="F80" i="11" s="1"/>
  <c r="F16" i="27"/>
  <c r="G162" i="27"/>
  <c r="K162" i="27" s="1"/>
  <c r="F155" i="11" s="1"/>
  <c r="G131" i="27"/>
  <c r="K131" i="27" s="1"/>
  <c r="F122" i="11" s="1"/>
  <c r="F8" i="27"/>
  <c r="G115" i="27"/>
  <c r="K115" i="27" s="1"/>
  <c r="F106" i="11" s="1"/>
  <c r="G211" i="27"/>
  <c r="K211" i="27" s="1"/>
  <c r="F203" i="11" s="1"/>
  <c r="G191" i="27"/>
  <c r="K191" i="27" s="1"/>
  <c r="F184" i="11" s="1"/>
  <c r="G159" i="27"/>
  <c r="K159" i="27" s="1"/>
  <c r="F152" i="11" s="1"/>
  <c r="G150" i="27"/>
  <c r="K150" i="27" s="1"/>
  <c r="F142" i="11" s="1"/>
  <c r="G139" i="27"/>
  <c r="K139" i="27" s="1"/>
  <c r="F131" i="11" s="1"/>
  <c r="G280" i="27"/>
  <c r="K280" i="27" s="1"/>
  <c r="G190" i="27"/>
  <c r="K190" i="27" s="1"/>
  <c r="F183" i="11" s="1"/>
  <c r="G189" i="27"/>
  <c r="K189" i="27" s="1"/>
  <c r="F182" i="11" s="1"/>
  <c r="G155" i="27"/>
  <c r="K155" i="27" s="1"/>
  <c r="G210" i="27"/>
  <c r="K210" i="27" s="1"/>
  <c r="F202" i="11" s="1"/>
  <c r="G91" i="27"/>
  <c r="K91" i="27" s="1"/>
  <c r="F81" i="11" s="1"/>
  <c r="F3" i="27"/>
  <c r="G186" i="27"/>
  <c r="K186" i="27" s="1"/>
  <c r="G151" i="27"/>
  <c r="K151" i="27" s="1"/>
  <c r="F143" i="11" s="1"/>
  <c r="G160" i="27"/>
  <c r="K160" i="27" s="1"/>
  <c r="F153" i="11" s="1"/>
  <c r="G261" i="27"/>
  <c r="K261" i="27" s="1"/>
  <c r="G105" i="27"/>
  <c r="K105" i="27" s="1"/>
  <c r="G143" i="27"/>
  <c r="K143" i="27" s="1"/>
  <c r="F135" i="11" s="1"/>
  <c r="F5" i="27"/>
  <c r="F4" i="27"/>
  <c r="F6" i="27"/>
  <c r="T18" i="27"/>
  <c r="F387" i="27"/>
  <c r="E346" i="27"/>
  <c r="F7" i="27"/>
  <c r="A8" i="26"/>
  <c r="E343" i="28" l="1"/>
  <c r="F384" i="28"/>
  <c r="F147" i="11"/>
  <c r="L154" i="27"/>
  <c r="G150" i="11" s="1"/>
  <c r="I23" i="10"/>
  <c r="H23" i="10"/>
  <c r="G57" i="28"/>
  <c r="K57" i="28" s="1"/>
  <c r="F512" i="28"/>
  <c r="F519" i="28"/>
  <c r="L187" i="28"/>
  <c r="T155" i="11"/>
  <c r="L100" i="28"/>
  <c r="L139" i="28"/>
  <c r="L156" i="28"/>
  <c r="E348" i="28" s="1"/>
  <c r="L190" i="28"/>
  <c r="F501" i="28"/>
  <c r="L260" i="27"/>
  <c r="G271" i="11" s="1"/>
  <c r="F254" i="11"/>
  <c r="L185" i="27"/>
  <c r="G179" i="11" s="1"/>
  <c r="F177" i="11"/>
  <c r="L279" i="27"/>
  <c r="G277" i="11" s="1"/>
  <c r="F274" i="11"/>
  <c r="L84" i="28"/>
  <c r="L264" i="28"/>
  <c r="L213" i="28"/>
  <c r="F424" i="28"/>
  <c r="L159" i="28"/>
  <c r="F425" i="28"/>
  <c r="L283" i="28"/>
  <c r="G46" i="11"/>
  <c r="E338" i="27"/>
  <c r="F379" i="27"/>
  <c r="E358" i="28"/>
  <c r="L324" i="28"/>
  <c r="L209" i="27"/>
  <c r="G206" i="11" s="1"/>
  <c r="F390" i="28"/>
  <c r="F497" i="27"/>
  <c r="L137" i="27"/>
  <c r="G146" i="11" s="1"/>
  <c r="E351" i="27"/>
  <c r="F391" i="27"/>
  <c r="F432" i="27"/>
  <c r="F399" i="27"/>
  <c r="F420" i="27"/>
  <c r="F515" i="27"/>
  <c r="F508" i="27"/>
  <c r="L187" i="27"/>
  <c r="G197" i="11" s="1"/>
  <c r="F421" i="27"/>
  <c r="L157" i="27"/>
  <c r="G159" i="11" s="1"/>
  <c r="L100" i="27"/>
  <c r="G129" i="11" s="1"/>
  <c r="F430" i="27"/>
  <c r="L84" i="27"/>
  <c r="G90" i="11" s="1"/>
  <c r="L19" i="23"/>
  <c r="K19" i="23"/>
  <c r="J19" i="23"/>
  <c r="G19" i="23"/>
  <c r="M19" i="23" s="1"/>
  <c r="G25" i="23"/>
  <c r="M25" i="23" s="1"/>
  <c r="G24" i="23"/>
  <c r="M24" i="23" s="1"/>
  <c r="G22" i="23"/>
  <c r="M22" i="23" s="1"/>
  <c r="K15" i="23"/>
  <c r="E25" i="23"/>
  <c r="K25" i="23" s="1"/>
  <c r="L24" i="23"/>
  <c r="K24" i="23"/>
  <c r="J24" i="23"/>
  <c r="L23" i="23"/>
  <c r="K23" i="23"/>
  <c r="J23" i="23"/>
  <c r="L22" i="23"/>
  <c r="K22" i="23"/>
  <c r="J22" i="23"/>
  <c r="M21" i="23"/>
  <c r="L21" i="23"/>
  <c r="K21" i="23"/>
  <c r="J21" i="23"/>
  <c r="M20" i="23"/>
  <c r="L20" i="23"/>
  <c r="K20" i="23"/>
  <c r="J20" i="23"/>
  <c r="F25" i="23"/>
  <c r="L25" i="23" s="1"/>
  <c r="D25" i="23"/>
  <c r="U46" i="23" s="1"/>
  <c r="C100" i="15"/>
  <c r="E357" i="27" l="1"/>
  <c r="F397" i="27"/>
  <c r="E359" i="27"/>
  <c r="K23" i="10"/>
  <c r="L50" i="28"/>
  <c r="T44" i="11"/>
  <c r="U44" i="11" s="1"/>
  <c r="F388" i="28"/>
  <c r="E347" i="28"/>
  <c r="F389" i="28"/>
  <c r="F387" i="28"/>
  <c r="E346" i="28"/>
  <c r="E356" i="28"/>
  <c r="F396" i="28"/>
  <c r="E349" i="28"/>
  <c r="J12" i="30"/>
  <c r="J17" i="30" s="1"/>
  <c r="J18" i="30" s="1"/>
  <c r="F426" i="28"/>
  <c r="T46" i="11"/>
  <c r="U46" i="11" s="1"/>
  <c r="E342" i="28"/>
  <c r="F383" i="28"/>
  <c r="F398" i="28"/>
  <c r="E361" i="28"/>
  <c r="F401" i="28"/>
  <c r="F434" i="28"/>
  <c r="E355" i="28"/>
  <c r="F395" i="28"/>
  <c r="E345" i="28"/>
  <c r="F386" i="28"/>
  <c r="F436" i="28"/>
  <c r="E363" i="28"/>
  <c r="F403" i="28"/>
  <c r="E354" i="27"/>
  <c r="F394" i="27"/>
  <c r="E368" i="28"/>
  <c r="F408" i="28"/>
  <c r="L320" i="27"/>
  <c r="G307" i="11" s="1"/>
  <c r="F386" i="27"/>
  <c r="E345" i="27"/>
  <c r="F392" i="27"/>
  <c r="E352" i="27"/>
  <c r="F422" i="27"/>
  <c r="F385" i="27"/>
  <c r="E344" i="27"/>
  <c r="E341" i="27"/>
  <c r="F382" i="27"/>
  <c r="F384" i="27"/>
  <c r="E343" i="27"/>
  <c r="F383" i="27"/>
  <c r="E342" i="27"/>
  <c r="Q24" i="23"/>
  <c r="Q21" i="23"/>
  <c r="Q19" i="23"/>
  <c r="Q22" i="23"/>
  <c r="Q20" i="23"/>
  <c r="J25" i="23"/>
  <c r="Q25" i="23" s="1"/>
  <c r="G28" i="23"/>
  <c r="G23" i="23"/>
  <c r="M23" i="23" s="1"/>
  <c r="Q23" i="23" s="1"/>
  <c r="G26" i="23"/>
  <c r="G27" i="23"/>
  <c r="F404" i="27" l="1"/>
  <c r="E364" i="27"/>
  <c r="E26" i="23"/>
  <c r="K26" i="23" s="1"/>
  <c r="M28" i="23"/>
  <c r="L28" i="23"/>
  <c r="K28" i="23"/>
  <c r="J28" i="23"/>
  <c r="M26" i="23"/>
  <c r="L26" i="23"/>
  <c r="J26" i="23"/>
  <c r="Q28" i="23" l="1"/>
  <c r="Q26" i="23"/>
  <c r="M27" i="23"/>
  <c r="L27" i="23"/>
  <c r="K27" i="23"/>
  <c r="J27" i="23"/>
  <c r="G15" i="23"/>
  <c r="M15" i="23" s="1"/>
  <c r="G18" i="23"/>
  <c r="M18" i="23" s="1"/>
  <c r="G17" i="23"/>
  <c r="M17" i="23" s="1"/>
  <c r="G16" i="23"/>
  <c r="M16" i="23" s="1"/>
  <c r="G14" i="23"/>
  <c r="M14" i="23" s="1"/>
  <c r="G13" i="23"/>
  <c r="M13" i="23" s="1"/>
  <c r="G12" i="23"/>
  <c r="M12" i="23" s="1"/>
  <c r="G11" i="23"/>
  <c r="M11" i="23" s="1"/>
  <c r="G10" i="23"/>
  <c r="M10" i="23" s="1"/>
  <c r="G9" i="23"/>
  <c r="M9" i="23" s="1"/>
  <c r="G8" i="23"/>
  <c r="M8" i="23" s="1"/>
  <c r="L61" i="23"/>
  <c r="L17" i="23"/>
  <c r="L18" i="23"/>
  <c r="L16" i="23"/>
  <c r="L15" i="23"/>
  <c r="L14" i="23"/>
  <c r="L13" i="23"/>
  <c r="L12" i="23"/>
  <c r="L11" i="23"/>
  <c r="L9" i="23"/>
  <c r="L8" i="23"/>
  <c r="J15" i="23"/>
  <c r="F10" i="23"/>
  <c r="K9" i="23"/>
  <c r="J9" i="23"/>
  <c r="K14" i="23"/>
  <c r="K16" i="23"/>
  <c r="K18" i="23"/>
  <c r="E10" i="23"/>
  <c r="J18" i="23"/>
  <c r="J14" i="23"/>
  <c r="K17" i="23"/>
  <c r="J17" i="23"/>
  <c r="J16" i="23"/>
  <c r="K13" i="23"/>
  <c r="J13" i="23"/>
  <c r="K12" i="23"/>
  <c r="J12" i="23"/>
  <c r="K11" i="23"/>
  <c r="J11" i="23"/>
  <c r="J10" i="23"/>
  <c r="K8" i="23"/>
  <c r="J8" i="23"/>
  <c r="L10" i="23" l="1"/>
  <c r="W46" i="23"/>
  <c r="K10" i="23"/>
  <c r="V46" i="23"/>
  <c r="Q27" i="23"/>
  <c r="Q15" i="23"/>
  <c r="Q18" i="23"/>
  <c r="Q14" i="23"/>
  <c r="Q8" i="23"/>
  <c r="Q9" i="23"/>
  <c r="Q13" i="23"/>
  <c r="Q11" i="23"/>
  <c r="Q16" i="23"/>
  <c r="Q17" i="23"/>
  <c r="Q12" i="23"/>
  <c r="Q10" i="23" l="1"/>
  <c r="K61" i="23" l="1"/>
  <c r="V87" i="15"/>
  <c r="M87" i="15"/>
  <c r="S7" i="15"/>
  <c r="S8" i="15"/>
  <c r="S9" i="15"/>
  <c r="T9" i="15" s="1"/>
  <c r="S10" i="15"/>
  <c r="S11" i="15"/>
  <c r="S12" i="15"/>
  <c r="S13" i="15"/>
  <c r="S14" i="15"/>
  <c r="S15" i="15"/>
  <c r="S16" i="15"/>
  <c r="S17" i="15"/>
  <c r="T17" i="15" s="1"/>
  <c r="S18" i="15"/>
  <c r="S19" i="15"/>
  <c r="T19" i="15" s="1"/>
  <c r="S20" i="15"/>
  <c r="T20" i="15" s="1"/>
  <c r="S21" i="15"/>
  <c r="T21" i="15" s="1"/>
  <c r="S22" i="15"/>
  <c r="S23" i="15"/>
  <c r="T23" i="15" s="1"/>
  <c r="S24" i="15"/>
  <c r="S25" i="15"/>
  <c r="S26" i="15"/>
  <c r="S27" i="15"/>
  <c r="S28" i="15"/>
  <c r="S29" i="15"/>
  <c r="S30" i="15"/>
  <c r="S31" i="15"/>
  <c r="T31" i="15" s="1"/>
  <c r="S32" i="15"/>
  <c r="T32" i="15" s="1"/>
  <c r="S33" i="15"/>
  <c r="T33" i="15" s="1"/>
  <c r="S34" i="15"/>
  <c r="T34" i="15" s="1"/>
  <c r="S35" i="15"/>
  <c r="S36" i="15"/>
  <c r="S37" i="15"/>
  <c r="S38" i="15"/>
  <c r="T38" i="15" s="1"/>
  <c r="S39" i="15"/>
  <c r="S40" i="15"/>
  <c r="S41" i="15"/>
  <c r="S42" i="15"/>
  <c r="S43" i="15"/>
  <c r="S44" i="15"/>
  <c r="S45" i="15"/>
  <c r="T45" i="15" s="1"/>
  <c r="S46" i="15"/>
  <c r="S47" i="15"/>
  <c r="T47" i="15" s="1"/>
  <c r="S48" i="15"/>
  <c r="S49" i="15"/>
  <c r="S50" i="15"/>
  <c r="S51" i="15"/>
  <c r="T51" i="15" s="1"/>
  <c r="S52" i="15"/>
  <c r="S53" i="15"/>
  <c r="T53" i="15" s="1"/>
  <c r="S54" i="15"/>
  <c r="T54" i="15" s="1"/>
  <c r="S55" i="15"/>
  <c r="T55" i="15" s="1"/>
  <c r="S56" i="15"/>
  <c r="T56" i="15" s="1"/>
  <c r="S57" i="15"/>
  <c r="S58" i="15"/>
  <c r="S59" i="15"/>
  <c r="T59" i="15" s="1"/>
  <c r="S60" i="15"/>
  <c r="T60" i="15" s="1"/>
  <c r="S61" i="15"/>
  <c r="S62" i="15"/>
  <c r="S63" i="15"/>
  <c r="S64" i="15"/>
  <c r="S65" i="15"/>
  <c r="S66" i="15"/>
  <c r="S67" i="15"/>
  <c r="S68" i="15"/>
  <c r="S69" i="15"/>
  <c r="S70" i="15"/>
  <c r="S71" i="15"/>
  <c r="S72" i="15"/>
  <c r="S73" i="15"/>
  <c r="S74" i="15"/>
  <c r="S75" i="15"/>
  <c r="S76" i="15"/>
  <c r="S77" i="15"/>
  <c r="S78" i="15"/>
  <c r="T78" i="15" s="1"/>
  <c r="S79" i="15"/>
  <c r="T79" i="15" s="1"/>
  <c r="S80" i="15"/>
  <c r="S81" i="15"/>
  <c r="S82" i="15"/>
  <c r="S83" i="15"/>
  <c r="S84" i="15"/>
  <c r="S85" i="15"/>
  <c r="S86" i="15"/>
  <c r="T86" i="15" s="1"/>
  <c r="S87" i="15"/>
  <c r="S88" i="15"/>
  <c r="S89" i="15"/>
  <c r="T89" i="15" s="1"/>
  <c r="S90" i="15"/>
  <c r="T90" i="15" s="1"/>
  <c r="S91" i="15"/>
  <c r="T91" i="15" s="1"/>
  <c r="S92" i="15"/>
  <c r="S93" i="15"/>
  <c r="S94" i="15"/>
  <c r="S95" i="15"/>
  <c r="S96" i="15"/>
  <c r="S97" i="15"/>
  <c r="S98" i="15"/>
  <c r="S99" i="15"/>
  <c r="S6" i="15"/>
  <c r="T98" i="15"/>
  <c r="T82" i="15"/>
  <c r="T80" i="15"/>
  <c r="Q87" i="15"/>
  <c r="N8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8" i="15"/>
  <c r="N89" i="15"/>
  <c r="N90" i="15"/>
  <c r="N91" i="15"/>
  <c r="N92" i="15"/>
  <c r="N93" i="15"/>
  <c r="N94" i="15"/>
  <c r="N95" i="15"/>
  <c r="N96" i="15"/>
  <c r="N97" i="15"/>
  <c r="N98" i="15"/>
  <c r="N99" i="15"/>
  <c r="N6" i="15"/>
  <c r="N7" i="15"/>
  <c r="T87" i="15" l="1"/>
  <c r="O87" i="15"/>
  <c r="C44" i="23" l="1"/>
  <c r="I44" i="23" s="1"/>
  <c r="E100" i="15"/>
  <c r="G100" i="15" s="1"/>
  <c r="I100" i="15" s="1"/>
  <c r="E116" i="15"/>
  <c r="M61" i="23"/>
  <c r="J61" i="23"/>
  <c r="I48" i="23"/>
  <c r="P48" i="23" s="1"/>
  <c r="L44" i="23"/>
  <c r="K44" i="23"/>
  <c r="J44" i="23"/>
  <c r="M44" i="23"/>
  <c r="P44" i="23" l="1"/>
  <c r="Q61" i="23"/>
  <c r="Q44" i="23"/>
  <c r="M58" i="23"/>
  <c r="K58" i="23"/>
  <c r="L58" i="23"/>
  <c r="J58" i="23"/>
  <c r="M57" i="23"/>
  <c r="K57" i="23"/>
  <c r="L57" i="23"/>
  <c r="J57" i="23"/>
  <c r="M56" i="23"/>
  <c r="K56" i="23"/>
  <c r="L56" i="23"/>
  <c r="J56" i="23"/>
  <c r="M55" i="23"/>
  <c r="K55" i="23"/>
  <c r="L55" i="23"/>
  <c r="J55" i="23"/>
  <c r="M54" i="23"/>
  <c r="K54" i="23"/>
  <c r="L54" i="23"/>
  <c r="J54" i="23"/>
  <c r="M53" i="23"/>
  <c r="K53" i="23"/>
  <c r="L53" i="23"/>
  <c r="J53" i="23"/>
  <c r="M52" i="23"/>
  <c r="K52" i="23"/>
  <c r="L52" i="23"/>
  <c r="J52" i="23"/>
  <c r="M51" i="23"/>
  <c r="K51" i="23"/>
  <c r="L51" i="23"/>
  <c r="J51" i="23"/>
  <c r="M50" i="23"/>
  <c r="K50" i="23"/>
  <c r="L50" i="23"/>
  <c r="J50" i="23"/>
  <c r="M49" i="23"/>
  <c r="K49" i="23"/>
  <c r="L49" i="23"/>
  <c r="J49" i="23"/>
  <c r="M48" i="23"/>
  <c r="K48" i="23"/>
  <c r="L48" i="23"/>
  <c r="J48" i="23"/>
  <c r="M47" i="23"/>
  <c r="L47" i="23"/>
  <c r="K47" i="23"/>
  <c r="J47" i="23"/>
  <c r="I49" i="23"/>
  <c r="P49" i="23" s="1"/>
  <c r="I50" i="23"/>
  <c r="P50" i="23" s="1"/>
  <c r="I51" i="23"/>
  <c r="P51" i="23" s="1"/>
  <c r="I52" i="23"/>
  <c r="P52" i="23" s="1"/>
  <c r="I53" i="23"/>
  <c r="P53" i="23" s="1"/>
  <c r="I54" i="23"/>
  <c r="P54" i="23" s="1"/>
  <c r="I55" i="23"/>
  <c r="P55" i="23" s="1"/>
  <c r="I56" i="23"/>
  <c r="P56" i="23" s="1"/>
  <c r="I57" i="23"/>
  <c r="P57" i="23" s="1"/>
  <c r="I58" i="23"/>
  <c r="P58" i="23" s="1"/>
  <c r="I47" i="23"/>
  <c r="P47" i="23" s="1"/>
  <c r="D10" i="21"/>
  <c r="D4" i="21"/>
  <c r="D59" i="23"/>
  <c r="J59" i="23" s="1"/>
  <c r="F59" i="23"/>
  <c r="L59" i="23" s="1"/>
  <c r="E59" i="23"/>
  <c r="K59" i="23" s="1"/>
  <c r="G59" i="23"/>
  <c r="M59" i="23" s="1"/>
  <c r="D263" i="15"/>
  <c r="E263" i="15"/>
  <c r="C263" i="15"/>
  <c r="C59" i="23"/>
  <c r="I59" i="23" s="1"/>
  <c r="P59" i="23" s="1"/>
  <c r="R44" i="23" l="1"/>
  <c r="Q56" i="23"/>
  <c r="R56" i="23" s="1"/>
  <c r="Q51" i="23"/>
  <c r="R51" i="23" s="1"/>
  <c r="Q47" i="23"/>
  <c r="R47" i="23" s="1"/>
  <c r="Q58" i="23"/>
  <c r="R58" i="23" s="1"/>
  <c r="Q54" i="23"/>
  <c r="R54" i="23" s="1"/>
  <c r="Q55" i="23"/>
  <c r="R55" i="23" s="1"/>
  <c r="Q49" i="23"/>
  <c r="Q50" i="23"/>
  <c r="R50" i="23" s="1"/>
  <c r="Q59" i="23"/>
  <c r="R59" i="23" s="1"/>
  <c r="Q57" i="23"/>
  <c r="R57" i="23" s="1"/>
  <c r="Q52" i="23"/>
  <c r="R52" i="23" s="1"/>
  <c r="R49" i="23"/>
  <c r="Q53" i="23"/>
  <c r="R53" i="23" s="1"/>
  <c r="Q48" i="23"/>
  <c r="R48" i="23" s="1"/>
  <c r="C21" i="21"/>
  <c r="B20" i="16"/>
  <c r="B25" i="16" s="1"/>
  <c r="C20" i="16"/>
  <c r="E20" i="16" s="1"/>
  <c r="G20" i="16" s="1"/>
  <c r="C18" i="16"/>
  <c r="E18" i="16" s="1"/>
  <c r="G18" i="16" s="1"/>
  <c r="C17" i="16"/>
  <c r="E17" i="16" s="1"/>
  <c r="B33" i="16"/>
  <c r="B32" i="16"/>
  <c r="B31" i="16"/>
  <c r="B30" i="16"/>
  <c r="B29" i="16"/>
  <c r="C33" i="16"/>
  <c r="C32" i="16"/>
  <c r="C31" i="16"/>
  <c r="C30" i="16"/>
  <c r="C29" i="16"/>
  <c r="E8" i="16"/>
  <c r="E9" i="16"/>
  <c r="E6" i="16"/>
  <c r="B7" i="16"/>
  <c r="B10" i="16" s="1"/>
  <c r="C7" i="16"/>
  <c r="C10" i="16" s="1"/>
  <c r="E24" i="16"/>
  <c r="E23" i="16"/>
  <c r="G23" i="16" s="1"/>
  <c r="E22" i="16"/>
  <c r="E21" i="16"/>
  <c r="E19" i="16"/>
  <c r="C107" i="15"/>
  <c r="G252" i="15"/>
  <c r="G253" i="15"/>
  <c r="G251" i="15"/>
  <c r="B27" i="16"/>
  <c r="C27" i="16"/>
  <c r="E247" i="15"/>
  <c r="B15" i="16" s="1"/>
  <c r="C247" i="15"/>
  <c r="C15" i="16" s="1"/>
  <c r="E168" i="15"/>
  <c r="B13" i="16" s="1"/>
  <c r="C168" i="15"/>
  <c r="C13" i="16" s="1"/>
  <c r="E160" i="15"/>
  <c r="B14" i="16" s="1"/>
  <c r="C160" i="15"/>
  <c r="C14" i="16" s="1"/>
  <c r="B12" i="16"/>
  <c r="G265" i="15"/>
  <c r="G246" i="15"/>
  <c r="G6" i="15"/>
  <c r="G7" i="15"/>
  <c r="G8" i="15"/>
  <c r="G162" i="15"/>
  <c r="G171" i="15"/>
  <c r="G118" i="15"/>
  <c r="G119" i="15"/>
  <c r="G120" i="15"/>
  <c r="G9" i="15"/>
  <c r="G10" i="15"/>
  <c r="G11" i="15"/>
  <c r="G172" i="15"/>
  <c r="G173" i="15"/>
  <c r="G121" i="15"/>
  <c r="G122" i="15"/>
  <c r="G12" i="15"/>
  <c r="G13" i="15"/>
  <c r="G14" i="15"/>
  <c r="G15" i="15"/>
  <c r="G123" i="15"/>
  <c r="G124" i="15"/>
  <c r="G16" i="15"/>
  <c r="G17" i="15"/>
  <c r="G174" i="15"/>
  <c r="G18" i="15"/>
  <c r="G19" i="15"/>
  <c r="G125" i="15"/>
  <c r="G126" i="15"/>
  <c r="G127" i="15"/>
  <c r="G20" i="15"/>
  <c r="G128" i="15"/>
  <c r="G21" i="15"/>
  <c r="G22" i="15"/>
  <c r="G129" i="15"/>
  <c r="G23" i="15"/>
  <c r="G24" i="15"/>
  <c r="G25" i="15"/>
  <c r="G130" i="15"/>
  <c r="G163" i="15"/>
  <c r="G131" i="15"/>
  <c r="G175" i="15"/>
  <c r="G26" i="15"/>
  <c r="G27" i="15"/>
  <c r="G28" i="15"/>
  <c r="G29" i="15"/>
  <c r="G30" i="15"/>
  <c r="G176" i="15"/>
  <c r="G31" i="15"/>
  <c r="G32" i="15"/>
  <c r="G33" i="15"/>
  <c r="G34" i="15"/>
  <c r="G35" i="15"/>
  <c r="G36" i="15"/>
  <c r="G132" i="15"/>
  <c r="G133" i="15"/>
  <c r="G37" i="15"/>
  <c r="G38" i="15"/>
  <c r="G39" i="15"/>
  <c r="G40" i="15"/>
  <c r="G41" i="15"/>
  <c r="G42" i="15"/>
  <c r="G43" i="15"/>
  <c r="G44" i="15"/>
  <c r="G45" i="15"/>
  <c r="G46" i="15"/>
  <c r="G177" i="15"/>
  <c r="G178" i="15"/>
  <c r="G47" i="15"/>
  <c r="G164" i="15"/>
  <c r="G134" i="15"/>
  <c r="G135" i="15"/>
  <c r="G136" i="15"/>
  <c r="G137" i="15"/>
  <c r="G48" i="15"/>
  <c r="G49" i="15"/>
  <c r="G50" i="15"/>
  <c r="G51" i="15"/>
  <c r="G52" i="15"/>
  <c r="G53" i="15"/>
  <c r="G138" i="15"/>
  <c r="G54" i="15"/>
  <c r="G55" i="15"/>
  <c r="G56" i="15"/>
  <c r="G57" i="15"/>
  <c r="G58" i="15"/>
  <c r="G59" i="15"/>
  <c r="G60" i="15"/>
  <c r="G61" i="15"/>
  <c r="G62" i="15"/>
  <c r="G63" i="15"/>
  <c r="G64" i="15"/>
  <c r="G65" i="15"/>
  <c r="G66" i="15"/>
  <c r="G67" i="15"/>
  <c r="G159" i="15"/>
  <c r="G68" i="15"/>
  <c r="G69" i="15"/>
  <c r="G179" i="15"/>
  <c r="G180" i="15"/>
  <c r="G181" i="15"/>
  <c r="G182" i="15"/>
  <c r="G250" i="15"/>
  <c r="G70" i="15"/>
  <c r="G71" i="15"/>
  <c r="G72" i="15"/>
  <c r="G139" i="15"/>
  <c r="G140" i="15"/>
  <c r="G183" i="15"/>
  <c r="G73" i="15"/>
  <c r="G74" i="15"/>
  <c r="G75" i="15"/>
  <c r="G76" i="15"/>
  <c r="G77" i="15"/>
  <c r="G78" i="15"/>
  <c r="G184" i="15"/>
  <c r="G79" i="15"/>
  <c r="G80" i="15"/>
  <c r="G81" i="15"/>
  <c r="G82" i="15"/>
  <c r="G83" i="15"/>
  <c r="G141" i="15"/>
  <c r="G142" i="15"/>
  <c r="G143" i="15"/>
  <c r="G185" i="15"/>
  <c r="G144" i="15"/>
  <c r="G84" i="15"/>
  <c r="G85" i="15"/>
  <c r="G86" i="15"/>
  <c r="G165" i="15"/>
  <c r="G87" i="15"/>
  <c r="G88" i="15"/>
  <c r="G89" i="15"/>
  <c r="G146" i="15"/>
  <c r="G147" i="15"/>
  <c r="G90" i="15"/>
  <c r="G91" i="15"/>
  <c r="G92" i="15"/>
  <c r="G93" i="15"/>
  <c r="G94" i="15"/>
  <c r="G186" i="15"/>
  <c r="G187" i="15"/>
  <c r="G148" i="15"/>
  <c r="G149" i="15"/>
  <c r="G188" i="15"/>
  <c r="G189" i="15"/>
  <c r="G150" i="15"/>
  <c r="G151" i="15"/>
  <c r="G152" i="15"/>
  <c r="G166" i="15"/>
  <c r="G167" i="15"/>
  <c r="G95" i="15"/>
  <c r="G96" i="15"/>
  <c r="G153" i="15"/>
  <c r="G97" i="15"/>
  <c r="G190" i="15"/>
  <c r="G98" i="15"/>
  <c r="G191" i="15"/>
  <c r="G192" i="15"/>
  <c r="G193" i="15"/>
  <c r="G194" i="15"/>
  <c r="G195" i="15"/>
  <c r="G196" i="15"/>
  <c r="G197" i="15"/>
  <c r="G198" i="15"/>
  <c r="G199" i="15"/>
  <c r="G200" i="15"/>
  <c r="G201" i="15"/>
  <c r="G202" i="15"/>
  <c r="G203" i="15"/>
  <c r="G204" i="15"/>
  <c r="G205" i="15"/>
  <c r="G154" i="15"/>
  <c r="G206" i="15"/>
  <c r="G207" i="15"/>
  <c r="G208" i="15"/>
  <c r="G209" i="15"/>
  <c r="G155" i="15"/>
  <c r="G210" i="15"/>
  <c r="G211" i="15"/>
  <c r="G212" i="15"/>
  <c r="G213" i="15"/>
  <c r="G214" i="15"/>
  <c r="G156" i="15"/>
  <c r="G157" i="15"/>
  <c r="G215" i="15"/>
  <c r="G216" i="15"/>
  <c r="G217" i="15"/>
  <c r="G218" i="15"/>
  <c r="G219" i="15"/>
  <c r="G220" i="15"/>
  <c r="G221" i="15"/>
  <c r="G222" i="15"/>
  <c r="G158" i="15"/>
  <c r="G99" i="15"/>
  <c r="G223" i="15"/>
  <c r="G254" i="15"/>
  <c r="G255" i="15"/>
  <c r="G256" i="15"/>
  <c r="G245" i="15"/>
  <c r="G257" i="15"/>
  <c r="G226" i="15"/>
  <c r="G227" i="15"/>
  <c r="G228" i="15"/>
  <c r="G229" i="15"/>
  <c r="G230" i="15"/>
  <c r="G231" i="15"/>
  <c r="G258" i="15"/>
  <c r="G259" i="15"/>
  <c r="G260" i="15"/>
  <c r="G261" i="15"/>
  <c r="G262" i="15"/>
  <c r="G232" i="15"/>
  <c r="G233" i="15"/>
  <c r="G234" i="15"/>
  <c r="G235" i="15"/>
  <c r="G236" i="15"/>
  <c r="G237" i="15"/>
  <c r="G238" i="15"/>
  <c r="G239" i="15"/>
  <c r="G240" i="15"/>
  <c r="G241" i="15"/>
  <c r="G242" i="15"/>
  <c r="G243" i="15"/>
  <c r="G266" i="15"/>
  <c r="G102" i="15"/>
  <c r="G103" i="15"/>
  <c r="G104" i="15"/>
  <c r="G105" i="15"/>
  <c r="G106" i="15"/>
  <c r="G108" i="15"/>
  <c r="G109" i="15"/>
  <c r="G110" i="15"/>
  <c r="G111" i="15"/>
  <c r="G112" i="15"/>
  <c r="G244" i="15"/>
  <c r="G113" i="15"/>
  <c r="G114" i="15"/>
  <c r="G115" i="15"/>
  <c r="G271" i="15"/>
  <c r="G267" i="15"/>
  <c r="G268" i="15"/>
  <c r="G269" i="15"/>
  <c r="G270" i="15"/>
  <c r="G272" i="15"/>
  <c r="G273" i="15"/>
  <c r="C116" i="15" l="1"/>
  <c r="G116" i="15" s="1"/>
  <c r="I116" i="15" s="1"/>
  <c r="E25" i="16"/>
  <c r="G25" i="16"/>
  <c r="G27" i="16" s="1"/>
  <c r="G35" i="16" s="1"/>
  <c r="C25" i="16"/>
  <c r="E15" i="16"/>
  <c r="E30" i="16"/>
  <c r="E31" i="16"/>
  <c r="E33" i="16"/>
  <c r="E32" i="16"/>
  <c r="B35" i="16"/>
  <c r="E29" i="16"/>
  <c r="G107" i="15"/>
  <c r="I107" i="15" s="1"/>
  <c r="E7" i="16"/>
  <c r="E10" i="16" s="1"/>
  <c r="E13" i="16"/>
  <c r="E14" i="16"/>
  <c r="E27" i="16"/>
  <c r="E275" i="15"/>
  <c r="C275" i="15"/>
  <c r="G263" i="15"/>
  <c r="G168" i="15"/>
  <c r="G247" i="15"/>
  <c r="G160" i="15"/>
  <c r="I270" i="15"/>
  <c r="I269" i="15"/>
  <c r="I268" i="15"/>
  <c r="I267" i="15"/>
  <c r="I271" i="15"/>
  <c r="I115" i="15"/>
  <c r="I114" i="15"/>
  <c r="I113" i="15"/>
  <c r="I244" i="15"/>
  <c r="I112" i="15"/>
  <c r="I111" i="15"/>
  <c r="I110" i="15"/>
  <c r="I109" i="15"/>
  <c r="I108" i="15"/>
  <c r="I106" i="15"/>
  <c r="I105" i="15"/>
  <c r="I104" i="15"/>
  <c r="I103" i="15"/>
  <c r="I102" i="15"/>
  <c r="I266" i="15"/>
  <c r="I243" i="15"/>
  <c r="I242" i="15"/>
  <c r="I241" i="15"/>
  <c r="I240" i="15"/>
  <c r="I239" i="15"/>
  <c r="I238" i="15"/>
  <c r="I237" i="15"/>
  <c r="I236" i="15"/>
  <c r="I235" i="15"/>
  <c r="I234" i="15"/>
  <c r="I233" i="15"/>
  <c r="I232" i="15"/>
  <c r="I262" i="15"/>
  <c r="I261" i="15"/>
  <c r="I260" i="15"/>
  <c r="I259" i="15"/>
  <c r="I258" i="15"/>
  <c r="I231" i="15"/>
  <c r="I230" i="15"/>
  <c r="I229" i="15"/>
  <c r="I228" i="15"/>
  <c r="I227" i="15"/>
  <c r="I226" i="15"/>
  <c r="I257" i="15"/>
  <c r="I245" i="15"/>
  <c r="I256" i="15"/>
  <c r="I255" i="15"/>
  <c r="I254" i="15"/>
  <c r="I253" i="15"/>
  <c r="I225" i="15"/>
  <c r="I224" i="15"/>
  <c r="I223" i="15"/>
  <c r="I99" i="15"/>
  <c r="I158" i="15"/>
  <c r="I222" i="15"/>
  <c r="I221" i="15"/>
  <c r="I220" i="15"/>
  <c r="I219" i="15"/>
  <c r="I218" i="15"/>
  <c r="I217" i="15"/>
  <c r="I216" i="15"/>
  <c r="I215" i="15"/>
  <c r="I157" i="15"/>
  <c r="I156" i="15"/>
  <c r="I214" i="15"/>
  <c r="I213" i="15"/>
  <c r="I212" i="15"/>
  <c r="I211" i="15"/>
  <c r="I210" i="15"/>
  <c r="I155" i="15"/>
  <c r="I209" i="15"/>
  <c r="I208" i="15"/>
  <c r="I207" i="15"/>
  <c r="I206" i="15"/>
  <c r="I154" i="15"/>
  <c r="I205" i="15"/>
  <c r="I204" i="15"/>
  <c r="I203" i="15"/>
  <c r="I202" i="15"/>
  <c r="I201" i="15"/>
  <c r="I200" i="15"/>
  <c r="I199" i="15"/>
  <c r="I198" i="15"/>
  <c r="I197" i="15"/>
  <c r="I196" i="15"/>
  <c r="I195" i="15"/>
  <c r="I194" i="15"/>
  <c r="I193" i="15"/>
  <c r="I192" i="15"/>
  <c r="I191" i="15"/>
  <c r="I98" i="15"/>
  <c r="I190" i="15"/>
  <c r="I97" i="15"/>
  <c r="I153" i="15"/>
  <c r="I96" i="15"/>
  <c r="I95" i="15"/>
  <c r="I167" i="15"/>
  <c r="I166" i="15"/>
  <c r="I152" i="15"/>
  <c r="I151" i="15"/>
  <c r="I150" i="15"/>
  <c r="I189" i="15"/>
  <c r="I188" i="15"/>
  <c r="I252" i="15"/>
  <c r="I251" i="15"/>
  <c r="I149" i="15"/>
  <c r="I148" i="15"/>
  <c r="I187" i="15"/>
  <c r="I186" i="15"/>
  <c r="I94" i="15"/>
  <c r="I93" i="15"/>
  <c r="I92" i="15"/>
  <c r="I91" i="15"/>
  <c r="I90" i="15"/>
  <c r="I147" i="15"/>
  <c r="I146" i="15"/>
  <c r="I89" i="15"/>
  <c r="I88" i="15"/>
  <c r="I87" i="15"/>
  <c r="I165" i="15"/>
  <c r="I86" i="15"/>
  <c r="I85" i="15"/>
  <c r="I145" i="15"/>
  <c r="I84" i="15"/>
  <c r="I144" i="15"/>
  <c r="I185" i="15"/>
  <c r="I143" i="15"/>
  <c r="I142" i="15"/>
  <c r="I141" i="15"/>
  <c r="I83" i="15"/>
  <c r="I82" i="15"/>
  <c r="I81" i="15"/>
  <c r="I80" i="15"/>
  <c r="I79" i="15"/>
  <c r="I184" i="15"/>
  <c r="I78" i="15"/>
  <c r="I77" i="15"/>
  <c r="I76" i="15"/>
  <c r="I75" i="15"/>
  <c r="I74" i="15"/>
  <c r="I73" i="15"/>
  <c r="I183" i="15"/>
  <c r="I140" i="15"/>
  <c r="I139" i="15"/>
  <c r="I72" i="15"/>
  <c r="I71" i="15"/>
  <c r="I70" i="15"/>
  <c r="I250" i="15"/>
  <c r="I182" i="15"/>
  <c r="I181" i="15"/>
  <c r="I180" i="15"/>
  <c r="I179" i="15"/>
  <c r="I69" i="15"/>
  <c r="I68" i="15"/>
  <c r="I159" i="15"/>
  <c r="I67" i="15"/>
  <c r="I66" i="15"/>
  <c r="I65" i="15"/>
  <c r="I64" i="15"/>
  <c r="I63" i="15"/>
  <c r="I62" i="15"/>
  <c r="I61" i="15"/>
  <c r="I60" i="15"/>
  <c r="I59" i="15"/>
  <c r="I58" i="15"/>
  <c r="I57" i="15"/>
  <c r="I56" i="15"/>
  <c r="I55" i="15"/>
  <c r="I54" i="15"/>
  <c r="I138" i="15"/>
  <c r="I53" i="15"/>
  <c r="I52" i="15"/>
  <c r="I51" i="15"/>
  <c r="I50" i="15"/>
  <c r="I49" i="15"/>
  <c r="I48" i="15"/>
  <c r="I137" i="15"/>
  <c r="I136" i="15"/>
  <c r="I135" i="15"/>
  <c r="I134" i="15"/>
  <c r="I164" i="15"/>
  <c r="I47" i="15"/>
  <c r="I178" i="15"/>
  <c r="I177" i="15"/>
  <c r="I46" i="15"/>
  <c r="I45" i="15"/>
  <c r="I44" i="15"/>
  <c r="I43" i="15"/>
  <c r="I42" i="15"/>
  <c r="I41" i="15"/>
  <c r="I40" i="15"/>
  <c r="I39" i="15"/>
  <c r="I38" i="15"/>
  <c r="I37" i="15"/>
  <c r="I133" i="15"/>
  <c r="I132" i="15"/>
  <c r="I36" i="15"/>
  <c r="I35" i="15"/>
  <c r="I34" i="15"/>
  <c r="I33" i="15"/>
  <c r="I32" i="15"/>
  <c r="I31" i="15"/>
  <c r="I176" i="15"/>
  <c r="I30" i="15"/>
  <c r="I29" i="15"/>
  <c r="I28" i="15"/>
  <c r="I27" i="15"/>
  <c r="I26" i="15"/>
  <c r="I175" i="15"/>
  <c r="I131" i="15"/>
  <c r="I163" i="15"/>
  <c r="I130" i="15"/>
  <c r="I25" i="15"/>
  <c r="I24" i="15"/>
  <c r="I23" i="15"/>
  <c r="I129" i="15"/>
  <c r="I22" i="15"/>
  <c r="I21" i="15"/>
  <c r="I128" i="15"/>
  <c r="I20" i="15"/>
  <c r="I127" i="15"/>
  <c r="I126" i="15"/>
  <c r="I125" i="15"/>
  <c r="I19" i="15"/>
  <c r="I18" i="15"/>
  <c r="I174" i="15"/>
  <c r="I17" i="15"/>
  <c r="I16" i="15"/>
  <c r="I124" i="15"/>
  <c r="I123" i="15"/>
  <c r="I15" i="15"/>
  <c r="I14" i="15"/>
  <c r="I13" i="15"/>
  <c r="I12" i="15"/>
  <c r="I122" i="15"/>
  <c r="I121" i="15"/>
  <c r="I173" i="15"/>
  <c r="I172" i="15"/>
  <c r="I11" i="15"/>
  <c r="I10" i="15"/>
  <c r="I9" i="15"/>
  <c r="I120" i="15"/>
  <c r="I119" i="15"/>
  <c r="I118" i="15"/>
  <c r="I171" i="15"/>
  <c r="I162" i="15"/>
  <c r="I8" i="15"/>
  <c r="I7" i="15"/>
  <c r="I6" i="15"/>
  <c r="I246" i="15"/>
  <c r="I265" i="15"/>
  <c r="C12" i="16" l="1"/>
  <c r="G275" i="15"/>
  <c r="I272" i="15"/>
  <c r="I273" i="15"/>
  <c r="S336" i="14"/>
  <c r="R335" i="14"/>
  <c r="H335" i="14"/>
  <c r="G335" i="14"/>
  <c r="F335" i="14"/>
  <c r="E335" i="14"/>
  <c r="D335" i="14"/>
  <c r="R334" i="14"/>
  <c r="H334" i="14"/>
  <c r="G334" i="14"/>
  <c r="F334" i="14"/>
  <c r="E334" i="14"/>
  <c r="D334" i="14"/>
  <c r="H332" i="14"/>
  <c r="G332" i="14"/>
  <c r="F332" i="14"/>
  <c r="E332" i="14"/>
  <c r="D332" i="14"/>
  <c r="H331" i="14"/>
  <c r="G331" i="14"/>
  <c r="F331" i="14"/>
  <c r="E331" i="14"/>
  <c r="D331" i="14"/>
  <c r="H330" i="14"/>
  <c r="G330" i="14"/>
  <c r="F330" i="14"/>
  <c r="E330" i="14"/>
  <c r="D330" i="14"/>
  <c r="H328" i="14"/>
  <c r="G328" i="14"/>
  <c r="F328" i="14"/>
  <c r="E328" i="14"/>
  <c r="D328" i="14"/>
  <c r="H326" i="14"/>
  <c r="G326" i="14"/>
  <c r="F326" i="14"/>
  <c r="E326" i="14"/>
  <c r="D326" i="14"/>
  <c r="G324" i="14"/>
  <c r="F324" i="14"/>
  <c r="E324" i="14"/>
  <c r="D324" i="14"/>
  <c r="C324" i="14"/>
  <c r="G323" i="14"/>
  <c r="F323" i="14"/>
  <c r="E323" i="14"/>
  <c r="D323" i="14"/>
  <c r="C323" i="14"/>
  <c r="G322" i="14"/>
  <c r="F322" i="14"/>
  <c r="E322" i="14"/>
  <c r="D322" i="14"/>
  <c r="C322" i="14"/>
  <c r="G321" i="14"/>
  <c r="F321" i="14"/>
  <c r="E321" i="14"/>
  <c r="D321" i="14"/>
  <c r="C321" i="14"/>
  <c r="G320" i="14"/>
  <c r="F320" i="14"/>
  <c r="E320" i="14"/>
  <c r="D320" i="14"/>
  <c r="C320" i="14"/>
  <c r="W319" i="14"/>
  <c r="G319" i="14"/>
  <c r="F319" i="14"/>
  <c r="E319" i="14"/>
  <c r="D319" i="14"/>
  <c r="C319" i="14"/>
  <c r="W318" i="14"/>
  <c r="G318" i="14"/>
  <c r="F318" i="14"/>
  <c r="E318" i="14"/>
  <c r="D318" i="14"/>
  <c r="C318" i="14"/>
  <c r="W317" i="14"/>
  <c r="G317" i="14"/>
  <c r="F317" i="14"/>
  <c r="E317" i="14"/>
  <c r="D317" i="14"/>
  <c r="C317" i="14"/>
  <c r="G316" i="14"/>
  <c r="F316" i="14"/>
  <c r="E316" i="14"/>
  <c r="D316" i="14"/>
  <c r="C316" i="14"/>
  <c r="G315" i="14"/>
  <c r="F315" i="14"/>
  <c r="D315" i="14"/>
  <c r="C315" i="14"/>
  <c r="G314" i="14"/>
  <c r="F314" i="14"/>
  <c r="E314" i="14"/>
  <c r="D314" i="14"/>
  <c r="C314" i="14"/>
  <c r="G313" i="14"/>
  <c r="F313" i="14"/>
  <c r="E313" i="14"/>
  <c r="D313" i="14"/>
  <c r="C313" i="14"/>
  <c r="W312" i="14"/>
  <c r="G312" i="14"/>
  <c r="F312" i="14"/>
  <c r="E312" i="14"/>
  <c r="D312" i="14"/>
  <c r="C312" i="14"/>
  <c r="G311" i="14"/>
  <c r="F311" i="14"/>
  <c r="E311" i="14"/>
  <c r="D311" i="14"/>
  <c r="C311" i="14"/>
  <c r="H309" i="14"/>
  <c r="G309" i="14"/>
  <c r="F309" i="14"/>
  <c r="E309" i="14"/>
  <c r="D309" i="14"/>
  <c r="W308" i="14"/>
  <c r="H308" i="14"/>
  <c r="G308" i="14"/>
  <c r="F308" i="14"/>
  <c r="E308" i="14"/>
  <c r="D308" i="14"/>
  <c r="W306" i="14"/>
  <c r="I306" i="14"/>
  <c r="U306" i="14" s="1"/>
  <c r="H306" i="14"/>
  <c r="G306" i="14"/>
  <c r="F306" i="14"/>
  <c r="E306" i="14"/>
  <c r="D306" i="14"/>
  <c r="W305" i="14"/>
  <c r="I305" i="14"/>
  <c r="U305" i="14" s="1"/>
  <c r="H305" i="14"/>
  <c r="G305" i="14"/>
  <c r="F305" i="14"/>
  <c r="E305" i="14"/>
  <c r="D305" i="14"/>
  <c r="W304" i="14"/>
  <c r="I304" i="14"/>
  <c r="U304" i="14" s="1"/>
  <c r="H304" i="14"/>
  <c r="G304" i="14"/>
  <c r="F304" i="14"/>
  <c r="E304" i="14"/>
  <c r="D304" i="14"/>
  <c r="W303" i="14"/>
  <c r="I303" i="14"/>
  <c r="U303" i="14" s="1"/>
  <c r="H303" i="14"/>
  <c r="G303" i="14"/>
  <c r="F303" i="14"/>
  <c r="E303" i="14"/>
  <c r="D303" i="14"/>
  <c r="W302" i="14"/>
  <c r="I302" i="14"/>
  <c r="U302" i="14" s="1"/>
  <c r="H302" i="14"/>
  <c r="G302" i="14"/>
  <c r="F302" i="14"/>
  <c r="E302" i="14"/>
  <c r="D302" i="14"/>
  <c r="W301" i="14"/>
  <c r="I301" i="14"/>
  <c r="U301" i="14" s="1"/>
  <c r="H301" i="14"/>
  <c r="G301" i="14"/>
  <c r="F301" i="14"/>
  <c r="E301" i="14"/>
  <c r="D301" i="14"/>
  <c r="W300" i="14"/>
  <c r="I300" i="14"/>
  <c r="U300" i="14" s="1"/>
  <c r="H300" i="14"/>
  <c r="G300" i="14"/>
  <c r="F300" i="14"/>
  <c r="E300" i="14"/>
  <c r="D300" i="14"/>
  <c r="W299" i="14"/>
  <c r="I299" i="14"/>
  <c r="U299" i="14" s="1"/>
  <c r="H299" i="14"/>
  <c r="G299" i="14"/>
  <c r="F299" i="14"/>
  <c r="E299" i="14"/>
  <c r="D299" i="14"/>
  <c r="W298" i="14"/>
  <c r="J298" i="14"/>
  <c r="U298" i="14" s="1"/>
  <c r="G297" i="14"/>
  <c r="F297" i="14"/>
  <c r="D297" i="14"/>
  <c r="C297" i="14"/>
  <c r="G296" i="14"/>
  <c r="F296" i="14"/>
  <c r="D296" i="14"/>
  <c r="C296" i="14"/>
  <c r="G295" i="14"/>
  <c r="F295" i="14"/>
  <c r="D295" i="14"/>
  <c r="C295" i="14"/>
  <c r="G294" i="14"/>
  <c r="F294" i="14"/>
  <c r="D294" i="14"/>
  <c r="C294" i="14"/>
  <c r="G293" i="14"/>
  <c r="F293" i="14"/>
  <c r="D293" i="14"/>
  <c r="C293" i="14"/>
  <c r="G292" i="14"/>
  <c r="F292" i="14"/>
  <c r="D292" i="14"/>
  <c r="C292" i="14"/>
  <c r="G291" i="14"/>
  <c r="F291" i="14"/>
  <c r="D291" i="14"/>
  <c r="C291" i="14"/>
  <c r="G290" i="14"/>
  <c r="F290" i="14"/>
  <c r="D290" i="14"/>
  <c r="C290" i="14"/>
  <c r="G289" i="14"/>
  <c r="F289" i="14"/>
  <c r="D289" i="14"/>
  <c r="C289" i="14"/>
  <c r="W287" i="14"/>
  <c r="G287" i="14"/>
  <c r="F287" i="14"/>
  <c r="E287" i="14"/>
  <c r="D287" i="14"/>
  <c r="C287" i="14"/>
  <c r="G286" i="14"/>
  <c r="F286" i="14"/>
  <c r="E286" i="14"/>
  <c r="D286" i="14"/>
  <c r="C286" i="14"/>
  <c r="G285" i="14"/>
  <c r="F285" i="14"/>
  <c r="D285" i="14"/>
  <c r="C285" i="14"/>
  <c r="G283" i="14"/>
  <c r="F283" i="14"/>
  <c r="E283" i="14"/>
  <c r="D283" i="14"/>
  <c r="C283" i="14"/>
  <c r="F277" i="14"/>
  <c r="H277" i="14" s="1"/>
  <c r="W276" i="14"/>
  <c r="F276" i="14"/>
  <c r="H276" i="14" s="1"/>
  <c r="F275" i="14"/>
  <c r="H275" i="14" s="1"/>
  <c r="F274" i="14"/>
  <c r="H274" i="14" s="1"/>
  <c r="W273" i="14"/>
  <c r="F273" i="14"/>
  <c r="H273" i="14" s="1"/>
  <c r="F272" i="14"/>
  <c r="H272" i="14" s="1"/>
  <c r="W271" i="14"/>
  <c r="F271" i="14"/>
  <c r="H271" i="14" s="1"/>
  <c r="F269" i="14"/>
  <c r="H269" i="14" s="1"/>
  <c r="W267" i="14"/>
  <c r="F267" i="14"/>
  <c r="H267" i="14" s="1"/>
  <c r="F266" i="14"/>
  <c r="H266" i="14" s="1"/>
  <c r="F265" i="14"/>
  <c r="H265" i="14" s="1"/>
  <c r="W264" i="14"/>
  <c r="F264" i="14"/>
  <c r="H264" i="14" s="1"/>
  <c r="W263" i="14"/>
  <c r="G261" i="14"/>
  <c r="F261" i="14"/>
  <c r="E261" i="14"/>
  <c r="D261" i="14"/>
  <c r="C261" i="14"/>
  <c r="G260" i="14"/>
  <c r="F260" i="14"/>
  <c r="E260" i="14"/>
  <c r="D260" i="14"/>
  <c r="C260" i="14"/>
  <c r="G259" i="14"/>
  <c r="F259" i="14"/>
  <c r="E259" i="14"/>
  <c r="D259" i="14"/>
  <c r="C259" i="14"/>
  <c r="G258" i="14"/>
  <c r="F258" i="14"/>
  <c r="E258" i="14"/>
  <c r="D258" i="14"/>
  <c r="C258" i="14"/>
  <c r="W257" i="14"/>
  <c r="G257" i="14"/>
  <c r="F257" i="14"/>
  <c r="E257" i="14"/>
  <c r="D257" i="14"/>
  <c r="C257" i="14"/>
  <c r="W256" i="14"/>
  <c r="G256" i="14"/>
  <c r="F256" i="14"/>
  <c r="E256" i="14"/>
  <c r="D256" i="14"/>
  <c r="C256" i="14"/>
  <c r="G255" i="14"/>
  <c r="F255" i="14"/>
  <c r="E255" i="14"/>
  <c r="D255" i="14"/>
  <c r="C255" i="14"/>
  <c r="G254" i="14"/>
  <c r="F254" i="14"/>
  <c r="E254" i="14"/>
  <c r="D254" i="14"/>
  <c r="C254" i="14"/>
  <c r="G253" i="14"/>
  <c r="F253" i="14"/>
  <c r="E253" i="14"/>
  <c r="D253" i="14"/>
  <c r="C253" i="14"/>
  <c r="G252" i="14"/>
  <c r="F252" i="14"/>
  <c r="E252" i="14"/>
  <c r="D252" i="14"/>
  <c r="C252" i="14"/>
  <c r="G251" i="14"/>
  <c r="F251" i="14"/>
  <c r="E251" i="14"/>
  <c r="D251" i="14"/>
  <c r="C251" i="14"/>
  <c r="G250" i="14"/>
  <c r="E250" i="14"/>
  <c r="D250" i="14"/>
  <c r="C250" i="14"/>
  <c r="G249" i="14"/>
  <c r="F249" i="14"/>
  <c r="D249" i="14"/>
  <c r="C249" i="14"/>
  <c r="G248" i="14"/>
  <c r="F248" i="14"/>
  <c r="E248" i="14"/>
  <c r="D248" i="14"/>
  <c r="C248" i="14"/>
  <c r="G247" i="14"/>
  <c r="F247" i="14"/>
  <c r="E247" i="14"/>
  <c r="D247" i="14"/>
  <c r="C247" i="14"/>
  <c r="G246" i="14"/>
  <c r="F246" i="14"/>
  <c r="E246" i="14"/>
  <c r="D246" i="14"/>
  <c r="C246" i="14"/>
  <c r="G245" i="14"/>
  <c r="F245" i="14"/>
  <c r="E245" i="14"/>
  <c r="D245" i="14"/>
  <c r="C245" i="14"/>
  <c r="G244" i="14"/>
  <c r="F244" i="14"/>
  <c r="D244" i="14"/>
  <c r="C244" i="14"/>
  <c r="G243" i="14"/>
  <c r="F243" i="14"/>
  <c r="D243" i="14"/>
  <c r="C243" i="14"/>
  <c r="G242" i="14"/>
  <c r="F242" i="14"/>
  <c r="D242" i="14"/>
  <c r="C242" i="14"/>
  <c r="G241" i="14"/>
  <c r="F241" i="14"/>
  <c r="E241" i="14"/>
  <c r="D241" i="14"/>
  <c r="C241" i="14"/>
  <c r="G240" i="14"/>
  <c r="F240" i="14"/>
  <c r="D240" i="14"/>
  <c r="C240" i="14"/>
  <c r="G239" i="14"/>
  <c r="E239" i="14"/>
  <c r="D239" i="14"/>
  <c r="C239" i="14"/>
  <c r="G238" i="14"/>
  <c r="F238" i="14"/>
  <c r="D238" i="14"/>
  <c r="C238" i="14"/>
  <c r="G237" i="14"/>
  <c r="F237" i="14"/>
  <c r="D237" i="14"/>
  <c r="C237" i="14"/>
  <c r="W236" i="14"/>
  <c r="G236" i="14"/>
  <c r="F236" i="14"/>
  <c r="E236" i="14"/>
  <c r="D236" i="14"/>
  <c r="C236" i="14"/>
  <c r="G235" i="14"/>
  <c r="E235" i="14"/>
  <c r="D235" i="14"/>
  <c r="C235" i="14"/>
  <c r="G234" i="14"/>
  <c r="E234" i="14"/>
  <c r="D234" i="14"/>
  <c r="C234" i="14"/>
  <c r="G233" i="14"/>
  <c r="E233" i="14"/>
  <c r="D233" i="14"/>
  <c r="C233" i="14"/>
  <c r="G232" i="14"/>
  <c r="F232" i="14"/>
  <c r="D232" i="14"/>
  <c r="C232" i="14"/>
  <c r="G231" i="14"/>
  <c r="F231" i="14"/>
  <c r="D231" i="14"/>
  <c r="C231" i="14"/>
  <c r="G230" i="14"/>
  <c r="F230" i="14"/>
  <c r="E230" i="14"/>
  <c r="D230" i="14"/>
  <c r="C230" i="14"/>
  <c r="G229" i="14"/>
  <c r="F229" i="14"/>
  <c r="E229" i="14"/>
  <c r="D229" i="14"/>
  <c r="C229" i="14"/>
  <c r="G228" i="14"/>
  <c r="F228" i="14"/>
  <c r="E228" i="14"/>
  <c r="D228" i="14"/>
  <c r="C228" i="14"/>
  <c r="G227" i="14"/>
  <c r="F227" i="14"/>
  <c r="E227" i="14"/>
  <c r="D227" i="14"/>
  <c r="C227" i="14"/>
  <c r="G226" i="14"/>
  <c r="F226" i="14"/>
  <c r="E226" i="14"/>
  <c r="D226" i="14"/>
  <c r="C226" i="14"/>
  <c r="G224" i="14"/>
  <c r="F224" i="14"/>
  <c r="D224" i="14"/>
  <c r="C224" i="14"/>
  <c r="W223" i="14"/>
  <c r="G223" i="14"/>
  <c r="F223" i="14"/>
  <c r="E223" i="14"/>
  <c r="D223" i="14"/>
  <c r="C223" i="14"/>
  <c r="G222" i="14"/>
  <c r="F222" i="14"/>
  <c r="E222" i="14"/>
  <c r="D222" i="14"/>
  <c r="C222" i="14"/>
  <c r="G221" i="14"/>
  <c r="F221" i="14"/>
  <c r="E221" i="14"/>
  <c r="D221" i="14"/>
  <c r="C221" i="14"/>
  <c r="G220" i="14"/>
  <c r="F220" i="14"/>
  <c r="E220" i="14"/>
  <c r="D220" i="14"/>
  <c r="C220" i="14"/>
  <c r="G219" i="14"/>
  <c r="F219" i="14"/>
  <c r="E219" i="14"/>
  <c r="D219" i="14"/>
  <c r="C219" i="14"/>
  <c r="W218" i="14"/>
  <c r="G218" i="14"/>
  <c r="F218" i="14"/>
  <c r="E218" i="14"/>
  <c r="D218" i="14"/>
  <c r="C218" i="14"/>
  <c r="G217" i="14"/>
  <c r="F217" i="14"/>
  <c r="D217" i="14"/>
  <c r="C217" i="14"/>
  <c r="G216" i="14"/>
  <c r="F216" i="14"/>
  <c r="D216" i="14"/>
  <c r="C216" i="14"/>
  <c r="Q211" i="14"/>
  <c r="G211" i="14"/>
  <c r="F211" i="14"/>
  <c r="D211" i="14"/>
  <c r="C211" i="14"/>
  <c r="G210" i="14"/>
  <c r="F210" i="14"/>
  <c r="D210" i="14"/>
  <c r="C210" i="14"/>
  <c r="G209" i="14"/>
  <c r="F209" i="14"/>
  <c r="D209" i="14"/>
  <c r="C209" i="14"/>
  <c r="G207" i="14"/>
  <c r="F207" i="14"/>
  <c r="D207" i="14"/>
  <c r="C207" i="14"/>
  <c r="G206" i="14"/>
  <c r="F206" i="14"/>
  <c r="D206" i="14"/>
  <c r="C206" i="14"/>
  <c r="G205" i="14"/>
  <c r="F205" i="14"/>
  <c r="D205" i="14"/>
  <c r="C205" i="14"/>
  <c r="G203" i="14"/>
  <c r="F203" i="14"/>
  <c r="D203" i="14"/>
  <c r="C203" i="14"/>
  <c r="G202" i="14"/>
  <c r="F202" i="14"/>
  <c r="D202" i="14"/>
  <c r="C202" i="14"/>
  <c r="G201" i="14"/>
  <c r="F201" i="14"/>
  <c r="D201" i="14"/>
  <c r="C201" i="14"/>
  <c r="G200" i="14"/>
  <c r="F200" i="14"/>
  <c r="D200" i="14"/>
  <c r="C200" i="14"/>
  <c r="G199" i="14"/>
  <c r="F199" i="14"/>
  <c r="D199" i="14"/>
  <c r="C199" i="14"/>
  <c r="G198" i="14"/>
  <c r="F198" i="14"/>
  <c r="D198" i="14"/>
  <c r="C198" i="14"/>
  <c r="G197" i="14"/>
  <c r="F197" i="14"/>
  <c r="D197" i="14"/>
  <c r="C197" i="14"/>
  <c r="W196" i="14"/>
  <c r="G196" i="14"/>
  <c r="F196" i="14"/>
  <c r="W195" i="14"/>
  <c r="G195" i="14"/>
  <c r="E195" i="14"/>
  <c r="D195" i="14"/>
  <c r="C195" i="14"/>
  <c r="W194" i="14"/>
  <c r="G194" i="14"/>
  <c r="F194" i="14"/>
  <c r="E194" i="14"/>
  <c r="D194" i="14"/>
  <c r="C194" i="14"/>
  <c r="W193" i="14"/>
  <c r="G193" i="14"/>
  <c r="F193" i="14"/>
  <c r="E193" i="14"/>
  <c r="D193" i="14"/>
  <c r="C193" i="14"/>
  <c r="G192" i="14"/>
  <c r="F192" i="14"/>
  <c r="D192" i="14"/>
  <c r="C192" i="14"/>
  <c r="G191" i="14"/>
  <c r="F191" i="14"/>
  <c r="D191" i="14"/>
  <c r="C191" i="14"/>
  <c r="G190" i="14"/>
  <c r="F190" i="14"/>
  <c r="D190" i="14"/>
  <c r="C190" i="14"/>
  <c r="G189" i="14"/>
  <c r="F189" i="14"/>
  <c r="D189" i="14"/>
  <c r="C189" i="14"/>
  <c r="G188" i="14"/>
  <c r="F188" i="14"/>
  <c r="D188" i="14"/>
  <c r="C188" i="14"/>
  <c r="Q187" i="14"/>
  <c r="N187" i="14"/>
  <c r="G187" i="14"/>
  <c r="F187" i="14"/>
  <c r="D187" i="14"/>
  <c r="C187" i="14"/>
  <c r="Q185" i="14"/>
  <c r="G185" i="14"/>
  <c r="F185" i="14"/>
  <c r="D185" i="14"/>
  <c r="C185" i="14"/>
  <c r="G183" i="14"/>
  <c r="F183" i="14"/>
  <c r="D183" i="14"/>
  <c r="C183" i="14"/>
  <c r="G182" i="14"/>
  <c r="F182" i="14"/>
  <c r="E182" i="14"/>
  <c r="D182" i="14"/>
  <c r="C182" i="14"/>
  <c r="W181" i="14"/>
  <c r="G181" i="14"/>
  <c r="F181" i="14"/>
  <c r="E181" i="14"/>
  <c r="D181" i="14"/>
  <c r="C181" i="14"/>
  <c r="O180" i="14"/>
  <c r="G180" i="14"/>
  <c r="F180" i="14"/>
  <c r="D180" i="14"/>
  <c r="C180" i="14"/>
  <c r="O179" i="14"/>
  <c r="G179" i="14"/>
  <c r="F179" i="14"/>
  <c r="D179" i="14"/>
  <c r="C179" i="14"/>
  <c r="G177" i="14"/>
  <c r="F177" i="14"/>
  <c r="D177" i="14"/>
  <c r="C177" i="14"/>
  <c r="G176" i="14"/>
  <c r="F176" i="14"/>
  <c r="D176" i="14"/>
  <c r="C176" i="14"/>
  <c r="G175" i="14"/>
  <c r="F175" i="14"/>
  <c r="D175" i="14"/>
  <c r="C175" i="14"/>
  <c r="W173" i="14"/>
  <c r="G173" i="14"/>
  <c r="F173" i="14"/>
  <c r="D173" i="14"/>
  <c r="C173" i="14"/>
  <c r="G172" i="14"/>
  <c r="F172" i="14"/>
  <c r="D172" i="14"/>
  <c r="C172" i="14"/>
  <c r="W170" i="14"/>
  <c r="G170" i="14"/>
  <c r="F170" i="14"/>
  <c r="E170" i="14"/>
  <c r="D170" i="14"/>
  <c r="C170" i="14"/>
  <c r="W169" i="14"/>
  <c r="G168" i="14"/>
  <c r="F168" i="14"/>
  <c r="D168" i="14"/>
  <c r="C168" i="14"/>
  <c r="G167" i="14"/>
  <c r="F167" i="14"/>
  <c r="D167" i="14"/>
  <c r="C167" i="14"/>
  <c r="G166" i="14"/>
  <c r="F166" i="14"/>
  <c r="D166" i="14"/>
  <c r="C166" i="14"/>
  <c r="G164" i="14"/>
  <c r="F164" i="14"/>
  <c r="E164" i="14"/>
  <c r="D164" i="14"/>
  <c r="C164" i="14"/>
  <c r="W163" i="14"/>
  <c r="G163" i="14"/>
  <c r="F163" i="14"/>
  <c r="E163" i="14"/>
  <c r="D163" i="14"/>
  <c r="C163" i="14"/>
  <c r="G162" i="14"/>
  <c r="F162" i="14"/>
  <c r="E162" i="14"/>
  <c r="D162" i="14"/>
  <c r="C162" i="14"/>
  <c r="G161" i="14"/>
  <c r="F161" i="14"/>
  <c r="D161" i="14"/>
  <c r="C161" i="14"/>
  <c r="G160" i="14"/>
  <c r="F160" i="14"/>
  <c r="E160" i="14"/>
  <c r="D160" i="14"/>
  <c r="C160" i="14"/>
  <c r="G159" i="14"/>
  <c r="F159" i="14"/>
  <c r="D159" i="14"/>
  <c r="C159" i="14"/>
  <c r="G158" i="14"/>
  <c r="F158" i="14"/>
  <c r="D158" i="14"/>
  <c r="C158" i="14"/>
  <c r="G157" i="14"/>
  <c r="F157" i="14"/>
  <c r="E157" i="14"/>
  <c r="D157" i="14"/>
  <c r="C157" i="14"/>
  <c r="G155" i="14"/>
  <c r="F155" i="14"/>
  <c r="D155" i="14"/>
  <c r="C155" i="14"/>
  <c r="G153" i="14"/>
  <c r="F153" i="14"/>
  <c r="D153" i="14"/>
  <c r="C153" i="14"/>
  <c r="G152" i="14"/>
  <c r="D152" i="14"/>
  <c r="C152" i="14"/>
  <c r="G151" i="14"/>
  <c r="F151" i="14"/>
  <c r="D151" i="14"/>
  <c r="C151" i="14"/>
  <c r="G150" i="14"/>
  <c r="F150" i="14"/>
  <c r="D150" i="14"/>
  <c r="C150" i="14"/>
  <c r="G149" i="14"/>
  <c r="F149" i="14"/>
  <c r="D149" i="14"/>
  <c r="C149" i="14"/>
  <c r="G148" i="14"/>
  <c r="F148" i="14"/>
  <c r="D148" i="14"/>
  <c r="C148" i="14"/>
  <c r="G147" i="14"/>
  <c r="F147" i="14"/>
  <c r="D147" i="14"/>
  <c r="C147" i="14"/>
  <c r="W146" i="14"/>
  <c r="G146" i="14"/>
  <c r="F146" i="14"/>
  <c r="E146" i="14"/>
  <c r="D146" i="14"/>
  <c r="C146" i="14"/>
  <c r="W145" i="14"/>
  <c r="G145" i="14"/>
  <c r="F145" i="14"/>
  <c r="E145" i="14"/>
  <c r="D145" i="14"/>
  <c r="C145" i="14"/>
  <c r="W144" i="14"/>
  <c r="G144" i="14"/>
  <c r="F144" i="14"/>
  <c r="E144" i="14"/>
  <c r="D144" i="14"/>
  <c r="C144" i="14"/>
  <c r="G143" i="14"/>
  <c r="F143" i="14"/>
  <c r="D143" i="14"/>
  <c r="C143" i="14"/>
  <c r="G142" i="14"/>
  <c r="F142" i="14"/>
  <c r="E142" i="14"/>
  <c r="D142" i="14"/>
  <c r="C142" i="14"/>
  <c r="G141" i="14"/>
  <c r="F141" i="14"/>
  <c r="E141" i="14"/>
  <c r="D141" i="14"/>
  <c r="C141" i="14"/>
  <c r="G140" i="14"/>
  <c r="F140" i="14"/>
  <c r="E140" i="14"/>
  <c r="D140" i="14"/>
  <c r="C140" i="14"/>
  <c r="G139" i="14"/>
  <c r="F139" i="14"/>
  <c r="D139" i="14"/>
  <c r="C139" i="14"/>
  <c r="G138" i="14"/>
  <c r="F138" i="14"/>
  <c r="E138" i="14"/>
  <c r="D138" i="14"/>
  <c r="C138" i="14"/>
  <c r="W136" i="14"/>
  <c r="G136" i="14"/>
  <c r="F136" i="14"/>
  <c r="E136" i="14"/>
  <c r="D136" i="14"/>
  <c r="C136" i="14"/>
  <c r="W135" i="14"/>
  <c r="G135" i="14"/>
  <c r="F135" i="14"/>
  <c r="E135" i="14"/>
  <c r="D135" i="14"/>
  <c r="C135" i="14"/>
  <c r="W134" i="14"/>
  <c r="G134" i="14"/>
  <c r="F134" i="14"/>
  <c r="E134" i="14"/>
  <c r="D134" i="14"/>
  <c r="C134" i="14"/>
  <c r="W133" i="14"/>
  <c r="G133" i="14"/>
  <c r="F133" i="14"/>
  <c r="E133" i="14"/>
  <c r="D133" i="14"/>
  <c r="C133" i="14"/>
  <c r="G132" i="14"/>
  <c r="F132" i="14"/>
  <c r="D132" i="14"/>
  <c r="C132" i="14"/>
  <c r="G131" i="14"/>
  <c r="F131" i="14"/>
  <c r="D131" i="14"/>
  <c r="C131" i="14"/>
  <c r="G130" i="14"/>
  <c r="F130" i="14"/>
  <c r="D130" i="14"/>
  <c r="C130" i="14"/>
  <c r="G129" i="14"/>
  <c r="F129" i="14"/>
  <c r="D129" i="14"/>
  <c r="C129" i="14"/>
  <c r="G128" i="14"/>
  <c r="D128" i="14"/>
  <c r="C128" i="14"/>
  <c r="G127" i="14"/>
  <c r="F127" i="14"/>
  <c r="D127" i="14"/>
  <c r="C127" i="14"/>
  <c r="G126" i="14"/>
  <c r="F126" i="14"/>
  <c r="E126" i="14"/>
  <c r="D126" i="14"/>
  <c r="C126" i="14"/>
  <c r="G125" i="14"/>
  <c r="F125" i="14"/>
  <c r="E125" i="14"/>
  <c r="D125" i="14"/>
  <c r="C125" i="14"/>
  <c r="G124" i="14"/>
  <c r="F124" i="14"/>
  <c r="D124" i="14"/>
  <c r="C124" i="14"/>
  <c r="G123" i="14"/>
  <c r="F123" i="14"/>
  <c r="D123" i="14"/>
  <c r="C123" i="14"/>
  <c r="G122" i="14"/>
  <c r="F122" i="14"/>
  <c r="E122" i="14"/>
  <c r="D122" i="14"/>
  <c r="C122" i="14"/>
  <c r="G121" i="14"/>
  <c r="F121" i="14"/>
  <c r="E121" i="14"/>
  <c r="D121" i="14"/>
  <c r="C121" i="14"/>
  <c r="G120" i="14"/>
  <c r="F120" i="14"/>
  <c r="D120" i="14"/>
  <c r="C120" i="14"/>
  <c r="W119" i="14"/>
  <c r="G119" i="14"/>
  <c r="F119" i="14"/>
  <c r="E119" i="14"/>
  <c r="D119" i="14"/>
  <c r="C119" i="14"/>
  <c r="W118" i="14"/>
  <c r="G118" i="14"/>
  <c r="F118" i="14"/>
  <c r="E118" i="14"/>
  <c r="D118" i="14"/>
  <c r="C118" i="14"/>
  <c r="G117" i="14"/>
  <c r="F117" i="14"/>
  <c r="E117" i="14"/>
  <c r="D117" i="14"/>
  <c r="C117" i="14"/>
  <c r="W116" i="14"/>
  <c r="G116" i="14"/>
  <c r="F116" i="14"/>
  <c r="E116" i="14"/>
  <c r="D116" i="14"/>
  <c r="C116" i="14"/>
  <c r="G115" i="14"/>
  <c r="F115" i="14"/>
  <c r="D115" i="14"/>
  <c r="C115" i="14"/>
  <c r="G114" i="14"/>
  <c r="F114" i="14"/>
  <c r="D114" i="14"/>
  <c r="C114" i="14"/>
  <c r="W113" i="14"/>
  <c r="G113" i="14"/>
  <c r="E113" i="14"/>
  <c r="D113" i="14"/>
  <c r="C113" i="14"/>
  <c r="W112" i="14"/>
  <c r="G112" i="14"/>
  <c r="F112" i="14"/>
  <c r="E112" i="14"/>
  <c r="D112" i="14"/>
  <c r="C112" i="14"/>
  <c r="W111" i="14"/>
  <c r="G111" i="14"/>
  <c r="F111" i="14"/>
  <c r="E111" i="14"/>
  <c r="D111" i="14"/>
  <c r="C111" i="14"/>
  <c r="G110" i="14"/>
  <c r="F110" i="14"/>
  <c r="D110" i="14"/>
  <c r="C110" i="14"/>
  <c r="W109" i="14"/>
  <c r="G109" i="14"/>
  <c r="F109" i="14"/>
  <c r="E109" i="14"/>
  <c r="D109" i="14"/>
  <c r="C109" i="14"/>
  <c r="G108" i="14"/>
  <c r="F108" i="14"/>
  <c r="D108" i="14"/>
  <c r="C108" i="14"/>
  <c r="H107" i="14"/>
  <c r="G107" i="14"/>
  <c r="F107" i="14"/>
  <c r="D107" i="14"/>
  <c r="C107" i="14"/>
  <c r="G106" i="14"/>
  <c r="F106" i="14"/>
  <c r="E106" i="14"/>
  <c r="D106" i="14"/>
  <c r="C106" i="14"/>
  <c r="G105" i="14"/>
  <c r="F105" i="14"/>
  <c r="D105" i="14"/>
  <c r="C105" i="14"/>
  <c r="G104" i="14"/>
  <c r="F104" i="14"/>
  <c r="E104" i="14"/>
  <c r="D104" i="14"/>
  <c r="C104" i="14"/>
  <c r="G103" i="14"/>
  <c r="F103" i="14"/>
  <c r="D103" i="14"/>
  <c r="C103" i="14"/>
  <c r="G102" i="14"/>
  <c r="F102" i="14"/>
  <c r="E102" i="14"/>
  <c r="D102" i="14"/>
  <c r="C102" i="14"/>
  <c r="G101" i="14"/>
  <c r="F101" i="14"/>
  <c r="E101" i="14"/>
  <c r="D101" i="14"/>
  <c r="C101" i="14"/>
  <c r="G99" i="14"/>
  <c r="F99" i="14"/>
  <c r="E99" i="14"/>
  <c r="D99" i="14"/>
  <c r="C99" i="14"/>
  <c r="G98" i="14"/>
  <c r="F98" i="14"/>
  <c r="D98" i="14"/>
  <c r="C98" i="14"/>
  <c r="W97" i="14"/>
  <c r="G97" i="14"/>
  <c r="F97" i="14"/>
  <c r="E97" i="14"/>
  <c r="D97" i="14"/>
  <c r="C97" i="14"/>
  <c r="W96" i="14"/>
  <c r="G96" i="14"/>
  <c r="F96" i="14"/>
  <c r="E96" i="14"/>
  <c r="D96" i="14"/>
  <c r="C96" i="14"/>
  <c r="W95" i="14"/>
  <c r="G95" i="14"/>
  <c r="F95" i="14"/>
  <c r="E95" i="14"/>
  <c r="D95" i="14"/>
  <c r="C95" i="14"/>
  <c r="W94" i="14"/>
  <c r="G94" i="14"/>
  <c r="F94" i="14"/>
  <c r="E94" i="14"/>
  <c r="D94" i="14"/>
  <c r="C94" i="14"/>
  <c r="W93" i="14"/>
  <c r="G93" i="14"/>
  <c r="F93" i="14"/>
  <c r="E93" i="14"/>
  <c r="D93" i="14"/>
  <c r="C93" i="14"/>
  <c r="W92" i="14"/>
  <c r="G92" i="14"/>
  <c r="F92" i="14"/>
  <c r="E92" i="14"/>
  <c r="D92" i="14"/>
  <c r="C92" i="14"/>
  <c r="G91" i="14"/>
  <c r="F91" i="14"/>
  <c r="D91" i="14"/>
  <c r="C91" i="14"/>
  <c r="G90" i="14"/>
  <c r="F90" i="14"/>
  <c r="D90" i="14"/>
  <c r="C90" i="14"/>
  <c r="W89" i="14"/>
  <c r="G89" i="14"/>
  <c r="F89" i="14"/>
  <c r="E89" i="14"/>
  <c r="D89" i="14"/>
  <c r="C89" i="14"/>
  <c r="W88" i="14"/>
  <c r="G88" i="14"/>
  <c r="F88" i="14"/>
  <c r="E88" i="14"/>
  <c r="D88" i="14"/>
  <c r="C88" i="14"/>
  <c r="W87" i="14"/>
  <c r="G87" i="14"/>
  <c r="F87" i="14"/>
  <c r="E87" i="14"/>
  <c r="D87" i="14"/>
  <c r="C87" i="14"/>
  <c r="G86" i="14"/>
  <c r="F86" i="14"/>
  <c r="E86" i="14"/>
  <c r="D86" i="14"/>
  <c r="C86" i="14"/>
  <c r="G85" i="14"/>
  <c r="F85" i="14"/>
  <c r="E85" i="14"/>
  <c r="D85" i="14"/>
  <c r="C85" i="14"/>
  <c r="W83" i="14"/>
  <c r="G83" i="14"/>
  <c r="F83" i="14"/>
  <c r="E83" i="14"/>
  <c r="D83" i="14"/>
  <c r="C83" i="14"/>
  <c r="G82" i="14"/>
  <c r="F82" i="14"/>
  <c r="D82" i="14"/>
  <c r="C82" i="14"/>
  <c r="G81" i="14"/>
  <c r="F81" i="14"/>
  <c r="D81" i="14"/>
  <c r="C81" i="14"/>
  <c r="G80" i="14"/>
  <c r="F80" i="14"/>
  <c r="D80" i="14"/>
  <c r="C80" i="14"/>
  <c r="G79" i="14"/>
  <c r="F79" i="14"/>
  <c r="D79" i="14"/>
  <c r="C79" i="14"/>
  <c r="G78" i="14"/>
  <c r="F78" i="14"/>
  <c r="D78" i="14"/>
  <c r="C78" i="14"/>
  <c r="W77" i="14"/>
  <c r="G77" i="14"/>
  <c r="F77" i="14"/>
  <c r="D77" i="14"/>
  <c r="C77" i="14"/>
  <c r="G76" i="14"/>
  <c r="F76" i="14"/>
  <c r="E76" i="14"/>
  <c r="D76" i="14"/>
  <c r="C76" i="14"/>
  <c r="W75" i="14"/>
  <c r="G75" i="14"/>
  <c r="F75" i="14"/>
  <c r="E75" i="14"/>
  <c r="D75" i="14"/>
  <c r="C75" i="14"/>
  <c r="G74" i="14"/>
  <c r="F74" i="14"/>
  <c r="D74" i="14"/>
  <c r="C74" i="14"/>
  <c r="G73" i="14"/>
  <c r="F73" i="14"/>
  <c r="D73" i="14"/>
  <c r="C73" i="14"/>
  <c r="W71" i="14"/>
  <c r="G71" i="14"/>
  <c r="F71" i="14"/>
  <c r="E71" i="14"/>
  <c r="D71" i="14"/>
  <c r="C71" i="14"/>
  <c r="G70" i="14"/>
  <c r="F70" i="14"/>
  <c r="D70" i="14"/>
  <c r="C70" i="14"/>
  <c r="G69" i="14"/>
  <c r="F69" i="14"/>
  <c r="D69" i="14"/>
  <c r="C69" i="14"/>
  <c r="G68" i="14"/>
  <c r="F68" i="14"/>
  <c r="D68" i="14"/>
  <c r="C68" i="14"/>
  <c r="W67" i="14"/>
  <c r="G67" i="14"/>
  <c r="F67" i="14"/>
  <c r="E67" i="14"/>
  <c r="D67" i="14"/>
  <c r="C67" i="14"/>
  <c r="W66" i="14"/>
  <c r="G66" i="14"/>
  <c r="F66" i="14"/>
  <c r="E66" i="14"/>
  <c r="D66" i="14"/>
  <c r="C66" i="14"/>
  <c r="W65" i="14"/>
  <c r="G65" i="14"/>
  <c r="F65" i="14"/>
  <c r="E65" i="14"/>
  <c r="D65" i="14"/>
  <c r="C65" i="14"/>
  <c r="G64" i="14"/>
  <c r="F64" i="14"/>
  <c r="D64" i="14"/>
  <c r="C64" i="14"/>
  <c r="W63" i="14"/>
  <c r="G63" i="14"/>
  <c r="F63" i="14"/>
  <c r="E63" i="14"/>
  <c r="D63" i="14"/>
  <c r="C63" i="14"/>
  <c r="W62" i="14"/>
  <c r="G62" i="14"/>
  <c r="F62" i="14"/>
  <c r="E62" i="14"/>
  <c r="D62" i="14"/>
  <c r="C62" i="14"/>
  <c r="Q61" i="14"/>
  <c r="G61" i="14"/>
  <c r="F61" i="14"/>
  <c r="D61" i="14"/>
  <c r="C61" i="14"/>
  <c r="G60" i="14"/>
  <c r="F60" i="14"/>
  <c r="E60" i="14"/>
  <c r="D60" i="14"/>
  <c r="C60" i="14"/>
  <c r="W58" i="14"/>
  <c r="G58" i="14"/>
  <c r="F58" i="14"/>
  <c r="E58" i="14"/>
  <c r="D58" i="14"/>
  <c r="C58" i="14"/>
  <c r="G57" i="14"/>
  <c r="F57" i="14"/>
  <c r="D57" i="14"/>
  <c r="C57" i="14"/>
  <c r="G56" i="14"/>
  <c r="F56" i="14"/>
  <c r="D56" i="14"/>
  <c r="C56" i="14"/>
  <c r="W55" i="14"/>
  <c r="G55" i="14"/>
  <c r="F55" i="14"/>
  <c r="E55" i="14"/>
  <c r="D55" i="14"/>
  <c r="C55" i="14"/>
  <c r="W54" i="14"/>
  <c r="G54" i="14"/>
  <c r="F54" i="14"/>
  <c r="E54" i="14"/>
  <c r="D54" i="14"/>
  <c r="C54" i="14"/>
  <c r="G53" i="14"/>
  <c r="F53" i="14"/>
  <c r="D53" i="14"/>
  <c r="C53" i="14"/>
  <c r="G52" i="14"/>
  <c r="F52" i="14"/>
  <c r="D52" i="14"/>
  <c r="C52" i="14"/>
  <c r="G51" i="14"/>
  <c r="F51" i="14"/>
  <c r="E51" i="14"/>
  <c r="D51" i="14"/>
  <c r="C51" i="14"/>
  <c r="G49" i="14"/>
  <c r="F49" i="14"/>
  <c r="D49" i="14"/>
  <c r="C49" i="14"/>
  <c r="G48" i="14"/>
  <c r="F48" i="14"/>
  <c r="D48" i="14"/>
  <c r="C48" i="14"/>
  <c r="W47" i="14"/>
  <c r="G47" i="14"/>
  <c r="F47" i="14"/>
  <c r="E47" i="14"/>
  <c r="D47" i="14"/>
  <c r="C47" i="14"/>
  <c r="G46" i="14"/>
  <c r="F46" i="14"/>
  <c r="D46" i="14"/>
  <c r="C46" i="14"/>
  <c r="G45" i="14"/>
  <c r="F45" i="14"/>
  <c r="D45" i="14"/>
  <c r="C45" i="14"/>
  <c r="W43" i="14"/>
  <c r="I43" i="14"/>
  <c r="U43" i="14" s="1"/>
  <c r="H43" i="14"/>
  <c r="G43" i="14"/>
  <c r="F43" i="14"/>
  <c r="E43" i="14"/>
  <c r="D43" i="14"/>
  <c r="W42" i="14"/>
  <c r="I42" i="14"/>
  <c r="U42" i="14" s="1"/>
  <c r="H42" i="14"/>
  <c r="G42" i="14"/>
  <c r="F42" i="14"/>
  <c r="E42" i="14"/>
  <c r="D42" i="14"/>
  <c r="W41" i="14"/>
  <c r="I41" i="14"/>
  <c r="U41" i="14" s="1"/>
  <c r="H41" i="14"/>
  <c r="G41" i="14"/>
  <c r="F41" i="14"/>
  <c r="E41" i="14"/>
  <c r="D41" i="14"/>
  <c r="W40" i="14"/>
  <c r="I40" i="14"/>
  <c r="U40" i="14" s="1"/>
  <c r="H40" i="14"/>
  <c r="G40" i="14"/>
  <c r="F40" i="14"/>
  <c r="E40" i="14"/>
  <c r="D40" i="14"/>
  <c r="W39" i="14"/>
  <c r="I39" i="14"/>
  <c r="U39" i="14" s="1"/>
  <c r="H39" i="14"/>
  <c r="G39" i="14"/>
  <c r="F39" i="14"/>
  <c r="E39" i="14"/>
  <c r="D39" i="14"/>
  <c r="W38" i="14"/>
  <c r="I38" i="14"/>
  <c r="U38" i="14" s="1"/>
  <c r="H38" i="14"/>
  <c r="G38" i="14"/>
  <c r="F38" i="14"/>
  <c r="E38" i="14"/>
  <c r="D38" i="14"/>
  <c r="W37" i="14"/>
  <c r="I37" i="14"/>
  <c r="U37" i="14" s="1"/>
  <c r="H37" i="14"/>
  <c r="G37" i="14"/>
  <c r="F37" i="14"/>
  <c r="E37" i="14"/>
  <c r="D37" i="14"/>
  <c r="W36" i="14"/>
  <c r="I36" i="14"/>
  <c r="U36" i="14" s="1"/>
  <c r="H36" i="14"/>
  <c r="G36" i="14"/>
  <c r="F36" i="14"/>
  <c r="E36" i="14"/>
  <c r="D36" i="14"/>
  <c r="W35" i="14"/>
  <c r="J35" i="14"/>
  <c r="U35" i="14" s="1"/>
  <c r="G34" i="14"/>
  <c r="F34" i="14"/>
  <c r="D34" i="14"/>
  <c r="C34" i="14"/>
  <c r="G33" i="14"/>
  <c r="F33" i="14"/>
  <c r="D33" i="14"/>
  <c r="C33" i="14"/>
  <c r="W32" i="14"/>
  <c r="G32" i="14"/>
  <c r="F32" i="14"/>
  <c r="E32" i="14"/>
  <c r="D32" i="14"/>
  <c r="C32" i="14"/>
  <c r="W31" i="14"/>
  <c r="G31" i="14"/>
  <c r="F31" i="14"/>
  <c r="E31" i="14"/>
  <c r="D31" i="14"/>
  <c r="C31" i="14"/>
  <c r="G30" i="14"/>
  <c r="F30" i="14"/>
  <c r="D30" i="14"/>
  <c r="C30" i="14"/>
  <c r="G29" i="14"/>
  <c r="D29" i="14"/>
  <c r="C29" i="14"/>
  <c r="G28" i="14"/>
  <c r="F28" i="14"/>
  <c r="E28" i="14"/>
  <c r="D28" i="14"/>
  <c r="C28" i="14"/>
  <c r="G27" i="14"/>
  <c r="E27" i="14"/>
  <c r="D27" i="14"/>
  <c r="C27" i="14"/>
  <c r="W26" i="14"/>
  <c r="G26" i="14"/>
  <c r="F26" i="14"/>
  <c r="E26" i="14"/>
  <c r="D26" i="14"/>
  <c r="C26" i="14"/>
  <c r="G25" i="14"/>
  <c r="F25" i="14"/>
  <c r="D25" i="14"/>
  <c r="C25" i="14"/>
  <c r="G23" i="14"/>
  <c r="F23" i="14"/>
  <c r="E23" i="14"/>
  <c r="D23" i="14"/>
  <c r="C23" i="14"/>
  <c r="G21" i="14"/>
  <c r="D21" i="14"/>
  <c r="C21" i="14"/>
  <c r="M15" i="14"/>
  <c r="R9" i="14"/>
  <c r="I9" i="14"/>
  <c r="S4" i="14" s="1"/>
  <c r="S8" i="14"/>
  <c r="S6" i="14"/>
  <c r="C35" i="16" l="1"/>
  <c r="E35" i="16" s="1"/>
  <c r="E12" i="16"/>
  <c r="I275" i="15"/>
  <c r="J5" i="14"/>
  <c r="S5" i="14"/>
  <c r="J6" i="14"/>
  <c r="S9" i="14"/>
  <c r="M16" i="14"/>
  <c r="J4" i="14"/>
  <c r="M17" i="14"/>
  <c r="J8" i="14"/>
  <c r="S7" i="14"/>
  <c r="J7" i="14"/>
  <c r="J9" i="14"/>
  <c r="I26" i="13" l="1"/>
  <c r="J265" i="6"/>
  <c r="K265" i="6" s="1"/>
  <c r="C26" i="13" s="1"/>
  <c r="G26" i="13" s="1"/>
  <c r="C261" i="11" l="1"/>
  <c r="E71" i="13"/>
  <c r="E62" i="13"/>
  <c r="E57" i="13"/>
  <c r="E29" i="13"/>
  <c r="E49" i="13"/>
  <c r="E19" i="13"/>
  <c r="E13" i="13"/>
  <c r="I69" i="13"/>
  <c r="I22" i="13"/>
  <c r="I66" i="13"/>
  <c r="E73" i="13" l="1"/>
  <c r="H261" i="11"/>
  <c r="U261" i="11" s="1"/>
  <c r="N261" i="11"/>
  <c r="E51" i="13"/>
  <c r="W196" i="12"/>
  <c r="Q61" i="12"/>
  <c r="Q211" i="12"/>
  <c r="H194" i="6"/>
  <c r="F195" i="14" s="1"/>
  <c r="G196" i="12"/>
  <c r="F196" i="12"/>
  <c r="Q187" i="12"/>
  <c r="N187" i="12"/>
  <c r="Q185" i="12"/>
  <c r="O179" i="12"/>
  <c r="O180" i="12"/>
  <c r="G167" i="12"/>
  <c r="J195" i="6" l="1"/>
  <c r="H196" i="14" s="1"/>
  <c r="K195" i="6" l="1"/>
  <c r="H196" i="12"/>
  <c r="S329" i="12"/>
  <c r="M15" i="12" s="1"/>
  <c r="M17" i="12" s="1"/>
  <c r="R328" i="12"/>
  <c r="R327" i="12"/>
  <c r="H328" i="12"/>
  <c r="G328" i="12"/>
  <c r="F328" i="12"/>
  <c r="E328" i="12"/>
  <c r="D328" i="12"/>
  <c r="H327" i="12"/>
  <c r="G327" i="12"/>
  <c r="F327" i="12"/>
  <c r="E327" i="12"/>
  <c r="D327" i="12"/>
  <c r="H325" i="12"/>
  <c r="G325" i="12"/>
  <c r="F325" i="12"/>
  <c r="E325" i="12"/>
  <c r="D325" i="12"/>
  <c r="H324" i="12"/>
  <c r="G324" i="12"/>
  <c r="F324" i="12"/>
  <c r="E324" i="12"/>
  <c r="D324" i="12"/>
  <c r="H323" i="12"/>
  <c r="G323" i="12"/>
  <c r="F323" i="12"/>
  <c r="E323" i="12"/>
  <c r="D323" i="12"/>
  <c r="H321" i="12"/>
  <c r="G321" i="12"/>
  <c r="F321" i="12"/>
  <c r="E321" i="12"/>
  <c r="D321" i="12"/>
  <c r="H319" i="12"/>
  <c r="G319" i="12"/>
  <c r="F319" i="12"/>
  <c r="E319" i="12"/>
  <c r="D319" i="12"/>
  <c r="G317" i="12"/>
  <c r="F317" i="12"/>
  <c r="E317" i="12"/>
  <c r="D317" i="12"/>
  <c r="C317" i="12"/>
  <c r="G316" i="12"/>
  <c r="F316" i="12"/>
  <c r="E316" i="12"/>
  <c r="D316" i="12"/>
  <c r="C316" i="12"/>
  <c r="G315" i="12"/>
  <c r="F315" i="12"/>
  <c r="E315" i="12"/>
  <c r="D315" i="12"/>
  <c r="C315" i="12"/>
  <c r="G314" i="12"/>
  <c r="F314" i="12"/>
  <c r="E314" i="12"/>
  <c r="D314" i="12"/>
  <c r="C314" i="12"/>
  <c r="G313" i="12"/>
  <c r="F313" i="12"/>
  <c r="E313" i="12"/>
  <c r="D313" i="12"/>
  <c r="C313" i="12"/>
  <c r="W312" i="12"/>
  <c r="G312" i="12"/>
  <c r="F312" i="12"/>
  <c r="E312" i="12"/>
  <c r="D312" i="12"/>
  <c r="C312" i="12"/>
  <c r="G311" i="12"/>
  <c r="F311" i="12"/>
  <c r="E311" i="12"/>
  <c r="D311" i="12"/>
  <c r="C311" i="12"/>
  <c r="G310" i="12"/>
  <c r="F310" i="12"/>
  <c r="E310" i="12"/>
  <c r="D310" i="12"/>
  <c r="C310" i="12"/>
  <c r="G309" i="12"/>
  <c r="F309" i="12"/>
  <c r="E309" i="12"/>
  <c r="D309" i="12"/>
  <c r="C309" i="12"/>
  <c r="G308" i="12"/>
  <c r="F308" i="12"/>
  <c r="D308" i="12"/>
  <c r="C308" i="12"/>
  <c r="G307" i="12"/>
  <c r="F307" i="12"/>
  <c r="E307" i="12"/>
  <c r="D307" i="12"/>
  <c r="C307" i="12"/>
  <c r="G306" i="12"/>
  <c r="F306" i="12"/>
  <c r="E306" i="12"/>
  <c r="D306" i="12"/>
  <c r="C306" i="12"/>
  <c r="W305" i="12"/>
  <c r="G305" i="12"/>
  <c r="F305" i="12"/>
  <c r="E305" i="12"/>
  <c r="D305" i="12"/>
  <c r="C305" i="12"/>
  <c r="G304" i="12"/>
  <c r="F304" i="12"/>
  <c r="E304" i="12"/>
  <c r="D304" i="12"/>
  <c r="C304" i="12"/>
  <c r="H302" i="12"/>
  <c r="G302" i="12"/>
  <c r="F302" i="12"/>
  <c r="E302" i="12"/>
  <c r="D302" i="12"/>
  <c r="H301" i="12"/>
  <c r="G301" i="12"/>
  <c r="F301" i="12"/>
  <c r="E301" i="12"/>
  <c r="D301" i="12"/>
  <c r="W299" i="12"/>
  <c r="I299" i="12"/>
  <c r="U299" i="12" s="1"/>
  <c r="H299" i="12"/>
  <c r="G299" i="12"/>
  <c r="F299" i="12"/>
  <c r="E299" i="12"/>
  <c r="D299" i="12"/>
  <c r="W298" i="12"/>
  <c r="I298" i="12"/>
  <c r="U298" i="12" s="1"/>
  <c r="H298" i="12"/>
  <c r="G298" i="12"/>
  <c r="F298" i="12"/>
  <c r="E298" i="12"/>
  <c r="D298" i="12"/>
  <c r="W297" i="12"/>
  <c r="I297" i="12"/>
  <c r="U297" i="12" s="1"/>
  <c r="H297" i="12"/>
  <c r="G297" i="12"/>
  <c r="F297" i="12"/>
  <c r="E297" i="12"/>
  <c r="D297" i="12"/>
  <c r="W296" i="12"/>
  <c r="I296" i="12"/>
  <c r="U296" i="12" s="1"/>
  <c r="H296" i="12"/>
  <c r="G296" i="12"/>
  <c r="F296" i="12"/>
  <c r="E296" i="12"/>
  <c r="D296" i="12"/>
  <c r="W295" i="12"/>
  <c r="I295" i="12"/>
  <c r="U295" i="12" s="1"/>
  <c r="H295" i="12"/>
  <c r="G295" i="12"/>
  <c r="F295" i="12"/>
  <c r="E295" i="12"/>
  <c r="D295" i="12"/>
  <c r="W294" i="12"/>
  <c r="I294" i="12"/>
  <c r="U294" i="12" s="1"/>
  <c r="H294" i="12"/>
  <c r="G294" i="12"/>
  <c r="F294" i="12"/>
  <c r="E294" i="12"/>
  <c r="D294" i="12"/>
  <c r="W293" i="12"/>
  <c r="I293" i="12"/>
  <c r="U293" i="12" s="1"/>
  <c r="H293" i="12"/>
  <c r="G293" i="12"/>
  <c r="F293" i="12"/>
  <c r="E293" i="12"/>
  <c r="D293" i="12"/>
  <c r="W292" i="12"/>
  <c r="I292" i="12"/>
  <c r="U292" i="12" s="1"/>
  <c r="H292" i="12"/>
  <c r="G292" i="12"/>
  <c r="F292" i="12"/>
  <c r="E292" i="12"/>
  <c r="D292" i="12"/>
  <c r="W291" i="12"/>
  <c r="J291" i="12"/>
  <c r="U291" i="12" s="1"/>
  <c r="G290" i="12"/>
  <c r="F290" i="12"/>
  <c r="D290" i="12"/>
  <c r="C290" i="12"/>
  <c r="G289" i="12"/>
  <c r="F289" i="12"/>
  <c r="D289" i="12"/>
  <c r="C289" i="12"/>
  <c r="G288" i="12"/>
  <c r="F288" i="12"/>
  <c r="D288" i="12"/>
  <c r="C288" i="12"/>
  <c r="G287" i="12"/>
  <c r="F287" i="12"/>
  <c r="D287" i="12"/>
  <c r="C287" i="12"/>
  <c r="G286" i="12"/>
  <c r="F286" i="12"/>
  <c r="D286" i="12"/>
  <c r="C286" i="12"/>
  <c r="G285" i="12"/>
  <c r="F285" i="12"/>
  <c r="D285" i="12"/>
  <c r="C285" i="12"/>
  <c r="G284" i="12"/>
  <c r="F284" i="12"/>
  <c r="D284" i="12"/>
  <c r="C284" i="12"/>
  <c r="G283" i="12"/>
  <c r="F283" i="12"/>
  <c r="D283" i="12"/>
  <c r="C283" i="12"/>
  <c r="G282" i="12"/>
  <c r="F282" i="12"/>
  <c r="D282" i="12"/>
  <c r="C282" i="12"/>
  <c r="G280" i="12"/>
  <c r="F280" i="12"/>
  <c r="E280" i="12"/>
  <c r="D280" i="12"/>
  <c r="C280" i="12"/>
  <c r="G279" i="12"/>
  <c r="F279" i="12"/>
  <c r="E279" i="12"/>
  <c r="D279" i="12"/>
  <c r="C279" i="12"/>
  <c r="G278" i="12"/>
  <c r="F278" i="12"/>
  <c r="D278" i="12"/>
  <c r="C278" i="12"/>
  <c r="G276" i="12"/>
  <c r="F276" i="12"/>
  <c r="E276" i="12"/>
  <c r="D276" i="12"/>
  <c r="C276" i="12"/>
  <c r="F274" i="12"/>
  <c r="H274" i="12" s="1"/>
  <c r="W273" i="12"/>
  <c r="F273" i="12"/>
  <c r="H273" i="12" s="1"/>
  <c r="F272" i="12"/>
  <c r="H272" i="12" s="1"/>
  <c r="F271" i="12"/>
  <c r="H271" i="12" s="1"/>
  <c r="W270" i="12"/>
  <c r="F270" i="12"/>
  <c r="H270" i="12" s="1"/>
  <c r="F269" i="12"/>
  <c r="H269" i="12" s="1"/>
  <c r="W268" i="12"/>
  <c r="F268" i="12"/>
  <c r="H268" i="12" s="1"/>
  <c r="F266" i="12"/>
  <c r="H266" i="12" s="1"/>
  <c r="W264" i="12"/>
  <c r="F264" i="12"/>
  <c r="H264" i="12" s="1"/>
  <c r="F263" i="12"/>
  <c r="H263" i="12" s="1"/>
  <c r="F262" i="12"/>
  <c r="H262" i="12" s="1"/>
  <c r="W261" i="12"/>
  <c r="F261" i="12"/>
  <c r="H261" i="12" s="1"/>
  <c r="G258" i="12"/>
  <c r="F258" i="12"/>
  <c r="E258" i="12"/>
  <c r="D258" i="12"/>
  <c r="C258" i="12"/>
  <c r="G257" i="12"/>
  <c r="F257" i="12"/>
  <c r="E257" i="12"/>
  <c r="D257" i="12"/>
  <c r="C257" i="12"/>
  <c r="G256" i="12"/>
  <c r="F256" i="12"/>
  <c r="E256" i="12"/>
  <c r="D256" i="12"/>
  <c r="C256" i="12"/>
  <c r="G255" i="12"/>
  <c r="F255" i="12"/>
  <c r="E255" i="12"/>
  <c r="D255" i="12"/>
  <c r="C255" i="12"/>
  <c r="G254" i="12"/>
  <c r="F254" i="12"/>
  <c r="E254" i="12"/>
  <c r="D254" i="12"/>
  <c r="C254" i="12"/>
  <c r="G253" i="12"/>
  <c r="F253" i="12"/>
  <c r="E253" i="12"/>
  <c r="D253" i="12"/>
  <c r="C253" i="12"/>
  <c r="G252" i="12"/>
  <c r="F252" i="12"/>
  <c r="E252" i="12"/>
  <c r="D252" i="12"/>
  <c r="C252" i="12"/>
  <c r="G251" i="12"/>
  <c r="F251" i="12"/>
  <c r="E251" i="12"/>
  <c r="D251" i="12"/>
  <c r="C251" i="12"/>
  <c r="G250" i="12"/>
  <c r="F250" i="12"/>
  <c r="E250" i="12"/>
  <c r="D250" i="12"/>
  <c r="C250" i="12"/>
  <c r="G249" i="12"/>
  <c r="F249" i="12"/>
  <c r="E249" i="12"/>
  <c r="D249" i="12"/>
  <c r="C249" i="12"/>
  <c r="G248" i="12"/>
  <c r="F248" i="12"/>
  <c r="E248" i="12"/>
  <c r="D248" i="12"/>
  <c r="C248" i="12"/>
  <c r="G247" i="12"/>
  <c r="E247" i="12"/>
  <c r="D247" i="12"/>
  <c r="C247" i="12"/>
  <c r="G246" i="12"/>
  <c r="F246" i="12"/>
  <c r="D246" i="12"/>
  <c r="C246" i="12"/>
  <c r="G245" i="12"/>
  <c r="F245" i="12"/>
  <c r="E245" i="12"/>
  <c r="D245" i="12"/>
  <c r="C245" i="12"/>
  <c r="G244" i="12"/>
  <c r="F244" i="12"/>
  <c r="E244" i="12"/>
  <c r="D244" i="12"/>
  <c r="C244" i="12"/>
  <c r="G243" i="12"/>
  <c r="F243" i="12"/>
  <c r="E243" i="12"/>
  <c r="D243" i="12"/>
  <c r="C243" i="12"/>
  <c r="G242" i="12"/>
  <c r="F242" i="12"/>
  <c r="E242" i="12"/>
  <c r="D242" i="12"/>
  <c r="C242" i="12"/>
  <c r="G241" i="12"/>
  <c r="F241" i="12"/>
  <c r="D241" i="12"/>
  <c r="C241" i="12"/>
  <c r="G240" i="12"/>
  <c r="F240" i="12"/>
  <c r="D240" i="12"/>
  <c r="C240" i="12"/>
  <c r="G239" i="12"/>
  <c r="F239" i="12"/>
  <c r="D239" i="12"/>
  <c r="C239" i="12"/>
  <c r="G238" i="12"/>
  <c r="F238" i="12"/>
  <c r="E238" i="12"/>
  <c r="D238" i="12"/>
  <c r="C238" i="12"/>
  <c r="G237" i="12"/>
  <c r="F237" i="12"/>
  <c r="D237" i="12"/>
  <c r="C237" i="12"/>
  <c r="G236" i="12"/>
  <c r="E236" i="12"/>
  <c r="D236" i="12"/>
  <c r="C236" i="12"/>
  <c r="G235" i="12"/>
  <c r="F235" i="12"/>
  <c r="D235" i="12"/>
  <c r="C235" i="12"/>
  <c r="G234" i="12"/>
  <c r="F234" i="12"/>
  <c r="D234" i="12"/>
  <c r="C234" i="12"/>
  <c r="W233" i="12"/>
  <c r="G233" i="12"/>
  <c r="F233" i="12"/>
  <c r="E233" i="12"/>
  <c r="D233" i="12"/>
  <c r="C233" i="12"/>
  <c r="G232" i="12"/>
  <c r="E232" i="12"/>
  <c r="D232" i="12"/>
  <c r="C232" i="12"/>
  <c r="G231" i="12"/>
  <c r="E231" i="12"/>
  <c r="D231" i="12"/>
  <c r="C231" i="12"/>
  <c r="G230" i="12"/>
  <c r="E230" i="12"/>
  <c r="D230" i="12"/>
  <c r="C230" i="12"/>
  <c r="G229" i="12"/>
  <c r="F229" i="12"/>
  <c r="D229" i="12"/>
  <c r="C229" i="12"/>
  <c r="G228" i="12"/>
  <c r="F228" i="12"/>
  <c r="D228" i="12"/>
  <c r="C228" i="12"/>
  <c r="G227" i="12"/>
  <c r="F227" i="12"/>
  <c r="E227" i="12"/>
  <c r="D227" i="12"/>
  <c r="C227" i="12"/>
  <c r="G226" i="12"/>
  <c r="F226" i="12"/>
  <c r="E226" i="12"/>
  <c r="D226" i="12"/>
  <c r="C226" i="12"/>
  <c r="G225" i="12"/>
  <c r="F225" i="12"/>
  <c r="E225" i="12"/>
  <c r="D225" i="12"/>
  <c r="C225" i="12"/>
  <c r="G224" i="12"/>
  <c r="F224" i="12"/>
  <c r="E224" i="12"/>
  <c r="D224" i="12"/>
  <c r="C224" i="12"/>
  <c r="G223" i="12"/>
  <c r="F223" i="12"/>
  <c r="E223" i="12"/>
  <c r="D223" i="12"/>
  <c r="C223" i="12"/>
  <c r="G221" i="12"/>
  <c r="F221" i="12"/>
  <c r="D221" i="12"/>
  <c r="C221" i="12"/>
  <c r="W220" i="12"/>
  <c r="G220" i="12"/>
  <c r="F220" i="12"/>
  <c r="E220" i="12"/>
  <c r="D220" i="12"/>
  <c r="C220" i="12"/>
  <c r="G219" i="12"/>
  <c r="F219" i="12"/>
  <c r="E219" i="12"/>
  <c r="D219" i="12"/>
  <c r="C219" i="12"/>
  <c r="G218" i="12"/>
  <c r="F218" i="12"/>
  <c r="E218" i="12"/>
  <c r="D218" i="12"/>
  <c r="C218" i="12"/>
  <c r="G217" i="12"/>
  <c r="F217" i="12"/>
  <c r="E217" i="12"/>
  <c r="D217" i="12"/>
  <c r="C217" i="12"/>
  <c r="G216" i="12"/>
  <c r="F216" i="12"/>
  <c r="E216" i="12"/>
  <c r="D216" i="12"/>
  <c r="C216" i="12"/>
  <c r="W215" i="12"/>
  <c r="G215" i="12"/>
  <c r="F215" i="12"/>
  <c r="E215" i="12"/>
  <c r="D215" i="12"/>
  <c r="C215" i="12"/>
  <c r="G214" i="12"/>
  <c r="F214" i="12"/>
  <c r="D214" i="12"/>
  <c r="C214" i="12"/>
  <c r="G213" i="12"/>
  <c r="F213" i="12"/>
  <c r="D213" i="12"/>
  <c r="C213" i="12"/>
  <c r="G211" i="12"/>
  <c r="F211" i="12"/>
  <c r="D211" i="12"/>
  <c r="C211" i="12"/>
  <c r="G210" i="12"/>
  <c r="F210" i="12"/>
  <c r="D210" i="12"/>
  <c r="C210" i="12"/>
  <c r="G209" i="12"/>
  <c r="F209" i="12"/>
  <c r="D209" i="12"/>
  <c r="C209" i="12"/>
  <c r="G207" i="12"/>
  <c r="F207" i="12"/>
  <c r="D207" i="12"/>
  <c r="C207" i="12"/>
  <c r="G206" i="12"/>
  <c r="F206" i="12"/>
  <c r="D206" i="12"/>
  <c r="C206" i="12"/>
  <c r="G205" i="12"/>
  <c r="F205" i="12"/>
  <c r="D205" i="12"/>
  <c r="C205" i="12"/>
  <c r="G203" i="12"/>
  <c r="F203" i="12"/>
  <c r="D203" i="12"/>
  <c r="C203" i="12"/>
  <c r="G202" i="12"/>
  <c r="F202" i="12"/>
  <c r="D202" i="12"/>
  <c r="C202" i="12"/>
  <c r="G201" i="12"/>
  <c r="F201" i="12"/>
  <c r="D201" i="12"/>
  <c r="C201" i="12"/>
  <c r="G200" i="12"/>
  <c r="F200" i="12"/>
  <c r="D200" i="12"/>
  <c r="C200" i="12"/>
  <c r="G199" i="12"/>
  <c r="F199" i="12"/>
  <c r="D199" i="12"/>
  <c r="C199" i="12"/>
  <c r="G198" i="12"/>
  <c r="F198" i="12"/>
  <c r="D198" i="12"/>
  <c r="C198" i="12"/>
  <c r="G197" i="12"/>
  <c r="F197" i="12"/>
  <c r="D197" i="12"/>
  <c r="C197" i="12"/>
  <c r="G195" i="12"/>
  <c r="E195" i="12"/>
  <c r="D195" i="12"/>
  <c r="C195" i="12"/>
  <c r="W194" i="12"/>
  <c r="G194" i="12"/>
  <c r="F194" i="12"/>
  <c r="E194" i="12"/>
  <c r="D194" i="12"/>
  <c r="C194" i="12"/>
  <c r="W193" i="12"/>
  <c r="G193" i="12"/>
  <c r="F193" i="12"/>
  <c r="E193" i="12"/>
  <c r="D193" i="12"/>
  <c r="C193" i="12"/>
  <c r="G192" i="12"/>
  <c r="F192" i="12"/>
  <c r="D192" i="12"/>
  <c r="C192" i="12"/>
  <c r="G191" i="12"/>
  <c r="F191" i="12"/>
  <c r="D191" i="12"/>
  <c r="C191" i="12"/>
  <c r="G190" i="12"/>
  <c r="F190" i="12"/>
  <c r="D190" i="12"/>
  <c r="C190" i="12"/>
  <c r="G189" i="12"/>
  <c r="F189" i="12"/>
  <c r="D189" i="12"/>
  <c r="C189" i="12"/>
  <c r="G188" i="12"/>
  <c r="F188" i="12"/>
  <c r="D188" i="12"/>
  <c r="C188" i="12"/>
  <c r="G187" i="12"/>
  <c r="F187" i="12"/>
  <c r="D187" i="12"/>
  <c r="C187" i="12"/>
  <c r="G185" i="12"/>
  <c r="F185" i="12"/>
  <c r="D185" i="12"/>
  <c r="C185" i="12"/>
  <c r="G183" i="12"/>
  <c r="F183" i="12"/>
  <c r="D183" i="12"/>
  <c r="C183" i="12"/>
  <c r="G182" i="12"/>
  <c r="F182" i="12"/>
  <c r="E182" i="12"/>
  <c r="D182" i="12"/>
  <c r="C182" i="12"/>
  <c r="W181" i="12"/>
  <c r="G181" i="12"/>
  <c r="F181" i="12"/>
  <c r="E181" i="12"/>
  <c r="D181" i="12"/>
  <c r="C181" i="12"/>
  <c r="G180" i="12"/>
  <c r="F180" i="12"/>
  <c r="D180" i="12"/>
  <c r="C180" i="12"/>
  <c r="G179" i="12"/>
  <c r="F179" i="12"/>
  <c r="D179" i="12"/>
  <c r="C179" i="12"/>
  <c r="G177" i="12"/>
  <c r="F177" i="12"/>
  <c r="D177" i="12"/>
  <c r="C177" i="12"/>
  <c r="G176" i="12"/>
  <c r="F176" i="12"/>
  <c r="D176" i="12"/>
  <c r="C176" i="12"/>
  <c r="G175" i="12"/>
  <c r="F175" i="12"/>
  <c r="D175" i="12"/>
  <c r="C175" i="12"/>
  <c r="W173" i="12"/>
  <c r="G173" i="12"/>
  <c r="F173" i="12"/>
  <c r="D173" i="12"/>
  <c r="C173" i="12"/>
  <c r="G172" i="12"/>
  <c r="F172" i="12"/>
  <c r="D172" i="12"/>
  <c r="C172" i="12"/>
  <c r="W170" i="12"/>
  <c r="G170" i="12"/>
  <c r="F170" i="12"/>
  <c r="E170" i="12"/>
  <c r="D170" i="12"/>
  <c r="C170" i="12"/>
  <c r="W169" i="12"/>
  <c r="G168" i="12"/>
  <c r="F168" i="12"/>
  <c r="D168" i="12"/>
  <c r="C168" i="12"/>
  <c r="F167" i="12"/>
  <c r="D167" i="12"/>
  <c r="C167" i="12"/>
  <c r="G166" i="12"/>
  <c r="F166" i="12"/>
  <c r="D166" i="12"/>
  <c r="C166" i="12"/>
  <c r="G164" i="12"/>
  <c r="F164" i="12"/>
  <c r="E164" i="12"/>
  <c r="D164" i="12"/>
  <c r="C164" i="12"/>
  <c r="G163" i="12"/>
  <c r="F163" i="12"/>
  <c r="E163" i="12"/>
  <c r="D163" i="12"/>
  <c r="C163" i="12"/>
  <c r="G162" i="12"/>
  <c r="F162" i="12"/>
  <c r="E162" i="12"/>
  <c r="D162" i="12"/>
  <c r="C162" i="12"/>
  <c r="G161" i="12"/>
  <c r="F161" i="12"/>
  <c r="D161" i="12"/>
  <c r="C161" i="12"/>
  <c r="G160" i="12"/>
  <c r="F160" i="12"/>
  <c r="E160" i="12"/>
  <c r="D160" i="12"/>
  <c r="C160" i="12"/>
  <c r="G159" i="12"/>
  <c r="F159" i="12"/>
  <c r="D159" i="12"/>
  <c r="C159" i="12"/>
  <c r="G158" i="12"/>
  <c r="F158" i="12"/>
  <c r="D158" i="12"/>
  <c r="C158" i="12"/>
  <c r="G157" i="12"/>
  <c r="F157" i="12"/>
  <c r="E157" i="12"/>
  <c r="D157" i="12"/>
  <c r="C157" i="12"/>
  <c r="G155" i="12"/>
  <c r="F155" i="12"/>
  <c r="D155" i="12"/>
  <c r="C155" i="12"/>
  <c r="G153" i="12"/>
  <c r="F153" i="12"/>
  <c r="D153" i="12"/>
  <c r="C153" i="12"/>
  <c r="G152" i="12"/>
  <c r="D152" i="12"/>
  <c r="C152" i="12"/>
  <c r="G151" i="12"/>
  <c r="F151" i="12"/>
  <c r="D151" i="12"/>
  <c r="C151" i="12"/>
  <c r="G150" i="12"/>
  <c r="F150" i="12"/>
  <c r="D150" i="12"/>
  <c r="C150" i="12"/>
  <c r="G149" i="12"/>
  <c r="F149" i="12"/>
  <c r="D149" i="12"/>
  <c r="C149" i="12"/>
  <c r="G148" i="12"/>
  <c r="F148" i="12"/>
  <c r="D148" i="12"/>
  <c r="C148" i="12"/>
  <c r="G147" i="12"/>
  <c r="F147" i="12"/>
  <c r="D147" i="12"/>
  <c r="C147" i="12"/>
  <c r="W146" i="12"/>
  <c r="G146" i="12"/>
  <c r="F146" i="12"/>
  <c r="E146" i="12"/>
  <c r="D146" i="12"/>
  <c r="C146" i="12"/>
  <c r="W145" i="12"/>
  <c r="G145" i="12"/>
  <c r="F145" i="12"/>
  <c r="E145" i="12"/>
  <c r="D145" i="12"/>
  <c r="C145" i="12"/>
  <c r="W144" i="12"/>
  <c r="G144" i="12"/>
  <c r="F144" i="12"/>
  <c r="E144" i="12"/>
  <c r="D144" i="12"/>
  <c r="C144" i="12"/>
  <c r="G143" i="12"/>
  <c r="F143" i="12"/>
  <c r="D143" i="12"/>
  <c r="C143" i="12"/>
  <c r="G142" i="12"/>
  <c r="F142" i="12"/>
  <c r="E142" i="12"/>
  <c r="D142" i="12"/>
  <c r="C142" i="12"/>
  <c r="G141" i="12"/>
  <c r="F141" i="12"/>
  <c r="E141" i="12"/>
  <c r="D141" i="12"/>
  <c r="C141" i="12"/>
  <c r="G140" i="12"/>
  <c r="F140" i="12"/>
  <c r="E140" i="12"/>
  <c r="D140" i="12"/>
  <c r="C140" i="12"/>
  <c r="G139" i="12"/>
  <c r="F139" i="12"/>
  <c r="D139" i="12"/>
  <c r="C139" i="12"/>
  <c r="G138" i="12"/>
  <c r="F138" i="12"/>
  <c r="E138" i="12"/>
  <c r="D138" i="12"/>
  <c r="C138" i="12"/>
  <c r="W136" i="12"/>
  <c r="G136" i="12"/>
  <c r="F136" i="12"/>
  <c r="E136" i="12"/>
  <c r="D136" i="12"/>
  <c r="C136" i="12"/>
  <c r="W135" i="12"/>
  <c r="G135" i="12"/>
  <c r="F135" i="12"/>
  <c r="E135" i="12"/>
  <c r="D135" i="12"/>
  <c r="C135" i="12"/>
  <c r="W134" i="12"/>
  <c r="G134" i="12"/>
  <c r="F134" i="12"/>
  <c r="E134" i="12"/>
  <c r="D134" i="12"/>
  <c r="C134" i="12"/>
  <c r="W133" i="12"/>
  <c r="G133" i="12"/>
  <c r="F133" i="12"/>
  <c r="E133" i="12"/>
  <c r="D133" i="12"/>
  <c r="C133" i="12"/>
  <c r="G132" i="12"/>
  <c r="F132" i="12"/>
  <c r="D132" i="12"/>
  <c r="C132" i="12"/>
  <c r="G131" i="12"/>
  <c r="F131" i="12"/>
  <c r="D131" i="12"/>
  <c r="C131" i="12"/>
  <c r="G130" i="12"/>
  <c r="F130" i="12"/>
  <c r="D130" i="12"/>
  <c r="C130" i="12"/>
  <c r="G129" i="12"/>
  <c r="F129" i="12"/>
  <c r="D129" i="12"/>
  <c r="C129" i="12"/>
  <c r="G128" i="12"/>
  <c r="D128" i="12"/>
  <c r="C128" i="12"/>
  <c r="G127" i="12"/>
  <c r="F127" i="12"/>
  <c r="D127" i="12"/>
  <c r="C127" i="12"/>
  <c r="G126" i="12"/>
  <c r="F126" i="12"/>
  <c r="E126" i="12"/>
  <c r="D126" i="12"/>
  <c r="C126" i="12"/>
  <c r="G125" i="12"/>
  <c r="F125" i="12"/>
  <c r="E125" i="12"/>
  <c r="D125" i="12"/>
  <c r="C125" i="12"/>
  <c r="G124" i="12"/>
  <c r="F124" i="12"/>
  <c r="D124" i="12"/>
  <c r="C124" i="12"/>
  <c r="G123" i="12"/>
  <c r="F123" i="12"/>
  <c r="D123" i="12"/>
  <c r="C123" i="12"/>
  <c r="G122" i="12"/>
  <c r="F122" i="12"/>
  <c r="E122" i="12"/>
  <c r="D122" i="12"/>
  <c r="C122" i="12"/>
  <c r="G121" i="12"/>
  <c r="F121" i="12"/>
  <c r="E121" i="12"/>
  <c r="D121" i="12"/>
  <c r="C121" i="12"/>
  <c r="G120" i="12"/>
  <c r="F120" i="12"/>
  <c r="D120" i="12"/>
  <c r="C120" i="12"/>
  <c r="W119" i="12"/>
  <c r="G119" i="12"/>
  <c r="F119" i="12"/>
  <c r="E119" i="12"/>
  <c r="D119" i="12"/>
  <c r="C119" i="12"/>
  <c r="W118" i="12"/>
  <c r="G118" i="12"/>
  <c r="F118" i="12"/>
  <c r="E118" i="12"/>
  <c r="D118" i="12"/>
  <c r="C118" i="12"/>
  <c r="G117" i="12"/>
  <c r="F117" i="12"/>
  <c r="E117" i="12"/>
  <c r="D117" i="12"/>
  <c r="C117" i="12"/>
  <c r="W116" i="12"/>
  <c r="G116" i="12"/>
  <c r="F116" i="12"/>
  <c r="E116" i="12"/>
  <c r="D116" i="12"/>
  <c r="C116" i="12"/>
  <c r="G115" i="12"/>
  <c r="F115" i="12"/>
  <c r="D115" i="12"/>
  <c r="C115" i="12"/>
  <c r="G114" i="12"/>
  <c r="F114" i="12"/>
  <c r="D114" i="12"/>
  <c r="C114" i="12"/>
  <c r="G113" i="12"/>
  <c r="E113" i="12"/>
  <c r="D113" i="12"/>
  <c r="C113" i="12"/>
  <c r="W112" i="12"/>
  <c r="G112" i="12"/>
  <c r="F112" i="12"/>
  <c r="E112" i="12"/>
  <c r="D112" i="12"/>
  <c r="C112" i="12"/>
  <c r="W111" i="12"/>
  <c r="G111" i="12"/>
  <c r="F111" i="12"/>
  <c r="E111" i="12"/>
  <c r="D111" i="12"/>
  <c r="C111" i="12"/>
  <c r="G110" i="12"/>
  <c r="F110" i="12"/>
  <c r="D110" i="12"/>
  <c r="C110" i="12"/>
  <c r="W109" i="12"/>
  <c r="G109" i="12"/>
  <c r="F109" i="12"/>
  <c r="E109" i="12"/>
  <c r="D109" i="12"/>
  <c r="C109" i="12"/>
  <c r="G108" i="12"/>
  <c r="F108" i="12"/>
  <c r="D108" i="12"/>
  <c r="C108" i="12"/>
  <c r="H107" i="12"/>
  <c r="G107" i="12"/>
  <c r="F107" i="12"/>
  <c r="D107" i="12"/>
  <c r="C107" i="12"/>
  <c r="G106" i="12"/>
  <c r="F106" i="12"/>
  <c r="E106" i="12"/>
  <c r="D106" i="12"/>
  <c r="C106" i="12"/>
  <c r="G105" i="12"/>
  <c r="F105" i="12"/>
  <c r="D105" i="12"/>
  <c r="C105" i="12"/>
  <c r="G104" i="12"/>
  <c r="F104" i="12"/>
  <c r="E104" i="12"/>
  <c r="D104" i="12"/>
  <c r="C104" i="12"/>
  <c r="G103" i="12"/>
  <c r="F103" i="12"/>
  <c r="D103" i="12"/>
  <c r="C103" i="12"/>
  <c r="G102" i="12"/>
  <c r="F102" i="12"/>
  <c r="E102" i="12"/>
  <c r="D102" i="12"/>
  <c r="C102" i="12"/>
  <c r="G101" i="12"/>
  <c r="F101" i="12"/>
  <c r="E101" i="12"/>
  <c r="D101" i="12"/>
  <c r="C101" i="12"/>
  <c r="G99" i="12"/>
  <c r="F99" i="12"/>
  <c r="E99" i="12"/>
  <c r="D99" i="12"/>
  <c r="C99" i="12"/>
  <c r="G98" i="12"/>
  <c r="F98" i="12"/>
  <c r="D98" i="12"/>
  <c r="C98" i="12"/>
  <c r="W97" i="12"/>
  <c r="G97" i="12"/>
  <c r="F97" i="12"/>
  <c r="E97" i="12"/>
  <c r="D97" i="12"/>
  <c r="C97" i="12"/>
  <c r="W96" i="12"/>
  <c r="G96" i="12"/>
  <c r="F96" i="12"/>
  <c r="E96" i="12"/>
  <c r="D96" i="12"/>
  <c r="C96" i="12"/>
  <c r="W95" i="12"/>
  <c r="G95" i="12"/>
  <c r="F95" i="12"/>
  <c r="E95" i="12"/>
  <c r="D95" i="12"/>
  <c r="C95" i="12"/>
  <c r="W94" i="12"/>
  <c r="G94" i="12"/>
  <c r="F94" i="12"/>
  <c r="E94" i="12"/>
  <c r="D94" i="12"/>
  <c r="C94" i="12"/>
  <c r="W93" i="12"/>
  <c r="G93" i="12"/>
  <c r="F93" i="12"/>
  <c r="E93" i="12"/>
  <c r="D93" i="12"/>
  <c r="C93" i="12"/>
  <c r="W92" i="12"/>
  <c r="G92" i="12"/>
  <c r="F92" i="12"/>
  <c r="E92" i="12"/>
  <c r="D92" i="12"/>
  <c r="C92" i="12"/>
  <c r="G91" i="12"/>
  <c r="F91" i="12"/>
  <c r="D91" i="12"/>
  <c r="C91" i="12"/>
  <c r="G90" i="12"/>
  <c r="F90" i="12"/>
  <c r="D90" i="12"/>
  <c r="C90" i="12"/>
  <c r="W89" i="12"/>
  <c r="G89" i="12"/>
  <c r="F89" i="12"/>
  <c r="E89" i="12"/>
  <c r="D89" i="12"/>
  <c r="C89" i="12"/>
  <c r="W88" i="12"/>
  <c r="G88" i="12"/>
  <c r="F88" i="12"/>
  <c r="E88" i="12"/>
  <c r="D88" i="12"/>
  <c r="C88" i="12"/>
  <c r="W87" i="12"/>
  <c r="G87" i="12"/>
  <c r="F87" i="12"/>
  <c r="E87" i="12"/>
  <c r="D87" i="12"/>
  <c r="C87" i="12"/>
  <c r="G86" i="12"/>
  <c r="F86" i="12"/>
  <c r="E86" i="12"/>
  <c r="D86" i="12"/>
  <c r="C86" i="12"/>
  <c r="G85" i="12"/>
  <c r="F85" i="12"/>
  <c r="E85" i="12"/>
  <c r="D85" i="12"/>
  <c r="C85" i="12"/>
  <c r="W83" i="12"/>
  <c r="G83" i="12"/>
  <c r="F83" i="12"/>
  <c r="E83" i="12"/>
  <c r="D83" i="12"/>
  <c r="C83" i="12"/>
  <c r="G82" i="12"/>
  <c r="F82" i="12"/>
  <c r="D82" i="12"/>
  <c r="C82" i="12"/>
  <c r="G81" i="12"/>
  <c r="F81" i="12"/>
  <c r="D81" i="12"/>
  <c r="C81" i="12"/>
  <c r="G80" i="12"/>
  <c r="F80" i="12"/>
  <c r="D80" i="12"/>
  <c r="C80" i="12"/>
  <c r="G79" i="12"/>
  <c r="F79" i="12"/>
  <c r="D79" i="12"/>
  <c r="C79" i="12"/>
  <c r="G78" i="12"/>
  <c r="F78" i="12"/>
  <c r="D78" i="12"/>
  <c r="C78" i="12"/>
  <c r="G77" i="12"/>
  <c r="F77" i="12"/>
  <c r="D77" i="12"/>
  <c r="C77" i="12"/>
  <c r="G76" i="12"/>
  <c r="F76" i="12"/>
  <c r="E76" i="12"/>
  <c r="D76" i="12"/>
  <c r="C76" i="12"/>
  <c r="W75" i="12"/>
  <c r="G75" i="12"/>
  <c r="F75" i="12"/>
  <c r="E75" i="12"/>
  <c r="D75" i="12"/>
  <c r="C75" i="12"/>
  <c r="G74" i="12"/>
  <c r="F74" i="12"/>
  <c r="D74" i="12"/>
  <c r="C74" i="12"/>
  <c r="G73" i="12"/>
  <c r="F73" i="12"/>
  <c r="D73" i="12"/>
  <c r="C73" i="12"/>
  <c r="W71" i="12"/>
  <c r="G71" i="12"/>
  <c r="F71" i="12"/>
  <c r="E71" i="12"/>
  <c r="D71" i="12"/>
  <c r="C71" i="12"/>
  <c r="G70" i="12"/>
  <c r="F70" i="12"/>
  <c r="D70" i="12"/>
  <c r="C70" i="12"/>
  <c r="G69" i="12"/>
  <c r="F69" i="12"/>
  <c r="D69" i="12"/>
  <c r="C69" i="12"/>
  <c r="G68" i="12"/>
  <c r="F68" i="12"/>
  <c r="D68" i="12"/>
  <c r="C68" i="12"/>
  <c r="W67" i="12"/>
  <c r="G67" i="12"/>
  <c r="F67" i="12"/>
  <c r="E67" i="12"/>
  <c r="D67" i="12"/>
  <c r="C67" i="12"/>
  <c r="W66" i="12"/>
  <c r="G66" i="12"/>
  <c r="F66" i="12"/>
  <c r="E66" i="12"/>
  <c r="D66" i="12"/>
  <c r="C66" i="12"/>
  <c r="W65" i="12"/>
  <c r="G65" i="12"/>
  <c r="F65" i="12"/>
  <c r="E65" i="12"/>
  <c r="D65" i="12"/>
  <c r="C65" i="12"/>
  <c r="G64" i="12"/>
  <c r="F64" i="12"/>
  <c r="D64" i="12"/>
  <c r="C64" i="12"/>
  <c r="W63" i="12"/>
  <c r="G63" i="12"/>
  <c r="F63" i="12"/>
  <c r="E63" i="12"/>
  <c r="D63" i="12"/>
  <c r="C63" i="12"/>
  <c r="W62" i="12"/>
  <c r="G62" i="12"/>
  <c r="F62" i="12"/>
  <c r="E62" i="12"/>
  <c r="D62" i="12"/>
  <c r="C62" i="12"/>
  <c r="G61" i="12"/>
  <c r="F61" i="12"/>
  <c r="D61" i="12"/>
  <c r="C61" i="12"/>
  <c r="G60" i="12"/>
  <c r="F60" i="12"/>
  <c r="E60" i="12"/>
  <c r="D60" i="12"/>
  <c r="C60" i="12"/>
  <c r="W58" i="12"/>
  <c r="G58" i="12"/>
  <c r="F58" i="12"/>
  <c r="E58" i="12"/>
  <c r="D58" i="12"/>
  <c r="C58" i="12"/>
  <c r="G57" i="12"/>
  <c r="F57" i="12"/>
  <c r="D57" i="12"/>
  <c r="C57" i="12"/>
  <c r="G56" i="12"/>
  <c r="F56" i="12"/>
  <c r="D56" i="12"/>
  <c r="C56" i="12"/>
  <c r="W55" i="12"/>
  <c r="G55" i="12"/>
  <c r="F55" i="12"/>
  <c r="E55" i="12"/>
  <c r="D55" i="12"/>
  <c r="C55" i="12"/>
  <c r="W54" i="12"/>
  <c r="G54" i="12"/>
  <c r="F54" i="12"/>
  <c r="E54" i="12"/>
  <c r="D54" i="12"/>
  <c r="C54" i="12"/>
  <c r="G53" i="12"/>
  <c r="F53" i="12"/>
  <c r="D53" i="12"/>
  <c r="C53" i="12"/>
  <c r="G52" i="12"/>
  <c r="F52" i="12"/>
  <c r="D52" i="12"/>
  <c r="C52" i="12"/>
  <c r="G51" i="12"/>
  <c r="F51" i="12"/>
  <c r="E51" i="12"/>
  <c r="D51" i="12"/>
  <c r="C51" i="12"/>
  <c r="G49" i="12"/>
  <c r="F49" i="12"/>
  <c r="D49" i="12"/>
  <c r="C49" i="12"/>
  <c r="G48" i="12"/>
  <c r="F48" i="12"/>
  <c r="D48" i="12"/>
  <c r="C48" i="12"/>
  <c r="W47" i="12"/>
  <c r="G47" i="12"/>
  <c r="F47" i="12"/>
  <c r="E47" i="12"/>
  <c r="D47" i="12"/>
  <c r="C47" i="12"/>
  <c r="G46" i="12"/>
  <c r="F46" i="12"/>
  <c r="D46" i="12"/>
  <c r="C46" i="12"/>
  <c r="G45" i="12"/>
  <c r="F45" i="12"/>
  <c r="D45" i="12"/>
  <c r="C45" i="12"/>
  <c r="W43" i="12"/>
  <c r="I43" i="12"/>
  <c r="U43" i="12" s="1"/>
  <c r="H43" i="12"/>
  <c r="G43" i="12"/>
  <c r="F43" i="12"/>
  <c r="E43" i="12"/>
  <c r="D43" i="12"/>
  <c r="W42" i="12"/>
  <c r="I42" i="12"/>
  <c r="U42" i="12" s="1"/>
  <c r="H42" i="12"/>
  <c r="G42" i="12"/>
  <c r="F42" i="12"/>
  <c r="E42" i="12"/>
  <c r="D42" i="12"/>
  <c r="W41" i="12"/>
  <c r="I41" i="12"/>
  <c r="U41" i="12" s="1"/>
  <c r="H41" i="12"/>
  <c r="G41" i="12"/>
  <c r="F41" i="12"/>
  <c r="E41" i="12"/>
  <c r="D41" i="12"/>
  <c r="W40" i="12"/>
  <c r="I40" i="12"/>
  <c r="U40" i="12" s="1"/>
  <c r="H40" i="12"/>
  <c r="G40" i="12"/>
  <c r="F40" i="12"/>
  <c r="E40" i="12"/>
  <c r="D40" i="12"/>
  <c r="W39" i="12"/>
  <c r="I39" i="12"/>
  <c r="U39" i="12" s="1"/>
  <c r="H39" i="12"/>
  <c r="G39" i="12"/>
  <c r="F39" i="12"/>
  <c r="E39" i="12"/>
  <c r="D39" i="12"/>
  <c r="W38" i="12"/>
  <c r="I38" i="12"/>
  <c r="U38" i="12" s="1"/>
  <c r="H38" i="12"/>
  <c r="G38" i="12"/>
  <c r="F38" i="12"/>
  <c r="E38" i="12"/>
  <c r="D38" i="12"/>
  <c r="W37" i="12"/>
  <c r="I37" i="12"/>
  <c r="U37" i="12" s="1"/>
  <c r="H37" i="12"/>
  <c r="G37" i="12"/>
  <c r="F37" i="12"/>
  <c r="E37" i="12"/>
  <c r="D37" i="12"/>
  <c r="W36" i="12"/>
  <c r="I36" i="12"/>
  <c r="U36" i="12" s="1"/>
  <c r="H36" i="12"/>
  <c r="G36" i="12"/>
  <c r="F36" i="12"/>
  <c r="E36" i="12"/>
  <c r="D36" i="12"/>
  <c r="W35" i="12"/>
  <c r="J35" i="12"/>
  <c r="U35" i="12" s="1"/>
  <c r="G34" i="12"/>
  <c r="F34" i="12"/>
  <c r="D34" i="12"/>
  <c r="C34" i="12"/>
  <c r="G33" i="12"/>
  <c r="F33" i="12"/>
  <c r="D33" i="12"/>
  <c r="C33" i="12"/>
  <c r="W32" i="12"/>
  <c r="G32" i="12"/>
  <c r="F32" i="12"/>
  <c r="E32" i="12"/>
  <c r="D32" i="12"/>
  <c r="C32" i="12"/>
  <c r="W31" i="12"/>
  <c r="G31" i="12"/>
  <c r="F31" i="12"/>
  <c r="E31" i="12"/>
  <c r="D31" i="12"/>
  <c r="C31" i="12"/>
  <c r="G30" i="12"/>
  <c r="F30" i="12"/>
  <c r="D30" i="12"/>
  <c r="C30" i="12"/>
  <c r="G29" i="12"/>
  <c r="D29" i="12"/>
  <c r="C29" i="12"/>
  <c r="G28" i="12"/>
  <c r="F28" i="12"/>
  <c r="E28" i="12"/>
  <c r="D28" i="12"/>
  <c r="C28" i="12"/>
  <c r="G27" i="12"/>
  <c r="E27" i="12"/>
  <c r="D27" i="12"/>
  <c r="C27" i="12"/>
  <c r="W26" i="12"/>
  <c r="G26" i="12"/>
  <c r="F26" i="12"/>
  <c r="E26" i="12"/>
  <c r="D26" i="12"/>
  <c r="C26" i="12"/>
  <c r="G25" i="12"/>
  <c r="F25" i="12"/>
  <c r="D25" i="12"/>
  <c r="C25" i="12"/>
  <c r="G23" i="12"/>
  <c r="F23" i="12"/>
  <c r="E23" i="12"/>
  <c r="D23" i="12"/>
  <c r="C23" i="12"/>
  <c r="G21" i="12"/>
  <c r="D21" i="12"/>
  <c r="C21" i="12"/>
  <c r="R9" i="12"/>
  <c r="I9" i="12"/>
  <c r="I196" i="14" l="1"/>
  <c r="C66" i="13"/>
  <c r="G66" i="13" s="1"/>
  <c r="I196" i="12"/>
  <c r="U196" i="12" s="1"/>
  <c r="J4" i="12"/>
  <c r="S8" i="12"/>
  <c r="J8" i="12"/>
  <c r="S7" i="12"/>
  <c r="J7" i="12"/>
  <c r="J6" i="12"/>
  <c r="S5" i="12"/>
  <c r="J5" i="12"/>
  <c r="S4" i="12"/>
  <c r="S6" i="12"/>
  <c r="J9" i="12"/>
  <c r="S9" i="12"/>
  <c r="M16" i="12"/>
  <c r="Q4" i="6" l="1"/>
  <c r="D42" i="29" s="1"/>
  <c r="F42" i="29" s="1"/>
  <c r="AB153" i="6"/>
  <c r="AD153" i="6" s="1"/>
  <c r="AB154" i="6"/>
  <c r="AD154" i="6" s="1"/>
  <c r="AB152" i="6"/>
  <c r="AD152" i="6" s="1"/>
  <c r="AD155" i="6" l="1"/>
  <c r="AD157" i="6" s="1"/>
  <c r="F195" i="12" l="1"/>
  <c r="H246" i="6"/>
  <c r="F247" i="12" l="1"/>
  <c r="F250" i="14"/>
  <c r="J194" i="6"/>
  <c r="H195" i="14" s="1"/>
  <c r="BA5" i="6"/>
  <c r="BA6" i="6"/>
  <c r="BA7" i="6"/>
  <c r="BA4" i="6"/>
  <c r="AZ5" i="6"/>
  <c r="AZ6" i="6"/>
  <c r="AZ7" i="6"/>
  <c r="AZ8" i="6"/>
  <c r="AZ4" i="6"/>
  <c r="BB6" i="6" l="1"/>
  <c r="BB7" i="6"/>
  <c r="BB5" i="6"/>
  <c r="BB4" i="6"/>
  <c r="BB8" i="6"/>
  <c r="BB9" i="6" s="1"/>
  <c r="K194" i="6"/>
  <c r="I195" i="14" s="1"/>
  <c r="H195" i="12"/>
  <c r="I195" i="12" l="1"/>
  <c r="U195" i="12" s="1"/>
  <c r="W195" i="12" s="1"/>
  <c r="C65" i="13"/>
  <c r="AT8" i="6"/>
  <c r="AT7" i="6"/>
  <c r="AT6" i="6"/>
  <c r="AT5" i="6"/>
  <c r="AT4" i="6"/>
  <c r="AQ9" i="6"/>
  <c r="AT9" i="6" l="1"/>
  <c r="AT10" i="6" s="1"/>
  <c r="AT11" i="6" s="1"/>
  <c r="G65" i="13"/>
  <c r="J160" i="6"/>
  <c r="H159" i="14" s="1"/>
  <c r="J317" i="6"/>
  <c r="H324" i="14" s="1"/>
  <c r="J316" i="6"/>
  <c r="H323" i="14" s="1"/>
  <c r="J315" i="6"/>
  <c r="H322" i="14" s="1"/>
  <c r="J314" i="6"/>
  <c r="H321" i="14" s="1"/>
  <c r="J313" i="6"/>
  <c r="H320" i="14" s="1"/>
  <c r="J312" i="6"/>
  <c r="H319" i="14" s="1"/>
  <c r="J311" i="6"/>
  <c r="H318" i="14" s="1"/>
  <c r="J310" i="6"/>
  <c r="H317" i="14" s="1"/>
  <c r="J309" i="6"/>
  <c r="H316" i="14" s="1"/>
  <c r="J308" i="6"/>
  <c r="J307" i="6"/>
  <c r="H314" i="14" s="1"/>
  <c r="J306" i="6"/>
  <c r="H313" i="14" s="1"/>
  <c r="J305" i="6"/>
  <c r="H312" i="14" s="1"/>
  <c r="J304" i="6"/>
  <c r="H311" i="14" s="1"/>
  <c r="J290" i="6"/>
  <c r="J289" i="6"/>
  <c r="J288" i="6"/>
  <c r="J287" i="6"/>
  <c r="J286" i="6"/>
  <c r="J285" i="6"/>
  <c r="J284" i="6"/>
  <c r="J283" i="6"/>
  <c r="J282" i="6"/>
  <c r="J280" i="6"/>
  <c r="H287" i="14" s="1"/>
  <c r="J279" i="6"/>
  <c r="H286" i="14" s="1"/>
  <c r="J278" i="6"/>
  <c r="J276" i="6"/>
  <c r="H283" i="14" s="1"/>
  <c r="J274" i="6"/>
  <c r="K274" i="6" s="1"/>
  <c r="J273" i="6"/>
  <c r="K273" i="6" s="1"/>
  <c r="J272" i="6"/>
  <c r="K272" i="6" s="1"/>
  <c r="D65" i="29" s="1"/>
  <c r="E65" i="29" s="1"/>
  <c r="F65" i="29" s="1"/>
  <c r="J271" i="6"/>
  <c r="K271" i="6" s="1"/>
  <c r="D64" i="29" s="1"/>
  <c r="E64" i="29" s="1"/>
  <c r="F64" i="29" s="1"/>
  <c r="J270" i="6"/>
  <c r="K270" i="6" s="1"/>
  <c r="I273" i="14" s="1"/>
  <c r="U273" i="14" s="1"/>
  <c r="J269" i="6"/>
  <c r="K269" i="6" s="1"/>
  <c r="I272" i="14" s="1"/>
  <c r="U272" i="14" s="1"/>
  <c r="W272" i="14" s="1"/>
  <c r="J268" i="6"/>
  <c r="K268" i="6" s="1"/>
  <c r="I271" i="14" s="1"/>
  <c r="U271" i="14" s="1"/>
  <c r="J266" i="6"/>
  <c r="K266" i="6" s="1"/>
  <c r="J263" i="6"/>
  <c r="K263" i="6" s="1"/>
  <c r="I267" i="14" s="1"/>
  <c r="U267" i="14" s="1"/>
  <c r="J262" i="6"/>
  <c r="K262" i="6" s="1"/>
  <c r="J261" i="6"/>
  <c r="K261" i="6" s="1"/>
  <c r="J260" i="6"/>
  <c r="K260" i="6" s="1"/>
  <c r="I264" i="14" s="1"/>
  <c r="U264" i="14" s="1"/>
  <c r="J256" i="6"/>
  <c r="H260" i="14" s="1"/>
  <c r="J255" i="6"/>
  <c r="H259" i="14" s="1"/>
  <c r="J254" i="6"/>
  <c r="H258" i="14" s="1"/>
  <c r="J253" i="6"/>
  <c r="H257" i="14" s="1"/>
  <c r="J252" i="6"/>
  <c r="H256" i="14" s="1"/>
  <c r="J251" i="6"/>
  <c r="J250" i="6"/>
  <c r="H254" i="14" s="1"/>
  <c r="J249" i="6"/>
  <c r="H253" i="14" s="1"/>
  <c r="J248" i="6"/>
  <c r="H252" i="14" s="1"/>
  <c r="J247" i="6"/>
  <c r="H251" i="14" s="1"/>
  <c r="J246" i="6"/>
  <c r="H250" i="14" s="1"/>
  <c r="J245" i="6"/>
  <c r="J244" i="6"/>
  <c r="H248" i="14" s="1"/>
  <c r="J243" i="6"/>
  <c r="H247" i="14" s="1"/>
  <c r="J242" i="6"/>
  <c r="H246" i="14" s="1"/>
  <c r="J241" i="6"/>
  <c r="H245" i="14" s="1"/>
  <c r="J240" i="6"/>
  <c r="J239" i="6"/>
  <c r="J238" i="6"/>
  <c r="J237" i="6"/>
  <c r="H241" i="14" s="1"/>
  <c r="J236" i="6"/>
  <c r="J234" i="6"/>
  <c r="J233" i="6"/>
  <c r="J232" i="6"/>
  <c r="H236" i="14" s="1"/>
  <c r="J228" i="6"/>
  <c r="J227" i="6"/>
  <c r="J226" i="6"/>
  <c r="H230" i="14" s="1"/>
  <c r="J224" i="6"/>
  <c r="H228" i="14" s="1"/>
  <c r="J223" i="6"/>
  <c r="H227" i="14" s="1"/>
  <c r="J222" i="6"/>
  <c r="H226" i="14" s="1"/>
  <c r="J220" i="6"/>
  <c r="J219" i="6"/>
  <c r="H223" i="14" s="1"/>
  <c r="J218" i="6"/>
  <c r="H222" i="14" s="1"/>
  <c r="J217" i="6"/>
  <c r="H221" i="14" s="1"/>
  <c r="J215" i="6"/>
  <c r="H219" i="14" s="1"/>
  <c r="J214" i="6"/>
  <c r="H218" i="14" s="1"/>
  <c r="J213" i="6"/>
  <c r="J212" i="6"/>
  <c r="J210" i="6"/>
  <c r="J209" i="6"/>
  <c r="J208" i="6"/>
  <c r="J206" i="6"/>
  <c r="J205" i="6"/>
  <c r="J204" i="6"/>
  <c r="J202" i="6"/>
  <c r="J201" i="6"/>
  <c r="J200" i="6"/>
  <c r="J199" i="6"/>
  <c r="J198" i="6"/>
  <c r="J197" i="6"/>
  <c r="J196" i="6"/>
  <c r="J193" i="6"/>
  <c r="H194" i="14" s="1"/>
  <c r="J192" i="6"/>
  <c r="H193" i="14" s="1"/>
  <c r="J191" i="6"/>
  <c r="J190" i="6"/>
  <c r="J189" i="6"/>
  <c r="J188" i="6"/>
  <c r="J187" i="6"/>
  <c r="J186" i="6"/>
  <c r="J184" i="6"/>
  <c r="J182" i="6"/>
  <c r="J181" i="6"/>
  <c r="H182" i="14" s="1"/>
  <c r="J180" i="6"/>
  <c r="H181" i="14" s="1"/>
  <c r="J179" i="6"/>
  <c r="J178" i="6"/>
  <c r="J176" i="6"/>
  <c r="J175" i="6"/>
  <c r="J174" i="6"/>
  <c r="H170" i="14"/>
  <c r="J172" i="6"/>
  <c r="J171" i="6"/>
  <c r="J169" i="6"/>
  <c r="J168" i="6"/>
  <c r="J167" i="6"/>
  <c r="J165" i="6"/>
  <c r="H164" i="14" s="1"/>
  <c r="J164" i="6"/>
  <c r="H163" i="14" s="1"/>
  <c r="J163" i="6"/>
  <c r="H162" i="14" s="1"/>
  <c r="J162" i="6"/>
  <c r="J161" i="6"/>
  <c r="H160" i="14" s="1"/>
  <c r="J159" i="6"/>
  <c r="J158" i="6"/>
  <c r="H157" i="14" s="1"/>
  <c r="J155" i="6"/>
  <c r="J153" i="6"/>
  <c r="J151" i="6"/>
  <c r="J150" i="6"/>
  <c r="J149" i="6"/>
  <c r="J148" i="6"/>
  <c r="J147" i="6"/>
  <c r="J146" i="6"/>
  <c r="H146" i="14" s="1"/>
  <c r="J145" i="6"/>
  <c r="H145" i="14" s="1"/>
  <c r="J144" i="6"/>
  <c r="H144" i="14" s="1"/>
  <c r="J143" i="6"/>
  <c r="J142" i="6"/>
  <c r="H142" i="14" s="1"/>
  <c r="J141" i="6"/>
  <c r="H141" i="14" s="1"/>
  <c r="J140" i="6"/>
  <c r="H140" i="14" s="1"/>
  <c r="J139" i="6"/>
  <c r="J138" i="6"/>
  <c r="H138" i="14" s="1"/>
  <c r="J136" i="6"/>
  <c r="H136" i="14" s="1"/>
  <c r="J135" i="6"/>
  <c r="H135" i="14" s="1"/>
  <c r="J134" i="6"/>
  <c r="H134" i="14" s="1"/>
  <c r="J133" i="6"/>
  <c r="H133" i="14" s="1"/>
  <c r="J132" i="6"/>
  <c r="J131" i="6"/>
  <c r="J130" i="6"/>
  <c r="J129" i="6"/>
  <c r="J127" i="6"/>
  <c r="J126" i="6"/>
  <c r="H126" i="14" s="1"/>
  <c r="J125" i="6"/>
  <c r="H125" i="14" s="1"/>
  <c r="J124" i="6"/>
  <c r="J123" i="6"/>
  <c r="J122" i="6"/>
  <c r="H122" i="14" s="1"/>
  <c r="J121" i="6"/>
  <c r="H121" i="14" s="1"/>
  <c r="J120" i="6"/>
  <c r="J119" i="6"/>
  <c r="H119" i="14" s="1"/>
  <c r="J118" i="6"/>
  <c r="H118" i="14" s="1"/>
  <c r="J117" i="6"/>
  <c r="H117" i="14" s="1"/>
  <c r="J116" i="6"/>
  <c r="H116" i="14" s="1"/>
  <c r="J115" i="6"/>
  <c r="J114" i="6"/>
  <c r="J112" i="6"/>
  <c r="H112" i="14" s="1"/>
  <c r="J111" i="6"/>
  <c r="H111" i="14" s="1"/>
  <c r="J110" i="6"/>
  <c r="J109" i="6"/>
  <c r="H109" i="14" s="1"/>
  <c r="J108" i="6"/>
  <c r="J106" i="6"/>
  <c r="H106" i="14" s="1"/>
  <c r="J105" i="6"/>
  <c r="J104" i="6"/>
  <c r="H104" i="14" s="1"/>
  <c r="J103" i="6"/>
  <c r="J102" i="6"/>
  <c r="H102" i="14" s="1"/>
  <c r="J101" i="6"/>
  <c r="H101" i="14" s="1"/>
  <c r="J98" i="6"/>
  <c r="J99" i="6"/>
  <c r="H99" i="14" s="1"/>
  <c r="J97" i="6"/>
  <c r="H97" i="14" s="1"/>
  <c r="J96" i="6"/>
  <c r="H96" i="14" s="1"/>
  <c r="J95" i="6"/>
  <c r="H95" i="14" s="1"/>
  <c r="J94" i="6"/>
  <c r="H94" i="14" s="1"/>
  <c r="J93" i="6"/>
  <c r="H93" i="14" s="1"/>
  <c r="J92" i="6"/>
  <c r="H92" i="14" s="1"/>
  <c r="J91" i="6"/>
  <c r="J90" i="6"/>
  <c r="J89" i="6"/>
  <c r="H89" i="14" s="1"/>
  <c r="J88" i="6"/>
  <c r="H88" i="14" s="1"/>
  <c r="J87" i="6"/>
  <c r="H87" i="14" s="1"/>
  <c r="J86" i="6"/>
  <c r="H86" i="14" s="1"/>
  <c r="J85" i="6"/>
  <c r="H85" i="14" s="1"/>
  <c r="J83" i="6"/>
  <c r="H83" i="14" s="1"/>
  <c r="J82" i="6"/>
  <c r="J81" i="6"/>
  <c r="J80" i="6"/>
  <c r="J79" i="6"/>
  <c r="J78" i="6"/>
  <c r="J77" i="6"/>
  <c r="J76" i="6"/>
  <c r="H76" i="14" s="1"/>
  <c r="J75" i="6"/>
  <c r="H75" i="14" s="1"/>
  <c r="J74" i="6"/>
  <c r="J73" i="6"/>
  <c r="J71" i="6"/>
  <c r="H71" i="14" s="1"/>
  <c r="J70" i="6"/>
  <c r="J69" i="6"/>
  <c r="J68" i="6"/>
  <c r="J67" i="6"/>
  <c r="H67" i="14" s="1"/>
  <c r="J66" i="6"/>
  <c r="H66" i="14" s="1"/>
  <c r="J65" i="6"/>
  <c r="H65" i="14" s="1"/>
  <c r="J64" i="6"/>
  <c r="J63" i="6"/>
  <c r="H63" i="14" s="1"/>
  <c r="J62" i="6"/>
  <c r="H62" i="14" s="1"/>
  <c r="J61" i="6"/>
  <c r="J60" i="6"/>
  <c r="J58" i="6"/>
  <c r="H58" i="14" s="1"/>
  <c r="J57" i="6"/>
  <c r="J56" i="6"/>
  <c r="J55" i="6"/>
  <c r="H55" i="14" s="1"/>
  <c r="J54" i="6"/>
  <c r="H54" i="14" s="1"/>
  <c r="J53" i="6"/>
  <c r="J52" i="6"/>
  <c r="J51" i="6"/>
  <c r="H51" i="14" s="1"/>
  <c r="J49" i="6"/>
  <c r="J48" i="6"/>
  <c r="J47" i="6"/>
  <c r="H47" i="14" s="1"/>
  <c r="J46" i="6"/>
  <c r="J45" i="6"/>
  <c r="J34" i="6"/>
  <c r="J33" i="6"/>
  <c r="J32" i="6"/>
  <c r="H32" i="14" s="1"/>
  <c r="J31" i="6"/>
  <c r="H31" i="14" s="1"/>
  <c r="J30" i="6"/>
  <c r="J28" i="6"/>
  <c r="H28" i="14" s="1"/>
  <c r="J26" i="6"/>
  <c r="H26" i="14" s="1"/>
  <c r="J25" i="6"/>
  <c r="J23" i="6"/>
  <c r="F66" i="29" l="1"/>
  <c r="H34" i="12"/>
  <c r="H34" i="14"/>
  <c r="H110" i="12"/>
  <c r="H110" i="14"/>
  <c r="H61" i="12"/>
  <c r="H61" i="14"/>
  <c r="H82" i="12"/>
  <c r="H82" i="14"/>
  <c r="H148" i="12"/>
  <c r="H148" i="14"/>
  <c r="H176" i="12"/>
  <c r="H176" i="14"/>
  <c r="H201" i="12"/>
  <c r="H201" i="14"/>
  <c r="H278" i="12"/>
  <c r="H285" i="14"/>
  <c r="H30" i="12"/>
  <c r="H30" i="14"/>
  <c r="H105" i="12"/>
  <c r="H105" i="14"/>
  <c r="H127" i="12"/>
  <c r="H127" i="14"/>
  <c r="H149" i="12"/>
  <c r="H149" i="14"/>
  <c r="H177" i="12"/>
  <c r="H177" i="14"/>
  <c r="H202" i="12"/>
  <c r="H202" i="14"/>
  <c r="H228" i="12"/>
  <c r="H231" i="14"/>
  <c r="H252" i="12"/>
  <c r="H255" i="14"/>
  <c r="H129" i="12"/>
  <c r="H129" i="14"/>
  <c r="H150" i="12"/>
  <c r="H150" i="14"/>
  <c r="H179" i="12"/>
  <c r="H179" i="14"/>
  <c r="H203" i="12"/>
  <c r="H203" i="14"/>
  <c r="H229" i="12"/>
  <c r="H232" i="14"/>
  <c r="H64" i="12"/>
  <c r="H64" i="14"/>
  <c r="H108" i="12"/>
  <c r="H108" i="14"/>
  <c r="H130" i="12"/>
  <c r="H130" i="14"/>
  <c r="H151" i="12"/>
  <c r="H151" i="14"/>
  <c r="H180" i="12"/>
  <c r="H180" i="14"/>
  <c r="H205" i="12"/>
  <c r="H205" i="14"/>
  <c r="H282" i="12"/>
  <c r="H289" i="14"/>
  <c r="H33" i="12"/>
  <c r="H33" i="14"/>
  <c r="H131" i="12"/>
  <c r="H131" i="14"/>
  <c r="H153" i="12"/>
  <c r="H153" i="14"/>
  <c r="H206" i="12"/>
  <c r="H206" i="14"/>
  <c r="H283" i="12"/>
  <c r="H290" i="14"/>
  <c r="C24" i="13"/>
  <c r="G24" i="13" s="1"/>
  <c r="I24" i="13" s="1"/>
  <c r="I266" i="14"/>
  <c r="U266" i="14" s="1"/>
  <c r="W266" i="14" s="1"/>
  <c r="H288" i="12"/>
  <c r="H295" i="14"/>
  <c r="H49" i="12"/>
  <c r="H49" i="14"/>
  <c r="H189" i="12"/>
  <c r="H189" i="14"/>
  <c r="H214" i="12"/>
  <c r="H217" i="14"/>
  <c r="H289" i="12"/>
  <c r="H296" i="14"/>
  <c r="H73" i="12"/>
  <c r="H73" i="14"/>
  <c r="H139" i="12"/>
  <c r="H139" i="14"/>
  <c r="H190" i="12"/>
  <c r="H190" i="14"/>
  <c r="C27" i="13"/>
  <c r="G27" i="13" s="1"/>
  <c r="I27" i="13" s="1"/>
  <c r="I269" i="14"/>
  <c r="U269" i="14" s="1"/>
  <c r="W269" i="14" s="1"/>
  <c r="H290" i="12"/>
  <c r="H297" i="14"/>
  <c r="H132" i="12"/>
  <c r="H132" i="14"/>
  <c r="H155" i="12"/>
  <c r="H155" i="14"/>
  <c r="H207" i="12"/>
  <c r="H207" i="14"/>
  <c r="H284" i="12"/>
  <c r="H291" i="14"/>
  <c r="H45" i="12"/>
  <c r="H45" i="14"/>
  <c r="H183" i="12"/>
  <c r="H183" i="14"/>
  <c r="H209" i="12"/>
  <c r="H209" i="14"/>
  <c r="H285" i="12"/>
  <c r="H292" i="14"/>
  <c r="H46" i="12"/>
  <c r="H46" i="14"/>
  <c r="H68" i="12"/>
  <c r="H68" i="14"/>
  <c r="H90" i="12"/>
  <c r="H90" i="14"/>
  <c r="H158" i="12"/>
  <c r="H158" i="14"/>
  <c r="H185" i="12"/>
  <c r="H185" i="14"/>
  <c r="H210" i="12"/>
  <c r="H210" i="14"/>
  <c r="H286" i="12"/>
  <c r="H293" i="14"/>
  <c r="H69" i="12"/>
  <c r="H69" i="14"/>
  <c r="H91" i="12"/>
  <c r="H91" i="14"/>
  <c r="H114" i="12"/>
  <c r="H114" i="14"/>
  <c r="H187" i="12"/>
  <c r="H187" i="14"/>
  <c r="H211" i="12"/>
  <c r="H211" i="14"/>
  <c r="C23" i="13"/>
  <c r="G23" i="13" s="1"/>
  <c r="I23" i="13" s="1"/>
  <c r="I265" i="14"/>
  <c r="U265" i="14" s="1"/>
  <c r="W265" i="14" s="1"/>
  <c r="H287" i="12"/>
  <c r="H294" i="14"/>
  <c r="H48" i="12"/>
  <c r="H48" i="14"/>
  <c r="H70" i="12"/>
  <c r="H70" i="14"/>
  <c r="H115" i="12"/>
  <c r="H115" i="14"/>
  <c r="H161" i="12"/>
  <c r="H161" i="14"/>
  <c r="H188" i="12"/>
  <c r="H188" i="14"/>
  <c r="H213" i="12"/>
  <c r="H216" i="14"/>
  <c r="H52" i="12"/>
  <c r="H52" i="14"/>
  <c r="H74" i="12"/>
  <c r="H74" i="14"/>
  <c r="H191" i="12"/>
  <c r="H191" i="14"/>
  <c r="H53" i="12"/>
  <c r="H53" i="14"/>
  <c r="H166" i="12"/>
  <c r="H166" i="14"/>
  <c r="H192" i="12"/>
  <c r="H192" i="14"/>
  <c r="H120" i="12"/>
  <c r="H120" i="14"/>
  <c r="H167" i="12"/>
  <c r="H167" i="14"/>
  <c r="H77" i="12"/>
  <c r="H77" i="14"/>
  <c r="H143" i="12"/>
  <c r="H143" i="14"/>
  <c r="H168" i="12"/>
  <c r="H168" i="14"/>
  <c r="C67" i="13"/>
  <c r="G67" i="13" s="1"/>
  <c r="I67" i="13" s="1"/>
  <c r="I274" i="14"/>
  <c r="U274" i="14" s="1"/>
  <c r="W274" i="14" s="1"/>
  <c r="H56" i="12"/>
  <c r="H56" i="14"/>
  <c r="H78" i="12"/>
  <c r="H78" i="14"/>
  <c r="H98" i="12"/>
  <c r="H98" i="14"/>
  <c r="H172" i="12"/>
  <c r="H172" i="14"/>
  <c r="H197" i="12"/>
  <c r="H197" i="14"/>
  <c r="H221" i="12"/>
  <c r="H224" i="14"/>
  <c r="C68" i="13"/>
  <c r="G68" i="13" s="1"/>
  <c r="I68" i="13" s="1"/>
  <c r="I275" i="14"/>
  <c r="U275" i="14" s="1"/>
  <c r="W275" i="14" s="1"/>
  <c r="H308" i="12"/>
  <c r="H315" i="14"/>
  <c r="H23" i="12"/>
  <c r="H23" i="14"/>
  <c r="H57" i="12"/>
  <c r="H57" i="14"/>
  <c r="H79" i="12"/>
  <c r="H79" i="14"/>
  <c r="H123" i="12"/>
  <c r="H123" i="14"/>
  <c r="H173" i="12"/>
  <c r="H173" i="14"/>
  <c r="H198" i="12"/>
  <c r="H198" i="14"/>
  <c r="C69" i="13"/>
  <c r="G69" i="13" s="1"/>
  <c r="I276" i="14"/>
  <c r="U276" i="14" s="1"/>
  <c r="H25" i="12"/>
  <c r="H25" i="14"/>
  <c r="H80" i="12"/>
  <c r="H80" i="14"/>
  <c r="H124" i="12"/>
  <c r="H124" i="14"/>
  <c r="H199" i="12"/>
  <c r="H199" i="14"/>
  <c r="H60" i="12"/>
  <c r="H60" i="14"/>
  <c r="H81" i="12"/>
  <c r="H81" i="14"/>
  <c r="H103" i="12"/>
  <c r="H103" i="14"/>
  <c r="H147" i="12"/>
  <c r="H147" i="14"/>
  <c r="H175" i="12"/>
  <c r="H175" i="14"/>
  <c r="H200" i="12"/>
  <c r="H200" i="14"/>
  <c r="H239" i="12"/>
  <c r="H242" i="14"/>
  <c r="H240" i="12"/>
  <c r="H243" i="14"/>
  <c r="H235" i="12"/>
  <c r="H238" i="14"/>
  <c r="H237" i="12"/>
  <c r="H240" i="14"/>
  <c r="H241" i="12"/>
  <c r="H244" i="14"/>
  <c r="H234" i="12"/>
  <c r="H237" i="14"/>
  <c r="H246" i="12"/>
  <c r="H249" i="14"/>
  <c r="C70" i="13"/>
  <c r="G70" i="13" s="1"/>
  <c r="I70" i="13" s="1"/>
  <c r="I277" i="14"/>
  <c r="U277" i="14" s="1"/>
  <c r="W277" i="14" s="1"/>
  <c r="K60" i="6"/>
  <c r="I65" i="13"/>
  <c r="K243" i="6"/>
  <c r="I247" i="14" s="1"/>
  <c r="U247" i="14" s="1"/>
  <c r="W247" i="14" s="1"/>
  <c r="H244" i="12"/>
  <c r="I272" i="12"/>
  <c r="U272" i="12" s="1"/>
  <c r="W272" i="12" s="1"/>
  <c r="C268" i="11"/>
  <c r="N268" i="11" s="1"/>
  <c r="K62" i="6"/>
  <c r="H62" i="12"/>
  <c r="I273" i="12"/>
  <c r="U273" i="12" s="1"/>
  <c r="C269" i="11"/>
  <c r="N269" i="11" s="1"/>
  <c r="K31" i="6"/>
  <c r="H31" i="12"/>
  <c r="K276" i="6"/>
  <c r="H276" i="12"/>
  <c r="K222" i="6"/>
  <c r="H223" i="12"/>
  <c r="K315" i="6"/>
  <c r="H315" i="12"/>
  <c r="K67" i="6"/>
  <c r="H67" i="12"/>
  <c r="K140" i="6"/>
  <c r="H140" i="12"/>
  <c r="K280" i="6"/>
  <c r="H280" i="12"/>
  <c r="K92" i="6"/>
  <c r="H92" i="12"/>
  <c r="K117" i="6"/>
  <c r="H117" i="12"/>
  <c r="K141" i="6"/>
  <c r="H141" i="12"/>
  <c r="K142" i="6"/>
  <c r="H142" i="12"/>
  <c r="K47" i="6"/>
  <c r="H47" i="12"/>
  <c r="K254" i="6"/>
  <c r="I258" i="14" s="1"/>
  <c r="U258" i="14" s="1"/>
  <c r="W258" i="14" s="1"/>
  <c r="H255" i="12"/>
  <c r="K145" i="6"/>
  <c r="H145" i="12"/>
  <c r="K255" i="6"/>
  <c r="I259" i="14" s="1"/>
  <c r="U259" i="14" s="1"/>
  <c r="W259" i="14" s="1"/>
  <c r="H256" i="12"/>
  <c r="K51" i="6"/>
  <c r="H51" i="12"/>
  <c r="K54" i="6"/>
  <c r="H54" i="12"/>
  <c r="K101" i="6"/>
  <c r="H101" i="12"/>
  <c r="K125" i="6"/>
  <c r="H125" i="12"/>
  <c r="K237" i="6"/>
  <c r="I241" i="14" s="1"/>
  <c r="U241" i="14" s="1"/>
  <c r="W241" i="14" s="1"/>
  <c r="H238" i="12"/>
  <c r="I263" i="12"/>
  <c r="U263" i="12" s="1"/>
  <c r="W263" i="12" s="1"/>
  <c r="C258" i="11"/>
  <c r="N258" i="11" s="1"/>
  <c r="K96" i="6"/>
  <c r="H96" i="12"/>
  <c r="K122" i="6"/>
  <c r="H122" i="12"/>
  <c r="I261" i="12"/>
  <c r="U261" i="12" s="1"/>
  <c r="C256" i="11"/>
  <c r="N256" i="11" s="1"/>
  <c r="I262" i="12"/>
  <c r="U262" i="12" s="1"/>
  <c r="W262" i="12" s="1"/>
  <c r="C257" i="11"/>
  <c r="N257" i="11" s="1"/>
  <c r="K55" i="6"/>
  <c r="H55" i="12"/>
  <c r="K181" i="6"/>
  <c r="H182" i="12"/>
  <c r="K305" i="6"/>
  <c r="H305" i="12"/>
  <c r="K58" i="6"/>
  <c r="H58" i="12"/>
  <c r="K241" i="6"/>
  <c r="I245" i="14" s="1"/>
  <c r="U245" i="14" s="1"/>
  <c r="W245" i="14" s="1"/>
  <c r="H242" i="12"/>
  <c r="I269" i="12"/>
  <c r="U269" i="12" s="1"/>
  <c r="W269" i="12" s="1"/>
  <c r="C265" i="11"/>
  <c r="N265" i="11" s="1"/>
  <c r="K307" i="6"/>
  <c r="H307" i="12"/>
  <c r="K83" i="6"/>
  <c r="H83" i="12"/>
  <c r="K214" i="6"/>
  <c r="H215" i="12"/>
  <c r="I271" i="12"/>
  <c r="U271" i="12" s="1"/>
  <c r="W271" i="12" s="1"/>
  <c r="C267" i="11"/>
  <c r="N267" i="11" s="1"/>
  <c r="K309" i="6"/>
  <c r="H309" i="12"/>
  <c r="K26" i="6"/>
  <c r="H26" i="12"/>
  <c r="K85" i="6"/>
  <c r="H85" i="12"/>
  <c r="K109" i="6"/>
  <c r="H109" i="12"/>
  <c r="K133" i="6"/>
  <c r="H133" i="12"/>
  <c r="K161" i="6"/>
  <c r="H160" i="12"/>
  <c r="K215" i="6"/>
  <c r="I219" i="14" s="1"/>
  <c r="U219" i="14" s="1"/>
  <c r="W219" i="14" s="1"/>
  <c r="H216" i="12"/>
  <c r="K244" i="6"/>
  <c r="I248" i="14" s="1"/>
  <c r="U248" i="14" s="1"/>
  <c r="W248" i="14" s="1"/>
  <c r="H245" i="12"/>
  <c r="K310" i="6"/>
  <c r="H310" i="12"/>
  <c r="K28" i="6"/>
  <c r="H28" i="12"/>
  <c r="K86" i="6"/>
  <c r="H86" i="12"/>
  <c r="K134" i="6"/>
  <c r="H134" i="12"/>
  <c r="K217" i="6"/>
  <c r="I221" i="14" s="1"/>
  <c r="U221" i="14" s="1"/>
  <c r="W221" i="14" s="1"/>
  <c r="H218" i="12"/>
  <c r="K311" i="6"/>
  <c r="H311" i="12"/>
  <c r="K63" i="6"/>
  <c r="H63" i="12"/>
  <c r="K87" i="6"/>
  <c r="H87" i="12"/>
  <c r="K111" i="6"/>
  <c r="H111" i="12"/>
  <c r="K135" i="6"/>
  <c r="H135" i="12"/>
  <c r="K163" i="6"/>
  <c r="H162" i="12"/>
  <c r="K218" i="6"/>
  <c r="I222" i="14" s="1"/>
  <c r="U222" i="14" s="1"/>
  <c r="W222" i="14" s="1"/>
  <c r="H219" i="12"/>
  <c r="K246" i="6"/>
  <c r="I250" i="14" s="1"/>
  <c r="U250" i="14" s="1"/>
  <c r="W250" i="14" s="1"/>
  <c r="H247" i="12"/>
  <c r="C270" i="11"/>
  <c r="N270" i="11" s="1"/>
  <c r="I274" i="12"/>
  <c r="U274" i="12" s="1"/>
  <c r="W274" i="12" s="1"/>
  <c r="K312" i="6"/>
  <c r="H312" i="12"/>
  <c r="K88" i="6"/>
  <c r="H88" i="12"/>
  <c r="K112" i="6"/>
  <c r="H112" i="12"/>
  <c r="K136" i="6"/>
  <c r="H136" i="12"/>
  <c r="K164" i="6"/>
  <c r="H163" i="12"/>
  <c r="K219" i="6"/>
  <c r="H220" i="12"/>
  <c r="K247" i="6"/>
  <c r="H248" i="12"/>
  <c r="K313" i="6"/>
  <c r="H313" i="12"/>
  <c r="K32" i="6"/>
  <c r="H32" i="12"/>
  <c r="K65" i="6"/>
  <c r="H65" i="12"/>
  <c r="K89" i="6"/>
  <c r="H89" i="12"/>
  <c r="K138" i="6"/>
  <c r="H138" i="12"/>
  <c r="K165" i="6"/>
  <c r="H164" i="12"/>
  <c r="K192" i="6"/>
  <c r="H193" i="12"/>
  <c r="K248" i="6"/>
  <c r="I252" i="14" s="1"/>
  <c r="U252" i="14" s="1"/>
  <c r="W252" i="14" s="1"/>
  <c r="H249" i="12"/>
  <c r="K314" i="6"/>
  <c r="H314" i="12"/>
  <c r="K66" i="6"/>
  <c r="H66" i="12"/>
  <c r="K193" i="6"/>
  <c r="H194" i="12"/>
  <c r="K249" i="6"/>
  <c r="I253" i="14" s="1"/>
  <c r="U253" i="14" s="1"/>
  <c r="W253" i="14" s="1"/>
  <c r="H250" i="12"/>
  <c r="K279" i="6"/>
  <c r="H279" i="12"/>
  <c r="K116" i="6"/>
  <c r="H116" i="12"/>
  <c r="K223" i="6"/>
  <c r="H224" i="12"/>
  <c r="K250" i="6"/>
  <c r="I254" i="14" s="1"/>
  <c r="U254" i="14" s="1"/>
  <c r="W254" i="14" s="1"/>
  <c r="H251" i="12"/>
  <c r="K316" i="6"/>
  <c r="H316" i="12"/>
  <c r="K224" i="6"/>
  <c r="H225" i="12"/>
  <c r="K317" i="6"/>
  <c r="H317" i="12"/>
  <c r="K93" i="6"/>
  <c r="H93" i="12"/>
  <c r="K118" i="6"/>
  <c r="H118" i="12"/>
  <c r="K226" i="6"/>
  <c r="H227" i="12"/>
  <c r="K252" i="6"/>
  <c r="H253" i="12"/>
  <c r="H159" i="12"/>
  <c r="K94" i="6"/>
  <c r="H94" i="12"/>
  <c r="K119" i="6"/>
  <c r="H119" i="12"/>
  <c r="K253" i="6"/>
  <c r="H254" i="12"/>
  <c r="K71" i="6"/>
  <c r="H71" i="12"/>
  <c r="K95" i="6"/>
  <c r="H95" i="12"/>
  <c r="K144" i="6"/>
  <c r="H144" i="12"/>
  <c r="H170" i="12"/>
  <c r="K121" i="6"/>
  <c r="H121" i="12"/>
  <c r="K232" i="6"/>
  <c r="H233" i="12"/>
  <c r="K97" i="6"/>
  <c r="H97" i="12"/>
  <c r="K146" i="6"/>
  <c r="H146" i="12"/>
  <c r="K256" i="6"/>
  <c r="I260" i="14" s="1"/>
  <c r="U260" i="14" s="1"/>
  <c r="W260" i="14" s="1"/>
  <c r="H257" i="12"/>
  <c r="K75" i="6"/>
  <c r="H75" i="12"/>
  <c r="K99" i="6"/>
  <c r="H99" i="12"/>
  <c r="K76" i="6"/>
  <c r="H76" i="12"/>
  <c r="K102" i="6"/>
  <c r="H102" i="12"/>
  <c r="K126" i="6"/>
  <c r="H126" i="12"/>
  <c r="K180" i="6"/>
  <c r="H181" i="12"/>
  <c r="I264" i="12"/>
  <c r="U264" i="12" s="1"/>
  <c r="C259" i="11"/>
  <c r="N259" i="11" s="1"/>
  <c r="K304" i="6"/>
  <c r="H304" i="12"/>
  <c r="I266" i="12"/>
  <c r="U266" i="12" s="1"/>
  <c r="W266" i="12" s="1"/>
  <c r="C262" i="11"/>
  <c r="N262" i="11" s="1"/>
  <c r="K104" i="6"/>
  <c r="H104" i="12"/>
  <c r="I268" i="12"/>
  <c r="U268" i="12" s="1"/>
  <c r="C264" i="11"/>
  <c r="N264" i="11" s="1"/>
  <c r="K306" i="6"/>
  <c r="H306" i="12"/>
  <c r="K106" i="6"/>
  <c r="H106" i="12"/>
  <c r="K158" i="6"/>
  <c r="H157" i="12"/>
  <c r="K242" i="6"/>
  <c r="I246" i="14" s="1"/>
  <c r="U246" i="14" s="1"/>
  <c r="W246" i="14" s="1"/>
  <c r="H243" i="12"/>
  <c r="I270" i="12"/>
  <c r="U270" i="12" s="1"/>
  <c r="C266" i="11"/>
  <c r="N266" i="11" s="1"/>
  <c r="K251" i="6"/>
  <c r="I255" i="14" s="1"/>
  <c r="U255" i="14" s="1"/>
  <c r="W255" i="14" s="1"/>
  <c r="G33" i="6"/>
  <c r="F6" i="10"/>
  <c r="E33" i="14" l="1"/>
  <c r="G71" i="13"/>
  <c r="I279" i="12"/>
  <c r="U279" i="12" s="1"/>
  <c r="W279" i="12" s="1"/>
  <c r="I286" i="14"/>
  <c r="U286" i="14" s="1"/>
  <c r="W286" i="14" s="1"/>
  <c r="I65" i="12"/>
  <c r="U65" i="12" s="1"/>
  <c r="I65" i="14"/>
  <c r="U65" i="14" s="1"/>
  <c r="I134" i="12"/>
  <c r="U134" i="12" s="1"/>
  <c r="I134" i="14"/>
  <c r="U134" i="14" s="1"/>
  <c r="I26" i="12"/>
  <c r="U26" i="12" s="1"/>
  <c r="I26" i="14"/>
  <c r="U26" i="14" s="1"/>
  <c r="I182" i="12"/>
  <c r="U182" i="12" s="1"/>
  <c r="W182" i="12" s="1"/>
  <c r="I182" i="14"/>
  <c r="U182" i="14" s="1"/>
  <c r="W182" i="14" s="1"/>
  <c r="I54" i="12"/>
  <c r="U54" i="12" s="1"/>
  <c r="I54" i="14"/>
  <c r="U54" i="14" s="1"/>
  <c r="I280" i="12"/>
  <c r="U280" i="12" s="1"/>
  <c r="W280" i="12" s="1"/>
  <c r="I287" i="14"/>
  <c r="U287" i="14" s="1"/>
  <c r="I181" i="12"/>
  <c r="U181" i="12" s="1"/>
  <c r="I181" i="14"/>
  <c r="U181" i="14" s="1"/>
  <c r="I86" i="12"/>
  <c r="U86" i="12" s="1"/>
  <c r="W86" i="12" s="1"/>
  <c r="I86" i="14"/>
  <c r="U86" i="14" s="1"/>
  <c r="W86" i="14" s="1"/>
  <c r="I55" i="12"/>
  <c r="U55" i="12" s="1"/>
  <c r="I55" i="14"/>
  <c r="U55" i="14" s="1"/>
  <c r="I140" i="12"/>
  <c r="U140" i="12" s="1"/>
  <c r="W140" i="12" s="1"/>
  <c r="I140" i="14"/>
  <c r="U140" i="14" s="1"/>
  <c r="W140" i="14" s="1"/>
  <c r="C71" i="13"/>
  <c r="I126" i="12"/>
  <c r="U126" i="12" s="1"/>
  <c r="W126" i="12" s="1"/>
  <c r="I126" i="14"/>
  <c r="U126" i="14" s="1"/>
  <c r="W126" i="14" s="1"/>
  <c r="I67" i="12"/>
  <c r="U67" i="12" s="1"/>
  <c r="I67" i="14"/>
  <c r="U67" i="14" s="1"/>
  <c r="I60" i="12"/>
  <c r="U60" i="12" s="1"/>
  <c r="W60" i="12" s="1"/>
  <c r="I60" i="14"/>
  <c r="U60" i="14" s="1"/>
  <c r="W60" i="14" s="1"/>
  <c r="I157" i="12"/>
  <c r="U157" i="12" s="1"/>
  <c r="W157" i="12" s="1"/>
  <c r="I157" i="14"/>
  <c r="U157" i="14" s="1"/>
  <c r="W157" i="14" s="1"/>
  <c r="I144" i="12"/>
  <c r="U144" i="12" s="1"/>
  <c r="I144" i="14"/>
  <c r="U144" i="14" s="1"/>
  <c r="I93" i="12"/>
  <c r="U93" i="12" s="1"/>
  <c r="I93" i="14"/>
  <c r="U93" i="14" s="1"/>
  <c r="I66" i="12"/>
  <c r="U66" i="12" s="1"/>
  <c r="I66" i="14"/>
  <c r="U66" i="14" s="1"/>
  <c r="I162" i="12"/>
  <c r="U162" i="12" s="1"/>
  <c r="W162" i="12" s="1"/>
  <c r="I162" i="14"/>
  <c r="U162" i="14" s="1"/>
  <c r="W162" i="14" s="1"/>
  <c r="I310" i="12"/>
  <c r="U310" i="12" s="1"/>
  <c r="W310" i="12" s="1"/>
  <c r="I317" i="14"/>
  <c r="U317" i="14" s="1"/>
  <c r="I215" i="12"/>
  <c r="U215" i="12" s="1"/>
  <c r="I218" i="14"/>
  <c r="U218" i="14" s="1"/>
  <c r="I145" i="12"/>
  <c r="U145" i="12" s="1"/>
  <c r="I145" i="14"/>
  <c r="U145" i="14" s="1"/>
  <c r="I76" i="12"/>
  <c r="U76" i="12" s="1"/>
  <c r="W76" i="12" s="1"/>
  <c r="I76" i="14"/>
  <c r="U76" i="14" s="1"/>
  <c r="W76" i="14" s="1"/>
  <c r="I317" i="12"/>
  <c r="U317" i="12" s="1"/>
  <c r="W317" i="12" s="1"/>
  <c r="I324" i="14"/>
  <c r="U324" i="14" s="1"/>
  <c r="W324" i="14" s="1"/>
  <c r="I220" i="12"/>
  <c r="U220" i="12" s="1"/>
  <c r="I223" i="14"/>
  <c r="U223" i="14" s="1"/>
  <c r="I83" i="12"/>
  <c r="U83" i="12" s="1"/>
  <c r="I83" i="14"/>
  <c r="U83" i="14" s="1"/>
  <c r="I306" i="12"/>
  <c r="U306" i="12" s="1"/>
  <c r="W306" i="12" s="1"/>
  <c r="I313" i="14"/>
  <c r="U313" i="14" s="1"/>
  <c r="W313" i="14" s="1"/>
  <c r="I71" i="12"/>
  <c r="U71" i="12" s="1"/>
  <c r="I71" i="14"/>
  <c r="U71" i="14" s="1"/>
  <c r="I163" i="12"/>
  <c r="U163" i="12" s="1"/>
  <c r="W163" i="12" s="1"/>
  <c r="I163" i="14"/>
  <c r="U163" i="14" s="1"/>
  <c r="I111" i="12"/>
  <c r="U111" i="12" s="1"/>
  <c r="I111" i="14"/>
  <c r="U111" i="14" s="1"/>
  <c r="I307" i="12"/>
  <c r="U307" i="12" s="1"/>
  <c r="W307" i="12" s="1"/>
  <c r="I314" i="14"/>
  <c r="U314" i="14" s="1"/>
  <c r="W314" i="14" s="1"/>
  <c r="I47" i="12"/>
  <c r="U47" i="12" s="1"/>
  <c r="I47" i="14"/>
  <c r="U47" i="14" s="1"/>
  <c r="I75" i="12"/>
  <c r="U75" i="12" s="1"/>
  <c r="I75" i="14"/>
  <c r="U75" i="14" s="1"/>
  <c r="I193" i="12"/>
  <c r="U193" i="12" s="1"/>
  <c r="I193" i="14"/>
  <c r="U193" i="14" s="1"/>
  <c r="I136" i="12"/>
  <c r="U136" i="12" s="1"/>
  <c r="I136" i="14"/>
  <c r="U136" i="14" s="1"/>
  <c r="I87" i="12"/>
  <c r="U87" i="12" s="1"/>
  <c r="I87" i="14"/>
  <c r="U87" i="14" s="1"/>
  <c r="I160" i="12"/>
  <c r="U160" i="12" s="1"/>
  <c r="W160" i="12" s="1"/>
  <c r="I160" i="14"/>
  <c r="U160" i="14" s="1"/>
  <c r="W160" i="14" s="1"/>
  <c r="I142" i="12"/>
  <c r="U142" i="12" s="1"/>
  <c r="W142" i="12" s="1"/>
  <c r="I142" i="14"/>
  <c r="U142" i="14" s="1"/>
  <c r="W142" i="14" s="1"/>
  <c r="I31" i="12"/>
  <c r="U31" i="12" s="1"/>
  <c r="I31" i="14"/>
  <c r="U31" i="14" s="1"/>
  <c r="I104" i="12"/>
  <c r="U104" i="12" s="1"/>
  <c r="W104" i="12" s="1"/>
  <c r="I104" i="14"/>
  <c r="U104" i="14" s="1"/>
  <c r="W104" i="14" s="1"/>
  <c r="I119" i="12"/>
  <c r="U119" i="12" s="1"/>
  <c r="I119" i="14"/>
  <c r="U119" i="14" s="1"/>
  <c r="I63" i="12"/>
  <c r="U63" i="12" s="1"/>
  <c r="I63" i="14"/>
  <c r="U63" i="14" s="1"/>
  <c r="I146" i="12"/>
  <c r="U146" i="12" s="1"/>
  <c r="I146" i="14"/>
  <c r="U146" i="14" s="1"/>
  <c r="I138" i="12"/>
  <c r="U138" i="12" s="1"/>
  <c r="W138" i="12" s="1"/>
  <c r="I138" i="14"/>
  <c r="U138" i="14" s="1"/>
  <c r="W138" i="14" s="1"/>
  <c r="I58" i="12"/>
  <c r="U58" i="12" s="1"/>
  <c r="I58" i="14"/>
  <c r="U58" i="14" s="1"/>
  <c r="I121" i="12"/>
  <c r="U121" i="12" s="1"/>
  <c r="W121" i="12" s="1"/>
  <c r="I121" i="14"/>
  <c r="U121" i="14" s="1"/>
  <c r="W121" i="14" s="1"/>
  <c r="I32" i="12"/>
  <c r="U32" i="12" s="1"/>
  <c r="I32" i="14"/>
  <c r="U32" i="14" s="1"/>
  <c r="I309" i="12"/>
  <c r="U309" i="12" s="1"/>
  <c r="W309" i="12" s="1"/>
  <c r="I316" i="14"/>
  <c r="U316" i="14" s="1"/>
  <c r="W316" i="14" s="1"/>
  <c r="I51" i="12"/>
  <c r="U51" i="12" s="1"/>
  <c r="W51" i="12" s="1"/>
  <c r="I51" i="14"/>
  <c r="U51" i="14" s="1"/>
  <c r="W51" i="14" s="1"/>
  <c r="I170" i="12"/>
  <c r="U170" i="12" s="1"/>
  <c r="I170" i="14"/>
  <c r="U170" i="14" s="1"/>
  <c r="I118" i="12"/>
  <c r="U118" i="12" s="1"/>
  <c r="I118" i="14"/>
  <c r="U118" i="14" s="1"/>
  <c r="I194" i="12"/>
  <c r="U194" i="12" s="1"/>
  <c r="I194" i="14"/>
  <c r="U194" i="14" s="1"/>
  <c r="I313" i="12"/>
  <c r="U313" i="12" s="1"/>
  <c r="W313" i="12" s="1"/>
  <c r="I320" i="14"/>
  <c r="U320" i="14" s="1"/>
  <c r="W320" i="14" s="1"/>
  <c r="I28" i="12"/>
  <c r="U28" i="12" s="1"/>
  <c r="W28" i="12" s="1"/>
  <c r="I28" i="14"/>
  <c r="U28" i="14" s="1"/>
  <c r="W28" i="14" s="1"/>
  <c r="I102" i="12"/>
  <c r="U102" i="12" s="1"/>
  <c r="W102" i="12" s="1"/>
  <c r="I102" i="14"/>
  <c r="U102" i="14" s="1"/>
  <c r="W102" i="14" s="1"/>
  <c r="I315" i="12"/>
  <c r="U315" i="12" s="1"/>
  <c r="W315" i="12" s="1"/>
  <c r="I322" i="14"/>
  <c r="U322" i="14" s="1"/>
  <c r="W322" i="14" s="1"/>
  <c r="I106" i="12"/>
  <c r="U106" i="12" s="1"/>
  <c r="W106" i="12" s="1"/>
  <c r="I106" i="14"/>
  <c r="U106" i="14" s="1"/>
  <c r="W106" i="14" s="1"/>
  <c r="I95" i="12"/>
  <c r="U95" i="12" s="1"/>
  <c r="I95" i="14"/>
  <c r="U95" i="14" s="1"/>
  <c r="I314" i="12"/>
  <c r="U314" i="12" s="1"/>
  <c r="W314" i="12" s="1"/>
  <c r="I321" i="14"/>
  <c r="U321" i="14" s="1"/>
  <c r="W321" i="14" s="1"/>
  <c r="I135" i="12"/>
  <c r="U135" i="12" s="1"/>
  <c r="I135" i="14"/>
  <c r="U135" i="14" s="1"/>
  <c r="I122" i="12"/>
  <c r="U122" i="12" s="1"/>
  <c r="W122" i="12" s="1"/>
  <c r="I122" i="14"/>
  <c r="U122" i="14" s="1"/>
  <c r="W122" i="14" s="1"/>
  <c r="I99" i="12"/>
  <c r="U99" i="12" s="1"/>
  <c r="W99" i="12" s="1"/>
  <c r="I99" i="14"/>
  <c r="U99" i="14" s="1"/>
  <c r="W99" i="14" s="1"/>
  <c r="I96" i="12"/>
  <c r="U96" i="12" s="1"/>
  <c r="I96" i="14"/>
  <c r="U96" i="14" s="1"/>
  <c r="I276" i="12"/>
  <c r="U276" i="12" s="1"/>
  <c r="W276" i="12" s="1"/>
  <c r="I283" i="14"/>
  <c r="U283" i="14" s="1"/>
  <c r="W283" i="14" s="1"/>
  <c r="I316" i="12"/>
  <c r="U316" i="12" s="1"/>
  <c r="W316" i="12" s="1"/>
  <c r="I323" i="14"/>
  <c r="U323" i="14" s="1"/>
  <c r="W323" i="14" s="1"/>
  <c r="I164" i="12"/>
  <c r="U164" i="12" s="1"/>
  <c r="W164" i="12" s="1"/>
  <c r="I164" i="14"/>
  <c r="U164" i="14" s="1"/>
  <c r="W164" i="14" s="1"/>
  <c r="I112" i="12"/>
  <c r="U112" i="12" s="1"/>
  <c r="I112" i="14"/>
  <c r="U112" i="14" s="1"/>
  <c r="I133" i="12"/>
  <c r="U133" i="12" s="1"/>
  <c r="I133" i="14"/>
  <c r="U133" i="14" s="1"/>
  <c r="I141" i="12"/>
  <c r="U141" i="12" s="1"/>
  <c r="W141" i="12" s="1"/>
  <c r="I141" i="14"/>
  <c r="U141" i="14" s="1"/>
  <c r="W141" i="14" s="1"/>
  <c r="I94" i="12"/>
  <c r="U94" i="12" s="1"/>
  <c r="I94" i="14"/>
  <c r="U94" i="14" s="1"/>
  <c r="I88" i="12"/>
  <c r="U88" i="12" s="1"/>
  <c r="I88" i="14"/>
  <c r="U88" i="14" s="1"/>
  <c r="I311" i="12"/>
  <c r="U311" i="12" s="1"/>
  <c r="W311" i="12" s="1"/>
  <c r="I318" i="14"/>
  <c r="U318" i="14" s="1"/>
  <c r="I109" i="12"/>
  <c r="U109" i="12" s="1"/>
  <c r="I109" i="14"/>
  <c r="U109" i="14" s="1"/>
  <c r="I125" i="12"/>
  <c r="U125" i="12" s="1"/>
  <c r="W125" i="12" s="1"/>
  <c r="I125" i="14"/>
  <c r="U125" i="14" s="1"/>
  <c r="W125" i="14" s="1"/>
  <c r="I117" i="12"/>
  <c r="U117" i="12" s="1"/>
  <c r="W117" i="12" s="1"/>
  <c r="I117" i="14"/>
  <c r="U117" i="14" s="1"/>
  <c r="W117" i="14" s="1"/>
  <c r="I62" i="12"/>
  <c r="U62" i="12" s="1"/>
  <c r="I62" i="14"/>
  <c r="U62" i="14" s="1"/>
  <c r="I304" i="12"/>
  <c r="U304" i="12" s="1"/>
  <c r="W304" i="12" s="1"/>
  <c r="I311" i="14"/>
  <c r="U311" i="14" s="1"/>
  <c r="W311" i="14" s="1"/>
  <c r="I97" i="12"/>
  <c r="U97" i="12" s="1"/>
  <c r="I97" i="14"/>
  <c r="U97" i="14" s="1"/>
  <c r="I116" i="12"/>
  <c r="U116" i="12" s="1"/>
  <c r="I116" i="14"/>
  <c r="U116" i="14" s="1"/>
  <c r="I89" i="12"/>
  <c r="U89" i="12" s="1"/>
  <c r="I89" i="14"/>
  <c r="U89" i="14" s="1"/>
  <c r="I312" i="12"/>
  <c r="U312" i="12" s="1"/>
  <c r="I319" i="14"/>
  <c r="U319" i="14" s="1"/>
  <c r="I85" i="12"/>
  <c r="U85" i="12" s="1"/>
  <c r="W85" i="12" s="1"/>
  <c r="I85" i="14"/>
  <c r="U85" i="14" s="1"/>
  <c r="W85" i="14" s="1"/>
  <c r="I305" i="12"/>
  <c r="U305" i="12" s="1"/>
  <c r="I312" i="14"/>
  <c r="U312" i="14" s="1"/>
  <c r="I101" i="12"/>
  <c r="U101" i="12" s="1"/>
  <c r="W101" i="12" s="1"/>
  <c r="I101" i="14"/>
  <c r="U101" i="14" s="1"/>
  <c r="W101" i="14" s="1"/>
  <c r="I92" i="12"/>
  <c r="U92" i="12" s="1"/>
  <c r="I92" i="14"/>
  <c r="U92" i="14" s="1"/>
  <c r="I224" i="12"/>
  <c r="U224" i="12" s="1"/>
  <c r="W224" i="12" s="1"/>
  <c r="I227" i="14"/>
  <c r="U227" i="14" s="1"/>
  <c r="W227" i="14" s="1"/>
  <c r="I225" i="12"/>
  <c r="U225" i="12" s="1"/>
  <c r="W225" i="12" s="1"/>
  <c r="I228" i="14"/>
  <c r="U228" i="14" s="1"/>
  <c r="W228" i="14" s="1"/>
  <c r="I254" i="12"/>
  <c r="U254" i="12" s="1"/>
  <c r="W254" i="12" s="1"/>
  <c r="I257" i="14"/>
  <c r="I227" i="12"/>
  <c r="U227" i="12" s="1"/>
  <c r="W227" i="12" s="1"/>
  <c r="I230" i="14"/>
  <c r="U230" i="14" s="1"/>
  <c r="W230" i="14" s="1"/>
  <c r="I248" i="12"/>
  <c r="U248" i="12" s="1"/>
  <c r="W248" i="12" s="1"/>
  <c r="I251" i="14"/>
  <c r="U251" i="14" s="1"/>
  <c r="W251" i="14" s="1"/>
  <c r="I223" i="12"/>
  <c r="U223" i="12" s="1"/>
  <c r="W223" i="12" s="1"/>
  <c r="I226" i="14"/>
  <c r="U226" i="14" s="1"/>
  <c r="W226" i="14" s="1"/>
  <c r="I233" i="12"/>
  <c r="U233" i="12" s="1"/>
  <c r="I236" i="14"/>
  <c r="U236" i="14" s="1"/>
  <c r="I253" i="12"/>
  <c r="U253" i="12" s="1"/>
  <c r="W253" i="12" s="1"/>
  <c r="I256" i="14"/>
  <c r="I256" i="12"/>
  <c r="U256" i="12" s="1"/>
  <c r="W256" i="12" s="1"/>
  <c r="C61" i="13"/>
  <c r="G61" i="13" s="1"/>
  <c r="I61" i="13" s="1"/>
  <c r="I251" i="12"/>
  <c r="U251" i="12" s="1"/>
  <c r="W251" i="12" s="1"/>
  <c r="C47" i="13"/>
  <c r="G47" i="13" s="1"/>
  <c r="I47" i="13" s="1"/>
  <c r="I255" i="12"/>
  <c r="U255" i="12" s="1"/>
  <c r="W255" i="12" s="1"/>
  <c r="C60" i="13"/>
  <c r="I257" i="12"/>
  <c r="U257" i="12" s="1"/>
  <c r="W257" i="12" s="1"/>
  <c r="C55" i="13"/>
  <c r="I218" i="12"/>
  <c r="U218" i="12" s="1"/>
  <c r="W218" i="12" s="1"/>
  <c r="C9" i="13"/>
  <c r="G9" i="13" s="1"/>
  <c r="I9" i="13" s="1"/>
  <c r="I247" i="12"/>
  <c r="U247" i="12" s="1"/>
  <c r="W247" i="12" s="1"/>
  <c r="C44" i="13"/>
  <c r="G44" i="13" s="1"/>
  <c r="I44" i="13" s="1"/>
  <c r="I219" i="12"/>
  <c r="U219" i="12" s="1"/>
  <c r="W219" i="12" s="1"/>
  <c r="C10" i="13"/>
  <c r="G10" i="13" s="1"/>
  <c r="I10" i="13" s="1"/>
  <c r="I250" i="12"/>
  <c r="U250" i="12" s="1"/>
  <c r="W250" i="12" s="1"/>
  <c r="C46" i="13"/>
  <c r="I245" i="12"/>
  <c r="U245" i="12" s="1"/>
  <c r="W245" i="12" s="1"/>
  <c r="C42" i="13"/>
  <c r="G42" i="13" s="1"/>
  <c r="I42" i="13" s="1"/>
  <c r="I216" i="12"/>
  <c r="U216" i="12" s="1"/>
  <c r="W216" i="12" s="1"/>
  <c r="C7" i="13"/>
  <c r="G7" i="13" s="1"/>
  <c r="I7" i="13" s="1"/>
  <c r="I238" i="12"/>
  <c r="U238" i="12" s="1"/>
  <c r="W238" i="12" s="1"/>
  <c r="C35" i="13"/>
  <c r="G35" i="13" s="1"/>
  <c r="I35" i="13" s="1"/>
  <c r="I244" i="12"/>
  <c r="U244" i="12" s="1"/>
  <c r="W244" i="12" s="1"/>
  <c r="C41" i="13"/>
  <c r="G41" i="13" s="1"/>
  <c r="I41" i="13" s="1"/>
  <c r="I252" i="12"/>
  <c r="U252" i="12" s="1"/>
  <c r="W252" i="12" s="1"/>
  <c r="C48" i="13"/>
  <c r="G48" i="13" s="1"/>
  <c r="I48" i="13" s="1"/>
  <c r="I249" i="12"/>
  <c r="U249" i="12" s="1"/>
  <c r="W249" i="12" s="1"/>
  <c r="C45" i="13"/>
  <c r="G45" i="13" s="1"/>
  <c r="I45" i="13" s="1"/>
  <c r="I243" i="12"/>
  <c r="U243" i="12" s="1"/>
  <c r="W243" i="12" s="1"/>
  <c r="C40" i="13"/>
  <c r="G40" i="13" s="1"/>
  <c r="I40" i="13" s="1"/>
  <c r="I242" i="12"/>
  <c r="U242" i="12" s="1"/>
  <c r="W242" i="12" s="1"/>
  <c r="C39" i="13"/>
  <c r="G39" i="13" s="1"/>
  <c r="I39" i="13" s="1"/>
  <c r="K33" i="6"/>
  <c r="E33" i="12"/>
  <c r="D10" i="29" l="1"/>
  <c r="F10" i="29" s="1"/>
  <c r="I33" i="14"/>
  <c r="U33" i="14" s="1"/>
  <c r="W33" i="14" s="1"/>
  <c r="C9" i="23"/>
  <c r="I9" i="23" s="1"/>
  <c r="G55" i="13"/>
  <c r="G60" i="13"/>
  <c r="C62" i="13"/>
  <c r="G46" i="13"/>
  <c r="C49" i="13"/>
  <c r="I33" i="12"/>
  <c r="U33" i="12" s="1"/>
  <c r="W33" i="12" s="1"/>
  <c r="F23" i="10"/>
  <c r="C28" i="11"/>
  <c r="N28" i="11" s="1"/>
  <c r="C27" i="11"/>
  <c r="C26" i="11"/>
  <c r="C23" i="11"/>
  <c r="C21" i="11"/>
  <c r="C33" i="11"/>
  <c r="C45" i="11"/>
  <c r="C42" i="11"/>
  <c r="C40" i="11"/>
  <c r="C37" i="11"/>
  <c r="C59" i="11"/>
  <c r="C54" i="11"/>
  <c r="C53" i="11"/>
  <c r="C52" i="11"/>
  <c r="C50" i="11"/>
  <c r="C49" i="11"/>
  <c r="C47" i="11"/>
  <c r="N47" i="11" s="1"/>
  <c r="C73" i="11"/>
  <c r="C66" i="11"/>
  <c r="C65" i="11"/>
  <c r="C89" i="11"/>
  <c r="C87" i="11"/>
  <c r="C86" i="11"/>
  <c r="C85" i="11"/>
  <c r="C84" i="11"/>
  <c r="C83" i="11"/>
  <c r="C82" i="11"/>
  <c r="C79" i="11"/>
  <c r="C78" i="11"/>
  <c r="C77" i="11"/>
  <c r="C76" i="11"/>
  <c r="C75" i="11"/>
  <c r="C128" i="11"/>
  <c r="C127" i="11"/>
  <c r="C126" i="11"/>
  <c r="C125" i="11"/>
  <c r="C117" i="11"/>
  <c r="C116" i="11"/>
  <c r="C113" i="11"/>
  <c r="C112" i="11"/>
  <c r="C110" i="11"/>
  <c r="C109" i="11"/>
  <c r="C108" i="11"/>
  <c r="C107" i="11"/>
  <c r="C102" i="11"/>
  <c r="C101" i="11"/>
  <c r="C99" i="11"/>
  <c r="C96" i="11"/>
  <c r="C94" i="11"/>
  <c r="C92" i="11"/>
  <c r="C91" i="11"/>
  <c r="C138" i="11"/>
  <c r="C137" i="11"/>
  <c r="C136" i="11"/>
  <c r="C134" i="11"/>
  <c r="C133" i="11"/>
  <c r="C132" i="11"/>
  <c r="C130" i="11"/>
  <c r="C158" i="11"/>
  <c r="C157" i="11"/>
  <c r="C156" i="11"/>
  <c r="C154" i="11"/>
  <c r="C151" i="11"/>
  <c r="C174" i="11"/>
  <c r="C189" i="11"/>
  <c r="C188" i="11"/>
  <c r="C187" i="11"/>
  <c r="C214" i="11"/>
  <c r="C213" i="11"/>
  <c r="C212" i="11"/>
  <c r="C210" i="11"/>
  <c r="C209" i="11"/>
  <c r="C251" i="11"/>
  <c r="C250" i="11"/>
  <c r="C249" i="11"/>
  <c r="C248" i="11"/>
  <c r="C247" i="11"/>
  <c r="C245" i="11"/>
  <c r="C244" i="11"/>
  <c r="C243" i="11"/>
  <c r="N243" i="11" s="1"/>
  <c r="C242" i="11"/>
  <c r="C241" i="11"/>
  <c r="C239" i="11"/>
  <c r="C238" i="11"/>
  <c r="C237" i="11"/>
  <c r="C236" i="11"/>
  <c r="C232" i="11"/>
  <c r="C227" i="11"/>
  <c r="C221" i="11"/>
  <c r="C219" i="11"/>
  <c r="C218" i="11"/>
  <c r="C217" i="11"/>
  <c r="H270" i="11"/>
  <c r="U270" i="11" s="1"/>
  <c r="H269" i="11"/>
  <c r="U269" i="11" s="1"/>
  <c r="H268" i="11"/>
  <c r="U268" i="11" s="1"/>
  <c r="H267" i="11"/>
  <c r="U267" i="11" s="1"/>
  <c r="H266" i="11"/>
  <c r="H265" i="11"/>
  <c r="H264" i="11"/>
  <c r="H262" i="11"/>
  <c r="U262" i="11" s="1"/>
  <c r="H259" i="11"/>
  <c r="H258" i="11"/>
  <c r="U258" i="11" s="1"/>
  <c r="H256" i="11"/>
  <c r="C272" i="11"/>
  <c r="C276" i="11"/>
  <c r="C275" i="11"/>
  <c r="C304" i="11"/>
  <c r="C303" i="11"/>
  <c r="C302" i="11"/>
  <c r="C301" i="11"/>
  <c r="C300" i="11"/>
  <c r="C299" i="11"/>
  <c r="C298" i="11"/>
  <c r="C297" i="11"/>
  <c r="C296" i="11"/>
  <c r="C294" i="11"/>
  <c r="C293" i="11"/>
  <c r="C292" i="11"/>
  <c r="C291" i="11"/>
  <c r="Q12" i="10"/>
  <c r="O6" i="10"/>
  <c r="N6" i="10"/>
  <c r="G129" i="6"/>
  <c r="E129" i="14" s="1"/>
  <c r="G128" i="6"/>
  <c r="E128" i="14" s="1"/>
  <c r="H128" i="6"/>
  <c r="H29" i="6"/>
  <c r="F29" i="14" s="1"/>
  <c r="F128" i="12" l="1"/>
  <c r="F128" i="14"/>
  <c r="H301" i="11"/>
  <c r="U301" i="11" s="1"/>
  <c r="N301" i="11"/>
  <c r="H59" i="11"/>
  <c r="N59" i="11"/>
  <c r="H302" i="11"/>
  <c r="U302" i="11" s="1"/>
  <c r="N302" i="11"/>
  <c r="H92" i="11"/>
  <c r="U92" i="11" s="1"/>
  <c r="N92" i="11"/>
  <c r="H214" i="11"/>
  <c r="N214" i="11"/>
  <c r="H94" i="11"/>
  <c r="U94" i="11" s="1"/>
  <c r="N94" i="11"/>
  <c r="H304" i="11"/>
  <c r="U304" i="11" s="1"/>
  <c r="N304" i="11"/>
  <c r="H79" i="11"/>
  <c r="N79" i="11"/>
  <c r="H275" i="11"/>
  <c r="U275" i="11" s="1"/>
  <c r="N275" i="11"/>
  <c r="H45" i="11"/>
  <c r="N45" i="11"/>
  <c r="H238" i="11"/>
  <c r="N238" i="11"/>
  <c r="H102" i="11"/>
  <c r="N102" i="11"/>
  <c r="H239" i="11"/>
  <c r="N239" i="11"/>
  <c r="H174" i="11"/>
  <c r="U174" i="11" s="1"/>
  <c r="N174" i="11"/>
  <c r="H107" i="11"/>
  <c r="N107" i="11"/>
  <c r="H85" i="11"/>
  <c r="N85" i="11"/>
  <c r="H241" i="11"/>
  <c r="U241" i="11" s="1"/>
  <c r="N241" i="11"/>
  <c r="H151" i="11"/>
  <c r="N151" i="11"/>
  <c r="H108" i="11"/>
  <c r="N108" i="11"/>
  <c r="H86" i="11"/>
  <c r="N86" i="11"/>
  <c r="H242" i="11"/>
  <c r="N242" i="11"/>
  <c r="H154" i="11"/>
  <c r="U154" i="11" s="1"/>
  <c r="N154" i="11"/>
  <c r="H109" i="11"/>
  <c r="N109" i="11"/>
  <c r="H87" i="11"/>
  <c r="N87" i="11"/>
  <c r="H243" i="11"/>
  <c r="U243" i="11" s="1"/>
  <c r="H156" i="11"/>
  <c r="U156" i="11" s="1"/>
  <c r="N156" i="11"/>
  <c r="H110" i="11"/>
  <c r="N110" i="11"/>
  <c r="H89" i="11"/>
  <c r="U89" i="11" s="1"/>
  <c r="N89" i="11"/>
  <c r="H219" i="11"/>
  <c r="U219" i="11" s="1"/>
  <c r="N219" i="11"/>
  <c r="H91" i="11"/>
  <c r="N91" i="11"/>
  <c r="H213" i="11"/>
  <c r="U213" i="11" s="1"/>
  <c r="N213" i="11"/>
  <c r="H37" i="11"/>
  <c r="U37" i="11" s="1"/>
  <c r="N37" i="11"/>
  <c r="H303" i="11"/>
  <c r="U303" i="11" s="1"/>
  <c r="N303" i="11"/>
  <c r="H40" i="11"/>
  <c r="N40" i="11"/>
  <c r="H232" i="11"/>
  <c r="U232" i="11" s="1"/>
  <c r="N232" i="11"/>
  <c r="H96" i="11"/>
  <c r="U96" i="11" s="1"/>
  <c r="N96" i="11"/>
  <c r="H188" i="11"/>
  <c r="N188" i="11"/>
  <c r="H82" i="11"/>
  <c r="N82" i="11"/>
  <c r="H276" i="11"/>
  <c r="U276" i="11" s="1"/>
  <c r="N276" i="11"/>
  <c r="H189" i="11"/>
  <c r="U189" i="11" s="1"/>
  <c r="N189" i="11"/>
  <c r="H33" i="11"/>
  <c r="N33" i="11"/>
  <c r="H272" i="11"/>
  <c r="U272" i="11" s="1"/>
  <c r="N272" i="11"/>
  <c r="H84" i="11"/>
  <c r="N84" i="11"/>
  <c r="H157" i="11"/>
  <c r="N157" i="11"/>
  <c r="H65" i="11"/>
  <c r="N65" i="11"/>
  <c r="H158" i="11"/>
  <c r="U158" i="11" s="1"/>
  <c r="N158" i="11"/>
  <c r="H66" i="11"/>
  <c r="U66" i="11" s="1"/>
  <c r="N66" i="11"/>
  <c r="H293" i="11"/>
  <c r="U293" i="11" s="1"/>
  <c r="N293" i="11"/>
  <c r="H247" i="11"/>
  <c r="N247" i="11"/>
  <c r="H130" i="11"/>
  <c r="N130" i="11"/>
  <c r="H73" i="11"/>
  <c r="N73" i="11"/>
  <c r="H248" i="11"/>
  <c r="U248" i="11" s="1"/>
  <c r="N248" i="11"/>
  <c r="H133" i="11"/>
  <c r="U133" i="11" s="1"/>
  <c r="N133" i="11"/>
  <c r="H49" i="11"/>
  <c r="N49" i="11"/>
  <c r="H297" i="11"/>
  <c r="U297" i="11" s="1"/>
  <c r="N297" i="11"/>
  <c r="H134" i="11"/>
  <c r="U134" i="11" s="1"/>
  <c r="N134" i="11"/>
  <c r="H126" i="11"/>
  <c r="N126" i="11"/>
  <c r="H298" i="11"/>
  <c r="U298" i="11" s="1"/>
  <c r="N298" i="11"/>
  <c r="H52" i="11"/>
  <c r="N52" i="11"/>
  <c r="H299" i="11"/>
  <c r="N299" i="11"/>
  <c r="H217" i="11"/>
  <c r="U217" i="11" s="1"/>
  <c r="N217" i="11"/>
  <c r="H209" i="11"/>
  <c r="U209" i="11" s="1"/>
  <c r="N209" i="11"/>
  <c r="H137" i="11"/>
  <c r="N137" i="11"/>
  <c r="H128" i="11"/>
  <c r="N128" i="11"/>
  <c r="H53" i="11"/>
  <c r="N53" i="11"/>
  <c r="H212" i="11"/>
  <c r="U212" i="11" s="1"/>
  <c r="N212" i="11"/>
  <c r="H76" i="11"/>
  <c r="N76" i="11"/>
  <c r="H221" i="11"/>
  <c r="U221" i="11" s="1"/>
  <c r="N221" i="11"/>
  <c r="H77" i="11"/>
  <c r="N77" i="11"/>
  <c r="H227" i="11"/>
  <c r="N227" i="11"/>
  <c r="H78" i="11"/>
  <c r="N78" i="11"/>
  <c r="H187" i="11"/>
  <c r="N187" i="11"/>
  <c r="H42" i="11"/>
  <c r="N42" i="11"/>
  <c r="H236" i="11"/>
  <c r="U236" i="11" s="1"/>
  <c r="N236" i="11"/>
  <c r="H99" i="11"/>
  <c r="N99" i="11"/>
  <c r="H237" i="11"/>
  <c r="U237" i="11" s="1"/>
  <c r="N237" i="11"/>
  <c r="H101" i="11"/>
  <c r="N101" i="11"/>
  <c r="H83" i="11"/>
  <c r="N83" i="11"/>
  <c r="H291" i="11"/>
  <c r="U291" i="11" s="1"/>
  <c r="N291" i="11"/>
  <c r="H244" i="11"/>
  <c r="U244" i="11" s="1"/>
  <c r="N244" i="11"/>
  <c r="H112" i="11"/>
  <c r="N112" i="11"/>
  <c r="H292" i="11"/>
  <c r="N292" i="11"/>
  <c r="H245" i="11"/>
  <c r="U245" i="11" s="1"/>
  <c r="N245" i="11"/>
  <c r="H113" i="11"/>
  <c r="N113" i="11"/>
  <c r="H116" i="11"/>
  <c r="N116" i="11"/>
  <c r="H294" i="11"/>
  <c r="U294" i="11" s="1"/>
  <c r="N294" i="11"/>
  <c r="H132" i="11"/>
  <c r="U132" i="11" s="1"/>
  <c r="N132" i="11"/>
  <c r="H117" i="11"/>
  <c r="N117" i="11"/>
  <c r="H296" i="11"/>
  <c r="N296" i="11"/>
  <c r="H249" i="11"/>
  <c r="U249" i="11" s="1"/>
  <c r="N249" i="11"/>
  <c r="H125" i="11"/>
  <c r="N125" i="11"/>
  <c r="H250" i="11"/>
  <c r="U250" i="11" s="1"/>
  <c r="N250" i="11"/>
  <c r="H50" i="11"/>
  <c r="N50" i="11"/>
  <c r="H251" i="11"/>
  <c r="U251" i="11" s="1"/>
  <c r="N251" i="11"/>
  <c r="H136" i="11"/>
  <c r="N136" i="11"/>
  <c r="H127" i="11"/>
  <c r="N127" i="11"/>
  <c r="H300" i="11"/>
  <c r="U300" i="11" s="1"/>
  <c r="N300" i="11"/>
  <c r="H218" i="11"/>
  <c r="U218" i="11" s="1"/>
  <c r="N218" i="11"/>
  <c r="H210" i="11"/>
  <c r="U210" i="11" s="1"/>
  <c r="N210" i="11"/>
  <c r="H138" i="11"/>
  <c r="N138" i="11"/>
  <c r="H75" i="11"/>
  <c r="T75" i="11" s="1"/>
  <c r="N75" i="11"/>
  <c r="H54" i="11"/>
  <c r="N54" i="11"/>
  <c r="H21" i="11"/>
  <c r="N21" i="11"/>
  <c r="H26" i="11"/>
  <c r="U26" i="11" s="1"/>
  <c r="N26" i="11"/>
  <c r="H28" i="11"/>
  <c r="U28" i="11" s="1"/>
  <c r="H23" i="11"/>
  <c r="U23" i="11" s="1"/>
  <c r="N23" i="11"/>
  <c r="H27" i="11"/>
  <c r="U27" i="11" s="1"/>
  <c r="N27" i="11"/>
  <c r="P9" i="23"/>
  <c r="R9" i="23" s="1"/>
  <c r="T9" i="23"/>
  <c r="H47" i="11"/>
  <c r="I60" i="13"/>
  <c r="G62" i="13"/>
  <c r="I55" i="13"/>
  <c r="I46" i="13"/>
  <c r="G49" i="13"/>
  <c r="E128" i="12"/>
  <c r="K129" i="6"/>
  <c r="I129" i="14" s="1"/>
  <c r="U129" i="14" s="1"/>
  <c r="W129" i="14" s="1"/>
  <c r="E129" i="12"/>
  <c r="J29" i="6"/>
  <c r="F29" i="12"/>
  <c r="H257" i="11"/>
  <c r="U257" i="11" s="1"/>
  <c r="J128" i="6"/>
  <c r="H128" i="12" l="1"/>
  <c r="H128" i="14"/>
  <c r="H29" i="12"/>
  <c r="H29" i="14"/>
  <c r="C120" i="11"/>
  <c r="I129" i="12"/>
  <c r="U129" i="12" s="1"/>
  <c r="W129" i="12" s="1"/>
  <c r="K128" i="6"/>
  <c r="I128" i="14" s="1"/>
  <c r="U128" i="14" s="1"/>
  <c r="W128" i="14" s="1"/>
  <c r="G21" i="6"/>
  <c r="E21" i="14" s="1"/>
  <c r="G127" i="6"/>
  <c r="G308" i="6"/>
  <c r="T15" i="6"/>
  <c r="E127" i="12" l="1"/>
  <c r="E127" i="14"/>
  <c r="E308" i="12"/>
  <c r="E315" i="14"/>
  <c r="H120" i="11"/>
  <c r="N120" i="11"/>
  <c r="E21" i="12"/>
  <c r="C119" i="11"/>
  <c r="I128" i="12"/>
  <c r="U128" i="12" s="1"/>
  <c r="W128" i="12" s="1"/>
  <c r="K308" i="6"/>
  <c r="I315" i="14" s="1"/>
  <c r="U315" i="14" s="1"/>
  <c r="W315" i="14" s="1"/>
  <c r="K127" i="6"/>
  <c r="I127" i="14" s="1"/>
  <c r="U127" i="14" s="1"/>
  <c r="W127" i="14" s="1"/>
  <c r="H235" i="6"/>
  <c r="F236" i="12" l="1"/>
  <c r="F239" i="14"/>
  <c r="H119" i="11"/>
  <c r="U119" i="11" s="1"/>
  <c r="N119" i="11"/>
  <c r="C118" i="11"/>
  <c r="I127" i="12"/>
  <c r="U127" i="12" s="1"/>
  <c r="W127" i="12" s="1"/>
  <c r="C295" i="11"/>
  <c r="I308" i="12"/>
  <c r="U308" i="12" s="1"/>
  <c r="W308" i="12" s="1"/>
  <c r="J235" i="6"/>
  <c r="H295" i="11" l="1"/>
  <c r="U295" i="11" s="1"/>
  <c r="N295" i="11"/>
  <c r="H118" i="11"/>
  <c r="U118" i="11" s="1"/>
  <c r="N118" i="11"/>
  <c r="H236" i="12"/>
  <c r="H239" i="14"/>
  <c r="J216" i="6"/>
  <c r="K235" i="6"/>
  <c r="W18" i="6"/>
  <c r="H217" i="12" l="1"/>
  <c r="H220" i="14"/>
  <c r="C33" i="13"/>
  <c r="G33" i="13" s="1"/>
  <c r="I33" i="13" s="1"/>
  <c r="I239" i="14"/>
  <c r="U239" i="14" s="1"/>
  <c r="W239" i="14" s="1"/>
  <c r="C230" i="11"/>
  <c r="I236" i="12"/>
  <c r="U236" i="12" s="1"/>
  <c r="W236" i="12" s="1"/>
  <c r="K216" i="6"/>
  <c r="H229" i="6"/>
  <c r="H230" i="6"/>
  <c r="F231" i="12" l="1"/>
  <c r="F234" i="14"/>
  <c r="F230" i="12"/>
  <c r="F233" i="14"/>
  <c r="H230" i="11"/>
  <c r="U230" i="11" s="1"/>
  <c r="N230" i="11"/>
  <c r="C8" i="13"/>
  <c r="G8" i="13" s="1"/>
  <c r="I8" i="13" s="1"/>
  <c r="I220" i="14"/>
  <c r="U220" i="14" s="1"/>
  <c r="W220" i="14" s="1"/>
  <c r="C211" i="11"/>
  <c r="I217" i="12"/>
  <c r="U217" i="12" s="1"/>
  <c r="W217" i="12" s="1"/>
  <c r="J230" i="6"/>
  <c r="J229" i="6"/>
  <c r="J257" i="6"/>
  <c r="H231" i="6"/>
  <c r="AC193" i="6"/>
  <c r="AC191" i="6"/>
  <c r="AC192" i="6"/>
  <c r="AD192" i="6" s="1"/>
  <c r="AD193" i="6"/>
  <c r="AD191" i="6"/>
  <c r="AD184" i="6"/>
  <c r="AD185" i="6"/>
  <c r="AD186" i="6"/>
  <c r="H211" i="11" l="1"/>
  <c r="U211" i="11" s="1"/>
  <c r="N211" i="11"/>
  <c r="H231" i="12"/>
  <c r="H234" i="14"/>
  <c r="F232" i="12"/>
  <c r="F235" i="14"/>
  <c r="H258" i="12"/>
  <c r="H261" i="14"/>
  <c r="H230" i="12"/>
  <c r="H233" i="14"/>
  <c r="AD194" i="6"/>
  <c r="AD196" i="6" s="1"/>
  <c r="J225" i="6"/>
  <c r="J231" i="6"/>
  <c r="K257" i="6"/>
  <c r="K229" i="6"/>
  <c r="K230" i="6"/>
  <c r="AD187" i="6"/>
  <c r="AD188" i="6" s="1"/>
  <c r="H226" i="12" l="1"/>
  <c r="H229" i="14"/>
  <c r="C17" i="13"/>
  <c r="G17" i="13" s="1"/>
  <c r="I17" i="13" s="1"/>
  <c r="I234" i="14"/>
  <c r="U234" i="14" s="1"/>
  <c r="W234" i="14" s="1"/>
  <c r="C56" i="13"/>
  <c r="G56" i="13" s="1"/>
  <c r="I261" i="14"/>
  <c r="U261" i="14" s="1"/>
  <c r="W261" i="14" s="1"/>
  <c r="C16" i="13"/>
  <c r="G16" i="13" s="1"/>
  <c r="I233" i="14"/>
  <c r="U233" i="14" s="1"/>
  <c r="W233" i="14" s="1"/>
  <c r="H232" i="12"/>
  <c r="H235" i="14"/>
  <c r="C225" i="11"/>
  <c r="I231" i="12"/>
  <c r="U231" i="12" s="1"/>
  <c r="W231" i="12" s="1"/>
  <c r="C224" i="11"/>
  <c r="I230" i="12"/>
  <c r="U230" i="12" s="1"/>
  <c r="W230" i="12" s="1"/>
  <c r="C252" i="11"/>
  <c r="I258" i="12"/>
  <c r="U258" i="12" s="1"/>
  <c r="W258" i="12" s="1"/>
  <c r="K231" i="6"/>
  <c r="K225" i="6"/>
  <c r="H267" i="6"/>
  <c r="H264" i="6"/>
  <c r="G240" i="6"/>
  <c r="T12" i="6"/>
  <c r="F265" i="12" l="1"/>
  <c r="H265" i="12" s="1"/>
  <c r="F268" i="14"/>
  <c r="H268" i="14" s="1"/>
  <c r="F267" i="12"/>
  <c r="H267" i="12" s="1"/>
  <c r="F270" i="14"/>
  <c r="H270" i="14" s="1"/>
  <c r="H224" i="11"/>
  <c r="U224" i="11" s="1"/>
  <c r="N224" i="11"/>
  <c r="H252" i="11"/>
  <c r="U252" i="11" s="1"/>
  <c r="N252" i="11"/>
  <c r="H225" i="11"/>
  <c r="U225" i="11" s="1"/>
  <c r="N225" i="11"/>
  <c r="C57" i="13"/>
  <c r="C73" i="13" s="1"/>
  <c r="G73" i="13" s="1"/>
  <c r="C12" i="13"/>
  <c r="G12" i="13" s="1"/>
  <c r="I12" i="13" s="1"/>
  <c r="I229" i="14"/>
  <c r="U229" i="14" s="1"/>
  <c r="W229" i="14" s="1"/>
  <c r="C18" i="13"/>
  <c r="G18" i="13" s="1"/>
  <c r="I18" i="13" s="1"/>
  <c r="I235" i="14"/>
  <c r="U235" i="14" s="1"/>
  <c r="W235" i="14" s="1"/>
  <c r="E241" i="12"/>
  <c r="E244" i="14"/>
  <c r="I56" i="13"/>
  <c r="G57" i="13"/>
  <c r="I16" i="13"/>
  <c r="C220" i="11"/>
  <c r="I226" i="12"/>
  <c r="U226" i="12" s="1"/>
  <c r="W226" i="12" s="1"/>
  <c r="C226" i="11"/>
  <c r="I232" i="12"/>
  <c r="U232" i="12" s="1"/>
  <c r="W232" i="12" s="1"/>
  <c r="K240" i="6"/>
  <c r="J267" i="6"/>
  <c r="K267" i="6" s="1"/>
  <c r="J264" i="6"/>
  <c r="K264" i="6" s="1"/>
  <c r="G153" i="6"/>
  <c r="D35" i="29" s="1"/>
  <c r="G152" i="6"/>
  <c r="H152" i="6"/>
  <c r="F152" i="12" l="1"/>
  <c r="F152" i="14"/>
  <c r="E152" i="14"/>
  <c r="H220" i="11"/>
  <c r="U220" i="11" s="1"/>
  <c r="N220" i="11"/>
  <c r="H226" i="11"/>
  <c r="U226" i="11" s="1"/>
  <c r="N226" i="11"/>
  <c r="C19" i="13"/>
  <c r="G19" i="13"/>
  <c r="C28" i="13"/>
  <c r="G28" i="13" s="1"/>
  <c r="I28" i="13" s="1"/>
  <c r="I270" i="14"/>
  <c r="U270" i="14" s="1"/>
  <c r="W270" i="14" s="1"/>
  <c r="C25" i="13"/>
  <c r="C29" i="13" s="1"/>
  <c r="I268" i="14"/>
  <c r="U268" i="14" s="1"/>
  <c r="W268" i="14" s="1"/>
  <c r="E153" i="12"/>
  <c r="E153" i="14"/>
  <c r="C38" i="13"/>
  <c r="G38" i="13" s="1"/>
  <c r="I38" i="13" s="1"/>
  <c r="I244" i="14"/>
  <c r="U244" i="14" s="1"/>
  <c r="W244" i="14" s="1"/>
  <c r="C235" i="11"/>
  <c r="I241" i="12"/>
  <c r="U241" i="12" s="1"/>
  <c r="W241" i="12" s="1"/>
  <c r="E152" i="12"/>
  <c r="I265" i="12"/>
  <c r="U265" i="12" s="1"/>
  <c r="W265" i="12" s="1"/>
  <c r="C260" i="11"/>
  <c r="I267" i="12"/>
  <c r="U267" i="12" s="1"/>
  <c r="W267" i="12" s="1"/>
  <c r="C263" i="11"/>
  <c r="J152" i="6"/>
  <c r="K153" i="6"/>
  <c r="I153" i="14" s="1"/>
  <c r="U153" i="14" s="1"/>
  <c r="W153" i="14" s="1"/>
  <c r="G148" i="6"/>
  <c r="G25" i="13" l="1"/>
  <c r="I25" i="13" s="1"/>
  <c r="H235" i="11"/>
  <c r="U235" i="11" s="1"/>
  <c r="N235" i="11"/>
  <c r="H263" i="11"/>
  <c r="U263" i="11" s="1"/>
  <c r="N263" i="11"/>
  <c r="H260" i="11"/>
  <c r="U260" i="11" s="1"/>
  <c r="N260" i="11"/>
  <c r="H152" i="12"/>
  <c r="H152" i="14"/>
  <c r="E148" i="12"/>
  <c r="E148" i="14"/>
  <c r="C145" i="11"/>
  <c r="I153" i="12"/>
  <c r="U153" i="12" s="1"/>
  <c r="W153" i="12" s="1"/>
  <c r="K148" i="6"/>
  <c r="I148" i="14" s="1"/>
  <c r="U148" i="14" s="1"/>
  <c r="W148" i="14" s="1"/>
  <c r="K152" i="6"/>
  <c r="I152" i="14" s="1"/>
  <c r="U152" i="14" s="1"/>
  <c r="W152" i="14" s="1"/>
  <c r="G108" i="6"/>
  <c r="G130" i="6"/>
  <c r="G77" i="6"/>
  <c r="H145" i="11" l="1"/>
  <c r="U145" i="11" s="1"/>
  <c r="N145" i="11"/>
  <c r="E77" i="12"/>
  <c r="E77" i="14"/>
  <c r="E130" i="12"/>
  <c r="E130" i="14"/>
  <c r="E108" i="12"/>
  <c r="E108" i="14"/>
  <c r="C144" i="11"/>
  <c r="I152" i="12"/>
  <c r="U152" i="12" s="1"/>
  <c r="W152" i="12" s="1"/>
  <c r="C140" i="11"/>
  <c r="I148" i="12"/>
  <c r="U148" i="12" s="1"/>
  <c r="W148" i="12" s="1"/>
  <c r="K77" i="6"/>
  <c r="I77" i="14" s="1"/>
  <c r="U77" i="14" s="1"/>
  <c r="K130" i="6"/>
  <c r="I130" i="14" s="1"/>
  <c r="U130" i="14" s="1"/>
  <c r="W130" i="14" s="1"/>
  <c r="K108" i="6"/>
  <c r="I108" i="14" s="1"/>
  <c r="U108" i="14" s="1"/>
  <c r="W108" i="14" s="1"/>
  <c r="G53" i="6"/>
  <c r="G57" i="6"/>
  <c r="H140" i="11" l="1"/>
  <c r="U140" i="11" s="1"/>
  <c r="N140" i="11"/>
  <c r="H144" i="11"/>
  <c r="U144" i="11" s="1"/>
  <c r="N144" i="11"/>
  <c r="E57" i="12"/>
  <c r="E57" i="14"/>
  <c r="E53" i="12"/>
  <c r="E53" i="14"/>
  <c r="C98" i="11"/>
  <c r="I108" i="12"/>
  <c r="U108" i="12" s="1"/>
  <c r="W108" i="12" s="1"/>
  <c r="C121" i="11"/>
  <c r="I130" i="12"/>
  <c r="U130" i="12" s="1"/>
  <c r="W130" i="12" s="1"/>
  <c r="C67" i="11"/>
  <c r="I77" i="12"/>
  <c r="U77" i="12" s="1"/>
  <c r="W77" i="12" s="1"/>
  <c r="K57" i="6"/>
  <c r="I57" i="14" s="1"/>
  <c r="U57" i="14" s="1"/>
  <c r="W57" i="14" s="1"/>
  <c r="K53" i="6"/>
  <c r="I53" i="14" s="1"/>
  <c r="U53" i="14" s="1"/>
  <c r="W53" i="14" s="1"/>
  <c r="T6" i="6"/>
  <c r="H121" i="11" l="1"/>
  <c r="N121" i="11"/>
  <c r="H67" i="11"/>
  <c r="U67" i="11" s="1"/>
  <c r="N67" i="11"/>
  <c r="H98" i="11"/>
  <c r="U98" i="11" s="1"/>
  <c r="N98" i="11"/>
  <c r="C39" i="11"/>
  <c r="I53" i="12"/>
  <c r="U53" i="12" s="1"/>
  <c r="W53" i="12" s="1"/>
  <c r="C44" i="11"/>
  <c r="N44" i="11" s="1"/>
  <c r="I57" i="12"/>
  <c r="U57" i="12" s="1"/>
  <c r="W57" i="12" s="1"/>
  <c r="AH39" i="6"/>
  <c r="AH38" i="6"/>
  <c r="AI38" i="6"/>
  <c r="AG38" i="6"/>
  <c r="AG40" i="6" s="1"/>
  <c r="AI40" i="6"/>
  <c r="AF38" i="6"/>
  <c r="AF40" i="6" s="1"/>
  <c r="AE39" i="6"/>
  <c r="AE38" i="6"/>
  <c r="AE40" i="6" s="1"/>
  <c r="AG34" i="6"/>
  <c r="AG33" i="6"/>
  <c r="AH34" i="6"/>
  <c r="AH33" i="6"/>
  <c r="AI35" i="6"/>
  <c r="AF34" i="6"/>
  <c r="AE34" i="6"/>
  <c r="AE33" i="6"/>
  <c r="AD32" i="6"/>
  <c r="AE32" i="6" s="1"/>
  <c r="AF27" i="6"/>
  <c r="G45" i="6"/>
  <c r="O8" i="6"/>
  <c r="N8" i="6"/>
  <c r="M8" i="6"/>
  <c r="L8" i="6"/>
  <c r="K8" i="6"/>
  <c r="I8" i="6"/>
  <c r="Q2" i="6"/>
  <c r="G81" i="6"/>
  <c r="G70" i="6"/>
  <c r="G64" i="6"/>
  <c r="Q2" i="27" l="1"/>
  <c r="P11" i="26"/>
  <c r="S11" i="26" s="1"/>
  <c r="T11" i="26" s="1"/>
  <c r="H39" i="11"/>
  <c r="U39" i="11" s="1"/>
  <c r="N39" i="11"/>
  <c r="H44" i="11"/>
  <c r="E64" i="12"/>
  <c r="E64" i="14"/>
  <c r="E70" i="12"/>
  <c r="E70" i="14"/>
  <c r="E81" i="12"/>
  <c r="E81" i="14"/>
  <c r="E45" i="12"/>
  <c r="E45" i="14"/>
  <c r="K45" i="6"/>
  <c r="I45" i="14" s="1"/>
  <c r="U45" i="14" s="1"/>
  <c r="W45" i="14" s="1"/>
  <c r="K64" i="6"/>
  <c r="I64" i="14" s="1"/>
  <c r="U64" i="14" s="1"/>
  <c r="W64" i="14" s="1"/>
  <c r="K70" i="6"/>
  <c r="I70" i="14" s="1"/>
  <c r="U70" i="14" s="1"/>
  <c r="W70" i="14" s="1"/>
  <c r="K81" i="6"/>
  <c r="I81" i="14" s="1"/>
  <c r="U81" i="14" s="1"/>
  <c r="W81" i="14" s="1"/>
  <c r="AH40" i="6"/>
  <c r="AJ40" i="6" s="1"/>
  <c r="AH32" i="6"/>
  <c r="AH35" i="6" s="1"/>
  <c r="AG32" i="6"/>
  <c r="AG35" i="6" s="1"/>
  <c r="AF32" i="6"/>
  <c r="AF35" i="6"/>
  <c r="AE35" i="6"/>
  <c r="G49" i="6"/>
  <c r="G48" i="6"/>
  <c r="Q10" i="27" l="1"/>
  <c r="Q2" i="28"/>
  <c r="G25" i="27"/>
  <c r="K25" i="27" s="1"/>
  <c r="E49" i="12"/>
  <c r="E49" i="14"/>
  <c r="E48" i="12"/>
  <c r="E48" i="14"/>
  <c r="C71" i="11"/>
  <c r="I81" i="12"/>
  <c r="U81" i="12" s="1"/>
  <c r="W81" i="12" s="1"/>
  <c r="C58" i="11"/>
  <c r="I70" i="12"/>
  <c r="U70" i="12" s="1"/>
  <c r="W70" i="12" s="1"/>
  <c r="C51" i="11"/>
  <c r="I64" i="12"/>
  <c r="U64" i="12" s="1"/>
  <c r="W64" i="12" s="1"/>
  <c r="C31" i="11"/>
  <c r="I45" i="12"/>
  <c r="U45" i="12" s="1"/>
  <c r="W45" i="12" s="1"/>
  <c r="K48" i="6"/>
  <c r="I48" i="14" s="1"/>
  <c r="U48" i="14" s="1"/>
  <c r="W48" i="14" s="1"/>
  <c r="K49" i="6"/>
  <c r="I49" i="14" s="1"/>
  <c r="U49" i="14" s="1"/>
  <c r="W49" i="14" s="1"/>
  <c r="AJ35" i="6"/>
  <c r="G30" i="6"/>
  <c r="G25" i="6"/>
  <c r="G238" i="6"/>
  <c r="G227" i="6"/>
  <c r="G204" i="6"/>
  <c r="G202" i="6"/>
  <c r="G201" i="6"/>
  <c r="G196" i="6"/>
  <c r="G25" i="28" l="1"/>
  <c r="K25" i="28" s="1"/>
  <c r="B7" i="29"/>
  <c r="D7" i="29" s="1"/>
  <c r="F7" i="29" s="1"/>
  <c r="F12" i="29" s="1"/>
  <c r="T20" i="11"/>
  <c r="F20" i="11"/>
  <c r="F476" i="27"/>
  <c r="F442" i="27"/>
  <c r="F443" i="27" s="1"/>
  <c r="L24" i="27"/>
  <c r="Q10" i="28"/>
  <c r="G74" i="27"/>
  <c r="K74" i="27" s="1"/>
  <c r="K304" i="27" s="1"/>
  <c r="F289" i="11" s="1"/>
  <c r="H31" i="11"/>
  <c r="U31" i="11" s="1"/>
  <c r="N31" i="11"/>
  <c r="H51" i="11"/>
  <c r="U51" i="11" s="1"/>
  <c r="N51" i="11"/>
  <c r="H58" i="11"/>
  <c r="U58" i="11" s="1"/>
  <c r="N58" i="11"/>
  <c r="H71" i="11"/>
  <c r="U71" i="11" s="1"/>
  <c r="N71" i="11"/>
  <c r="E239" i="12"/>
  <c r="E242" i="14"/>
  <c r="E205" i="12"/>
  <c r="E205" i="14"/>
  <c r="E228" i="12"/>
  <c r="E231" i="14"/>
  <c r="E25" i="12"/>
  <c r="E25" i="14"/>
  <c r="E30" i="12"/>
  <c r="E30" i="14"/>
  <c r="E197" i="12"/>
  <c r="E197" i="14"/>
  <c r="E202" i="12"/>
  <c r="E202" i="14"/>
  <c r="E203" i="12"/>
  <c r="E203" i="14"/>
  <c r="C35" i="11"/>
  <c r="I49" i="12"/>
  <c r="U49" i="12" s="1"/>
  <c r="W49" i="12" s="1"/>
  <c r="C34" i="11"/>
  <c r="I48" i="12"/>
  <c r="U48" i="12" s="1"/>
  <c r="W48" i="12" s="1"/>
  <c r="K201" i="6"/>
  <c r="I202" i="14" s="1"/>
  <c r="U202" i="14" s="1"/>
  <c r="W202" i="14" s="1"/>
  <c r="K204" i="6"/>
  <c r="I205" i="14" s="1"/>
  <c r="U205" i="14" s="1"/>
  <c r="W205" i="14" s="1"/>
  <c r="K227" i="6"/>
  <c r="I231" i="14" s="1"/>
  <c r="U231" i="14" s="1"/>
  <c r="W231" i="14" s="1"/>
  <c r="K196" i="6"/>
  <c r="I197" i="14" s="1"/>
  <c r="U197" i="14" s="1"/>
  <c r="W197" i="14" s="1"/>
  <c r="K202" i="6"/>
  <c r="I203" i="14" s="1"/>
  <c r="U203" i="14" s="1"/>
  <c r="W203" i="14" s="1"/>
  <c r="K238" i="6"/>
  <c r="K25" i="6"/>
  <c r="C8" i="23" s="1"/>
  <c r="K30" i="6"/>
  <c r="I30" i="14" s="1"/>
  <c r="U30" i="14" s="1"/>
  <c r="W30" i="14" s="1"/>
  <c r="G182" i="6"/>
  <c r="L24" i="28" l="1"/>
  <c r="F480" i="28"/>
  <c r="F446" i="28"/>
  <c r="F447" i="28" s="1"/>
  <c r="K303" i="27"/>
  <c r="K329" i="27" s="1"/>
  <c r="P334" i="27"/>
  <c r="P335" i="27" s="1"/>
  <c r="P336" i="27" s="1"/>
  <c r="F14" i="10"/>
  <c r="G74" i="28"/>
  <c r="F63" i="11"/>
  <c r="L72" i="27"/>
  <c r="T30" i="11"/>
  <c r="U30" i="11" s="1"/>
  <c r="E339" i="28"/>
  <c r="F381" i="28"/>
  <c r="F288" i="11"/>
  <c r="L302" i="27"/>
  <c r="G30" i="11"/>
  <c r="F377" i="27"/>
  <c r="E335" i="27"/>
  <c r="H35" i="11"/>
  <c r="U35" i="11" s="1"/>
  <c r="N35" i="11"/>
  <c r="H34" i="11"/>
  <c r="U34" i="11" s="1"/>
  <c r="N34" i="11"/>
  <c r="I8" i="23"/>
  <c r="C36" i="13"/>
  <c r="G36" i="13" s="1"/>
  <c r="I36" i="13" s="1"/>
  <c r="I242" i="14"/>
  <c r="U242" i="14" s="1"/>
  <c r="W242" i="14" s="1"/>
  <c r="E183" i="12"/>
  <c r="E183" i="14"/>
  <c r="I25" i="12"/>
  <c r="U25" i="12" s="1"/>
  <c r="W25" i="12" s="1"/>
  <c r="I25" i="14"/>
  <c r="U25" i="14" s="1"/>
  <c r="W25" i="14" s="1"/>
  <c r="C25" i="11"/>
  <c r="I30" i="12"/>
  <c r="U30" i="12" s="1"/>
  <c r="W30" i="12" s="1"/>
  <c r="C233" i="11"/>
  <c r="I239" i="12"/>
  <c r="U239" i="12" s="1"/>
  <c r="W239" i="12" s="1"/>
  <c r="C196" i="11"/>
  <c r="I203" i="12"/>
  <c r="C190" i="11"/>
  <c r="I197" i="12"/>
  <c r="C222" i="11"/>
  <c r="I228" i="12"/>
  <c r="U228" i="12" s="1"/>
  <c r="W228" i="12" s="1"/>
  <c r="C198" i="11"/>
  <c r="I205" i="12"/>
  <c r="U205" i="12" s="1"/>
  <c r="W205" i="12" s="1"/>
  <c r="C195" i="11"/>
  <c r="I202" i="12"/>
  <c r="K182" i="6"/>
  <c r="I183" i="14" s="1"/>
  <c r="U183" i="14" s="1"/>
  <c r="W183" i="14" s="1"/>
  <c r="C20" i="11"/>
  <c r="N20" i="11" s="1"/>
  <c r="G176" i="6"/>
  <c r="G171" i="6"/>
  <c r="G147" i="6"/>
  <c r="F314" i="11" l="1"/>
  <c r="K330" i="27"/>
  <c r="F315" i="11" s="1"/>
  <c r="K74" i="28"/>
  <c r="B22" i="29"/>
  <c r="L326" i="28"/>
  <c r="B72" i="29" s="1"/>
  <c r="G290" i="11"/>
  <c r="E362" i="27"/>
  <c r="F401" i="27"/>
  <c r="G74" i="11"/>
  <c r="E340" i="27"/>
  <c r="F381" i="27"/>
  <c r="H190" i="11"/>
  <c r="U190" i="11" s="1"/>
  <c r="N190" i="11"/>
  <c r="H233" i="11"/>
  <c r="U233" i="11" s="1"/>
  <c r="N233" i="11"/>
  <c r="H198" i="11"/>
  <c r="U198" i="11" s="1"/>
  <c r="N198" i="11"/>
  <c r="H196" i="11"/>
  <c r="U196" i="11" s="1"/>
  <c r="N196" i="11"/>
  <c r="H195" i="11"/>
  <c r="U195" i="11" s="1"/>
  <c r="N195" i="11"/>
  <c r="H222" i="11"/>
  <c r="U222" i="11" s="1"/>
  <c r="N222" i="11"/>
  <c r="H20" i="11"/>
  <c r="U20" i="11" s="1"/>
  <c r="H25" i="11"/>
  <c r="U25" i="11" s="1"/>
  <c r="N25" i="11"/>
  <c r="P8" i="23"/>
  <c r="R8" i="23" s="1"/>
  <c r="T8" i="23"/>
  <c r="E172" i="12"/>
  <c r="E172" i="14"/>
  <c r="E177" i="12"/>
  <c r="E177" i="14"/>
  <c r="E147" i="12"/>
  <c r="E147" i="14"/>
  <c r="U197" i="12"/>
  <c r="W197" i="12" s="1"/>
  <c r="U202" i="12"/>
  <c r="W202" i="12" s="1"/>
  <c r="U203" i="12"/>
  <c r="W203" i="12" s="1"/>
  <c r="C175" i="11"/>
  <c r="I183" i="12"/>
  <c r="U183" i="12" s="1"/>
  <c r="W183" i="12" s="1"/>
  <c r="K147" i="6"/>
  <c r="I147" i="14" s="1"/>
  <c r="U147" i="14" s="1"/>
  <c r="W147" i="14" s="1"/>
  <c r="K171" i="6"/>
  <c r="C19" i="23" s="1"/>
  <c r="I19" i="23" s="1"/>
  <c r="P19" i="23" s="1"/>
  <c r="R19" i="23" s="1"/>
  <c r="K176" i="6"/>
  <c r="G78" i="6"/>
  <c r="G46" i="6"/>
  <c r="G29" i="6"/>
  <c r="L328" i="27" l="1"/>
  <c r="T63" i="11"/>
  <c r="L72" i="28"/>
  <c r="P338" i="28"/>
  <c r="P339" i="28" s="1"/>
  <c r="P340" i="28" s="1"/>
  <c r="K307" i="28"/>
  <c r="E369" i="28"/>
  <c r="F407" i="28"/>
  <c r="H175" i="11"/>
  <c r="U175" i="11" s="1"/>
  <c r="N175" i="11"/>
  <c r="I172" i="12"/>
  <c r="U172" i="12" s="1"/>
  <c r="W172" i="12" s="1"/>
  <c r="I172" i="14"/>
  <c r="U172" i="14" s="1"/>
  <c r="W172" i="14" s="1"/>
  <c r="E29" i="12"/>
  <c r="E29" i="14"/>
  <c r="E46" i="12"/>
  <c r="E46" i="14"/>
  <c r="E78" i="12"/>
  <c r="E78" i="14"/>
  <c r="I177" i="12"/>
  <c r="U177" i="12" s="1"/>
  <c r="W177" i="12" s="1"/>
  <c r="I177" i="14"/>
  <c r="U177" i="14" s="1"/>
  <c r="W177" i="14" s="1"/>
  <c r="C139" i="11"/>
  <c r="I147" i="12"/>
  <c r="U147" i="12" s="1"/>
  <c r="W147" i="12" s="1"/>
  <c r="C164" i="11"/>
  <c r="N164" i="11" s="1"/>
  <c r="K29" i="6"/>
  <c r="I29" i="14" s="1"/>
  <c r="U29" i="14" s="1"/>
  <c r="W29" i="14" s="1"/>
  <c r="K46" i="6"/>
  <c r="I46" i="14" s="1"/>
  <c r="U46" i="14" s="1"/>
  <c r="W46" i="14" s="1"/>
  <c r="K78" i="6"/>
  <c r="I78" i="14" s="1"/>
  <c r="U78" i="14" s="1"/>
  <c r="W78" i="14" s="1"/>
  <c r="C169" i="11"/>
  <c r="T11" i="6"/>
  <c r="G239" i="6" s="1"/>
  <c r="T10" i="6"/>
  <c r="G228" i="6" s="1"/>
  <c r="G34" i="6"/>
  <c r="T4" i="6"/>
  <c r="T5" i="6"/>
  <c r="T3" i="6"/>
  <c r="T2" i="6"/>
  <c r="L331" i="27" l="1"/>
  <c r="G316" i="11"/>
  <c r="G317" i="11" s="1"/>
  <c r="E367" i="27"/>
  <c r="F405" i="27"/>
  <c r="F406" i="27" s="1"/>
  <c r="F407" i="27" s="1"/>
  <c r="K333" i="28"/>
  <c r="L306" i="28"/>
  <c r="K334" i="28"/>
  <c r="F385" i="28"/>
  <c r="E344" i="28"/>
  <c r="G8" i="11"/>
  <c r="H139" i="11"/>
  <c r="U139" i="11" s="1"/>
  <c r="N139" i="11"/>
  <c r="H164" i="11"/>
  <c r="U164" i="11" s="1"/>
  <c r="H169" i="11"/>
  <c r="U169" i="11" s="1"/>
  <c r="N169" i="11"/>
  <c r="E34" i="12"/>
  <c r="E34" i="14"/>
  <c r="E229" i="12"/>
  <c r="E232" i="14"/>
  <c r="E240" i="12"/>
  <c r="E243" i="14"/>
  <c r="C68" i="11"/>
  <c r="I78" i="12"/>
  <c r="U78" i="12" s="1"/>
  <c r="W78" i="12" s="1"/>
  <c r="C32" i="11"/>
  <c r="I46" i="12"/>
  <c r="U46" i="12" s="1"/>
  <c r="W46" i="12" s="1"/>
  <c r="C24" i="11"/>
  <c r="N24" i="11" s="1"/>
  <c r="I29" i="12"/>
  <c r="U29" i="12" s="1"/>
  <c r="W29" i="12" s="1"/>
  <c r="K228" i="6"/>
  <c r="I232" i="14" s="1"/>
  <c r="U232" i="14" s="1"/>
  <c r="W232" i="14" s="1"/>
  <c r="K34" i="6"/>
  <c r="I34" i="14" s="1"/>
  <c r="U34" i="14" s="1"/>
  <c r="W34" i="14" s="1"/>
  <c r="K239" i="6"/>
  <c r="AB15" i="6"/>
  <c r="AB9" i="6"/>
  <c r="AB8" i="6"/>
  <c r="AB7" i="6"/>
  <c r="AB6" i="6"/>
  <c r="AB5" i="6"/>
  <c r="E369" i="27" l="1"/>
  <c r="L14" i="27"/>
  <c r="E368" i="27"/>
  <c r="L332" i="27"/>
  <c r="AC9" i="6"/>
  <c r="B74" i="29"/>
  <c r="F405" i="28"/>
  <c r="E366" i="28"/>
  <c r="U288" i="11"/>
  <c r="B73" i="29"/>
  <c r="L332" i="28"/>
  <c r="L335" i="28" s="1"/>
  <c r="G9" i="11"/>
  <c r="H32" i="11"/>
  <c r="U32" i="11" s="1"/>
  <c r="N32" i="11"/>
  <c r="H68" i="11"/>
  <c r="U68" i="11" s="1"/>
  <c r="N68" i="11"/>
  <c r="H24" i="11"/>
  <c r="U24" i="11" s="1"/>
  <c r="C37" i="13"/>
  <c r="G37" i="13" s="1"/>
  <c r="I37" i="13" s="1"/>
  <c r="I243" i="14"/>
  <c r="U243" i="14" s="1"/>
  <c r="W243" i="14" s="1"/>
  <c r="C234" i="11"/>
  <c r="I240" i="12"/>
  <c r="U240" i="12" s="1"/>
  <c r="W240" i="12" s="1"/>
  <c r="C29" i="11"/>
  <c r="I34" i="12"/>
  <c r="U34" i="12" s="1"/>
  <c r="W34" i="12" s="1"/>
  <c r="C223" i="11"/>
  <c r="I229" i="12"/>
  <c r="U229" i="12" s="1"/>
  <c r="W229" i="12" s="1"/>
  <c r="AM11" i="6"/>
  <c r="AM3" i="6"/>
  <c r="AI15" i="6"/>
  <c r="AJ15" i="6" s="1"/>
  <c r="AI17" i="6"/>
  <c r="AI9" i="6"/>
  <c r="AJ9" i="6" s="1"/>
  <c r="L15" i="27" l="1"/>
  <c r="L16" i="27"/>
  <c r="G318" i="11"/>
  <c r="L14" i="28"/>
  <c r="E372" i="28"/>
  <c r="L336" i="28"/>
  <c r="E371" i="28"/>
  <c r="L339" i="28"/>
  <c r="L340" i="28" s="1"/>
  <c r="F409" i="28"/>
  <c r="F410" i="28" s="1"/>
  <c r="F411" i="28" s="1"/>
  <c r="H234" i="11"/>
  <c r="U234" i="11" s="1"/>
  <c r="N234" i="11"/>
  <c r="H223" i="11"/>
  <c r="U223" i="11" s="1"/>
  <c r="N223" i="11"/>
  <c r="H29" i="11"/>
  <c r="U29" i="11" s="1"/>
  <c r="N29" i="11"/>
  <c r="AC15" i="6"/>
  <c r="AB17" i="6"/>
  <c r="AF14" i="6"/>
  <c r="AF13" i="6"/>
  <c r="AF12" i="6"/>
  <c r="AF11" i="6"/>
  <c r="AF5" i="6"/>
  <c r="AF3" i="6"/>
  <c r="AF6" i="6"/>
  <c r="AF4" i="6"/>
  <c r="Q12" i="6"/>
  <c r="Q10" i="6"/>
  <c r="D22" i="29" s="1"/>
  <c r="F22" i="29" s="1"/>
  <c r="F24" i="29" s="1"/>
  <c r="E373" i="28" l="1"/>
  <c r="D6" i="30"/>
  <c r="L16" i="28"/>
  <c r="L15" i="28"/>
  <c r="L8" i="11"/>
  <c r="L9" i="11" s="1"/>
  <c r="G68" i="6"/>
  <c r="G120" i="6"/>
  <c r="E120" i="14" s="1"/>
  <c r="G74" i="6"/>
  <c r="AF15" i="6"/>
  <c r="AF7" i="6"/>
  <c r="Q13" i="6"/>
  <c r="G168" i="6" s="1"/>
  <c r="K168" i="6" s="1"/>
  <c r="E74" i="12" l="1"/>
  <c r="E74" i="14"/>
  <c r="E68" i="12"/>
  <c r="E68" i="14"/>
  <c r="K120" i="6"/>
  <c r="C17" i="23" s="1"/>
  <c r="I17" i="23" s="1"/>
  <c r="E120" i="12"/>
  <c r="K74" i="6"/>
  <c r="C13" i="23" s="1"/>
  <c r="I13" i="23" s="1"/>
  <c r="E7" i="6"/>
  <c r="E6" i="6"/>
  <c r="E5" i="6"/>
  <c r="E4" i="6"/>
  <c r="F15" i="6"/>
  <c r="J4" i="6"/>
  <c r="J5" i="6"/>
  <c r="J6" i="6"/>
  <c r="J7" i="6"/>
  <c r="J3" i="6"/>
  <c r="C111" i="11" l="1"/>
  <c r="N111" i="11" s="1"/>
  <c r="P13" i="23"/>
  <c r="R13" i="23" s="1"/>
  <c r="T13" i="23"/>
  <c r="P17" i="23"/>
  <c r="R17" i="23" s="1"/>
  <c r="T17" i="23"/>
  <c r="I74" i="12"/>
  <c r="U74" i="12" s="1"/>
  <c r="W74" i="12" s="1"/>
  <c r="I74" i="14"/>
  <c r="U74" i="14" s="1"/>
  <c r="W74" i="14" s="1"/>
  <c r="I120" i="12"/>
  <c r="U120" i="12" s="1"/>
  <c r="W120" i="12" s="1"/>
  <c r="I120" i="14"/>
  <c r="U120" i="14" s="1"/>
  <c r="W120" i="14" s="1"/>
  <c r="F21" i="10"/>
  <c r="C63" i="11"/>
  <c r="N63" i="11" s="1"/>
  <c r="G178" i="6"/>
  <c r="G179" i="6"/>
  <c r="J8" i="6"/>
  <c r="H111" i="11" l="1"/>
  <c r="U111" i="11" s="1"/>
  <c r="H63" i="11"/>
  <c r="U63" i="11" s="1"/>
  <c r="E180" i="12"/>
  <c r="E180" i="14"/>
  <c r="E179" i="12"/>
  <c r="E179" i="14"/>
  <c r="K179" i="6"/>
  <c r="K178" i="6"/>
  <c r="C26" i="23" s="1"/>
  <c r="I26" i="23" s="1"/>
  <c r="P26" i="23" s="1"/>
  <c r="R26" i="23" s="1"/>
  <c r="G98" i="6"/>
  <c r="E98" i="12" l="1"/>
  <c r="E98" i="14"/>
  <c r="E167" i="12"/>
  <c r="E167" i="14"/>
  <c r="I179" i="12"/>
  <c r="U179" i="12" s="1"/>
  <c r="W179" i="12" s="1"/>
  <c r="I179" i="14"/>
  <c r="U179" i="14" s="1"/>
  <c r="W179" i="14" s="1"/>
  <c r="I180" i="12"/>
  <c r="U180" i="12" s="1"/>
  <c r="W180" i="12" s="1"/>
  <c r="I180" i="14"/>
  <c r="U180" i="14" s="1"/>
  <c r="W180" i="14" s="1"/>
  <c r="K98" i="6"/>
  <c r="I98" i="14" s="1"/>
  <c r="U98" i="14" s="1"/>
  <c r="W98" i="14" s="1"/>
  <c r="I167" i="14"/>
  <c r="U167" i="14" s="1"/>
  <c r="W167" i="14" s="1"/>
  <c r="G236" i="6"/>
  <c r="E237" i="12" l="1"/>
  <c r="E240" i="14"/>
  <c r="C161" i="11"/>
  <c r="I167" i="12"/>
  <c r="U167" i="12" s="1"/>
  <c r="W167" i="12" s="1"/>
  <c r="C88" i="11"/>
  <c r="I98" i="12"/>
  <c r="U98" i="12" s="1"/>
  <c r="W98" i="12" s="1"/>
  <c r="K236" i="6"/>
  <c r="H88" i="11" l="1"/>
  <c r="N88" i="11"/>
  <c r="H161" i="11"/>
  <c r="U161" i="11" s="1"/>
  <c r="N161" i="11"/>
  <c r="C34" i="13"/>
  <c r="G34" i="13" s="1"/>
  <c r="I34" i="13" s="1"/>
  <c r="I240" i="14"/>
  <c r="U240" i="14" s="1"/>
  <c r="W240" i="14" s="1"/>
  <c r="C231" i="11"/>
  <c r="I237" i="12"/>
  <c r="U237" i="12" s="1"/>
  <c r="W237" i="12" s="1"/>
  <c r="G233" i="6"/>
  <c r="H231" i="11" l="1"/>
  <c r="U231" i="11" s="1"/>
  <c r="N231" i="11"/>
  <c r="E234" i="12"/>
  <c r="E237" i="14"/>
  <c r="K233" i="6"/>
  <c r="I237" i="14" s="1"/>
  <c r="U237" i="14" s="1"/>
  <c r="W237" i="14" s="1"/>
  <c r="C228" i="11" l="1"/>
  <c r="I234" i="12"/>
  <c r="U234" i="12" s="1"/>
  <c r="W234" i="12" s="1"/>
  <c r="H27" i="6"/>
  <c r="F27" i="12" l="1"/>
  <c r="F27" i="14"/>
  <c r="H228" i="11"/>
  <c r="U228" i="11" s="1"/>
  <c r="N228" i="11"/>
  <c r="J27" i="6"/>
  <c r="H27" i="12" l="1"/>
  <c r="H27" i="14"/>
  <c r="K27" i="6"/>
  <c r="I27" i="14" s="1"/>
  <c r="U27" i="14" s="1"/>
  <c r="W27" i="14" s="1"/>
  <c r="C22" i="11" l="1"/>
  <c r="I27" i="12"/>
  <c r="U27" i="12" s="1"/>
  <c r="W27" i="12" s="1"/>
  <c r="F471" i="6"/>
  <c r="F467" i="6"/>
  <c r="F466" i="6"/>
  <c r="F465" i="6"/>
  <c r="F464" i="6"/>
  <c r="F463" i="6"/>
  <c r="F462" i="6"/>
  <c r="F461" i="6"/>
  <c r="F460" i="6"/>
  <c r="F459" i="6"/>
  <c r="F458" i="6"/>
  <c r="F457" i="6"/>
  <c r="F439" i="6"/>
  <c r="F438" i="6"/>
  <c r="F436" i="6"/>
  <c r="F435" i="6"/>
  <c r="F523" i="6"/>
  <c r="F521" i="6"/>
  <c r="F519" i="6"/>
  <c r="F518" i="6"/>
  <c r="J299" i="6"/>
  <c r="K299" i="6" s="1"/>
  <c r="J298" i="6"/>
  <c r="K298" i="6" s="1"/>
  <c r="J297" i="6"/>
  <c r="K297" i="6" s="1"/>
  <c r="J296" i="6"/>
  <c r="K296" i="6" s="1"/>
  <c r="J295" i="6"/>
  <c r="K295" i="6" s="1"/>
  <c r="J294" i="6"/>
  <c r="K294" i="6" s="1"/>
  <c r="J293" i="6"/>
  <c r="K293" i="6" s="1"/>
  <c r="J292" i="6"/>
  <c r="K292" i="6" s="1"/>
  <c r="G290" i="6"/>
  <c r="G289" i="6"/>
  <c r="G288" i="6"/>
  <c r="G287" i="6"/>
  <c r="G286" i="6"/>
  <c r="G285" i="6"/>
  <c r="G284" i="6"/>
  <c r="G283" i="6"/>
  <c r="G282" i="6"/>
  <c r="L275" i="6"/>
  <c r="H259" i="6"/>
  <c r="F517" i="6"/>
  <c r="G245" i="6"/>
  <c r="G234" i="6"/>
  <c r="G220" i="6"/>
  <c r="G213" i="6"/>
  <c r="G212" i="6"/>
  <c r="G206" i="6"/>
  <c r="G200" i="6"/>
  <c r="G199" i="6"/>
  <c r="G198" i="6"/>
  <c r="G197" i="6"/>
  <c r="F508" i="6"/>
  <c r="F504" i="6"/>
  <c r="G172" i="6"/>
  <c r="G169" i="6"/>
  <c r="G167" i="6"/>
  <c r="F498" i="6"/>
  <c r="F496" i="6"/>
  <c r="G124" i="6"/>
  <c r="H113" i="6"/>
  <c r="G110" i="6"/>
  <c r="F491" i="6"/>
  <c r="G82" i="6"/>
  <c r="F487" i="6"/>
  <c r="F485" i="6"/>
  <c r="F483" i="6"/>
  <c r="G56" i="6"/>
  <c r="F481" i="6"/>
  <c r="G52" i="6"/>
  <c r="F480" i="6"/>
  <c r="F479" i="6"/>
  <c r="J43" i="6"/>
  <c r="K43" i="6" s="1"/>
  <c r="J42" i="6"/>
  <c r="K42" i="6" s="1"/>
  <c r="J41" i="6"/>
  <c r="K41" i="6" s="1"/>
  <c r="J40" i="6"/>
  <c r="K40" i="6" s="1"/>
  <c r="J39" i="6"/>
  <c r="K39" i="6" s="1"/>
  <c r="J38" i="6"/>
  <c r="K38" i="6" s="1"/>
  <c r="J37" i="6"/>
  <c r="K37" i="6" s="1"/>
  <c r="J36" i="6"/>
  <c r="K36" i="6" s="1"/>
  <c r="F477" i="6"/>
  <c r="F476" i="6"/>
  <c r="F475" i="6"/>
  <c r="K23" i="6"/>
  <c r="I23" i="14" s="1"/>
  <c r="U23" i="14" s="1"/>
  <c r="W23" i="14" s="1"/>
  <c r="G190" i="6"/>
  <c r="B10" i="6"/>
  <c r="E8" i="6"/>
  <c r="B8" i="6"/>
  <c r="P14" i="26" l="1"/>
  <c r="S14" i="26" s="1"/>
  <c r="T14" i="26" s="1"/>
  <c r="C6" i="26"/>
  <c r="L6" i="11"/>
  <c r="G6" i="11"/>
  <c r="G10" i="11" s="1"/>
  <c r="D6" i="11"/>
  <c r="M7" i="15"/>
  <c r="M27" i="15"/>
  <c r="M47" i="15"/>
  <c r="O47" i="15" s="1"/>
  <c r="M67" i="15"/>
  <c r="M89" i="15"/>
  <c r="O89" i="15" s="1"/>
  <c r="M70" i="15"/>
  <c r="M31" i="15"/>
  <c r="O31" i="15" s="1"/>
  <c r="M93" i="15"/>
  <c r="M52" i="15"/>
  <c r="M33" i="15"/>
  <c r="O33" i="15" s="1"/>
  <c r="M95" i="15"/>
  <c r="M14" i="15"/>
  <c r="M96" i="15"/>
  <c r="M35" i="15"/>
  <c r="M97" i="15"/>
  <c r="M36" i="15"/>
  <c r="M98" i="15"/>
  <c r="O98" i="15" s="1"/>
  <c r="M17" i="15"/>
  <c r="O17" i="15" s="1"/>
  <c r="M77" i="15"/>
  <c r="M38" i="15"/>
  <c r="O38" i="15" s="1"/>
  <c r="M6" i="15"/>
  <c r="M59" i="15"/>
  <c r="O59" i="15" s="1"/>
  <c r="M60" i="15"/>
  <c r="O60" i="15" s="1"/>
  <c r="M21" i="15"/>
  <c r="O21" i="15" s="1"/>
  <c r="M62" i="15"/>
  <c r="M63" i="15"/>
  <c r="M64" i="15"/>
  <c r="M45" i="15"/>
  <c r="O45" i="15" s="1"/>
  <c r="M46" i="15"/>
  <c r="M8" i="15"/>
  <c r="M28" i="15"/>
  <c r="M48" i="15"/>
  <c r="M68" i="15"/>
  <c r="M90" i="15"/>
  <c r="O90" i="15" s="1"/>
  <c r="M9" i="15"/>
  <c r="O9" i="15" s="1"/>
  <c r="M29" i="15"/>
  <c r="M49" i="15"/>
  <c r="M91" i="15"/>
  <c r="O91" i="15" s="1"/>
  <c r="M10" i="15"/>
  <c r="M30" i="15"/>
  <c r="M50" i="15"/>
  <c r="M11" i="15"/>
  <c r="M51" i="15"/>
  <c r="O51" i="15" s="1"/>
  <c r="M32" i="15"/>
  <c r="O32" i="15" s="1"/>
  <c r="M72" i="15"/>
  <c r="M13" i="15"/>
  <c r="M73" i="15"/>
  <c r="M34" i="15"/>
  <c r="O34" i="15" s="1"/>
  <c r="M74" i="15"/>
  <c r="M55" i="15"/>
  <c r="O55" i="15" s="1"/>
  <c r="M56" i="15"/>
  <c r="O56" i="15" s="1"/>
  <c r="M37" i="15"/>
  <c r="M99" i="15"/>
  <c r="M18" i="15"/>
  <c r="M78" i="15"/>
  <c r="O78" i="15" s="1"/>
  <c r="M39" i="15"/>
  <c r="M20" i="15"/>
  <c r="O20" i="15" s="1"/>
  <c r="M41" i="15"/>
  <c r="M81" i="15"/>
  <c r="M42" i="15"/>
  <c r="M43" i="15"/>
  <c r="M44" i="15"/>
  <c r="M25" i="15"/>
  <c r="M85" i="15"/>
  <c r="M26" i="15"/>
  <c r="M86" i="15"/>
  <c r="O86" i="15" s="1"/>
  <c r="M69" i="15"/>
  <c r="M92" i="15"/>
  <c r="M71" i="15"/>
  <c r="M12" i="15"/>
  <c r="M94" i="15"/>
  <c r="M53" i="15"/>
  <c r="O53" i="15" s="1"/>
  <c r="M54" i="15"/>
  <c r="O54" i="15" s="1"/>
  <c r="M15" i="15"/>
  <c r="M75" i="15"/>
  <c r="M16" i="15"/>
  <c r="M76" i="15"/>
  <c r="M57" i="15"/>
  <c r="M58" i="15"/>
  <c r="M19" i="15"/>
  <c r="O19" i="15" s="1"/>
  <c r="M79" i="15"/>
  <c r="O79" i="15" s="1"/>
  <c r="M40" i="15"/>
  <c r="M80" i="15"/>
  <c r="O80" i="15" s="1"/>
  <c r="M61" i="15"/>
  <c r="M22" i="15"/>
  <c r="M82" i="15"/>
  <c r="O82" i="15" s="1"/>
  <c r="M23" i="15"/>
  <c r="O23" i="15" s="1"/>
  <c r="M83" i="15"/>
  <c r="M24" i="15"/>
  <c r="M84" i="15"/>
  <c r="M65" i="15"/>
  <c r="M66" i="15"/>
  <c r="M100" i="15"/>
  <c r="F113" i="12"/>
  <c r="F113" i="14"/>
  <c r="F260" i="12"/>
  <c r="H260" i="12" s="1"/>
  <c r="F263" i="14"/>
  <c r="H263" i="14" s="1"/>
  <c r="H22" i="11"/>
  <c r="U22" i="11" s="1"/>
  <c r="N22" i="11"/>
  <c r="J169" i="12"/>
  <c r="U169" i="12" s="1"/>
  <c r="J169" i="14"/>
  <c r="U169" i="14" s="1"/>
  <c r="J275" i="12"/>
  <c r="U275" i="12" s="1"/>
  <c r="W275" i="12" s="1"/>
  <c r="J282" i="14"/>
  <c r="U282" i="14" s="1"/>
  <c r="W282" i="14" s="1"/>
  <c r="E124" i="12"/>
  <c r="E124" i="14"/>
  <c r="E282" i="12"/>
  <c r="E289" i="14"/>
  <c r="E284" i="12"/>
  <c r="E291" i="14"/>
  <c r="E168" i="12"/>
  <c r="E168" i="14"/>
  <c r="E286" i="12"/>
  <c r="E293" i="14"/>
  <c r="E173" i="12"/>
  <c r="E173" i="14"/>
  <c r="E288" i="12"/>
  <c r="E295" i="14"/>
  <c r="E289" i="12"/>
  <c r="E296" i="14"/>
  <c r="E290" i="12"/>
  <c r="E297" i="14"/>
  <c r="E200" i="12"/>
  <c r="E200" i="14"/>
  <c r="E52" i="12"/>
  <c r="E52" i="14"/>
  <c r="E201" i="12"/>
  <c r="E201" i="14"/>
  <c r="E82" i="12"/>
  <c r="E82" i="14"/>
  <c r="E246" i="12"/>
  <c r="E249" i="14"/>
  <c r="E166" i="12"/>
  <c r="E166" i="14"/>
  <c r="E285" i="12"/>
  <c r="E292" i="14"/>
  <c r="E287" i="12"/>
  <c r="E294" i="14"/>
  <c r="E198" i="12"/>
  <c r="E198" i="14"/>
  <c r="E207" i="12"/>
  <c r="E207" i="14"/>
  <c r="E56" i="12"/>
  <c r="E56" i="14"/>
  <c r="E213" i="12"/>
  <c r="E216" i="14"/>
  <c r="E191" i="12"/>
  <c r="E191" i="14"/>
  <c r="E283" i="12"/>
  <c r="E290" i="14"/>
  <c r="E199" i="12"/>
  <c r="E199" i="14"/>
  <c r="E214" i="12"/>
  <c r="E217" i="14"/>
  <c r="E107" i="12"/>
  <c r="E107" i="14"/>
  <c r="E221" i="12"/>
  <c r="E224" i="14"/>
  <c r="E110" i="12"/>
  <c r="E110" i="14"/>
  <c r="E235" i="12"/>
  <c r="E238" i="14"/>
  <c r="C18" i="11"/>
  <c r="I23" i="12"/>
  <c r="U23" i="12" s="1"/>
  <c r="W23" i="12" s="1"/>
  <c r="E11" i="10"/>
  <c r="G210" i="6"/>
  <c r="E8" i="10"/>
  <c r="F8" i="10" s="1"/>
  <c r="K198" i="6"/>
  <c r="I199" i="14" s="1"/>
  <c r="U199" i="14" s="1"/>
  <c r="W199" i="14" s="1"/>
  <c r="K234" i="6"/>
  <c r="K282" i="6"/>
  <c r="I289" i="14" s="1"/>
  <c r="U289" i="14" s="1"/>
  <c r="W289" i="14" s="1"/>
  <c r="K283" i="6"/>
  <c r="I290" i="14" s="1"/>
  <c r="U290" i="14" s="1"/>
  <c r="W290" i="14" s="1"/>
  <c r="K169" i="6"/>
  <c r="I168" i="14" s="1"/>
  <c r="U168" i="14" s="1"/>
  <c r="W168" i="14" s="1"/>
  <c r="K220" i="6"/>
  <c r="K284" i="6"/>
  <c r="I291" i="14" s="1"/>
  <c r="U291" i="14" s="1"/>
  <c r="W291" i="14" s="1"/>
  <c r="K52" i="6"/>
  <c r="I52" i="14" s="1"/>
  <c r="U52" i="14" s="1"/>
  <c r="W52" i="14" s="1"/>
  <c r="K110" i="6"/>
  <c r="I110" i="14" s="1"/>
  <c r="U110" i="14" s="1"/>
  <c r="W110" i="14" s="1"/>
  <c r="K285" i="6"/>
  <c r="I292" i="14" s="1"/>
  <c r="U292" i="14" s="1"/>
  <c r="W292" i="14" s="1"/>
  <c r="G91" i="6"/>
  <c r="G90" i="6"/>
  <c r="G162" i="6"/>
  <c r="G159" i="6"/>
  <c r="G151" i="6"/>
  <c r="J113" i="6"/>
  <c r="K172" i="6"/>
  <c r="I173" i="14" s="1"/>
  <c r="K286" i="6"/>
  <c r="I293" i="14" s="1"/>
  <c r="U293" i="14" s="1"/>
  <c r="W293" i="14" s="1"/>
  <c r="K107" i="6"/>
  <c r="C15" i="23" s="1"/>
  <c r="I15" i="23" s="1"/>
  <c r="K197" i="6"/>
  <c r="I198" i="14" s="1"/>
  <c r="U198" i="14" s="1"/>
  <c r="W198" i="14" s="1"/>
  <c r="K206" i="6"/>
  <c r="I207" i="14" s="1"/>
  <c r="U207" i="14" s="1"/>
  <c r="W207" i="14" s="1"/>
  <c r="K213" i="6"/>
  <c r="K245" i="6"/>
  <c r="K167" i="6"/>
  <c r="K199" i="6"/>
  <c r="I200" i="14" s="1"/>
  <c r="U200" i="14" s="1"/>
  <c r="W200" i="14" s="1"/>
  <c r="K200" i="6"/>
  <c r="I201" i="14" s="1"/>
  <c r="U201" i="14" s="1"/>
  <c r="W201" i="14" s="1"/>
  <c r="K82" i="6"/>
  <c r="I82" i="14" s="1"/>
  <c r="U82" i="14" s="1"/>
  <c r="W82" i="14" s="1"/>
  <c r="K212" i="6"/>
  <c r="K124" i="6"/>
  <c r="I124" i="14" s="1"/>
  <c r="U124" i="14" s="1"/>
  <c r="W124" i="14" s="1"/>
  <c r="K287" i="6"/>
  <c r="I294" i="14" s="1"/>
  <c r="U294" i="14" s="1"/>
  <c r="W294" i="14" s="1"/>
  <c r="K190" i="6"/>
  <c r="I191" i="14" s="1"/>
  <c r="U191" i="14" s="1"/>
  <c r="W191" i="14" s="1"/>
  <c r="K56" i="6"/>
  <c r="I56" i="14" s="1"/>
  <c r="U56" i="14" s="1"/>
  <c r="W56" i="14" s="1"/>
  <c r="K288" i="6"/>
  <c r="I295" i="14" s="1"/>
  <c r="U295" i="14" s="1"/>
  <c r="W295" i="14" s="1"/>
  <c r="J259" i="6"/>
  <c r="K289" i="6"/>
  <c r="I296" i="14" s="1"/>
  <c r="U296" i="14" s="1"/>
  <c r="W296" i="14" s="1"/>
  <c r="K290" i="6"/>
  <c r="I297" i="14" s="1"/>
  <c r="U297" i="14" s="1"/>
  <c r="W297" i="14" s="1"/>
  <c r="E356" i="6"/>
  <c r="D273" i="11"/>
  <c r="N273" i="11" s="1"/>
  <c r="P273" i="11" s="1"/>
  <c r="E345" i="6"/>
  <c r="F410" i="6"/>
  <c r="G69" i="6"/>
  <c r="G143" i="6"/>
  <c r="F411" i="6"/>
  <c r="G184" i="6"/>
  <c r="T18" i="6"/>
  <c r="L22" i="6"/>
  <c r="F16" i="6"/>
  <c r="F4" i="6"/>
  <c r="G79" i="6"/>
  <c r="G61" i="6"/>
  <c r="G73" i="6"/>
  <c r="G150" i="6"/>
  <c r="F490" i="6"/>
  <c r="F484" i="6"/>
  <c r="F497" i="6"/>
  <c r="F440" i="6"/>
  <c r="F3" i="6"/>
  <c r="F486" i="6"/>
  <c r="G175" i="6"/>
  <c r="F5" i="6"/>
  <c r="G259" i="6"/>
  <c r="E263" i="14" s="1"/>
  <c r="F8" i="6"/>
  <c r="G189" i="6"/>
  <c r="G115" i="6"/>
  <c r="G191" i="6"/>
  <c r="L291" i="6"/>
  <c r="E359" i="6" s="1"/>
  <c r="F489" i="6"/>
  <c r="F488" i="6"/>
  <c r="L35" i="6"/>
  <c r="E334" i="6" s="1"/>
  <c r="G187" i="6"/>
  <c r="F6" i="6"/>
  <c r="G209" i="6"/>
  <c r="G208" i="6"/>
  <c r="G149" i="6"/>
  <c r="G131" i="6"/>
  <c r="G139" i="6"/>
  <c r="F7" i="6"/>
  <c r="G188" i="6"/>
  <c r="G155" i="6"/>
  <c r="G278" i="6"/>
  <c r="G105" i="6"/>
  <c r="G160" i="6"/>
  <c r="F429" i="6"/>
  <c r="F396" i="6"/>
  <c r="G80" i="6"/>
  <c r="G114" i="6"/>
  <c r="G123" i="6"/>
  <c r="G205" i="6"/>
  <c r="G174" i="6"/>
  <c r="G132" i="6"/>
  <c r="G103" i="6"/>
  <c r="G186" i="6"/>
  <c r="L10" i="11" l="1"/>
  <c r="T24" i="15"/>
  <c r="O24" i="15"/>
  <c r="T25" i="15"/>
  <c r="O25" i="15"/>
  <c r="T49" i="15"/>
  <c r="O49" i="15"/>
  <c r="T66" i="15"/>
  <c r="O66" i="15"/>
  <c r="B28" i="29"/>
  <c r="D28" i="29" s="1"/>
  <c r="F28" i="29" s="1"/>
  <c r="F31" i="29" s="1"/>
  <c r="D15" i="29"/>
  <c r="F15" i="29" s="1"/>
  <c r="F19" i="29" s="1"/>
  <c r="O6" i="15"/>
  <c r="T6" i="15"/>
  <c r="H6" i="11"/>
  <c r="I6" i="11" s="1"/>
  <c r="T18" i="15"/>
  <c r="O18" i="15"/>
  <c r="O35" i="15"/>
  <c r="T35" i="15"/>
  <c r="H18" i="11"/>
  <c r="U18" i="11" s="1"/>
  <c r="N18" i="11"/>
  <c r="J22" i="14"/>
  <c r="U22" i="14" s="1"/>
  <c r="W22" i="14" s="1"/>
  <c r="H113" i="12"/>
  <c r="H113" i="14"/>
  <c r="J32" i="26"/>
  <c r="D32" i="26"/>
  <c r="L32" i="26" s="1"/>
  <c r="C32" i="26"/>
  <c r="K32" i="26" s="1"/>
  <c r="T15" i="23"/>
  <c r="P15" i="23"/>
  <c r="R15" i="23" s="1"/>
  <c r="H273" i="11"/>
  <c r="E73" i="12"/>
  <c r="E73" i="14"/>
  <c r="E211" i="12"/>
  <c r="E211" i="14"/>
  <c r="E61" i="12"/>
  <c r="E61" i="14"/>
  <c r="E188" i="12"/>
  <c r="E188" i="14"/>
  <c r="E103" i="12"/>
  <c r="E103" i="14"/>
  <c r="E18" i="10"/>
  <c r="E175" i="12"/>
  <c r="E175" i="14"/>
  <c r="E9" i="10"/>
  <c r="I107" i="12"/>
  <c r="U107" i="12" s="1"/>
  <c r="W107" i="12" s="1"/>
  <c r="I107" i="14"/>
  <c r="U107" i="14" s="1"/>
  <c r="W107" i="14" s="1"/>
  <c r="E123" i="12"/>
  <c r="E123" i="14"/>
  <c r="E192" i="12"/>
  <c r="E192" i="14"/>
  <c r="C5" i="13"/>
  <c r="G5" i="13" s="1"/>
  <c r="I216" i="14"/>
  <c r="U216" i="14" s="1"/>
  <c r="W216" i="14" s="1"/>
  <c r="E114" i="12"/>
  <c r="E114" i="14"/>
  <c r="E115" i="12"/>
  <c r="E115" i="14"/>
  <c r="E143" i="12"/>
  <c r="E143" i="14"/>
  <c r="E80" i="12"/>
  <c r="E80" i="14"/>
  <c r="E190" i="12"/>
  <c r="E190" i="14"/>
  <c r="E69" i="12"/>
  <c r="E69" i="14"/>
  <c r="C11" i="13"/>
  <c r="G11" i="13" s="1"/>
  <c r="I11" i="13" s="1"/>
  <c r="I224" i="14"/>
  <c r="U224" i="14" s="1"/>
  <c r="W224" i="14" s="1"/>
  <c r="E159" i="12"/>
  <c r="E159" i="14"/>
  <c r="E105" i="12"/>
  <c r="E105" i="14"/>
  <c r="E176" i="12"/>
  <c r="E176" i="14"/>
  <c r="E151" i="12"/>
  <c r="E151" i="14"/>
  <c r="E278" i="12"/>
  <c r="E285" i="14"/>
  <c r="E158" i="12"/>
  <c r="E158" i="14"/>
  <c r="E155" i="12"/>
  <c r="E155" i="14"/>
  <c r="E161" i="12"/>
  <c r="E161" i="14"/>
  <c r="E90" i="12"/>
  <c r="E90" i="14"/>
  <c r="C32" i="13"/>
  <c r="G32" i="13" s="1"/>
  <c r="I32" i="13" s="1"/>
  <c r="I238" i="14"/>
  <c r="U238" i="14" s="1"/>
  <c r="W238" i="14" s="1"/>
  <c r="E139" i="12"/>
  <c r="E139" i="14"/>
  <c r="I166" i="12"/>
  <c r="U166" i="12" s="1"/>
  <c r="W166" i="12" s="1"/>
  <c r="I166" i="14"/>
  <c r="U166" i="14" s="1"/>
  <c r="W166" i="14" s="1"/>
  <c r="E91" i="12"/>
  <c r="E91" i="14"/>
  <c r="E131" i="12"/>
  <c r="E131" i="14"/>
  <c r="E149" i="12"/>
  <c r="E149" i="14"/>
  <c r="E150" i="12"/>
  <c r="E150" i="14"/>
  <c r="C43" i="13"/>
  <c r="G43" i="13" s="1"/>
  <c r="I43" i="13" s="1"/>
  <c r="I249" i="14"/>
  <c r="U249" i="14" s="1"/>
  <c r="W249" i="14" s="1"/>
  <c r="E209" i="12"/>
  <c r="E209" i="14"/>
  <c r="E210" i="12"/>
  <c r="E210" i="14"/>
  <c r="C6" i="13"/>
  <c r="G6" i="13" s="1"/>
  <c r="I6" i="13" s="1"/>
  <c r="I217" i="14"/>
  <c r="U217" i="14" s="1"/>
  <c r="W217" i="14" s="1"/>
  <c r="E79" i="12"/>
  <c r="E79" i="14"/>
  <c r="E187" i="12"/>
  <c r="E187" i="14"/>
  <c r="E132" i="12"/>
  <c r="E132" i="14"/>
  <c r="E206" i="12"/>
  <c r="E206" i="14"/>
  <c r="E185" i="12"/>
  <c r="E185" i="14"/>
  <c r="E189" i="12"/>
  <c r="E189" i="14"/>
  <c r="E260" i="12"/>
  <c r="C72" i="11"/>
  <c r="I82" i="12"/>
  <c r="U82" i="12" s="1"/>
  <c r="W82" i="12" s="1"/>
  <c r="C215" i="11"/>
  <c r="I221" i="12"/>
  <c r="U221" i="12" s="1"/>
  <c r="W221" i="12" s="1"/>
  <c r="C194" i="11"/>
  <c r="I201" i="12"/>
  <c r="C162" i="11"/>
  <c r="I168" i="12"/>
  <c r="U168" i="12" s="1"/>
  <c r="W168" i="12" s="1"/>
  <c r="C240" i="11"/>
  <c r="I246" i="12"/>
  <c r="U246" i="12" s="1"/>
  <c r="W246" i="12" s="1"/>
  <c r="C281" i="11"/>
  <c r="I285" i="12"/>
  <c r="U285" i="12" s="1"/>
  <c r="W285" i="12" s="1"/>
  <c r="C229" i="11"/>
  <c r="I235" i="12"/>
  <c r="U235" i="12" s="1"/>
  <c r="W235" i="12" s="1"/>
  <c r="C284" i="11"/>
  <c r="I288" i="12"/>
  <c r="U288" i="12" s="1"/>
  <c r="W288" i="12" s="1"/>
  <c r="C208" i="11"/>
  <c r="I214" i="12"/>
  <c r="U214" i="12" s="1"/>
  <c r="W214" i="12" s="1"/>
  <c r="C100" i="11"/>
  <c r="I110" i="12"/>
  <c r="U110" i="12" s="1"/>
  <c r="W110" i="12" s="1"/>
  <c r="C192" i="11"/>
  <c r="I199" i="12"/>
  <c r="C43" i="11"/>
  <c r="I56" i="12"/>
  <c r="U56" i="12" s="1"/>
  <c r="W56" i="12" s="1"/>
  <c r="C200" i="11"/>
  <c r="I207" i="12"/>
  <c r="U207" i="12" s="1"/>
  <c r="W207" i="12" s="1"/>
  <c r="C38" i="11"/>
  <c r="I52" i="12"/>
  <c r="U52" i="12" s="1"/>
  <c r="W52" i="12" s="1"/>
  <c r="E24" i="10"/>
  <c r="C115" i="11"/>
  <c r="I124" i="12"/>
  <c r="U124" i="12" s="1"/>
  <c r="W124" i="12" s="1"/>
  <c r="C282" i="11"/>
  <c r="I286" i="12"/>
  <c r="U286" i="12" s="1"/>
  <c r="W286" i="12" s="1"/>
  <c r="C286" i="11"/>
  <c r="I290" i="12"/>
  <c r="U290" i="12" s="1"/>
  <c r="W290" i="12" s="1"/>
  <c r="C193" i="11"/>
  <c r="I200" i="12"/>
  <c r="C279" i="11"/>
  <c r="I283" i="12"/>
  <c r="U283" i="12" s="1"/>
  <c r="W283" i="12" s="1"/>
  <c r="D19" i="11"/>
  <c r="N19" i="11" s="1"/>
  <c r="P19" i="11" s="1"/>
  <c r="J22" i="12"/>
  <c r="U22" i="12" s="1"/>
  <c r="W22" i="12" s="1"/>
  <c r="C185" i="11"/>
  <c r="I191" i="12"/>
  <c r="U191" i="12" s="1"/>
  <c r="W191" i="12" s="1"/>
  <c r="C191" i="11"/>
  <c r="I198" i="12"/>
  <c r="E22" i="10"/>
  <c r="C207" i="11"/>
  <c r="I213" i="12"/>
  <c r="U213" i="12" s="1"/>
  <c r="W213" i="12" s="1"/>
  <c r="C165" i="11"/>
  <c r="N165" i="11" s="1"/>
  <c r="I173" i="12"/>
  <c r="C280" i="11"/>
  <c r="I284" i="12"/>
  <c r="U284" i="12" s="1"/>
  <c r="W284" i="12" s="1"/>
  <c r="E20" i="10"/>
  <c r="H20" i="10" s="1"/>
  <c r="K20" i="10" s="1"/>
  <c r="C285" i="11"/>
  <c r="I289" i="12"/>
  <c r="U289" i="12" s="1"/>
  <c r="W289" i="12" s="1"/>
  <c r="C278" i="11"/>
  <c r="I282" i="12"/>
  <c r="U282" i="12" s="1"/>
  <c r="W282" i="12" s="1"/>
  <c r="C283" i="11"/>
  <c r="I287" i="12"/>
  <c r="U287" i="12" s="1"/>
  <c r="W287" i="12" s="1"/>
  <c r="E30" i="10"/>
  <c r="K155" i="6"/>
  <c r="K175" i="6"/>
  <c r="C23" i="23" s="1"/>
  <c r="I23" i="23" s="1"/>
  <c r="P23" i="23" s="1"/>
  <c r="R23" i="23" s="1"/>
  <c r="K113" i="6"/>
  <c r="F493" i="6" s="1"/>
  <c r="K151" i="6"/>
  <c r="I151" i="14" s="1"/>
  <c r="U151" i="14" s="1"/>
  <c r="W151" i="14" s="1"/>
  <c r="K149" i="6"/>
  <c r="I149" i="14" s="1"/>
  <c r="U149" i="14" s="1"/>
  <c r="W149" i="14" s="1"/>
  <c r="K61" i="6"/>
  <c r="C10" i="23" s="1"/>
  <c r="K79" i="6"/>
  <c r="I79" i="14" s="1"/>
  <c r="U79" i="14" s="1"/>
  <c r="W79" i="14" s="1"/>
  <c r="K162" i="6"/>
  <c r="C22" i="23" s="1"/>
  <c r="I22" i="23" s="1"/>
  <c r="P22" i="23" s="1"/>
  <c r="R22" i="23" s="1"/>
  <c r="K209" i="6"/>
  <c r="I210" i="14" s="1"/>
  <c r="U210" i="14" s="1"/>
  <c r="W210" i="14" s="1"/>
  <c r="F28" i="10"/>
  <c r="C160" i="11"/>
  <c r="K90" i="6"/>
  <c r="K91" i="6"/>
  <c r="I91" i="14" s="1"/>
  <c r="U91" i="14" s="1"/>
  <c r="W91" i="14" s="1"/>
  <c r="K174" i="6"/>
  <c r="I175" i="14" s="1"/>
  <c r="U175" i="14" s="1"/>
  <c r="W175" i="14" s="1"/>
  <c r="K73" i="6"/>
  <c r="C12" i="23" s="1"/>
  <c r="I12" i="23" s="1"/>
  <c r="K159" i="6"/>
  <c r="I158" i="14" s="1"/>
  <c r="U158" i="14" s="1"/>
  <c r="W158" i="14" s="1"/>
  <c r="K208" i="6"/>
  <c r="K205" i="6"/>
  <c r="I206" i="14" s="1"/>
  <c r="U206" i="14" s="1"/>
  <c r="W206" i="14" s="1"/>
  <c r="K114" i="6"/>
  <c r="C16" i="23" s="1"/>
  <c r="I16" i="23" s="1"/>
  <c r="F425" i="6"/>
  <c r="K69" i="6"/>
  <c r="I69" i="14" s="1"/>
  <c r="U69" i="14" s="1"/>
  <c r="W69" i="14" s="1"/>
  <c r="F374" i="6"/>
  <c r="K160" i="6"/>
  <c r="K115" i="6"/>
  <c r="I115" i="14" s="1"/>
  <c r="U115" i="14" s="1"/>
  <c r="W115" i="14" s="1"/>
  <c r="F19" i="10"/>
  <c r="C97" i="11"/>
  <c r="N97" i="11" s="1"/>
  <c r="K123" i="6"/>
  <c r="I123" i="14" s="1"/>
  <c r="U123" i="14" s="1"/>
  <c r="W123" i="14" s="1"/>
  <c r="K191" i="6"/>
  <c r="I192" i="14" s="1"/>
  <c r="U192" i="14" s="1"/>
  <c r="W192" i="14" s="1"/>
  <c r="K150" i="6"/>
  <c r="K68" i="6"/>
  <c r="K80" i="6"/>
  <c r="I80" i="14" s="1"/>
  <c r="U80" i="14" s="1"/>
  <c r="W80" i="14" s="1"/>
  <c r="K105" i="6"/>
  <c r="I105" i="14" s="1"/>
  <c r="U105" i="14" s="1"/>
  <c r="W105" i="14" s="1"/>
  <c r="K189" i="6"/>
  <c r="I190" i="14" s="1"/>
  <c r="U190" i="14" s="1"/>
  <c r="W190" i="14" s="1"/>
  <c r="K188" i="6"/>
  <c r="I189" i="14" s="1"/>
  <c r="U189" i="14" s="1"/>
  <c r="W189" i="14" s="1"/>
  <c r="K139" i="6"/>
  <c r="I139" i="14" s="1"/>
  <c r="U139" i="14" s="1"/>
  <c r="W139" i="14" s="1"/>
  <c r="K131" i="6"/>
  <c r="I131" i="14" s="1"/>
  <c r="U131" i="14" s="1"/>
  <c r="W131" i="14" s="1"/>
  <c r="L170" i="6"/>
  <c r="F29" i="10"/>
  <c r="K210" i="6"/>
  <c r="K186" i="6"/>
  <c r="C28" i="23" s="1"/>
  <c r="I28" i="23" s="1"/>
  <c r="P28" i="23" s="1"/>
  <c r="R28" i="23" s="1"/>
  <c r="K184" i="6"/>
  <c r="C27" i="23" s="1"/>
  <c r="I27" i="23" s="1"/>
  <c r="P27" i="23" s="1"/>
  <c r="R27" i="23" s="1"/>
  <c r="K103" i="6"/>
  <c r="I103" i="14" s="1"/>
  <c r="U103" i="14" s="1"/>
  <c r="W103" i="14" s="1"/>
  <c r="K187" i="6"/>
  <c r="I188" i="14" s="1"/>
  <c r="U188" i="14" s="1"/>
  <c r="W188" i="14" s="1"/>
  <c r="K259" i="6"/>
  <c r="K132" i="6"/>
  <c r="C18" i="23" s="1"/>
  <c r="I18" i="23" s="1"/>
  <c r="E332" i="6"/>
  <c r="K143" i="6"/>
  <c r="I143" i="14" s="1"/>
  <c r="U143" i="14" s="1"/>
  <c r="W143" i="14" s="1"/>
  <c r="K278" i="6"/>
  <c r="I285" i="14" s="1"/>
  <c r="U285" i="14" s="1"/>
  <c r="W285" i="14" s="1"/>
  <c r="C246" i="11"/>
  <c r="N246" i="11" s="1"/>
  <c r="C172" i="11"/>
  <c r="C171" i="11"/>
  <c r="N171" i="11" s="1"/>
  <c r="F437" i="6"/>
  <c r="F499" i="6"/>
  <c r="F511" i="6"/>
  <c r="L166" i="6"/>
  <c r="F478" i="6"/>
  <c r="F482" i="6"/>
  <c r="F502" i="6"/>
  <c r="F510" i="6"/>
  <c r="F501" i="6"/>
  <c r="F514" i="6"/>
  <c r="F416" i="6"/>
  <c r="F414" i="6"/>
  <c r="F415" i="6"/>
  <c r="F413" i="6"/>
  <c r="F509" i="6"/>
  <c r="F474" i="6"/>
  <c r="F417" i="6"/>
  <c r="F522" i="6"/>
  <c r="L281" i="6"/>
  <c r="L211" i="6"/>
  <c r="F520" i="6"/>
  <c r="F515" i="6"/>
  <c r="F503" i="6"/>
  <c r="F409" i="6"/>
  <c r="F516" i="6"/>
  <c r="L303" i="6"/>
  <c r="L50" i="6"/>
  <c r="F434" i="6"/>
  <c r="L221" i="6"/>
  <c r="L177" i="6"/>
  <c r="F494" i="6"/>
  <c r="F492" i="6"/>
  <c r="F500" i="6"/>
  <c r="F433" i="6"/>
  <c r="I18" i="10" l="1"/>
  <c r="H18" i="10"/>
  <c r="J18" i="10"/>
  <c r="H24" i="10"/>
  <c r="I24" i="10"/>
  <c r="H22" i="10"/>
  <c r="J22" i="10"/>
  <c r="I22" i="10"/>
  <c r="C20" i="23"/>
  <c r="I20" i="23" s="1"/>
  <c r="P20" i="23" s="1"/>
  <c r="R20" i="23" s="1"/>
  <c r="L154" i="6"/>
  <c r="O100" i="15"/>
  <c r="I273" i="11"/>
  <c r="I150" i="14"/>
  <c r="U150" i="14" s="1"/>
  <c r="W150" i="14" s="1"/>
  <c r="D34" i="29"/>
  <c r="T100" i="15"/>
  <c r="H279" i="11"/>
  <c r="U279" i="11" s="1"/>
  <c r="N279" i="11"/>
  <c r="H172" i="11"/>
  <c r="N172" i="11"/>
  <c r="H208" i="11"/>
  <c r="U208" i="11" s="1"/>
  <c r="N208" i="11"/>
  <c r="H285" i="11"/>
  <c r="U285" i="11" s="1"/>
  <c r="N285" i="11"/>
  <c r="H282" i="11"/>
  <c r="U282" i="11" s="1"/>
  <c r="N282" i="11"/>
  <c r="H280" i="11"/>
  <c r="U280" i="11" s="1"/>
  <c r="N280" i="11"/>
  <c r="H240" i="11"/>
  <c r="U240" i="11" s="1"/>
  <c r="N240" i="11"/>
  <c r="H207" i="11"/>
  <c r="U207" i="11" s="1"/>
  <c r="N207" i="11"/>
  <c r="H38" i="11"/>
  <c r="U38" i="11" s="1"/>
  <c r="N38" i="11"/>
  <c r="H283" i="11"/>
  <c r="U283" i="11" s="1"/>
  <c r="N283" i="11"/>
  <c r="H193" i="11"/>
  <c r="U193" i="11" s="1"/>
  <c r="N193" i="11"/>
  <c r="H284" i="11"/>
  <c r="U284" i="11" s="1"/>
  <c r="N284" i="11"/>
  <c r="H229" i="11"/>
  <c r="U229" i="11" s="1"/>
  <c r="N229" i="11"/>
  <c r="H281" i="11"/>
  <c r="U281" i="11" s="1"/>
  <c r="N281" i="11"/>
  <c r="H100" i="11"/>
  <c r="U100" i="11" s="1"/>
  <c r="N100" i="11"/>
  <c r="H278" i="11"/>
  <c r="U278" i="11" s="1"/>
  <c r="N278" i="11"/>
  <c r="H286" i="11"/>
  <c r="U286" i="11" s="1"/>
  <c r="N286" i="11"/>
  <c r="H160" i="11"/>
  <c r="U160" i="11" s="1"/>
  <c r="N160" i="11"/>
  <c r="H115" i="11"/>
  <c r="U115" i="11" s="1"/>
  <c r="N115" i="11"/>
  <c r="H162" i="11"/>
  <c r="U162" i="11" s="1"/>
  <c r="N162" i="11"/>
  <c r="H191" i="11"/>
  <c r="U191" i="11" s="1"/>
  <c r="N191" i="11"/>
  <c r="H200" i="11"/>
  <c r="U200" i="11" s="1"/>
  <c r="N200" i="11"/>
  <c r="H194" i="11"/>
  <c r="U194" i="11" s="1"/>
  <c r="N194" i="11"/>
  <c r="H185" i="11"/>
  <c r="U185" i="11" s="1"/>
  <c r="N185" i="11"/>
  <c r="H43" i="11"/>
  <c r="U43" i="11" s="1"/>
  <c r="N43" i="11"/>
  <c r="H215" i="11"/>
  <c r="U215" i="11" s="1"/>
  <c r="N215" i="11"/>
  <c r="H192" i="11"/>
  <c r="U192" i="11" s="1"/>
  <c r="N192" i="11"/>
  <c r="H72" i="11"/>
  <c r="U72" i="11" s="1"/>
  <c r="N72" i="11"/>
  <c r="J178" i="14"/>
  <c r="U178" i="14" s="1"/>
  <c r="W178" i="14" s="1"/>
  <c r="I209" i="14"/>
  <c r="U209" i="14" s="1"/>
  <c r="W209" i="14" s="1"/>
  <c r="C25" i="23"/>
  <c r="I25" i="23" s="1"/>
  <c r="P25" i="23" s="1"/>
  <c r="R25" i="23" s="1"/>
  <c r="I10" i="23"/>
  <c r="F507" i="6"/>
  <c r="J171" i="14"/>
  <c r="U171" i="14" s="1"/>
  <c r="W171" i="14" s="1"/>
  <c r="P12" i="23"/>
  <c r="R12" i="23" s="1"/>
  <c r="T12" i="23"/>
  <c r="I211" i="14"/>
  <c r="U211" i="14" s="1"/>
  <c r="W211" i="14" s="1"/>
  <c r="C24" i="23"/>
  <c r="I24" i="23" s="1"/>
  <c r="P24" i="23" s="1"/>
  <c r="R24" i="23" s="1"/>
  <c r="J29" i="26"/>
  <c r="C29" i="26"/>
  <c r="K29" i="26" s="1"/>
  <c r="D29" i="26"/>
  <c r="L29" i="26" s="1"/>
  <c r="L46" i="26" s="1"/>
  <c r="F505" i="6"/>
  <c r="F513" i="6"/>
  <c r="D13" i="26"/>
  <c r="L13" i="26" s="1"/>
  <c r="J13" i="26"/>
  <c r="C13" i="26"/>
  <c r="K13" i="26" s="1"/>
  <c r="P18" i="23"/>
  <c r="R18" i="23" s="1"/>
  <c r="T18" i="23"/>
  <c r="I113" i="12"/>
  <c r="U113" i="12" s="1"/>
  <c r="W113" i="12" s="1"/>
  <c r="I113" i="14"/>
  <c r="U113" i="14" s="1"/>
  <c r="J303" i="12"/>
  <c r="U303" i="12" s="1"/>
  <c r="W303" i="12" s="1"/>
  <c r="J310" i="14"/>
  <c r="U310" i="14" s="1"/>
  <c r="W310" i="14" s="1"/>
  <c r="F419" i="6"/>
  <c r="J21" i="26"/>
  <c r="D21" i="26"/>
  <c r="L21" i="26" s="1"/>
  <c r="C21" i="26"/>
  <c r="K21" i="26" s="1"/>
  <c r="I159" i="14"/>
  <c r="U159" i="14" s="1"/>
  <c r="W159" i="14" s="1"/>
  <c r="C21" i="23"/>
  <c r="I21" i="23" s="1"/>
  <c r="P21" i="23" s="1"/>
  <c r="R21" i="23" s="1"/>
  <c r="I90" i="14"/>
  <c r="U90" i="14" s="1"/>
  <c r="W90" i="14" s="1"/>
  <c r="C14" i="23"/>
  <c r="I14" i="23" s="1"/>
  <c r="J34" i="26"/>
  <c r="D34" i="26"/>
  <c r="L34" i="26" s="1"/>
  <c r="C34" i="26"/>
  <c r="K34" i="26" s="1"/>
  <c r="P16" i="23"/>
  <c r="R16" i="23" s="1"/>
  <c r="T16" i="23"/>
  <c r="C11" i="23"/>
  <c r="I11" i="23" s="1"/>
  <c r="J10" i="26"/>
  <c r="D10" i="26"/>
  <c r="L10" i="26" s="1"/>
  <c r="C10" i="26"/>
  <c r="K10" i="26" s="1"/>
  <c r="J225" i="14"/>
  <c r="U225" i="14" s="1"/>
  <c r="W225" i="14" s="1"/>
  <c r="H171" i="11"/>
  <c r="H97" i="11"/>
  <c r="U97" i="11" s="1"/>
  <c r="H19" i="11"/>
  <c r="I19" i="11" s="1"/>
  <c r="L173" i="6"/>
  <c r="I161" i="12"/>
  <c r="U161" i="12" s="1"/>
  <c r="W161" i="12" s="1"/>
  <c r="I161" i="14"/>
  <c r="U161" i="14" s="1"/>
  <c r="W161" i="14" s="1"/>
  <c r="J165" i="12"/>
  <c r="U165" i="12" s="1"/>
  <c r="W165" i="12" s="1"/>
  <c r="J165" i="14"/>
  <c r="U165" i="14" s="1"/>
  <c r="W165" i="14" s="1"/>
  <c r="I114" i="12"/>
  <c r="U114" i="12" s="1"/>
  <c r="W114" i="12" s="1"/>
  <c r="I114" i="14"/>
  <c r="U114" i="14" s="1"/>
  <c r="W114" i="14" s="1"/>
  <c r="I132" i="12"/>
  <c r="U132" i="12" s="1"/>
  <c r="W132" i="12" s="1"/>
  <c r="I132" i="14"/>
  <c r="U132" i="14" s="1"/>
  <c r="W132" i="14" s="1"/>
  <c r="C22" i="13"/>
  <c r="G22" i="13" s="1"/>
  <c r="G29" i="13" s="1"/>
  <c r="I263" i="14"/>
  <c r="U263" i="14" s="1"/>
  <c r="I61" i="12"/>
  <c r="U61" i="12" s="1"/>
  <c r="W61" i="12" s="1"/>
  <c r="I61" i="14"/>
  <c r="U61" i="14" s="1"/>
  <c r="W61" i="14" s="1"/>
  <c r="I187" i="12"/>
  <c r="U187" i="12" s="1"/>
  <c r="W187" i="12" s="1"/>
  <c r="I187" i="14"/>
  <c r="U187" i="14" s="1"/>
  <c r="W187" i="14" s="1"/>
  <c r="I68" i="12"/>
  <c r="U68" i="12" s="1"/>
  <c r="W68" i="12" s="1"/>
  <c r="I68" i="14"/>
  <c r="U68" i="14" s="1"/>
  <c r="W68" i="14" s="1"/>
  <c r="J212" i="12"/>
  <c r="U212" i="12" s="1"/>
  <c r="W212" i="12" s="1"/>
  <c r="J215" i="14"/>
  <c r="U215" i="14" s="1"/>
  <c r="W215" i="14" s="1"/>
  <c r="J281" i="12"/>
  <c r="U281" i="12" s="1"/>
  <c r="W281" i="12" s="1"/>
  <c r="J288" i="14"/>
  <c r="U288" i="14" s="1"/>
  <c r="W288" i="14" s="1"/>
  <c r="I185" i="12"/>
  <c r="U185" i="12" s="1"/>
  <c r="W185" i="12" s="1"/>
  <c r="I185" i="14"/>
  <c r="U185" i="14" s="1"/>
  <c r="W185" i="14" s="1"/>
  <c r="I73" i="12"/>
  <c r="U73" i="12" s="1"/>
  <c r="W73" i="12" s="1"/>
  <c r="I73" i="14"/>
  <c r="U73" i="14" s="1"/>
  <c r="W73" i="14" s="1"/>
  <c r="I176" i="12"/>
  <c r="U176" i="12" s="1"/>
  <c r="W176" i="12" s="1"/>
  <c r="I176" i="14"/>
  <c r="U176" i="14" s="1"/>
  <c r="W176" i="14" s="1"/>
  <c r="C13" i="13"/>
  <c r="C51" i="13" s="1"/>
  <c r="G51" i="13" s="1"/>
  <c r="I155" i="12"/>
  <c r="U155" i="12" s="1"/>
  <c r="W155" i="12" s="1"/>
  <c r="I155" i="14"/>
  <c r="U155" i="14" s="1"/>
  <c r="W155" i="14" s="1"/>
  <c r="J50" i="12"/>
  <c r="U50" i="12" s="1"/>
  <c r="W50" i="12" s="1"/>
  <c r="J50" i="14"/>
  <c r="U50" i="14" s="1"/>
  <c r="W50" i="14" s="1"/>
  <c r="U201" i="12"/>
  <c r="W201" i="12" s="1"/>
  <c r="U198" i="12"/>
  <c r="W198" i="12" s="1"/>
  <c r="U199" i="12"/>
  <c r="W199" i="12" s="1"/>
  <c r="U200" i="12"/>
  <c r="W200" i="12" s="1"/>
  <c r="I5" i="13"/>
  <c r="G13" i="13"/>
  <c r="C56" i="11"/>
  <c r="I69" i="12"/>
  <c r="U69" i="12" s="1"/>
  <c r="W69" i="12" s="1"/>
  <c r="F418" i="6"/>
  <c r="C202" i="11"/>
  <c r="I209" i="12"/>
  <c r="U209" i="12" s="1"/>
  <c r="W209" i="12" s="1"/>
  <c r="C141" i="11"/>
  <c r="I149" i="12"/>
  <c r="U149" i="12" s="1"/>
  <c r="W149" i="12" s="1"/>
  <c r="C122" i="11"/>
  <c r="I131" i="12"/>
  <c r="U131" i="12" s="1"/>
  <c r="W131" i="12" s="1"/>
  <c r="C106" i="11"/>
  <c r="I115" i="12"/>
  <c r="U115" i="12" s="1"/>
  <c r="W115" i="12" s="1"/>
  <c r="I90" i="12"/>
  <c r="U90" i="12" s="1"/>
  <c r="W90" i="12" s="1"/>
  <c r="I260" i="12"/>
  <c r="U260" i="12" s="1"/>
  <c r="W260" i="12" s="1"/>
  <c r="C254" i="11"/>
  <c r="C131" i="11"/>
  <c r="I139" i="12"/>
  <c r="U139" i="12" s="1"/>
  <c r="W139" i="12" s="1"/>
  <c r="I159" i="12"/>
  <c r="U159" i="12" s="1"/>
  <c r="W159" i="12" s="1"/>
  <c r="C70" i="11"/>
  <c r="I80" i="12"/>
  <c r="U80" i="12" s="1"/>
  <c r="W80" i="12" s="1"/>
  <c r="C199" i="11"/>
  <c r="I206" i="12"/>
  <c r="U206" i="12" s="1"/>
  <c r="W206" i="12" s="1"/>
  <c r="C186" i="11"/>
  <c r="I192" i="12"/>
  <c r="U192" i="12" s="1"/>
  <c r="W192" i="12" s="1"/>
  <c r="C182" i="11"/>
  <c r="I188" i="12"/>
  <c r="U188" i="12" s="1"/>
  <c r="W188" i="12" s="1"/>
  <c r="C183" i="11"/>
  <c r="I189" i="12"/>
  <c r="U189" i="12" s="1"/>
  <c r="W189" i="12" s="1"/>
  <c r="C203" i="11"/>
  <c r="I210" i="12"/>
  <c r="U210" i="12" s="1"/>
  <c r="W210" i="12" s="1"/>
  <c r="C93" i="11"/>
  <c r="I103" i="12"/>
  <c r="U103" i="12" s="1"/>
  <c r="W103" i="12" s="1"/>
  <c r="C184" i="11"/>
  <c r="I190" i="12"/>
  <c r="U190" i="12" s="1"/>
  <c r="W190" i="12" s="1"/>
  <c r="F24" i="10"/>
  <c r="I211" i="12"/>
  <c r="U211" i="12" s="1"/>
  <c r="U332" i="12" s="1"/>
  <c r="P332" i="6"/>
  <c r="P333" i="6" s="1"/>
  <c r="P334" i="6" s="1"/>
  <c r="C135" i="11"/>
  <c r="I143" i="12"/>
  <c r="U143" i="12" s="1"/>
  <c r="W143" i="12" s="1"/>
  <c r="D166" i="11"/>
  <c r="N166" i="11" s="1"/>
  <c r="P166" i="11" s="1"/>
  <c r="J171" i="12"/>
  <c r="U171" i="12" s="1"/>
  <c r="W171" i="12" s="1"/>
  <c r="C81" i="11"/>
  <c r="I91" i="12"/>
  <c r="U91" i="12" s="1"/>
  <c r="W91" i="12" s="1"/>
  <c r="L258" i="6"/>
  <c r="C95" i="11"/>
  <c r="I105" i="12"/>
  <c r="U105" i="12" s="1"/>
  <c r="W105" i="12" s="1"/>
  <c r="C69" i="11"/>
  <c r="I79" i="12"/>
  <c r="U79" i="12" s="1"/>
  <c r="W79" i="12" s="1"/>
  <c r="C142" i="11"/>
  <c r="I150" i="12"/>
  <c r="U150" i="12" s="1"/>
  <c r="W150" i="12" s="1"/>
  <c r="C152" i="11"/>
  <c r="I158" i="12"/>
  <c r="U158" i="12" s="1"/>
  <c r="W158" i="12" s="1"/>
  <c r="C143" i="11"/>
  <c r="I151" i="12"/>
  <c r="U151" i="12" s="1"/>
  <c r="W151" i="12" s="1"/>
  <c r="F495" i="6"/>
  <c r="D176" i="11"/>
  <c r="N176" i="11" s="1"/>
  <c r="P176" i="11" s="1"/>
  <c r="J178" i="12"/>
  <c r="U178" i="12" s="1"/>
  <c r="W178" i="12" s="1"/>
  <c r="D253" i="11"/>
  <c r="J222" i="12"/>
  <c r="U222" i="12" s="1"/>
  <c r="W222" i="12" s="1"/>
  <c r="L203" i="6"/>
  <c r="C274" i="11"/>
  <c r="I278" i="12"/>
  <c r="U278" i="12" s="1"/>
  <c r="W278" i="12" s="1"/>
  <c r="C114" i="11"/>
  <c r="I123" i="12"/>
  <c r="U123" i="12" s="1"/>
  <c r="W123" i="12" s="1"/>
  <c r="C167" i="11"/>
  <c r="I175" i="12"/>
  <c r="U175" i="12" s="1"/>
  <c r="W175" i="12" s="1"/>
  <c r="H246" i="11"/>
  <c r="U246" i="11" s="1"/>
  <c r="F506" i="6"/>
  <c r="C177" i="11"/>
  <c r="L183" i="6"/>
  <c r="D179" i="11" s="1"/>
  <c r="F9" i="10"/>
  <c r="C180" i="11"/>
  <c r="N180" i="11" s="1"/>
  <c r="F512" i="6"/>
  <c r="L185" i="6"/>
  <c r="C204" i="11"/>
  <c r="F11" i="10"/>
  <c r="C104" i="11"/>
  <c r="N104" i="11" s="1"/>
  <c r="L207" i="6"/>
  <c r="C61" i="11"/>
  <c r="N61" i="11" s="1"/>
  <c r="C103" i="11"/>
  <c r="E346" i="6"/>
  <c r="C153" i="11"/>
  <c r="N153" i="11" s="1"/>
  <c r="C155" i="11"/>
  <c r="N155" i="11" s="1"/>
  <c r="L84" i="6"/>
  <c r="C55" i="11"/>
  <c r="N55" i="11" s="1"/>
  <c r="L277" i="6"/>
  <c r="C48" i="11"/>
  <c r="F22" i="10"/>
  <c r="C123" i="11"/>
  <c r="N123" i="11" s="1"/>
  <c r="L157" i="6"/>
  <c r="F386" i="6"/>
  <c r="C80" i="11"/>
  <c r="N80" i="11" s="1"/>
  <c r="F20" i="10"/>
  <c r="C168" i="11"/>
  <c r="L137" i="6"/>
  <c r="L59" i="6"/>
  <c r="C147" i="11"/>
  <c r="E361" i="6"/>
  <c r="D305" i="11"/>
  <c r="N305" i="11" s="1"/>
  <c r="P305" i="11" s="1"/>
  <c r="E358" i="6"/>
  <c r="D287" i="11"/>
  <c r="N287" i="11" s="1"/>
  <c r="P287" i="11" s="1"/>
  <c r="E353" i="6"/>
  <c r="D216" i="11"/>
  <c r="N216" i="11" s="1"/>
  <c r="P216" i="11" s="1"/>
  <c r="E344" i="6"/>
  <c r="D163" i="11"/>
  <c r="N163" i="11" s="1"/>
  <c r="P163" i="11" s="1"/>
  <c r="E336" i="6"/>
  <c r="D46" i="11"/>
  <c r="N46" i="11" s="1"/>
  <c r="P46" i="11" s="1"/>
  <c r="F385" i="6"/>
  <c r="F393" i="6"/>
  <c r="K301" i="6"/>
  <c r="I308" i="14" s="1"/>
  <c r="U308" i="14" s="1"/>
  <c r="K302" i="6"/>
  <c r="I309" i="14" s="1"/>
  <c r="U309" i="14" s="1"/>
  <c r="W309" i="14" s="1"/>
  <c r="F426" i="6"/>
  <c r="F398" i="6"/>
  <c r="F400" i="6"/>
  <c r="F412" i="6"/>
  <c r="L44" i="6"/>
  <c r="L72" i="6"/>
  <c r="F377" i="6"/>
  <c r="L100" i="6"/>
  <c r="E348" i="6"/>
  <c r="F388" i="6"/>
  <c r="I328" i="14"/>
  <c r="U328" i="14" s="1"/>
  <c r="W328" i="14" s="1"/>
  <c r="L24" i="6"/>
  <c r="F427" i="6"/>
  <c r="E354" i="6"/>
  <c r="F394" i="6"/>
  <c r="K22" i="10" l="1"/>
  <c r="K24" i="10"/>
  <c r="K18" i="10"/>
  <c r="H65" i="32" s="1"/>
  <c r="N253" i="11"/>
  <c r="P253" i="11" s="1"/>
  <c r="H186" i="11"/>
  <c r="U186" i="11" s="1"/>
  <c r="N186" i="11"/>
  <c r="H103" i="11"/>
  <c r="U103" i="11" s="1"/>
  <c r="N103" i="11"/>
  <c r="H81" i="11"/>
  <c r="N81" i="11"/>
  <c r="H274" i="11"/>
  <c r="N274" i="11"/>
  <c r="H199" i="11"/>
  <c r="U199" i="11" s="1"/>
  <c r="N199" i="11"/>
  <c r="H69" i="11"/>
  <c r="U69" i="11" s="1"/>
  <c r="N69" i="11"/>
  <c r="H182" i="11"/>
  <c r="N182" i="11"/>
  <c r="H142" i="11"/>
  <c r="N142" i="11"/>
  <c r="H106" i="11"/>
  <c r="N106" i="11"/>
  <c r="H183" i="11"/>
  <c r="N183" i="11"/>
  <c r="H95" i="11"/>
  <c r="N95" i="11"/>
  <c r="H147" i="11"/>
  <c r="N147" i="11"/>
  <c r="H202" i="11"/>
  <c r="N202" i="11"/>
  <c r="H70" i="11"/>
  <c r="U70" i="11" s="1"/>
  <c r="N70" i="11"/>
  <c r="H204" i="11"/>
  <c r="U204" i="11" s="1"/>
  <c r="N204" i="11"/>
  <c r="H131" i="11"/>
  <c r="N131" i="11"/>
  <c r="H184" i="11"/>
  <c r="N184" i="11"/>
  <c r="H177" i="11"/>
  <c r="N177" i="11"/>
  <c r="H203" i="11"/>
  <c r="N203" i="11"/>
  <c r="H122" i="11"/>
  <c r="N122" i="11"/>
  <c r="H167" i="11"/>
  <c r="U167" i="11" s="1"/>
  <c r="N167" i="11"/>
  <c r="H141" i="11"/>
  <c r="N141" i="11"/>
  <c r="H114" i="11"/>
  <c r="N114" i="11"/>
  <c r="H168" i="11"/>
  <c r="U168" i="11" s="1"/>
  <c r="N168" i="11"/>
  <c r="H56" i="11"/>
  <c r="U56" i="11" s="1"/>
  <c r="N56" i="11"/>
  <c r="H135" i="11"/>
  <c r="N135" i="11"/>
  <c r="H254" i="11"/>
  <c r="N254" i="11"/>
  <c r="H143" i="11"/>
  <c r="N143" i="11"/>
  <c r="H48" i="11"/>
  <c r="U48" i="11" s="1"/>
  <c r="N48" i="11"/>
  <c r="H152" i="11"/>
  <c r="N152" i="11"/>
  <c r="H93" i="11"/>
  <c r="U93" i="11" s="1"/>
  <c r="N93" i="11"/>
  <c r="J12" i="26"/>
  <c r="C12" i="26"/>
  <c r="K12" i="26" s="1"/>
  <c r="D12" i="26"/>
  <c r="L12" i="26" s="1"/>
  <c r="J174" i="14"/>
  <c r="U174" i="14" s="1"/>
  <c r="W174" i="14" s="1"/>
  <c r="D22" i="26"/>
  <c r="L22" i="26" s="1"/>
  <c r="J22" i="26"/>
  <c r="C22" i="26"/>
  <c r="K22" i="26" s="1"/>
  <c r="J156" i="14"/>
  <c r="U156" i="14" s="1"/>
  <c r="W156" i="14" s="1"/>
  <c r="J186" i="14"/>
  <c r="U186" i="14" s="1"/>
  <c r="W186" i="14" s="1"/>
  <c r="J174" i="12"/>
  <c r="U174" i="12" s="1"/>
  <c r="W174" i="12" s="1"/>
  <c r="F387" i="6"/>
  <c r="T46" i="23"/>
  <c r="E347" i="6"/>
  <c r="J284" i="14"/>
  <c r="U284" i="14" s="1"/>
  <c r="W284" i="14" s="1"/>
  <c r="P10" i="23"/>
  <c r="R10" i="23" s="1"/>
  <c r="T10" i="23"/>
  <c r="J59" i="14"/>
  <c r="U59" i="14" s="1"/>
  <c r="W59" i="14" s="1"/>
  <c r="J137" i="14"/>
  <c r="U137" i="14" s="1"/>
  <c r="W137" i="14" s="1"/>
  <c r="J27" i="26"/>
  <c r="C27" i="26"/>
  <c r="K27" i="26" s="1"/>
  <c r="D27" i="26"/>
  <c r="L27" i="26" s="1"/>
  <c r="J154" i="14"/>
  <c r="U154" i="14" s="1"/>
  <c r="W154" i="14" s="1"/>
  <c r="J208" i="14"/>
  <c r="U208" i="14" s="1"/>
  <c r="W208" i="14" s="1"/>
  <c r="P14" i="23"/>
  <c r="R14" i="23" s="1"/>
  <c r="T14" i="23"/>
  <c r="J84" i="14"/>
  <c r="U84" i="14" s="1"/>
  <c r="W84" i="14" s="1"/>
  <c r="P11" i="23"/>
  <c r="R11" i="23" s="1"/>
  <c r="T11" i="23"/>
  <c r="J24" i="14"/>
  <c r="U24" i="14" s="1"/>
  <c r="W24" i="14" s="1"/>
  <c r="E342" i="6"/>
  <c r="D36" i="26"/>
  <c r="L36" i="26" s="1"/>
  <c r="J36" i="26"/>
  <c r="C36" i="26"/>
  <c r="K36" i="26" s="1"/>
  <c r="F384" i="6"/>
  <c r="D170" i="11"/>
  <c r="N170" i="11" s="1"/>
  <c r="P170" i="11" s="1"/>
  <c r="H61" i="11"/>
  <c r="H180" i="11"/>
  <c r="U180" i="11" s="1"/>
  <c r="H123" i="11"/>
  <c r="U123" i="11" s="1"/>
  <c r="H153" i="11"/>
  <c r="H104" i="11"/>
  <c r="U104" i="11" s="1"/>
  <c r="H80" i="11"/>
  <c r="H55" i="11"/>
  <c r="U55" i="11" s="1"/>
  <c r="H155" i="11"/>
  <c r="U155" i="11" s="1"/>
  <c r="H253" i="11"/>
  <c r="H216" i="11"/>
  <c r="H176" i="11"/>
  <c r="H46" i="11"/>
  <c r="H163" i="11"/>
  <c r="H287" i="11"/>
  <c r="H166" i="11"/>
  <c r="H305" i="11"/>
  <c r="J72" i="12"/>
  <c r="U72" i="12" s="1"/>
  <c r="W72" i="12" s="1"/>
  <c r="J72" i="14"/>
  <c r="U72" i="14" s="1"/>
  <c r="W72" i="14" s="1"/>
  <c r="J204" i="12"/>
  <c r="U204" i="12" s="1"/>
  <c r="W204" i="12" s="1"/>
  <c r="J204" i="14"/>
  <c r="U204" i="14" s="1"/>
  <c r="W204" i="14" s="1"/>
  <c r="J100" i="12"/>
  <c r="U100" i="12" s="1"/>
  <c r="W100" i="12" s="1"/>
  <c r="J100" i="14"/>
  <c r="U100" i="14" s="1"/>
  <c r="W100" i="14" s="1"/>
  <c r="J259" i="12"/>
  <c r="U259" i="12" s="1"/>
  <c r="W259" i="12" s="1"/>
  <c r="J262" i="14"/>
  <c r="U262" i="14" s="1"/>
  <c r="J44" i="12"/>
  <c r="U44" i="12" s="1"/>
  <c r="W44" i="12" s="1"/>
  <c r="J44" i="14"/>
  <c r="U44" i="14" s="1"/>
  <c r="W44" i="14" s="1"/>
  <c r="E355" i="6"/>
  <c r="J184" i="12"/>
  <c r="U184" i="12" s="1"/>
  <c r="W184" i="12" s="1"/>
  <c r="J184" i="14"/>
  <c r="U184" i="14" s="1"/>
  <c r="W184" i="14" s="1"/>
  <c r="F383" i="6"/>
  <c r="W211" i="12"/>
  <c r="F428" i="6"/>
  <c r="F395" i="6"/>
  <c r="D271" i="11"/>
  <c r="N271" i="11" s="1"/>
  <c r="P271" i="11" s="1"/>
  <c r="F420" i="6"/>
  <c r="D146" i="11"/>
  <c r="N146" i="11" s="1"/>
  <c r="P146" i="11" s="1"/>
  <c r="J137" i="12"/>
  <c r="U137" i="12" s="1"/>
  <c r="W137" i="12" s="1"/>
  <c r="D197" i="11"/>
  <c r="N197" i="11" s="1"/>
  <c r="P197" i="11" s="1"/>
  <c r="J186" i="12"/>
  <c r="U186" i="12" s="1"/>
  <c r="W186" i="12" s="1"/>
  <c r="E351" i="6"/>
  <c r="F391" i="6"/>
  <c r="D150" i="11"/>
  <c r="N150" i="11" s="1"/>
  <c r="P150" i="11" s="1"/>
  <c r="J154" i="12"/>
  <c r="U154" i="12" s="1"/>
  <c r="W154" i="12" s="1"/>
  <c r="C308" i="11"/>
  <c r="I321" i="12"/>
  <c r="U321" i="12" s="1"/>
  <c r="W321" i="12" s="1"/>
  <c r="D201" i="11"/>
  <c r="N201" i="11" s="1"/>
  <c r="P201" i="11" s="1"/>
  <c r="N179" i="11"/>
  <c r="P179" i="11" s="1"/>
  <c r="E349" i="6"/>
  <c r="F397" i="6"/>
  <c r="J277" i="12"/>
  <c r="U277" i="12" s="1"/>
  <c r="W277" i="12" s="1"/>
  <c r="F389" i="6"/>
  <c r="E339" i="6"/>
  <c r="J84" i="12"/>
  <c r="U84" i="12" s="1"/>
  <c r="W84" i="12" s="1"/>
  <c r="C289" i="11"/>
  <c r="I302" i="12"/>
  <c r="U302" i="12" s="1"/>
  <c r="W302" i="12" s="1"/>
  <c r="C288" i="11"/>
  <c r="I301" i="12"/>
  <c r="U301" i="12" s="1"/>
  <c r="W301" i="12" s="1"/>
  <c r="D30" i="11"/>
  <c r="N30" i="11" s="1"/>
  <c r="P30" i="11" s="1"/>
  <c r="J24" i="12"/>
  <c r="U24" i="12" s="1"/>
  <c r="W24" i="12" s="1"/>
  <c r="D60" i="11"/>
  <c r="N60" i="11" s="1"/>
  <c r="P60" i="11" s="1"/>
  <c r="J59" i="12"/>
  <c r="U59" i="12" s="1"/>
  <c r="W59" i="12" s="1"/>
  <c r="D206" i="11"/>
  <c r="N206" i="11" s="1"/>
  <c r="P206" i="11" s="1"/>
  <c r="J208" i="12"/>
  <c r="U208" i="12" s="1"/>
  <c r="W208" i="12" s="1"/>
  <c r="D159" i="11"/>
  <c r="N159" i="11" s="1"/>
  <c r="P159" i="11" s="1"/>
  <c r="J156" i="12"/>
  <c r="U156" i="12" s="1"/>
  <c r="W156" i="12" s="1"/>
  <c r="F392" i="6"/>
  <c r="F380" i="6"/>
  <c r="D277" i="11"/>
  <c r="N277" i="11" s="1"/>
  <c r="P277" i="11" s="1"/>
  <c r="F430" i="6"/>
  <c r="E357" i="6"/>
  <c r="E350" i="6"/>
  <c r="D90" i="11"/>
  <c r="N90" i="11" s="1"/>
  <c r="P90" i="11" s="1"/>
  <c r="F390" i="6"/>
  <c r="F378" i="6"/>
  <c r="E337" i="6"/>
  <c r="E341" i="6"/>
  <c r="F382" i="6"/>
  <c r="E352" i="6"/>
  <c r="E343" i="6"/>
  <c r="E340" i="6"/>
  <c r="D129" i="11"/>
  <c r="N129" i="11" s="1"/>
  <c r="P129" i="11" s="1"/>
  <c r="E338" i="6"/>
  <c r="D74" i="11"/>
  <c r="N74" i="11" s="1"/>
  <c r="P74" i="11" s="1"/>
  <c r="E335" i="6"/>
  <c r="D36" i="11"/>
  <c r="L300" i="6"/>
  <c r="F379" i="6"/>
  <c r="F376" i="6"/>
  <c r="F381" i="6"/>
  <c r="L320" i="6"/>
  <c r="E333" i="6"/>
  <c r="F375" i="6"/>
  <c r="H66" i="32" l="1"/>
  <c r="J66" i="32" s="1"/>
  <c r="K66" i="32" s="1"/>
  <c r="R62" i="11" s="1"/>
  <c r="T62" i="11" s="1"/>
  <c r="J65" i="32"/>
  <c r="K65" i="32" s="1"/>
  <c r="I305" i="11"/>
  <c r="I166" i="11"/>
  <c r="I287" i="11"/>
  <c r="I163" i="11"/>
  <c r="I46" i="11"/>
  <c r="I176" i="11"/>
  <c r="I216" i="11"/>
  <c r="I253" i="11"/>
  <c r="J327" i="14"/>
  <c r="U327" i="14" s="1"/>
  <c r="W327" i="14" s="1"/>
  <c r="H308" i="11"/>
  <c r="N308" i="11"/>
  <c r="H288" i="11"/>
  <c r="N288" i="11"/>
  <c r="H289" i="11"/>
  <c r="N289" i="11"/>
  <c r="H170" i="11"/>
  <c r="H36" i="11"/>
  <c r="N36" i="11"/>
  <c r="P36" i="11" s="1"/>
  <c r="J14" i="26"/>
  <c r="D14" i="26"/>
  <c r="L14" i="26" s="1"/>
  <c r="C14" i="26"/>
  <c r="K14" i="26" s="1"/>
  <c r="J11" i="26"/>
  <c r="D11" i="26"/>
  <c r="L11" i="26" s="1"/>
  <c r="L44" i="26" s="1"/>
  <c r="C11" i="26"/>
  <c r="K11" i="26" s="1"/>
  <c r="D23" i="26"/>
  <c r="L23" i="26" s="1"/>
  <c r="J23" i="26"/>
  <c r="C23" i="26"/>
  <c r="K23" i="26" s="1"/>
  <c r="J307" i="14"/>
  <c r="U307" i="14" s="1"/>
  <c r="W307" i="14" s="1"/>
  <c r="H60" i="11"/>
  <c r="H146" i="11"/>
  <c r="H271" i="11"/>
  <c r="H129" i="11"/>
  <c r="H197" i="11"/>
  <c r="H30" i="11"/>
  <c r="H90" i="11"/>
  <c r="H277" i="11"/>
  <c r="H179" i="11"/>
  <c r="H201" i="11"/>
  <c r="H150" i="11"/>
  <c r="H74" i="11"/>
  <c r="H159" i="11"/>
  <c r="H206" i="11"/>
  <c r="W262" i="14"/>
  <c r="U279" i="14"/>
  <c r="U342" i="14" s="1"/>
  <c r="F441" i="6"/>
  <c r="J320" i="12"/>
  <c r="U320" i="12" s="1"/>
  <c r="W320" i="12" s="1"/>
  <c r="D290" i="11"/>
  <c r="N290" i="11" s="1"/>
  <c r="P290" i="11" s="1"/>
  <c r="J300" i="12"/>
  <c r="U300" i="12" s="1"/>
  <c r="W300" i="12" s="1"/>
  <c r="E360" i="6"/>
  <c r="E363" i="6"/>
  <c r="D309" i="11"/>
  <c r="N309" i="11" s="1"/>
  <c r="P309" i="11" s="1"/>
  <c r="F399" i="6"/>
  <c r="L78" i="32" l="1"/>
  <c r="R61" i="11"/>
  <c r="C18" i="10"/>
  <c r="F18" i="10" s="1"/>
  <c r="I146" i="11"/>
  <c r="I60" i="11"/>
  <c r="I206" i="11"/>
  <c r="I159" i="11"/>
  <c r="I74" i="11"/>
  <c r="I150" i="11"/>
  <c r="I201" i="11"/>
  <c r="I179" i="11"/>
  <c r="I277" i="11"/>
  <c r="I90" i="11"/>
  <c r="I36" i="11"/>
  <c r="I30" i="11"/>
  <c r="I170" i="11"/>
  <c r="I197" i="11"/>
  <c r="I129" i="11"/>
  <c r="I271" i="11"/>
  <c r="H309" i="11"/>
  <c r="H290" i="11"/>
  <c r="I290" i="11" s="1"/>
  <c r="F21" i="12"/>
  <c r="F21" i="14"/>
  <c r="J21" i="6"/>
  <c r="K21" i="6" s="1"/>
  <c r="L20" i="6" s="1"/>
  <c r="T61" i="11" l="1"/>
  <c r="U61" i="11" s="1"/>
  <c r="C7" i="37"/>
  <c r="D7" i="37" s="1"/>
  <c r="S74" i="11"/>
  <c r="T74" i="11" s="1"/>
  <c r="U74" i="11" s="1"/>
  <c r="F371" i="32"/>
  <c r="B15" i="26"/>
  <c r="E330" i="32"/>
  <c r="I309" i="11"/>
  <c r="J20" i="12"/>
  <c r="I21" i="14"/>
  <c r="U21" i="14" s="1"/>
  <c r="W21" i="14" s="1"/>
  <c r="U20" i="12"/>
  <c r="W20" i="12" s="1"/>
  <c r="C16" i="11"/>
  <c r="H16" i="11" s="1"/>
  <c r="I21" i="12"/>
  <c r="U21" i="12" s="1"/>
  <c r="W21" i="12" s="1"/>
  <c r="E331" i="6"/>
  <c r="F373" i="6"/>
  <c r="J20" i="14"/>
  <c r="D17" i="11"/>
  <c r="N17" i="11" s="1"/>
  <c r="P17" i="11" s="1"/>
  <c r="H21" i="12"/>
  <c r="H21" i="14"/>
  <c r="J15" i="26" l="1"/>
  <c r="D15" i="26"/>
  <c r="L15" i="26" s="1"/>
  <c r="C15" i="26"/>
  <c r="K15" i="26" s="1"/>
  <c r="N16" i="11"/>
  <c r="H17" i="11"/>
  <c r="I17" i="11" s="1"/>
  <c r="C306" i="11"/>
  <c r="I326" i="14"/>
  <c r="U326" i="14" s="1"/>
  <c r="W326" i="14" s="1"/>
  <c r="L318" i="6"/>
  <c r="I319" i="12"/>
  <c r="U319" i="12" s="1"/>
  <c r="W319" i="12" s="1"/>
  <c r="U20" i="14"/>
  <c r="H306" i="11" l="1"/>
  <c r="N306" i="11"/>
  <c r="I323" i="12"/>
  <c r="U323" i="12" s="1"/>
  <c r="W323" i="12" s="1"/>
  <c r="K328" i="6"/>
  <c r="I330" i="14"/>
  <c r="U330" i="14" s="1"/>
  <c r="W330" i="14" s="1"/>
  <c r="L322" i="6"/>
  <c r="C310" i="11"/>
  <c r="K327" i="6"/>
  <c r="W20" i="14"/>
  <c r="U213" i="14"/>
  <c r="U341" i="14" s="1"/>
  <c r="U343" i="14" s="1"/>
  <c r="J325" i="14"/>
  <c r="F402" i="6"/>
  <c r="J318" i="12"/>
  <c r="E362" i="6"/>
  <c r="D307" i="11"/>
  <c r="N307" i="11" s="1"/>
  <c r="P307" i="11" s="1"/>
  <c r="H310" i="11" l="1"/>
  <c r="N310" i="11"/>
  <c r="H307" i="11"/>
  <c r="U325" i="14"/>
  <c r="W325" i="14" s="1"/>
  <c r="C314" i="11"/>
  <c r="I327" i="12"/>
  <c r="U327" i="12" s="1"/>
  <c r="W327" i="12" s="1"/>
  <c r="L326" i="6"/>
  <c r="I334" i="14"/>
  <c r="U334" i="14" s="1"/>
  <c r="W334" i="14" s="1"/>
  <c r="U318" i="12"/>
  <c r="W318" i="12" s="1"/>
  <c r="J329" i="14"/>
  <c r="U329" i="14" s="1"/>
  <c r="W329" i="14" s="1"/>
  <c r="J322" i="12"/>
  <c r="U322" i="12" s="1"/>
  <c r="W322" i="12" s="1"/>
  <c r="E364" i="6"/>
  <c r="F401" i="6"/>
  <c r="D313" i="11"/>
  <c r="N313" i="11" s="1"/>
  <c r="P313" i="11" s="1"/>
  <c r="C311" i="11"/>
  <c r="I324" i="12"/>
  <c r="U324" i="12" s="1"/>
  <c r="W324" i="12" s="1"/>
  <c r="I331" i="14"/>
  <c r="U331" i="14" s="1"/>
  <c r="W331" i="14" s="1"/>
  <c r="I328" i="12"/>
  <c r="U328" i="12" s="1"/>
  <c r="W328" i="12" s="1"/>
  <c r="C315" i="11"/>
  <c r="I335" i="14"/>
  <c r="U335" i="14" s="1"/>
  <c r="W335" i="14" s="1"/>
  <c r="I325" i="12"/>
  <c r="U325" i="12" s="1"/>
  <c r="W325" i="12" s="1"/>
  <c r="C312" i="11"/>
  <c r="I332" i="14"/>
  <c r="U332" i="14" s="1"/>
  <c r="W332" i="14" s="1"/>
  <c r="I307" i="11" l="1"/>
  <c r="H314" i="11"/>
  <c r="N314" i="11"/>
  <c r="H311" i="11"/>
  <c r="N311" i="11"/>
  <c r="H312" i="11"/>
  <c r="N312" i="11"/>
  <c r="H315" i="11"/>
  <c r="N315" i="11"/>
  <c r="H313" i="11"/>
  <c r="E365" i="6"/>
  <c r="D316" i="11"/>
  <c r="F403" i="6"/>
  <c r="F404" i="6" s="1"/>
  <c r="J333" i="14"/>
  <c r="U333" i="14" s="1"/>
  <c r="W333" i="14" s="1"/>
  <c r="J326" i="12"/>
  <c r="U326" i="12" s="1"/>
  <c r="W326" i="12" s="1"/>
  <c r="L329" i="6"/>
  <c r="I313" i="11" l="1"/>
  <c r="D317" i="11"/>
  <c r="N316" i="11"/>
  <c r="P316" i="11" s="1"/>
  <c r="H316" i="11"/>
  <c r="J336" i="14"/>
  <c r="F405" i="6"/>
  <c r="C61" i="23"/>
  <c r="I61" i="23" s="1"/>
  <c r="P61" i="23" s="1"/>
  <c r="R61" i="23" s="1"/>
  <c r="E366" i="6"/>
  <c r="E367" i="6" s="1"/>
  <c r="L14" i="6"/>
  <c r="L330" i="6"/>
  <c r="J329" i="12"/>
  <c r="I316" i="11" l="1"/>
  <c r="N317" i="11"/>
  <c r="P317" i="11" s="1"/>
  <c r="H317" i="11"/>
  <c r="I317" i="11" s="1"/>
  <c r="D8" i="11"/>
  <c r="D10" i="11" s="1"/>
  <c r="D15" i="12"/>
  <c r="U329" i="12"/>
  <c r="W329" i="12" s="1"/>
  <c r="D15" i="14"/>
  <c r="U336" i="14"/>
  <c r="W336" i="14" s="1"/>
  <c r="L15" i="6"/>
  <c r="L16" i="6"/>
  <c r="D9" i="11" l="1"/>
  <c r="H9" i="11" s="1"/>
  <c r="I9" i="11" s="1"/>
  <c r="H8" i="11"/>
  <c r="I8" i="11" s="1"/>
  <c r="H10" i="11"/>
  <c r="I10" i="11" s="1"/>
  <c r="E15" i="14"/>
  <c r="F15" i="14" s="1"/>
  <c r="D17" i="14"/>
  <c r="E17" i="14" s="1"/>
  <c r="D16" i="14"/>
  <c r="E16" i="14" s="1"/>
  <c r="D16" i="12"/>
  <c r="E16" i="12" s="1"/>
  <c r="D17" i="12"/>
  <c r="E17" i="12" s="1"/>
  <c r="E15" i="12"/>
  <c r="F15" i="12" s="1"/>
  <c r="I8" i="32" l="1"/>
  <c r="J8" i="32"/>
  <c r="O8" i="32"/>
  <c r="N8" i="32"/>
  <c r="T5" i="32" s="1"/>
  <c r="L8" i="32"/>
  <c r="E5" i="32" s="1"/>
  <c r="M8" i="32"/>
  <c r="K8" i="32"/>
  <c r="S6" i="11" l="1"/>
  <c r="T6" i="11" s="1"/>
  <c r="U6" i="11" s="1"/>
  <c r="K119" i="32"/>
  <c r="E7" i="32"/>
  <c r="E6" i="32"/>
  <c r="T3" i="32"/>
  <c r="G91" i="32"/>
  <c r="K91" i="32" s="1"/>
  <c r="E4" i="32"/>
  <c r="G174" i="32" s="1"/>
  <c r="K174" i="32" s="1"/>
  <c r="T2" i="32"/>
  <c r="K156" i="32"/>
  <c r="R116" i="11" l="1"/>
  <c r="T116" i="11" s="1"/>
  <c r="F406" i="32"/>
  <c r="C16" i="10"/>
  <c r="R153" i="11"/>
  <c r="T153" i="11" s="1"/>
  <c r="U153" i="11" s="1"/>
  <c r="R171" i="11"/>
  <c r="T171" i="11" s="1"/>
  <c r="U171" i="11" s="1"/>
  <c r="R88" i="11"/>
  <c r="T88" i="11" s="1"/>
  <c r="U88" i="11" s="1"/>
  <c r="G175" i="32"/>
  <c r="K175" i="32" s="1"/>
  <c r="R172" i="11" s="1"/>
  <c r="E8" i="32"/>
  <c r="E39" i="29" l="1"/>
  <c r="F39" i="29" s="1"/>
  <c r="G117" i="32"/>
  <c r="K117" i="32" s="1"/>
  <c r="C12" i="10"/>
  <c r="E45" i="29"/>
  <c r="F45" i="29" s="1"/>
  <c r="T18" i="32"/>
  <c r="B15" i="34"/>
  <c r="D15" i="34" s="1"/>
  <c r="E16" i="34" s="1"/>
  <c r="L179" i="32"/>
  <c r="F380" i="32"/>
  <c r="T172" i="11"/>
  <c r="U172" i="11" s="1"/>
  <c r="G185" i="32"/>
  <c r="K185" i="32" s="1"/>
  <c r="M52" i="33"/>
  <c r="Q53" i="33"/>
  <c r="Q51" i="33"/>
  <c r="G134" i="32"/>
  <c r="K134" i="32" s="1"/>
  <c r="R131" i="11" s="1"/>
  <c r="K111" i="32"/>
  <c r="G124" i="32"/>
  <c r="K124" i="32" s="1"/>
  <c r="G123" i="32"/>
  <c r="K123" i="32" s="1"/>
  <c r="F3" i="10"/>
  <c r="G240" i="32"/>
  <c r="K240" i="32" s="1"/>
  <c r="K98" i="32"/>
  <c r="R95" i="11" s="1"/>
  <c r="T95" i="11" s="1"/>
  <c r="U95" i="11" s="1"/>
  <c r="F5" i="32"/>
  <c r="F8" i="32"/>
  <c r="G145" i="32"/>
  <c r="G204" i="32"/>
  <c r="K204" i="32" s="1"/>
  <c r="R202" i="11" s="1"/>
  <c r="F7" i="32"/>
  <c r="F6" i="32"/>
  <c r="G205" i="32"/>
  <c r="K205" i="32" s="1"/>
  <c r="K277" i="32"/>
  <c r="K138" i="32"/>
  <c r="G180" i="32"/>
  <c r="G184" i="32"/>
  <c r="K184" i="32" s="1"/>
  <c r="R182" i="11" s="1"/>
  <c r="G150" i="32"/>
  <c r="K150" i="32" s="1"/>
  <c r="R147" i="11" s="1"/>
  <c r="G144" i="32"/>
  <c r="K144" i="32" s="1"/>
  <c r="G83" i="32"/>
  <c r="G84" i="32"/>
  <c r="K84" i="32" s="1"/>
  <c r="R81" i="11" s="1"/>
  <c r="G155" i="32"/>
  <c r="K155" i="32" s="1"/>
  <c r="G125" i="32"/>
  <c r="K125" i="32" s="1"/>
  <c r="F3" i="32"/>
  <c r="G186" i="32"/>
  <c r="K186" i="32" s="1"/>
  <c r="G109" i="32"/>
  <c r="K109" i="32" s="1"/>
  <c r="F16" i="32"/>
  <c r="G257" i="32"/>
  <c r="K257" i="32" s="1"/>
  <c r="G146" i="32"/>
  <c r="F4" i="32"/>
  <c r="R114" i="11" l="1"/>
  <c r="T114" i="11" s="1"/>
  <c r="U114" i="11" s="1"/>
  <c r="C8" i="37"/>
  <c r="D8" i="37" s="1"/>
  <c r="F404" i="32"/>
  <c r="L274" i="32"/>
  <c r="S271" i="11" s="1"/>
  <c r="R254" i="11"/>
  <c r="T254" i="11" s="1"/>
  <c r="U254" i="11" s="1"/>
  <c r="R106" i="11"/>
  <c r="T106" i="11" s="1"/>
  <c r="U106" i="11" s="1"/>
  <c r="L256" i="32"/>
  <c r="S253" i="11" s="1"/>
  <c r="R238" i="11"/>
  <c r="T238" i="11" s="1"/>
  <c r="U238" i="11" s="1"/>
  <c r="R108" i="11"/>
  <c r="T108" i="11" s="1"/>
  <c r="U108" i="11" s="1"/>
  <c r="R141" i="11"/>
  <c r="T141" i="11" s="1"/>
  <c r="U141" i="11" s="1"/>
  <c r="R183" i="11"/>
  <c r="T183" i="11" s="1"/>
  <c r="U183" i="11" s="1"/>
  <c r="R184" i="11"/>
  <c r="T184" i="11" s="1"/>
  <c r="U184" i="11" s="1"/>
  <c r="H12" i="10"/>
  <c r="E17" i="10"/>
  <c r="J12" i="10"/>
  <c r="E12" i="10"/>
  <c r="F12" i="10" s="1"/>
  <c r="I12" i="10"/>
  <c r="F17" i="10"/>
  <c r="R122" i="11"/>
  <c r="T122" i="11" s="1"/>
  <c r="U122" i="11" s="1"/>
  <c r="R120" i="11"/>
  <c r="T120" i="11" s="1"/>
  <c r="U120" i="11" s="1"/>
  <c r="L162" i="32"/>
  <c r="S159" i="11" s="1"/>
  <c r="R152" i="11"/>
  <c r="T152" i="11" s="1"/>
  <c r="U152" i="11" s="1"/>
  <c r="R121" i="11"/>
  <c r="T121" i="11" s="1"/>
  <c r="U121" i="11" s="1"/>
  <c r="R135" i="11"/>
  <c r="T135" i="11" s="1"/>
  <c r="U135" i="11" s="1"/>
  <c r="L280" i="32"/>
  <c r="S277" i="11" s="1"/>
  <c r="R274" i="11"/>
  <c r="R203" i="11"/>
  <c r="T203" i="11" s="1"/>
  <c r="U203" i="11" s="1"/>
  <c r="B24" i="26"/>
  <c r="J24" i="26" s="1"/>
  <c r="S176" i="11"/>
  <c r="T176" i="11" s="1"/>
  <c r="U176" i="11" s="1"/>
  <c r="H10" i="10"/>
  <c r="J10" i="10"/>
  <c r="I10" i="10"/>
  <c r="L153" i="32"/>
  <c r="S150" i="11" s="1"/>
  <c r="C15" i="10"/>
  <c r="L208" i="32"/>
  <c r="S206" i="11" s="1"/>
  <c r="L199" i="32"/>
  <c r="S197" i="11" s="1"/>
  <c r="D16" i="34"/>
  <c r="D26" i="34" s="1"/>
  <c r="E340" i="32"/>
  <c r="L132" i="32"/>
  <c r="S129" i="11" s="1"/>
  <c r="K145" i="32"/>
  <c r="E34" i="29"/>
  <c r="F34" i="29" s="1"/>
  <c r="K146" i="32"/>
  <c r="E35" i="29"/>
  <c r="F35" i="29" s="1"/>
  <c r="T81" i="11"/>
  <c r="U81" i="11" s="1"/>
  <c r="E15" i="10"/>
  <c r="E16" i="10"/>
  <c r="F16" i="10" s="1"/>
  <c r="E10" i="10"/>
  <c r="E27" i="10"/>
  <c r="E26" i="10"/>
  <c r="F26" i="10" s="1"/>
  <c r="T131" i="11"/>
  <c r="U131" i="11" s="1"/>
  <c r="F487" i="32"/>
  <c r="T202" i="11"/>
  <c r="U202" i="11" s="1"/>
  <c r="F411" i="32"/>
  <c r="F410" i="32"/>
  <c r="T147" i="11"/>
  <c r="U147" i="11" s="1"/>
  <c r="T182" i="11"/>
  <c r="U182" i="11" s="1"/>
  <c r="F498" i="32"/>
  <c r="F505" i="32"/>
  <c r="T274" i="11" l="1"/>
  <c r="U274" i="11" s="1"/>
  <c r="C18" i="37"/>
  <c r="D18" i="37" s="1"/>
  <c r="H180" i="32"/>
  <c r="J180" i="32" s="1"/>
  <c r="K180" i="32" s="1"/>
  <c r="D24" i="26"/>
  <c r="L24" i="26" s="1"/>
  <c r="J27" i="10"/>
  <c r="I27" i="10"/>
  <c r="J83" i="32" s="1"/>
  <c r="K83" i="32" s="1"/>
  <c r="H27" i="10"/>
  <c r="R143" i="11"/>
  <c r="T143" i="11" s="1"/>
  <c r="U143" i="11" s="1"/>
  <c r="K10" i="10"/>
  <c r="J17" i="10"/>
  <c r="I17" i="10"/>
  <c r="H17" i="10"/>
  <c r="K12" i="10"/>
  <c r="R142" i="11"/>
  <c r="T142" i="11" s="1"/>
  <c r="U142" i="11" s="1"/>
  <c r="C24" i="26"/>
  <c r="K24" i="26" s="1"/>
  <c r="L149" i="32"/>
  <c r="F36" i="29"/>
  <c r="F15" i="10"/>
  <c r="F412" i="32"/>
  <c r="T271" i="11"/>
  <c r="U271" i="11" s="1"/>
  <c r="F420" i="32"/>
  <c r="E347" i="32"/>
  <c r="F387" i="32"/>
  <c r="B31" i="26"/>
  <c r="E344" i="32"/>
  <c r="F384" i="32"/>
  <c r="B28" i="26"/>
  <c r="T206" i="11"/>
  <c r="U206" i="11" s="1"/>
  <c r="E342" i="32"/>
  <c r="T197" i="11"/>
  <c r="U197" i="11" s="1"/>
  <c r="B26" i="26"/>
  <c r="F382" i="32"/>
  <c r="F386" i="32"/>
  <c r="B30" i="26"/>
  <c r="F419" i="32"/>
  <c r="T253" i="11"/>
  <c r="U253" i="11" s="1"/>
  <c r="E346" i="32"/>
  <c r="F389" i="32"/>
  <c r="B33" i="26"/>
  <c r="T277" i="11"/>
  <c r="U277" i="11" s="1"/>
  <c r="E349" i="32"/>
  <c r="F422" i="32"/>
  <c r="B19" i="26"/>
  <c r="T150" i="11"/>
  <c r="U150" i="11" s="1"/>
  <c r="F375" i="32"/>
  <c r="E334" i="32"/>
  <c r="E335" i="32"/>
  <c r="F376" i="32"/>
  <c r="T159" i="11"/>
  <c r="U159" i="11" s="1"/>
  <c r="B20" i="26"/>
  <c r="T129" i="11"/>
  <c r="U129" i="11" s="1"/>
  <c r="E332" i="32"/>
  <c r="F373" i="32"/>
  <c r="B17" i="26"/>
  <c r="K17" i="10" l="1"/>
  <c r="K292" i="32"/>
  <c r="R289" i="11" s="1"/>
  <c r="C19" i="37" s="1"/>
  <c r="D19" i="37" s="1"/>
  <c r="K291" i="32"/>
  <c r="K20" i="32" s="1"/>
  <c r="R80" i="11"/>
  <c r="T80" i="11" s="1"/>
  <c r="U80" i="11" s="1"/>
  <c r="C27" i="10"/>
  <c r="F27" i="10" s="1"/>
  <c r="L93" i="32"/>
  <c r="R177" i="11"/>
  <c r="L182" i="32"/>
  <c r="C10" i="10"/>
  <c r="F10" i="10" s="1"/>
  <c r="E333" i="32"/>
  <c r="S146" i="11"/>
  <c r="T146" i="11" s="1"/>
  <c r="U146" i="11" s="1"/>
  <c r="K27" i="10"/>
  <c r="T288" i="11"/>
  <c r="F374" i="32"/>
  <c r="B18" i="26"/>
  <c r="D18" i="26" s="1"/>
  <c r="L18" i="26" s="1"/>
  <c r="J33" i="26"/>
  <c r="D33" i="26"/>
  <c r="L33" i="26" s="1"/>
  <c r="C33" i="26"/>
  <c r="K33" i="26" s="1"/>
  <c r="E352" i="32"/>
  <c r="J26" i="26"/>
  <c r="D26" i="26"/>
  <c r="L26" i="26" s="1"/>
  <c r="L45" i="26" s="1"/>
  <c r="C26" i="26"/>
  <c r="K26" i="26" s="1"/>
  <c r="J31" i="26"/>
  <c r="C31" i="26"/>
  <c r="K31" i="26" s="1"/>
  <c r="D31" i="26"/>
  <c r="L31" i="26" s="1"/>
  <c r="L48" i="26" s="1"/>
  <c r="D17" i="26"/>
  <c r="L17" i="26" s="1"/>
  <c r="J17" i="26"/>
  <c r="C17" i="26"/>
  <c r="K17" i="26" s="1"/>
  <c r="C20" i="26"/>
  <c r="K20" i="26" s="1"/>
  <c r="D20" i="26"/>
  <c r="L20" i="26" s="1"/>
  <c r="J20" i="26"/>
  <c r="C28" i="26"/>
  <c r="K28" i="26" s="1"/>
  <c r="J28" i="26"/>
  <c r="D28" i="26"/>
  <c r="L28" i="26" s="1"/>
  <c r="F433" i="32"/>
  <c r="L312" i="32"/>
  <c r="S309" i="11" s="1"/>
  <c r="J30" i="26"/>
  <c r="D30" i="26"/>
  <c r="L30" i="26" s="1"/>
  <c r="L47" i="26" s="1"/>
  <c r="C30" i="26"/>
  <c r="K30" i="26" s="1"/>
  <c r="J19" i="26"/>
  <c r="C19" i="26"/>
  <c r="K19" i="26" s="1"/>
  <c r="D19" i="26"/>
  <c r="L19" i="26" s="1"/>
  <c r="T177" i="11" l="1"/>
  <c r="U177" i="11" s="1"/>
  <c r="C10" i="37"/>
  <c r="D10" i="37" s="1"/>
  <c r="S90" i="11"/>
  <c r="T90" i="11" s="1"/>
  <c r="U90" i="11" s="1"/>
  <c r="F372" i="32"/>
  <c r="B16" i="26"/>
  <c r="E331" i="32"/>
  <c r="S179" i="11"/>
  <c r="T179" i="11" s="1"/>
  <c r="U179" i="11" s="1"/>
  <c r="F381" i="32"/>
  <c r="B25" i="26"/>
  <c r="E341" i="32"/>
  <c r="K309" i="32"/>
  <c r="R306" i="11" s="1"/>
  <c r="T306" i="11" s="1"/>
  <c r="R16" i="11"/>
  <c r="C18" i="26"/>
  <c r="K18" i="26" s="1"/>
  <c r="J18" i="26"/>
  <c r="T309" i="11"/>
  <c r="U309" i="11" s="1"/>
  <c r="E355" i="32"/>
  <c r="D16" i="26" l="1"/>
  <c r="L16" i="26" s="1"/>
  <c r="J16" i="26"/>
  <c r="C16" i="26"/>
  <c r="K16" i="26" s="1"/>
  <c r="D25" i="26"/>
  <c r="J25" i="26"/>
  <c r="C25" i="26"/>
  <c r="K25" i="26" s="1"/>
  <c r="T16" i="11"/>
  <c r="U16" i="11" s="1"/>
  <c r="E323" i="32"/>
  <c r="E357" i="32"/>
  <c r="L25" i="26" l="1"/>
  <c r="P25" i="26"/>
  <c r="S25" i="26" s="1"/>
  <c r="E354" i="32"/>
  <c r="T289" i="11" l="1"/>
  <c r="U289" i="11" s="1"/>
  <c r="C70" i="29"/>
  <c r="D70" i="29" s="1"/>
  <c r="F70" i="29" s="1"/>
  <c r="F391" i="32"/>
  <c r="L293" i="32"/>
  <c r="S290" i="11" s="1"/>
  <c r="B35" i="26" l="1"/>
  <c r="C35" i="26" s="1"/>
  <c r="K35" i="26" s="1"/>
  <c r="J35" i="26" l="1"/>
  <c r="D35" i="26"/>
  <c r="L35" i="26" s="1"/>
  <c r="L50" i="26" s="1"/>
  <c r="T290" i="11"/>
  <c r="U290" i="11" s="1"/>
  <c r="L21" i="32" l="1"/>
  <c r="C69" i="29"/>
  <c r="D69" i="29" s="1"/>
  <c r="F69" i="29" s="1"/>
  <c r="F365" i="32" l="1"/>
  <c r="S17" i="11"/>
  <c r="T17" i="11" s="1"/>
  <c r="B9" i="26"/>
  <c r="C9" i="26" l="1"/>
  <c r="K9" i="26" s="1"/>
  <c r="D9" i="26"/>
  <c r="L9" i="26" s="1"/>
  <c r="L49" i="26" s="1"/>
  <c r="J9" i="26"/>
  <c r="U306" i="11"/>
  <c r="L310" i="32"/>
  <c r="F394" i="32"/>
  <c r="C71" i="29"/>
  <c r="D71" i="29" s="1"/>
  <c r="F71" i="29" s="1"/>
  <c r="B38" i="26" l="1"/>
  <c r="D38" i="26" s="1"/>
  <c r="L38" i="26" s="1"/>
  <c r="L51" i="26" s="1"/>
  <c r="S307" i="11"/>
  <c r="T307" i="11" s="1"/>
  <c r="U307" i="11" s="1"/>
  <c r="J38" i="26" l="1"/>
  <c r="C38" i="26"/>
  <c r="K38" i="26" s="1"/>
  <c r="D16" i="37" l="1"/>
  <c r="D21" i="37" l="1"/>
  <c r="E13" i="40"/>
  <c r="E14" i="40"/>
  <c r="E15" i="40" s="1"/>
  <c r="E19" i="40"/>
  <c r="E20" i="40" s="1"/>
  <c r="E21" i="40" s="1"/>
  <c r="N22" i="40"/>
  <c r="O22" i="40" s="1"/>
  <c r="N24" i="40"/>
  <c r="P22" i="40" l="1"/>
  <c r="Q22" i="40" s="1"/>
  <c r="Q24" i="40" s="1"/>
  <c r="D45" i="40" s="1"/>
  <c r="O24" i="40"/>
  <c r="E22" i="40"/>
  <c r="E24" i="40" s="1"/>
  <c r="F35" i="40" l="1"/>
  <c r="G35" i="40" s="1"/>
  <c r="F34" i="40"/>
  <c r="G34" i="40" s="1"/>
  <c r="F33" i="40"/>
  <c r="G33" i="40" l="1"/>
  <c r="G36" i="40" s="1"/>
  <c r="D44" i="40" s="1"/>
  <c r="F36" i="40"/>
  <c r="F44" i="40" l="1"/>
  <c r="D47" i="40"/>
  <c r="K313" i="32" l="1"/>
  <c r="F47" i="40"/>
  <c r="K317" i="32" l="1"/>
  <c r="K318" i="32"/>
  <c r="L316" i="32"/>
  <c r="R310" i="11"/>
  <c r="E356" i="32" l="1"/>
  <c r="S313" i="11"/>
  <c r="C72" i="29"/>
  <c r="D72" i="29" s="1"/>
  <c r="F72" i="29" s="1"/>
  <c r="B37" i="26"/>
  <c r="F393" i="32"/>
  <c r="B39" i="26"/>
  <c r="C74" i="29"/>
  <c r="D74" i="29" s="1"/>
  <c r="F74" i="29" s="1"/>
  <c r="R315" i="11"/>
  <c r="T315" i="11" s="1"/>
  <c r="U315" i="11" s="1"/>
  <c r="T310" i="11"/>
  <c r="U310" i="11" s="1"/>
  <c r="R314" i="11"/>
  <c r="T314" i="11" s="1"/>
  <c r="U314" i="11" s="1"/>
  <c r="L319" i="32"/>
  <c r="L321" i="32" s="1"/>
  <c r="C73" i="29"/>
  <c r="D73" i="29" s="1"/>
  <c r="F73" i="29" s="1"/>
  <c r="E358" i="32" l="1"/>
  <c r="E359" i="32" s="1"/>
  <c r="L14" i="32"/>
  <c r="L322" i="32"/>
  <c r="C39" i="26"/>
  <c r="K39" i="26" s="1"/>
  <c r="D39" i="26"/>
  <c r="L39" i="26" s="1"/>
  <c r="L52" i="26" s="1"/>
  <c r="L53" i="26" s="1"/>
  <c r="J39" i="26"/>
  <c r="B41" i="26"/>
  <c r="D37" i="26"/>
  <c r="L37" i="26" s="1"/>
  <c r="J37" i="26"/>
  <c r="C37" i="26"/>
  <c r="K37" i="26" s="1"/>
  <c r="F75" i="29"/>
  <c r="F77" i="29" s="1"/>
  <c r="R318" i="11"/>
  <c r="R319" i="11" s="1"/>
  <c r="T313" i="11"/>
  <c r="U313" i="11" s="1"/>
  <c r="S317" i="11"/>
  <c r="S316" i="11"/>
  <c r="T316" i="11" s="1"/>
  <c r="U316" i="11" s="1"/>
  <c r="F395" i="32"/>
  <c r="F396" i="32" s="1"/>
  <c r="F397" i="32" s="1"/>
  <c r="D41" i="26" l="1"/>
  <c r="L41" i="26" s="1"/>
  <c r="C41" i="26"/>
  <c r="K41" i="26" s="1"/>
  <c r="J41" i="26"/>
  <c r="T317" i="11"/>
  <c r="U317" i="11" s="1"/>
  <c r="S8" i="11"/>
  <c r="S318" i="11"/>
  <c r="F6" i="30"/>
  <c r="L16" i="32"/>
  <c r="C30" i="10"/>
  <c r="L15" i="32"/>
  <c r="B27" i="10" l="1"/>
  <c r="B18" i="10"/>
  <c r="B25" i="10"/>
  <c r="B26" i="10"/>
  <c r="B8" i="10"/>
  <c r="B28" i="10"/>
  <c r="B11" i="10"/>
  <c r="B13" i="10"/>
  <c r="B9" i="10"/>
  <c r="B29" i="10"/>
  <c r="F30" i="10"/>
  <c r="B16" i="10"/>
  <c r="B19" i="10"/>
  <c r="B20" i="10"/>
  <c r="B21" i="10"/>
  <c r="B10" i="10"/>
  <c r="B12" i="10"/>
  <c r="B15" i="10"/>
  <c r="B17" i="10"/>
  <c r="B23" i="10"/>
  <c r="B24" i="10"/>
  <c r="B14" i="10"/>
  <c r="B22" i="10"/>
  <c r="H6" i="30"/>
  <c r="J6" i="30" s="1"/>
  <c r="D22" i="30"/>
  <c r="F22" i="30"/>
  <c r="T8" i="11"/>
  <c r="U8" i="11" s="1"/>
  <c r="S9" i="11"/>
  <c r="T9" i="11" s="1"/>
  <c r="U9" i="11" s="1"/>
  <c r="S10" i="11"/>
  <c r="T10" i="11" s="1"/>
  <c r="U10" i="11" s="1"/>
  <c r="H22" i="30" l="1"/>
  <c r="J22" i="30" s="1"/>
  <c r="D23" i="30"/>
  <c r="D24" i="30"/>
  <c r="F24" i="30"/>
  <c r="F23" i="30"/>
  <c r="H23" i="30" l="1"/>
  <c r="H24"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Erik Sorensen</author>
    <author>Victor Alvarez</author>
  </authors>
  <commentList>
    <comment ref="M10" authorId="0" shapeId="0" xr:uid="{F398E95F-E96C-46F3-93C4-0277283CA9F0}">
      <text>
        <r>
          <rPr>
            <b/>
            <sz val="9"/>
            <color indexed="81"/>
            <rFont val="Tahoma"/>
            <family val="2"/>
          </rPr>
          <t>Erik Sorensen:</t>
        </r>
        <r>
          <rPr>
            <sz val="9"/>
            <color indexed="81"/>
            <rFont val="Tahoma"/>
            <family val="2"/>
          </rPr>
          <t xml:space="preserve">
Update</t>
        </r>
      </text>
    </comment>
    <comment ref="E11" authorId="0" shapeId="0" xr:uid="{227BBF67-4708-41E3-82D5-A07A8FA329CE}">
      <text>
        <r>
          <rPr>
            <b/>
            <sz val="9"/>
            <color indexed="81"/>
            <rFont val="Tahoma"/>
            <family val="2"/>
          </rPr>
          <t>Erik Sorensen:</t>
        </r>
        <r>
          <rPr>
            <sz val="9"/>
            <color indexed="81"/>
            <rFont val="Tahoma"/>
            <family val="2"/>
          </rPr>
          <t xml:space="preserve">
Previously 2.77. Increased 35% per new insurance quote.</t>
        </r>
      </text>
    </comment>
    <comment ref="M11" authorId="1" shapeId="0" xr:uid="{B9F71D86-3640-4BF3-A83C-430881E3D0DF}">
      <text>
        <r>
          <rPr>
            <b/>
            <sz val="9"/>
            <color indexed="81"/>
            <rFont val="Tahoma"/>
            <family val="2"/>
          </rPr>
          <t>Victor Alvarez:</t>
        </r>
        <r>
          <rPr>
            <sz val="9"/>
            <color indexed="81"/>
            <rFont val="Tahoma"/>
            <family val="2"/>
          </rPr>
          <t xml:space="preserve">
Hardcoded to break circular reference with Level 3!L14. Previously: ='Level 3'!L14. Update manually when Level 3 total cost changes.</t>
        </r>
      </text>
    </comment>
    <comment ref="E12" authorId="1" shapeId="0" xr:uid="{BC01E83B-1648-4ACC-9E69-EDF4EF971300}">
      <text>
        <r>
          <rPr>
            <b/>
            <sz val="9"/>
            <color indexed="81"/>
            <rFont val="Tahoma"/>
            <family val="2"/>
          </rPr>
          <t>Victor Alvarez:</t>
        </r>
        <r>
          <rPr>
            <sz val="9"/>
            <color indexed="81"/>
            <rFont val="Tahoma"/>
            <family val="2"/>
          </rPr>
          <t xml:space="preserve">
Hardcoded to break circular reference with Level 3!L14. Previously: ='Level 3'!L14. Update manually when Level 3 total cost changes.</t>
        </r>
      </text>
    </comment>
    <comment ref="E18" authorId="0" shapeId="0" xr:uid="{297008E8-2787-4F15-A70A-B6C09D8CD514}">
      <text>
        <r>
          <rPr>
            <b/>
            <sz val="9"/>
            <color indexed="81"/>
            <rFont val="Tahoma"/>
            <family val="2"/>
          </rPr>
          <t>Erik Sorensen:</t>
        </r>
        <r>
          <rPr>
            <sz val="9"/>
            <color indexed="81"/>
            <rFont val="Tahoma"/>
            <family val="2"/>
          </rPr>
          <t xml:space="preserve">
Previously 2.96. Increased 35% per new insurance quote.</t>
        </r>
      </text>
    </comment>
  </commentList>
</comments>
</file>

<file path=xl/sharedStrings.xml><?xml version="1.0" encoding="utf-8"?>
<sst xmlns="http://schemas.openxmlformats.org/spreadsheetml/2006/main" count="16406" uniqueCount="1544">
  <si>
    <t>Lightweight</t>
  </si>
  <si>
    <t>QT</t>
  </si>
  <si>
    <t>Product</t>
  </si>
  <si>
    <t>Concrete Thickness</t>
  </si>
  <si>
    <t>Sound Mat</t>
  </si>
  <si>
    <t>Price / SF</t>
  </si>
  <si>
    <t>Budget</t>
  </si>
  <si>
    <t>Delta</t>
  </si>
  <si>
    <t>Basic "$0"</t>
  </si>
  <si>
    <t xml:space="preserve">3/4" </t>
  </si>
  <si>
    <t>No</t>
  </si>
  <si>
    <t>Basic + (+$1156,783)</t>
  </si>
  <si>
    <t>3/4"</t>
  </si>
  <si>
    <t>1/8</t>
  </si>
  <si>
    <t>Standard (+$313,567)</t>
  </si>
  <si>
    <t xml:space="preserve">1" </t>
  </si>
  <si>
    <t>1/4</t>
  </si>
  <si>
    <t>Unit Cabinets</t>
  </si>
  <si>
    <t>UNIT</t>
  </si>
  <si>
    <t># UNITS</t>
  </si>
  <si>
    <t>QTY/UNIT</t>
  </si>
  <si>
    <t>TOTAL</t>
  </si>
  <si>
    <t>Price / Box</t>
  </si>
  <si>
    <t>Cost / Unit</t>
  </si>
  <si>
    <t>A1A</t>
  </si>
  <si>
    <t>A2B</t>
  </si>
  <si>
    <t>A3A</t>
  </si>
  <si>
    <t>Thermafoil White "$0"</t>
  </si>
  <si>
    <t>B1A</t>
  </si>
  <si>
    <t>B2A</t>
  </si>
  <si>
    <t>B3A</t>
  </si>
  <si>
    <t>Morning Dew (+$188,298)</t>
  </si>
  <si>
    <t>B1AE</t>
  </si>
  <si>
    <t>B2B</t>
  </si>
  <si>
    <t>B1B</t>
  </si>
  <si>
    <t>B2C</t>
  </si>
  <si>
    <t>Common Area Cabinets</t>
  </si>
  <si>
    <t>Level 1</t>
  </si>
  <si>
    <t>Level 2</t>
  </si>
  <si>
    <t>Level 3</t>
  </si>
  <si>
    <t>Bldg 1</t>
  </si>
  <si>
    <t>Bldg 2</t>
  </si>
  <si>
    <t>Morning Dew (+$2,156)</t>
  </si>
  <si>
    <t>Bldg 3</t>
  </si>
  <si>
    <t>Torrey Pines</t>
  </si>
  <si>
    <t>Bldg 4</t>
  </si>
  <si>
    <t>Unit Counter Tops</t>
  </si>
  <si>
    <t>SF/UNIT</t>
  </si>
  <si>
    <t>Arctic White "$0"</t>
  </si>
  <si>
    <t>Carrera Trigato (+$94,156)</t>
  </si>
  <si>
    <t>1"</t>
  </si>
  <si>
    <t>Common Area Counter Tops</t>
  </si>
  <si>
    <t>Carrera Trigato (+$1,878)</t>
  </si>
  <si>
    <t>Unit Flooring</t>
  </si>
  <si>
    <t>ADDITIONAL GROSS SF PER PLANS</t>
  </si>
  <si>
    <t>Material Thickness</t>
  </si>
  <si>
    <t>Price / SY</t>
  </si>
  <si>
    <t>Sheet Vinyl "$0"</t>
  </si>
  <si>
    <t>Vinyl Plank (+$98,033)</t>
  </si>
  <si>
    <t>Common Area Flooring</t>
  </si>
  <si>
    <t>Vinyl Plank "$0"</t>
  </si>
  <si>
    <t>SF</t>
  </si>
  <si>
    <t>SY</t>
  </si>
  <si>
    <t>Takeoff SF/Gross SF on Plans</t>
  </si>
  <si>
    <t>Tile (+$730,315)</t>
  </si>
  <si>
    <t>Offsite Water</t>
  </si>
  <si>
    <t>Savings</t>
  </si>
  <si>
    <t>Per Plan</t>
  </si>
  <si>
    <t>Value (No Larson Ln Line)</t>
  </si>
  <si>
    <t>Design</t>
  </si>
  <si>
    <t>Permits</t>
  </si>
  <si>
    <t>LS</t>
  </si>
  <si>
    <t>Residential</t>
  </si>
  <si>
    <t>Allowance</t>
  </si>
  <si>
    <t>Stand Pipes</t>
  </si>
  <si>
    <t>Torrey</t>
  </si>
  <si>
    <t>Pump</t>
  </si>
  <si>
    <t>Project Details</t>
  </si>
  <si>
    <t>Unit Breakdown</t>
  </si>
  <si>
    <t>Breakdown Per Building</t>
  </si>
  <si>
    <t>List of Take offs</t>
  </si>
  <si>
    <t>Project</t>
  </si>
  <si>
    <t>West Henderson</t>
  </si>
  <si>
    <t>Unit Type</t>
  </si>
  <si>
    <t>Number</t>
  </si>
  <si>
    <t>%</t>
  </si>
  <si>
    <t>Bldg.</t>
  </si>
  <si>
    <t>Levels</t>
  </si>
  <si>
    <t>Unit</t>
  </si>
  <si>
    <t>1 Br - 1 Ba</t>
  </si>
  <si>
    <t>2 Br - 1 Ba</t>
  </si>
  <si>
    <t>2 Br - 2 Ba</t>
  </si>
  <si>
    <t>3 Br - 2 Ba</t>
  </si>
  <si>
    <t>GSF</t>
  </si>
  <si>
    <t>Slab SF</t>
  </si>
  <si>
    <t>GSF (Provided in Matrix)</t>
  </si>
  <si>
    <t>1 Br - 1 Ba Counter</t>
  </si>
  <si>
    <t xml:space="preserve">Structural </t>
  </si>
  <si>
    <t>Finish Carpentry</t>
  </si>
  <si>
    <t>Exhaust Per Building</t>
  </si>
  <si>
    <t>Wire Shelving LF</t>
  </si>
  <si>
    <t>Bedrooms</t>
  </si>
  <si>
    <t>Bathrooms</t>
  </si>
  <si>
    <t>Unit Count</t>
  </si>
  <si>
    <t>Windows</t>
  </si>
  <si>
    <t xml:space="preserve">Budget Level </t>
  </si>
  <si>
    <t>Studios</t>
  </si>
  <si>
    <t>Elevators</t>
  </si>
  <si>
    <t>Count</t>
  </si>
  <si>
    <t>2 Br - 1 Ba Counter</t>
  </si>
  <si>
    <t>Railing Estimate</t>
  </si>
  <si>
    <t>Building 3</t>
  </si>
  <si>
    <t>Stucco</t>
  </si>
  <si>
    <t>TP $</t>
  </si>
  <si>
    <t>Building</t>
  </si>
  <si>
    <t>Floors</t>
  </si>
  <si>
    <t>U / Floor</t>
  </si>
  <si>
    <t>Total Units</t>
  </si>
  <si>
    <t>Cost / U</t>
  </si>
  <si>
    <t>Total</t>
  </si>
  <si>
    <t>Affordable</t>
  </si>
  <si>
    <t>Elevators Stops</t>
  </si>
  <si>
    <t>2 Br - 2 Ba Counter</t>
  </si>
  <si>
    <t>Building 1</t>
  </si>
  <si>
    <t>UPDATED</t>
  </si>
  <si>
    <t>Trash Encl.</t>
  </si>
  <si>
    <t>Provided in Site Plan</t>
  </si>
  <si>
    <t>3 Br - 2 Ba Counter</t>
  </si>
  <si>
    <t>Northwest</t>
  </si>
  <si>
    <t>Building 2</t>
  </si>
  <si>
    <t>Timeline</t>
  </si>
  <si>
    <t xml:space="preserve">Stairs </t>
  </si>
  <si>
    <t>1x1 Decks</t>
  </si>
  <si>
    <t>Southwest</t>
  </si>
  <si>
    <t>2 &amp; 3 Levels</t>
  </si>
  <si>
    <t>Pool</t>
  </si>
  <si>
    <t>2x1 Decks</t>
  </si>
  <si>
    <t>Northeast</t>
  </si>
  <si>
    <t>Building 4</t>
  </si>
  <si>
    <t>Bldg. SF</t>
  </si>
  <si>
    <t>Totals</t>
  </si>
  <si>
    <t>Gym</t>
  </si>
  <si>
    <t>Southeast</t>
  </si>
  <si>
    <t>sf</t>
  </si>
  <si>
    <t>Building 5</t>
  </si>
  <si>
    <t xml:space="preserve">Acres </t>
  </si>
  <si>
    <t>Parking</t>
  </si>
  <si>
    <t>Iron Rail</t>
  </si>
  <si>
    <t>LF</t>
  </si>
  <si>
    <t>Pavers</t>
  </si>
  <si>
    <t>More</t>
  </si>
  <si>
    <t>sy</t>
  </si>
  <si>
    <t>Site SF</t>
  </si>
  <si>
    <t>Garage Parking</t>
  </si>
  <si>
    <t>Roofing</t>
  </si>
  <si>
    <t xml:space="preserve">Square  </t>
  </si>
  <si>
    <t>Pool Deck</t>
  </si>
  <si>
    <t>Buildings</t>
  </si>
  <si>
    <t>Cover Parking</t>
  </si>
  <si>
    <t xml:space="preserve">Stucco </t>
  </si>
  <si>
    <t>Square Yard</t>
  </si>
  <si>
    <t>Pool Fence</t>
  </si>
  <si>
    <t>Corridor Bldg. 1</t>
  </si>
  <si>
    <t>Building 2 &amp; 5</t>
  </si>
  <si>
    <t>Reports Available</t>
  </si>
  <si>
    <t>Open Parking</t>
  </si>
  <si>
    <t>Liav GSF</t>
  </si>
  <si>
    <t xml:space="preserve">SF </t>
  </si>
  <si>
    <t>Dog Park Fence</t>
  </si>
  <si>
    <t>Corridor Bldg. 2</t>
  </si>
  <si>
    <t xml:space="preserve">Site Evaluation Report (GCW) </t>
  </si>
  <si>
    <t>Accessible Parking</t>
  </si>
  <si>
    <t xml:space="preserve">Carports </t>
  </si>
  <si>
    <t>Common Bldg. 1</t>
  </si>
  <si>
    <t>Corridor Bldg. 3</t>
  </si>
  <si>
    <t>Soils Report (Universal)</t>
  </si>
  <si>
    <t>Private Garages</t>
  </si>
  <si>
    <t>TOTAL COST</t>
  </si>
  <si>
    <t>Stairs Landings</t>
  </si>
  <si>
    <t>Landings</t>
  </si>
  <si>
    <t>Common Bldg. 2</t>
  </si>
  <si>
    <t>Corridor Bldg. 4</t>
  </si>
  <si>
    <t>Alta Survey (Wallace)</t>
  </si>
  <si>
    <t>Total Parking Provided</t>
  </si>
  <si>
    <t>PER UNIT</t>
  </si>
  <si>
    <t>Pump House</t>
  </si>
  <si>
    <t>EA</t>
  </si>
  <si>
    <t>Common Bldg. 3</t>
  </si>
  <si>
    <t xml:space="preserve">Plans </t>
  </si>
  <si>
    <t>Parking Ratio</t>
  </si>
  <si>
    <t>PER GSF</t>
  </si>
  <si>
    <t>Lock Boxes</t>
  </si>
  <si>
    <t>Common Bldg. 4</t>
  </si>
  <si>
    <t xml:space="preserve">BBQ </t>
  </si>
  <si>
    <t>NVE Planning Memo</t>
  </si>
  <si>
    <t>Awning Small</t>
  </si>
  <si>
    <t>Common Bldg. 5</t>
  </si>
  <si>
    <t>Fire Pumps</t>
  </si>
  <si>
    <t>B1B Railings</t>
  </si>
  <si>
    <t>Awning Large</t>
  </si>
  <si>
    <t>HVAC ADD Count</t>
  </si>
  <si>
    <t>Asphalt</t>
  </si>
  <si>
    <t>Description</t>
  </si>
  <si>
    <t>Cost Code</t>
  </si>
  <si>
    <t>Cost Category</t>
  </si>
  <si>
    <t>Sub job</t>
  </si>
  <si>
    <t>Source</t>
  </si>
  <si>
    <t>Unit Meas.</t>
  </si>
  <si>
    <t>QTY</t>
  </si>
  <si>
    <t>Unit Cost</t>
  </si>
  <si>
    <t>Escalation %</t>
  </si>
  <si>
    <t>T. Unit Cost</t>
  </si>
  <si>
    <t xml:space="preserve">Sub Total </t>
  </si>
  <si>
    <t>Description / Details</t>
  </si>
  <si>
    <t xml:space="preserve">General Requirements   </t>
  </si>
  <si>
    <t>01</t>
  </si>
  <si>
    <t>S</t>
  </si>
  <si>
    <t>Mo</t>
  </si>
  <si>
    <t>Slab</t>
  </si>
  <si>
    <t xml:space="preserve">Existing Conditions   </t>
  </si>
  <si>
    <t>02</t>
  </si>
  <si>
    <t>Potholing</t>
  </si>
  <si>
    <t>02-3213</t>
  </si>
  <si>
    <t>ON-SITE</t>
  </si>
  <si>
    <t xml:space="preserve">Concrete   </t>
  </si>
  <si>
    <t>03</t>
  </si>
  <si>
    <t xml:space="preserve">Slabs </t>
  </si>
  <si>
    <t>03-3101</t>
  </si>
  <si>
    <t>BUILDING</t>
  </si>
  <si>
    <t>Proposal from NRC at $9.16. Conversation with NRC said he would at $11 to 11.50 if he wasn't aggressive.</t>
  </si>
  <si>
    <t>Deepened Footings</t>
  </si>
  <si>
    <t>N/A</t>
  </si>
  <si>
    <t xml:space="preserve">Concrete Slab Repairs </t>
  </si>
  <si>
    <t>RR</t>
  </si>
  <si>
    <t>Pump House Concrete</t>
  </si>
  <si>
    <t>PUMPHOUSE</t>
  </si>
  <si>
    <t>Trash Enclosure Concrete</t>
  </si>
  <si>
    <t>03-3102</t>
  </si>
  <si>
    <t>OTHER SITE</t>
  </si>
  <si>
    <t>Bruner</t>
  </si>
  <si>
    <t xml:space="preserve">Pool Area Shower Concrete </t>
  </si>
  <si>
    <t>03-3105</t>
  </si>
  <si>
    <t>POOL AREA</t>
  </si>
  <si>
    <t>Cabana Concrete</t>
  </si>
  <si>
    <t>03-3107</t>
  </si>
  <si>
    <t>Railings</t>
  </si>
  <si>
    <t>Length Ea</t>
  </si>
  <si>
    <t>Bldg 5</t>
  </si>
  <si>
    <t xml:space="preserve">Pool Equipment Foundation </t>
  </si>
  <si>
    <t>03-3108</t>
  </si>
  <si>
    <t>POOL EQUIP</t>
  </si>
  <si>
    <t>Outside Corner Units</t>
  </si>
  <si>
    <t>Lightweight Concrete</t>
  </si>
  <si>
    <t>03-3116</t>
  </si>
  <si>
    <t>NV Gypsum proposal at Bruner.</t>
  </si>
  <si>
    <t>Inside Corner Units</t>
  </si>
  <si>
    <t>Deck Concrete</t>
  </si>
  <si>
    <t>03-5001</t>
  </si>
  <si>
    <t>Small Railings</t>
  </si>
  <si>
    <t>Parking Garage</t>
  </si>
  <si>
    <t>03-G</t>
  </si>
  <si>
    <t xml:space="preserve">Parking Garage Structure </t>
  </si>
  <si>
    <t xml:space="preserve">Core Slab Precast Concrete </t>
  </si>
  <si>
    <t>Concrete Slab on Grade</t>
  </si>
  <si>
    <t xml:space="preserve">Concrete Topping Slab 4" / Level </t>
  </si>
  <si>
    <t xml:space="preserve">Electrical </t>
  </si>
  <si>
    <t>Dry Sprinklers</t>
  </si>
  <si>
    <t>Mechanical Ventilation</t>
  </si>
  <si>
    <t>Stairs and Railings</t>
  </si>
  <si>
    <t xml:space="preserve">Masonry   </t>
  </si>
  <si>
    <t>04</t>
  </si>
  <si>
    <t>Elevator Shaft</t>
  </si>
  <si>
    <t>04-2201</t>
  </si>
  <si>
    <t>Per Stop</t>
  </si>
  <si>
    <t>Ave 2 Bidders Bruner</t>
  </si>
  <si>
    <t>Trash Enclosure</t>
  </si>
  <si>
    <t>04-2202</t>
  </si>
  <si>
    <t>Masonry Veneer</t>
  </si>
  <si>
    <t>04-4301</t>
  </si>
  <si>
    <t>Masonry Veneer Pool Area</t>
  </si>
  <si>
    <t>04-4305</t>
  </si>
  <si>
    <t>Pool Eq. Shower Stone</t>
  </si>
  <si>
    <t>04-4306</t>
  </si>
  <si>
    <t>A</t>
  </si>
  <si>
    <t xml:space="preserve">Metals   </t>
  </si>
  <si>
    <t>05</t>
  </si>
  <si>
    <t>Structural Steel</t>
  </si>
  <si>
    <t>05-1201</t>
  </si>
  <si>
    <t>LSB</t>
  </si>
  <si>
    <t xml:space="preserve">Elevator Shaft Iron </t>
  </si>
  <si>
    <t>05-1202</t>
  </si>
  <si>
    <t xml:space="preserve">Stair Handrails </t>
  </si>
  <si>
    <t>05-5201</t>
  </si>
  <si>
    <t>Garage Stair Railings</t>
  </si>
  <si>
    <t>Cabana Iron</t>
  </si>
  <si>
    <t>05-7004</t>
  </si>
  <si>
    <t>Pool Equipment Gate</t>
  </si>
  <si>
    <t>05-7005</t>
  </si>
  <si>
    <t xml:space="preserve">Iron Railings </t>
  </si>
  <si>
    <t>05-7300</t>
  </si>
  <si>
    <t>Updated take off.</t>
  </si>
  <si>
    <t>Cable Railings</t>
  </si>
  <si>
    <t>05-7316</t>
  </si>
  <si>
    <t>COMMON AREA</t>
  </si>
  <si>
    <t>Common Area SF</t>
  </si>
  <si>
    <t xml:space="preserve">Wood, Plastics, &amp; Composites   </t>
  </si>
  <si>
    <t>06</t>
  </si>
  <si>
    <t>Dumpsters</t>
  </si>
  <si>
    <t>06-0111</t>
  </si>
  <si>
    <t>DUMPSTERS</t>
  </si>
  <si>
    <t xml:space="preserve">Framing </t>
  </si>
  <si>
    <t>06-1100</t>
  </si>
  <si>
    <t>Proposals</t>
  </si>
  <si>
    <t xml:space="preserve">Gilmore proposal including pump house and shade structure came up to $17.36 psf building. </t>
  </si>
  <si>
    <t>Framing - Crane</t>
  </si>
  <si>
    <t xml:space="preserve">Cabana Framing </t>
  </si>
  <si>
    <t>06-1109</t>
  </si>
  <si>
    <t xml:space="preserve">BBQ Framing </t>
  </si>
  <si>
    <t>06-1110</t>
  </si>
  <si>
    <t>Fireplace Framing</t>
  </si>
  <si>
    <t>06-1111</t>
  </si>
  <si>
    <t>Trellis</t>
  </si>
  <si>
    <t>06-1114</t>
  </si>
  <si>
    <t>Pool Equipment Framing</t>
  </si>
  <si>
    <t>Finish Carpentry - Units</t>
  </si>
  <si>
    <t>06-2001</t>
  </si>
  <si>
    <t>Proposal</t>
  </si>
  <si>
    <t>Door &amp; Milwood Proposal. Rystin proposal is lower at $1,064,161</t>
  </si>
  <si>
    <t xml:space="preserve">Finish Carpentry - Common </t>
  </si>
  <si>
    <t>Common SF</t>
  </si>
  <si>
    <t>Door &amp; Milwood Proposal. Rystin proposal is lower at $419K</t>
  </si>
  <si>
    <t xml:space="preserve">BBQ Trim </t>
  </si>
  <si>
    <t>06-2006</t>
  </si>
  <si>
    <t>Shutters</t>
  </si>
  <si>
    <t>06-4919</t>
  </si>
  <si>
    <t xml:space="preserve">Thermal &amp; Moisture Protection   </t>
  </si>
  <si>
    <t>07</t>
  </si>
  <si>
    <t>Jason</t>
  </si>
  <si>
    <t xml:space="preserve">Insulation </t>
  </si>
  <si>
    <t>07-2101</t>
  </si>
  <si>
    <t>Red Rock contract per SF at Bruner.</t>
  </si>
  <si>
    <t>07-3001</t>
  </si>
  <si>
    <t>Square</t>
  </si>
  <si>
    <t>We have 2 proposal under $565/square (Xbuilt and Deset Roofing)</t>
  </si>
  <si>
    <t>Cabana Roofing</t>
  </si>
  <si>
    <t>07-3002</t>
  </si>
  <si>
    <t>Pump House Roofing</t>
  </si>
  <si>
    <t>Pool Equipment Roofing</t>
  </si>
  <si>
    <t>07-3003</t>
  </si>
  <si>
    <t>Trash Enclosure Cover</t>
  </si>
  <si>
    <t>07-6101</t>
  </si>
  <si>
    <t>Pigeon Proofing</t>
  </si>
  <si>
    <t>07-7001</t>
  </si>
  <si>
    <t>Gutters and Downspouts</t>
  </si>
  <si>
    <t>07-7124</t>
  </si>
  <si>
    <t>Roof Ladders</t>
  </si>
  <si>
    <t>07-7210</t>
  </si>
  <si>
    <t>2 Per building</t>
  </si>
  <si>
    <t xml:space="preserve">Roof Access Doors </t>
  </si>
  <si>
    <t>07-7233</t>
  </si>
  <si>
    <t>Roof Winch</t>
  </si>
  <si>
    <t>07-7250</t>
  </si>
  <si>
    <t xml:space="preserve">Openings   </t>
  </si>
  <si>
    <t>08</t>
  </si>
  <si>
    <t>08-0151</t>
  </si>
  <si>
    <t>Entry Doors</t>
  </si>
  <si>
    <t>08-1001</t>
  </si>
  <si>
    <t>Common Doors</t>
  </si>
  <si>
    <t>08-1002</t>
  </si>
  <si>
    <t>Included</t>
  </si>
  <si>
    <t xml:space="preserve">Pocket Doors - 3 Panel </t>
  </si>
  <si>
    <t>Garage Doors</t>
  </si>
  <si>
    <t>08-3619</t>
  </si>
  <si>
    <t>Windows and Sliding Glass Doors</t>
  </si>
  <si>
    <t>08-5301</t>
  </si>
  <si>
    <t>Per Unit</t>
  </si>
  <si>
    <t>Bruner approved cost  per sf + 10% escalation to account for the extra bedrooms</t>
  </si>
  <si>
    <t>Windows Repair and Replacement</t>
  </si>
  <si>
    <t>Pool Equipment Windows</t>
  </si>
  <si>
    <t>08-5303</t>
  </si>
  <si>
    <t>Pool Glass Walls</t>
  </si>
  <si>
    <t>08-8001</t>
  </si>
  <si>
    <t>Fixed Glass</t>
  </si>
  <si>
    <t>08-8002</t>
  </si>
  <si>
    <t>Mirrors - LED</t>
  </si>
  <si>
    <t>08-8301</t>
  </si>
  <si>
    <t>Mirrors - LED Install</t>
  </si>
  <si>
    <t>08-8302</t>
  </si>
  <si>
    <t>Mirrors - Framed</t>
  </si>
  <si>
    <t>Mirrors - Polished Edges (Units)</t>
  </si>
  <si>
    <t>Mirrors - Polished Edges (Restrooms)</t>
  </si>
  <si>
    <t xml:space="preserve">Finishes   </t>
  </si>
  <si>
    <t>09</t>
  </si>
  <si>
    <t>Cost Prep Labor</t>
  </si>
  <si>
    <t>09-0101</t>
  </si>
  <si>
    <t>Cost Prep Mat</t>
  </si>
  <si>
    <t>09-0102</t>
  </si>
  <si>
    <t xml:space="preserve">Clean Up - Final </t>
  </si>
  <si>
    <t>09-0103</t>
  </si>
  <si>
    <t xml:space="preserve">Clean Up - During Construction </t>
  </si>
  <si>
    <t>09-0104</t>
  </si>
  <si>
    <t>09-0113</t>
  </si>
  <si>
    <t>Latest</t>
  </si>
  <si>
    <t xml:space="preserve">Unit </t>
  </si>
  <si>
    <t>Clean Up - Hauling Exterior</t>
  </si>
  <si>
    <t>09-0121</t>
  </si>
  <si>
    <t>09-2423</t>
  </si>
  <si>
    <t xml:space="preserve">Stucco - Pump House </t>
  </si>
  <si>
    <t>Stucco - Walls</t>
  </si>
  <si>
    <t>09-2424</t>
  </si>
  <si>
    <t>Stucco - Pool Area</t>
  </si>
  <si>
    <t>09-2428</t>
  </si>
  <si>
    <t>Stucco - Cabana</t>
  </si>
  <si>
    <t>09-2429</t>
  </si>
  <si>
    <t xml:space="preserve">Stucco - Pool Equipment </t>
  </si>
  <si>
    <t>09-2430</t>
  </si>
  <si>
    <t>Stucco - Repairs</t>
  </si>
  <si>
    <t>Drywall</t>
  </si>
  <si>
    <t>09-2905</t>
  </si>
  <si>
    <t xml:space="preserve">Proposal by Classic. </t>
  </si>
  <si>
    <t>Drywall - Pump House</t>
  </si>
  <si>
    <t>Drywall - Repairs</t>
  </si>
  <si>
    <t>Tile Tubs and Showers</t>
  </si>
  <si>
    <t>09-3001</t>
  </si>
  <si>
    <t xml:space="preserve">Common Tile </t>
  </si>
  <si>
    <t>09-3002</t>
  </si>
  <si>
    <t>Pebble</t>
  </si>
  <si>
    <t>Kitchen Backsplash</t>
  </si>
  <si>
    <t>09-3003</t>
  </si>
  <si>
    <t>Cabana Tile</t>
  </si>
  <si>
    <t>09-3008</t>
  </si>
  <si>
    <t>Flooring - Units</t>
  </si>
  <si>
    <t>09-6001</t>
  </si>
  <si>
    <t>Bruner Proposal</t>
  </si>
  <si>
    <t>SY costs utilized form Bruner proposals and takeoffs for SY in units</t>
  </si>
  <si>
    <t>Common Wood</t>
  </si>
  <si>
    <t>09-6401</t>
  </si>
  <si>
    <t>Common Vinyl</t>
  </si>
  <si>
    <t>09-6517</t>
  </si>
  <si>
    <t>Hall Flooring</t>
  </si>
  <si>
    <t>09-6520</t>
  </si>
  <si>
    <t xml:space="preserve">Hall Flooring - Elevators </t>
  </si>
  <si>
    <t>Common - Plank</t>
  </si>
  <si>
    <t>09-6521</t>
  </si>
  <si>
    <t>Common - VCT</t>
  </si>
  <si>
    <t>09-6522</t>
  </si>
  <si>
    <t>Common - Rubber Floor (Ecore)</t>
  </si>
  <si>
    <t>09-6566</t>
  </si>
  <si>
    <t>Common - Carpet Stairs</t>
  </si>
  <si>
    <t>09-6802</t>
  </si>
  <si>
    <t>Flight Stais</t>
  </si>
  <si>
    <t>Hall Runner Install</t>
  </si>
  <si>
    <t>09-6803</t>
  </si>
  <si>
    <t>Hall Runner Materials</t>
  </si>
  <si>
    <t>09-6804</t>
  </si>
  <si>
    <t>Painting - Repairs</t>
  </si>
  <si>
    <t>09-9101</t>
  </si>
  <si>
    <t>Painting</t>
  </si>
  <si>
    <t>Bruner Proposal by classic (2nd lowest)</t>
  </si>
  <si>
    <t>Painting - Pump House</t>
  </si>
  <si>
    <t>Painting - Walls</t>
  </si>
  <si>
    <t>09-9102</t>
  </si>
  <si>
    <t>Painting - Pool Area</t>
  </si>
  <si>
    <t>09-9106</t>
  </si>
  <si>
    <t xml:space="preserve">Wall Covering </t>
  </si>
  <si>
    <t>09-9110</t>
  </si>
  <si>
    <t xml:space="preserve">Walls - Specialty </t>
  </si>
  <si>
    <t xml:space="preserve">Specialties   </t>
  </si>
  <si>
    <t>10</t>
  </si>
  <si>
    <t xml:space="preserve">Entry Directory </t>
  </si>
  <si>
    <t>10-1300</t>
  </si>
  <si>
    <t>Unit Carport Signs</t>
  </si>
  <si>
    <t>10-1401</t>
  </si>
  <si>
    <t>CARPORT</t>
  </si>
  <si>
    <t xml:space="preserve">Site Signage </t>
  </si>
  <si>
    <t>10-1404</t>
  </si>
  <si>
    <t>Added Fusion Flags ($14k)</t>
  </si>
  <si>
    <t>Entry Sign Letters</t>
  </si>
  <si>
    <t>10-1419</t>
  </si>
  <si>
    <t>Offsite Street Signs</t>
  </si>
  <si>
    <t>10-1454</t>
  </si>
  <si>
    <t>OFFSITE</t>
  </si>
  <si>
    <t>Bath Accessories</t>
  </si>
  <si>
    <t>10-2816</t>
  </si>
  <si>
    <t>Per Bathroom</t>
  </si>
  <si>
    <t>Shower Doors</t>
  </si>
  <si>
    <t>10-2919</t>
  </si>
  <si>
    <t>Fire Places</t>
  </si>
  <si>
    <t>10-3000</t>
  </si>
  <si>
    <t>Fire Places - Pool Area</t>
  </si>
  <si>
    <t>10-3200</t>
  </si>
  <si>
    <t>BBQ Units</t>
  </si>
  <si>
    <t>10-3355</t>
  </si>
  <si>
    <t>Arzano</t>
  </si>
  <si>
    <t>10-4116</t>
  </si>
  <si>
    <t>Fire Extinguishers</t>
  </si>
  <si>
    <t>10-4416</t>
  </si>
  <si>
    <t xml:space="preserve">Mail Boxes </t>
  </si>
  <si>
    <t>10-5523</t>
  </si>
  <si>
    <t xml:space="preserve">Closet Shelving </t>
  </si>
  <si>
    <t>10-5723</t>
  </si>
  <si>
    <t>Based on Rysting proposal.</t>
  </si>
  <si>
    <t xml:space="preserve">Window Awnings Small </t>
  </si>
  <si>
    <t>10-7313</t>
  </si>
  <si>
    <t>Window Awnings Large</t>
  </si>
  <si>
    <t xml:space="preserve">Equipment   </t>
  </si>
  <si>
    <t>11</t>
  </si>
  <si>
    <t xml:space="preserve">Appliances </t>
  </si>
  <si>
    <t>11-3013</t>
  </si>
  <si>
    <t>Appliances - Common</t>
  </si>
  <si>
    <t xml:space="preserve">Furnishings   </t>
  </si>
  <si>
    <t>12</t>
  </si>
  <si>
    <t>12-0131</t>
  </si>
  <si>
    <t>Blinds</t>
  </si>
  <si>
    <t>12-2100</t>
  </si>
  <si>
    <t>10% escalation with more bedroom/windows expected.</t>
  </si>
  <si>
    <t>Cabinets Units</t>
  </si>
  <si>
    <t>12-3531</t>
  </si>
  <si>
    <t>Boxes</t>
  </si>
  <si>
    <t>Used $/Box from Bruner</t>
  </si>
  <si>
    <t>Cabinet Common Areas</t>
  </si>
  <si>
    <t>12-3535</t>
  </si>
  <si>
    <t>Pebble was $15,700 vs $85,600 at Torrey.</t>
  </si>
  <si>
    <t>Counter Tops Units</t>
  </si>
  <si>
    <t>12-3601</t>
  </si>
  <si>
    <t xml:space="preserve">Used $/SF on Bruner </t>
  </si>
  <si>
    <t xml:space="preserve">Counter Tops Common Areas </t>
  </si>
  <si>
    <t>12-3605</t>
  </si>
  <si>
    <t>Based on Torrey Pines Cost</t>
  </si>
  <si>
    <t>Counter Tops Pool Area</t>
  </si>
  <si>
    <t>12-3608</t>
  </si>
  <si>
    <t>BBQ Top</t>
  </si>
  <si>
    <t>12-3609</t>
  </si>
  <si>
    <t xml:space="preserve">Figuring Buildings 1, 3, &amp; 4 with 1 top with 2 BBQ's installed at each top.  </t>
  </si>
  <si>
    <t xml:space="preserve">Special Construction   </t>
  </si>
  <si>
    <t>13</t>
  </si>
  <si>
    <t>Pools and Spas</t>
  </si>
  <si>
    <t>13-1113</t>
  </si>
  <si>
    <t>California Pool Proposal</t>
  </si>
  <si>
    <t>13-3401</t>
  </si>
  <si>
    <t>Non -Solar Carports at Torrey Pines</t>
  </si>
  <si>
    <t>Pool Equipment Cover</t>
  </si>
  <si>
    <t>13-3402</t>
  </si>
  <si>
    <t>Decatur</t>
  </si>
  <si>
    <t>Traffic</t>
  </si>
  <si>
    <t>13-G</t>
  </si>
  <si>
    <t>Trash Chute</t>
  </si>
  <si>
    <t xml:space="preserve">Conveying Equipment   </t>
  </si>
  <si>
    <t>14</t>
  </si>
  <si>
    <t xml:space="preserve">Elevator </t>
  </si>
  <si>
    <t>14-2400</t>
  </si>
  <si>
    <t>Stop</t>
  </si>
  <si>
    <t>Otis Elevator proposal.</t>
  </si>
  <si>
    <t>Pool and Spa Lifts</t>
  </si>
  <si>
    <t>14-4101</t>
  </si>
  <si>
    <t>Russell IV</t>
  </si>
  <si>
    <t xml:space="preserve">Fire Suppression   </t>
  </si>
  <si>
    <t>21</t>
  </si>
  <si>
    <t xml:space="preserve">Sprinkler Design </t>
  </si>
  <si>
    <t>21-0600</t>
  </si>
  <si>
    <t xml:space="preserve">Sprinkler System </t>
  </si>
  <si>
    <t>21-1313</t>
  </si>
  <si>
    <t>Fire Pump</t>
  </si>
  <si>
    <t>21-3000</t>
  </si>
  <si>
    <t xml:space="preserve">Plumbing   </t>
  </si>
  <si>
    <t>22</t>
  </si>
  <si>
    <t>1 Bathroom Unit</t>
  </si>
  <si>
    <t>22-1001</t>
  </si>
  <si>
    <t xml:space="preserve">Focus Traditional DWV proposal at Bruner. </t>
  </si>
  <si>
    <t>2 Bathroom Unit</t>
  </si>
  <si>
    <t>1.5 x 1 Bath</t>
  </si>
  <si>
    <t>Plumbing - Pump House</t>
  </si>
  <si>
    <t xml:space="preserve">Pool Area  </t>
  </si>
  <si>
    <t>22-1003</t>
  </si>
  <si>
    <t>Budgeted at Torrey Pines</t>
  </si>
  <si>
    <t xml:space="preserve">Pool Equipment </t>
  </si>
  <si>
    <t>22-1007</t>
  </si>
  <si>
    <t xml:space="preserve">HVAC   </t>
  </si>
  <si>
    <t>23</t>
  </si>
  <si>
    <t>HVAC</t>
  </si>
  <si>
    <t>Units</t>
  </si>
  <si>
    <t xml:space="preserve">Total </t>
  </si>
  <si>
    <t>HVAC Standard</t>
  </si>
  <si>
    <t>23-3001</t>
  </si>
  <si>
    <t>Used Allstate proposal. Enix proposal is $9,618. Allstate proposal at $3.925k.</t>
  </si>
  <si>
    <t>2br 1ba</t>
  </si>
  <si>
    <t>HVAC Standard - Pump House</t>
  </si>
  <si>
    <t xml:space="preserve">Electrical   </t>
  </si>
  <si>
    <t>26</t>
  </si>
  <si>
    <t>2br 2ba</t>
  </si>
  <si>
    <t>Electrical</t>
  </si>
  <si>
    <t>26-1001</t>
  </si>
  <si>
    <t>3br 2ba</t>
  </si>
  <si>
    <t>Electrical - Pump House</t>
  </si>
  <si>
    <t>Electrical Fixtures</t>
  </si>
  <si>
    <t>26-5001</t>
  </si>
  <si>
    <t>Includes 15% due to 2x2 and 3x2 unit types.</t>
  </si>
  <si>
    <t>Building Electrical Fixtures</t>
  </si>
  <si>
    <t>26-5002</t>
  </si>
  <si>
    <t>Hall Lighting Fixtures</t>
  </si>
  <si>
    <t>26-5003</t>
  </si>
  <si>
    <t xml:space="preserve">Carports Electrical </t>
  </si>
  <si>
    <t>Space</t>
  </si>
  <si>
    <t>Fixtures</t>
  </si>
  <si>
    <t>Carport Fixtures</t>
  </si>
  <si>
    <t xml:space="preserve">Cabana Electrical </t>
  </si>
  <si>
    <t>Cabana Fixtures</t>
  </si>
  <si>
    <t>26-5004</t>
  </si>
  <si>
    <t xml:space="preserve">Street Lights </t>
  </si>
  <si>
    <t>26-5613</t>
  </si>
  <si>
    <t>16 street lights.</t>
  </si>
  <si>
    <t>Ceiling Fans $150 EA</t>
  </si>
  <si>
    <t>Traffic Signal</t>
  </si>
  <si>
    <t xml:space="preserve">Site Lighting Electrical </t>
  </si>
  <si>
    <t>26-1005</t>
  </si>
  <si>
    <t>Acre</t>
  </si>
  <si>
    <t>Ceiling Fixtures $25 EA</t>
  </si>
  <si>
    <t>Site Lighting Fixtures</t>
  </si>
  <si>
    <t>26-5602</t>
  </si>
  <si>
    <t xml:space="preserve">Pool Lighting Electrical </t>
  </si>
  <si>
    <t>26-1004</t>
  </si>
  <si>
    <t>Pool Lighting Fixtures</t>
  </si>
  <si>
    <t>26-5603</t>
  </si>
  <si>
    <t xml:space="preserve">Pool Equipment Electrical </t>
  </si>
  <si>
    <t>26-1007</t>
  </si>
  <si>
    <t xml:space="preserve">Pump House Electrical </t>
  </si>
  <si>
    <t>Pump House Fixtures</t>
  </si>
  <si>
    <t xml:space="preserve">Communications   </t>
  </si>
  <si>
    <t>27</t>
  </si>
  <si>
    <t>TV and Media</t>
  </si>
  <si>
    <t>27-2201</t>
  </si>
  <si>
    <t>Per Building</t>
  </si>
  <si>
    <t xml:space="preserve">DAS System </t>
  </si>
  <si>
    <t>27-3010</t>
  </si>
  <si>
    <t>Pool ADA Phone</t>
  </si>
  <si>
    <t>27-3201</t>
  </si>
  <si>
    <t xml:space="preserve">Electronic Safety &amp; Security   </t>
  </si>
  <si>
    <t>28</t>
  </si>
  <si>
    <t>Security System</t>
  </si>
  <si>
    <t>28-1001</t>
  </si>
  <si>
    <t>Site Security System</t>
  </si>
  <si>
    <t>28-2001</t>
  </si>
  <si>
    <t>Fire Alarm / Two Way Comm AOR</t>
  </si>
  <si>
    <t>28-4601</t>
  </si>
  <si>
    <t xml:space="preserve">Earthwork   </t>
  </si>
  <si>
    <t>31</t>
  </si>
  <si>
    <t>Construction Water</t>
  </si>
  <si>
    <t>31-0121</t>
  </si>
  <si>
    <t xml:space="preserve">Dust Control </t>
  </si>
  <si>
    <t>31-0122</t>
  </si>
  <si>
    <t>Demolition</t>
  </si>
  <si>
    <t>31-0505</t>
  </si>
  <si>
    <t>Rock Dirt Haul Off</t>
  </si>
  <si>
    <t>31-1492</t>
  </si>
  <si>
    <t>See Budget File</t>
  </si>
  <si>
    <t>Mass Grading</t>
  </si>
  <si>
    <t>31-2201</t>
  </si>
  <si>
    <t>Difference is primarily on he import/export CY. Pete's latest rough grading shows close to a balance site (previous 30k vs 5k CY.)</t>
  </si>
  <si>
    <t>Fine Grade</t>
  </si>
  <si>
    <t>31-2216</t>
  </si>
  <si>
    <t>Hard Dig</t>
  </si>
  <si>
    <t>31-2319</t>
  </si>
  <si>
    <t xml:space="preserve">Dewatering </t>
  </si>
  <si>
    <t>31-2322</t>
  </si>
  <si>
    <t>Storm Water Prevention</t>
  </si>
  <si>
    <t>31-2501</t>
  </si>
  <si>
    <t xml:space="preserve">Exterior Improvements   </t>
  </si>
  <si>
    <t>32</t>
  </si>
  <si>
    <t>Bond Repair</t>
  </si>
  <si>
    <t>32-0100</t>
  </si>
  <si>
    <t>Street Cleaning</t>
  </si>
  <si>
    <t>32-0111</t>
  </si>
  <si>
    <t xml:space="preserve">Asphalt Sawcut and Removal </t>
  </si>
  <si>
    <t>32-0506</t>
  </si>
  <si>
    <t>Paving</t>
  </si>
  <si>
    <t>32-1216</t>
  </si>
  <si>
    <t>Seal Coat</t>
  </si>
  <si>
    <t>32-1236</t>
  </si>
  <si>
    <t>32-1401</t>
  </si>
  <si>
    <t>Pool Decks</t>
  </si>
  <si>
    <t>32-1402</t>
  </si>
  <si>
    <t xml:space="preserve">Curbs and Gutters </t>
  </si>
  <si>
    <t>32-1613</t>
  </si>
  <si>
    <t>Tack On Curb</t>
  </si>
  <si>
    <t>32-1614</t>
  </si>
  <si>
    <t>Concrete Flatwork</t>
  </si>
  <si>
    <t>32-1623</t>
  </si>
  <si>
    <t>Bus Pad</t>
  </si>
  <si>
    <t>32-1625</t>
  </si>
  <si>
    <t>Pool Hardscape</t>
  </si>
  <si>
    <t>32-1626</t>
  </si>
  <si>
    <t>Street Signs / Striping</t>
  </si>
  <si>
    <t>32-1700</t>
  </si>
  <si>
    <t>Walls Iron</t>
  </si>
  <si>
    <t>32-3101</t>
  </si>
  <si>
    <t xml:space="preserve">See Budget File </t>
  </si>
  <si>
    <t>Trash Enclosure Iron Gates</t>
  </si>
  <si>
    <t>32-3103</t>
  </si>
  <si>
    <t>Site Railings</t>
  </si>
  <si>
    <t>32-3104</t>
  </si>
  <si>
    <t>Dog Run Fence</t>
  </si>
  <si>
    <t>32-3105</t>
  </si>
  <si>
    <t>Figuring 2 dog parks.</t>
  </si>
  <si>
    <t>32-3106</t>
  </si>
  <si>
    <t>Pool Fence Gates</t>
  </si>
  <si>
    <t>Entry Security Gates</t>
  </si>
  <si>
    <t>32-3111</t>
  </si>
  <si>
    <t xml:space="preserve">Entry Security Gates Electrical </t>
  </si>
  <si>
    <t>32-3112</t>
  </si>
  <si>
    <t>Entry Gate Transmitters</t>
  </si>
  <si>
    <t>32-3113</t>
  </si>
  <si>
    <t xml:space="preserve">Entry Gates </t>
  </si>
  <si>
    <t>32-3114</t>
  </si>
  <si>
    <t>Temp Fencing</t>
  </si>
  <si>
    <t>32-3120</t>
  </si>
  <si>
    <t xml:space="preserve">Walls Masonry </t>
  </si>
  <si>
    <t>32-3201</t>
  </si>
  <si>
    <t>See Budget File. Adding $50k for the additional wall masonry required by City of Henderson on the north/northeast perimeter,</t>
  </si>
  <si>
    <t>Walls Pilaster Caps</t>
  </si>
  <si>
    <t>32-3202</t>
  </si>
  <si>
    <t xml:space="preserve">Retaining Walls </t>
  </si>
  <si>
    <t>32-3204</t>
  </si>
  <si>
    <t>Pool Walls</t>
  </si>
  <si>
    <t>32-3208</t>
  </si>
  <si>
    <t>Site Furniture Permanent</t>
  </si>
  <si>
    <t>32-3343</t>
  </si>
  <si>
    <t>Site Landscaping</t>
  </si>
  <si>
    <t>32-9001</t>
  </si>
  <si>
    <t>Alpha proposal at $8.43/sf.</t>
  </si>
  <si>
    <t>Site Landscaping Lighting</t>
  </si>
  <si>
    <t>Site Landscaping Planter Pots</t>
  </si>
  <si>
    <t>32-9433</t>
  </si>
  <si>
    <t xml:space="preserve">Offsite Asphalt Sawcut and Removal </t>
  </si>
  <si>
    <t xml:space="preserve">Allowance </t>
  </si>
  <si>
    <t>Offsite Paving</t>
  </si>
  <si>
    <t>Total Take of 150k SF of 7"/10" with 1" UTAC. Excluding round about. To be completed by Henderson.</t>
  </si>
  <si>
    <t>Offsite Curbs and Gutters</t>
  </si>
  <si>
    <t>Offsite Concrete Flatwork</t>
  </si>
  <si>
    <t xml:space="preserve">Utilities   </t>
  </si>
  <si>
    <t>33</t>
  </si>
  <si>
    <t>Temp Power</t>
  </si>
  <si>
    <t>33-0501</t>
  </si>
  <si>
    <t>Flamingo</t>
  </si>
  <si>
    <t>Flamingo actual per unit</t>
  </si>
  <si>
    <t>Traffic Control, AC Removal and Patch</t>
  </si>
  <si>
    <t>33-1001</t>
  </si>
  <si>
    <t xml:space="preserve">Water </t>
  </si>
  <si>
    <t>Based on civil plans, proposal, updated pricing, reduced hard dig due to bing an import site, deleted spoils (included in grading.)</t>
  </si>
  <si>
    <t>Sewer</t>
  </si>
  <si>
    <t>33-3001</t>
  </si>
  <si>
    <t>Based on civil plans and proposal for updated pricing.</t>
  </si>
  <si>
    <t>Storm Drain</t>
  </si>
  <si>
    <t>33-4001</t>
  </si>
  <si>
    <t>Sub Drains</t>
  </si>
  <si>
    <t>33-4116</t>
  </si>
  <si>
    <t>Gas</t>
  </si>
  <si>
    <t>33-5001</t>
  </si>
  <si>
    <t>Allowave</t>
  </si>
  <si>
    <t xml:space="preserve">Using what we paint per LF at Bruner. Per Rich Rial: Las Vegas Blvd. and Welpman.  This is roughly 1,400’ away from the project. </t>
  </si>
  <si>
    <t>Electric</t>
  </si>
  <si>
    <t>33-7101</t>
  </si>
  <si>
    <t xml:space="preserve">Based on 4" conduit run, 4 onsite transformers and allowance for hard dig and street work. </t>
  </si>
  <si>
    <t>Secondary Conduit</t>
  </si>
  <si>
    <t>33-7102</t>
  </si>
  <si>
    <t>Bollards</t>
  </si>
  <si>
    <t>33-7103</t>
  </si>
  <si>
    <t>Cable TV</t>
  </si>
  <si>
    <t>33-8201</t>
  </si>
  <si>
    <t>Phone</t>
  </si>
  <si>
    <t>33-8202</t>
  </si>
  <si>
    <t>Off Site Water</t>
  </si>
  <si>
    <t>Off Site Sewer</t>
  </si>
  <si>
    <t>Off Site Storm Drain</t>
  </si>
  <si>
    <t>Off Site Electric</t>
  </si>
  <si>
    <t xml:space="preserve">Transportation   </t>
  </si>
  <si>
    <t>34</t>
  </si>
  <si>
    <t xml:space="preserve">Traffic Control </t>
  </si>
  <si>
    <t>34-4116</t>
  </si>
  <si>
    <t xml:space="preserve">Electrical Power Generation   </t>
  </si>
  <si>
    <t>48</t>
  </si>
  <si>
    <t>Solar PV System</t>
  </si>
  <si>
    <t>48-1413</t>
  </si>
  <si>
    <t>Wigwam</t>
  </si>
  <si>
    <t>Solar PV Conduit</t>
  </si>
  <si>
    <t>48-1414</t>
  </si>
  <si>
    <t>Increase allowance to account for EV new requirements.</t>
  </si>
  <si>
    <t xml:space="preserve">Car Charging Stations </t>
  </si>
  <si>
    <t>48-1913</t>
  </si>
  <si>
    <t xml:space="preserve">Field Surveys, Staking   </t>
  </si>
  <si>
    <t>49</t>
  </si>
  <si>
    <t xml:space="preserve">Staking </t>
  </si>
  <si>
    <t>49-0601</t>
  </si>
  <si>
    <t xml:space="preserve">Re Staking </t>
  </si>
  <si>
    <t>49-0602</t>
  </si>
  <si>
    <t>Additional budgeted for offsite utilities.</t>
  </si>
  <si>
    <t xml:space="preserve">Certs and Verifications </t>
  </si>
  <si>
    <t>49-0603</t>
  </si>
  <si>
    <t xml:space="preserve">Slab Testing </t>
  </si>
  <si>
    <t>49-0801</t>
  </si>
  <si>
    <t xml:space="preserve">Grading Testing </t>
  </si>
  <si>
    <t>49-0802</t>
  </si>
  <si>
    <t xml:space="preserve">Other Testing </t>
  </si>
  <si>
    <t>49-0803</t>
  </si>
  <si>
    <t xml:space="preserve">Masonry Testing </t>
  </si>
  <si>
    <t>49-0807</t>
  </si>
  <si>
    <t xml:space="preserve">Pavement Testing </t>
  </si>
  <si>
    <t>49-0808</t>
  </si>
  <si>
    <t>Third Party Inspections</t>
  </si>
  <si>
    <t>49-0950</t>
  </si>
  <si>
    <t xml:space="preserve">5th Story Factor </t>
  </si>
  <si>
    <t xml:space="preserve">Fire Command Center Control Panel </t>
  </si>
  <si>
    <t xml:space="preserve">Smoke Removal System </t>
  </si>
  <si>
    <t xml:space="preserve">Stairwell Pressurization </t>
  </si>
  <si>
    <t>Backup Generator</t>
  </si>
  <si>
    <t>Elevator Auto Closing Doors</t>
  </si>
  <si>
    <t xml:space="preserve">Increase Framing for 5 Story </t>
  </si>
  <si>
    <t>Increase Footings for 5 Story</t>
  </si>
  <si>
    <t>Bid Risk</t>
  </si>
  <si>
    <t>BABA</t>
  </si>
  <si>
    <t>Not including projected tariffs</t>
  </si>
  <si>
    <t xml:space="preserve">FFE </t>
  </si>
  <si>
    <t>FFE Extra</t>
  </si>
  <si>
    <t>Golf Carts</t>
  </si>
  <si>
    <t>11-1001</t>
  </si>
  <si>
    <t>Alper</t>
  </si>
  <si>
    <t>Convenience Store Equipment</t>
  </si>
  <si>
    <t>11-2101</t>
  </si>
  <si>
    <t xml:space="preserve">Pet Wash </t>
  </si>
  <si>
    <t>11-2102</t>
  </si>
  <si>
    <t>Office Equipment</t>
  </si>
  <si>
    <t>11-2801</t>
  </si>
  <si>
    <t xml:space="preserve">Gym Exercise Equipment </t>
  </si>
  <si>
    <t>11-6613</t>
  </si>
  <si>
    <t xml:space="preserve">Playground </t>
  </si>
  <si>
    <t>11-6813</t>
  </si>
  <si>
    <t>Maintenance Shop Equipment</t>
  </si>
  <si>
    <t>11-8101</t>
  </si>
  <si>
    <t>Maintenance Shop Start Up Supplies</t>
  </si>
  <si>
    <t>11-8102</t>
  </si>
  <si>
    <t>Fixed Asset Misc.</t>
  </si>
  <si>
    <t>11-8105</t>
  </si>
  <si>
    <t xml:space="preserve">Interior Furniture </t>
  </si>
  <si>
    <t>12-5000</t>
  </si>
  <si>
    <t>Exterior Furniture</t>
  </si>
  <si>
    <t>12-5483</t>
  </si>
  <si>
    <t xml:space="preserve">Based on 1 pool and 4 courtyards. </t>
  </si>
  <si>
    <t>Rec Building TV Media Computer</t>
  </si>
  <si>
    <t>Rec Building Telephone System</t>
  </si>
  <si>
    <t>27-3202</t>
  </si>
  <si>
    <t>Maintenance Radios</t>
  </si>
  <si>
    <t>27-3243</t>
  </si>
  <si>
    <t xml:space="preserve">Construction Contingency </t>
  </si>
  <si>
    <t>55</t>
  </si>
  <si>
    <t>55-9800</t>
  </si>
  <si>
    <t>Hard coded number</t>
  </si>
  <si>
    <t>Sub Bonds</t>
  </si>
  <si>
    <t>50</t>
  </si>
  <si>
    <t>50-9950</t>
  </si>
  <si>
    <t>B</t>
  </si>
  <si>
    <t>GL Insurance</t>
  </si>
  <si>
    <t xml:space="preserve">GL Insurance </t>
  </si>
  <si>
    <t>50-0001</t>
  </si>
  <si>
    <t>3.03 per $1,000</t>
  </si>
  <si>
    <t>Misc.</t>
  </si>
  <si>
    <t>5% of GL Ins.</t>
  </si>
  <si>
    <t>Umbrella</t>
  </si>
  <si>
    <t>95% of GL Ins.</t>
  </si>
  <si>
    <t>Contractor Fee</t>
  </si>
  <si>
    <t>56</t>
  </si>
  <si>
    <t>Overhead</t>
  </si>
  <si>
    <t>Total Hard Costs</t>
  </si>
  <si>
    <t>6% General Conditions</t>
  </si>
  <si>
    <t>01 - General Requirements</t>
  </si>
  <si>
    <t>02 - Existing Conditions</t>
  </si>
  <si>
    <t>03 - Concrete</t>
  </si>
  <si>
    <t>04 - Masonry</t>
  </si>
  <si>
    <t>05 - Metals</t>
  </si>
  <si>
    <t>06 - Wood, Plastics, &amp; Composites</t>
  </si>
  <si>
    <t>07 - Thermal &amp; Moisture Protection</t>
  </si>
  <si>
    <t>08 - Openings</t>
  </si>
  <si>
    <t>09 - Finishes</t>
  </si>
  <si>
    <t>10 - Specialties</t>
  </si>
  <si>
    <t>11 - Equipment</t>
  </si>
  <si>
    <t>12 - Furnishings</t>
  </si>
  <si>
    <t>13 - Special Construction</t>
  </si>
  <si>
    <t>14 - Conveying Equipment</t>
  </si>
  <si>
    <t>21 - Fire Suppression</t>
  </si>
  <si>
    <t>22 - Plumbing</t>
  </si>
  <si>
    <t>23 - HVAC</t>
  </si>
  <si>
    <t>26 - Electrical</t>
  </si>
  <si>
    <t>27 - Communications</t>
  </si>
  <si>
    <t>28 - Electronic Safety &amp; Security</t>
  </si>
  <si>
    <t>31 - Earthwork</t>
  </si>
  <si>
    <t>32 - Exterior Improvements</t>
  </si>
  <si>
    <t>33 - Utilities</t>
  </si>
  <si>
    <t>34 - Transportation</t>
  </si>
  <si>
    <t>48 - Electrical Power Generation</t>
  </si>
  <si>
    <t>49 - Field Surveys, Staking</t>
  </si>
  <si>
    <t>50 - Sub Bonds</t>
  </si>
  <si>
    <t>55 - Construction Contingency</t>
  </si>
  <si>
    <t>56 - Contractor Fee</t>
  </si>
  <si>
    <t>check</t>
  </si>
  <si>
    <t>FOR ADJUSTMENTS</t>
  </si>
  <si>
    <t>Appliances, Flooring &amp; Blinds</t>
  </si>
  <si>
    <t>09-6520A</t>
  </si>
  <si>
    <t>Common - Rubber Floor</t>
  </si>
  <si>
    <t>Common - Carpet</t>
  </si>
  <si>
    <t>Total Appliances, Flooring &amp; Blinds</t>
  </si>
  <si>
    <t>Site Work</t>
  </si>
  <si>
    <t>Major Categories</t>
  </si>
  <si>
    <t>Existing Conditions</t>
  </si>
  <si>
    <t>Earthwork</t>
  </si>
  <si>
    <t>Exterior Improvements</t>
  </si>
  <si>
    <t>Utilities</t>
  </si>
  <si>
    <t>Transportation</t>
  </si>
  <si>
    <t>Electrical Power Generation</t>
  </si>
  <si>
    <t>Minor Categories</t>
  </si>
  <si>
    <t>Gazebo</t>
  </si>
  <si>
    <t>Other Site</t>
  </si>
  <si>
    <t>10-1454OFFSITE</t>
  </si>
  <si>
    <t>26-5613OFFSITE</t>
  </si>
  <si>
    <t>Total Site Work</t>
  </si>
  <si>
    <t>32-0506OFFSITE</t>
  </si>
  <si>
    <t>already included in 32</t>
  </si>
  <si>
    <t>32-1216OFFSITE</t>
  </si>
  <si>
    <t>32-1613OFFSITE</t>
  </si>
  <si>
    <t>32-1623OFFSITE</t>
  </si>
  <si>
    <t>33-4001OFFSITE</t>
  </si>
  <si>
    <t>already included in 33</t>
  </si>
  <si>
    <t>33-1001OFFSITE</t>
  </si>
  <si>
    <t>33-3001OFFSITE</t>
  </si>
  <si>
    <t>33-7101OFFSITE</t>
  </si>
  <si>
    <t>34-4116OFFSITE</t>
  </si>
  <si>
    <t>already included in 34</t>
  </si>
  <si>
    <t>HOME FUNDS INELIGIBLE COSTS</t>
  </si>
  <si>
    <t>Offsite Work</t>
  </si>
  <si>
    <t>Other Ineligible Costs</t>
  </si>
  <si>
    <t>Pool Equipment Shower Stone</t>
  </si>
  <si>
    <t>Stucco - Pool Wall</t>
  </si>
  <si>
    <t>Playground / Basketball Hoop</t>
  </si>
  <si>
    <t>Contractor Insurance and Bonds</t>
  </si>
  <si>
    <t>Contractor General Liability Insurance</t>
  </si>
  <si>
    <t>P&amp;P Bond</t>
  </si>
  <si>
    <t>Underlying Policy (First $1 mm)</t>
  </si>
  <si>
    <t>Months of Construction</t>
  </si>
  <si>
    <t>Rate (per $1,000 of Contractor Revenue)</t>
  </si>
  <si>
    <t>Total GC Contract</t>
  </si>
  <si>
    <t>Subtotal</t>
  </si>
  <si>
    <t>Fees/Taxes/Possible Increases</t>
  </si>
  <si>
    <t>Basic Rate Table</t>
  </si>
  <si>
    <t>Total Insurance</t>
  </si>
  <si>
    <t>Rate Per $K</t>
  </si>
  <si>
    <t>Contract Price</t>
  </si>
  <si>
    <t>Base Rate</t>
  </si>
  <si>
    <t>Surcharge</t>
  </si>
  <si>
    <t>Premium</t>
  </si>
  <si>
    <t>Umbrella Policy ($20 mm Excess Coverage)</t>
  </si>
  <si>
    <t>First</t>
  </si>
  <si>
    <t>Next</t>
  </si>
  <si>
    <t>Total Umbrella</t>
  </si>
  <si>
    <t>Over</t>
  </si>
  <si>
    <t>Total GL Insurance</t>
  </si>
  <si>
    <t>Annual Policy Inflation</t>
  </si>
  <si>
    <t>% Completed by Year</t>
  </si>
  <si>
    <t>Policy Allocation</t>
  </si>
  <si>
    <t>Year</t>
  </si>
  <si>
    <t>% Completed</t>
  </si>
  <si>
    <t>Pre-Inflation</t>
  </si>
  <si>
    <t>Post-Inflation</t>
  </si>
  <si>
    <t>Sub Bonds %</t>
  </si>
  <si>
    <t>Applicable Costs*</t>
  </si>
  <si>
    <t>*Hard Costs excluding FF&amp;E, Contingency, Insurance, Contractor Fee, and General Requirements</t>
  </si>
  <si>
    <t>Summary of Contractor Insurance and Bonds</t>
  </si>
  <si>
    <t>Include In
Budget</t>
  </si>
  <si>
    <t>x</t>
  </si>
  <si>
    <t>Asphalt Onsite</t>
  </si>
  <si>
    <t>Asphalt Offsite</t>
  </si>
  <si>
    <t xml:space="preserve"> GSF</t>
  </si>
  <si>
    <t>Esc. %</t>
  </si>
  <si>
    <t>Proposal by NRC at $9.16/sf</t>
  </si>
  <si>
    <t>Added $15k for sunken seating at pool area courtyard</t>
  </si>
  <si>
    <t>Elevator shaf plus elevator pits.</t>
  </si>
  <si>
    <t>Shower Cover</t>
  </si>
  <si>
    <t>05-7003</t>
  </si>
  <si>
    <t>ADDED LINE</t>
  </si>
  <si>
    <t>Average of 3 best proposals</t>
  </si>
  <si>
    <t>Finish Carpentry - Pump House</t>
  </si>
  <si>
    <t>06-2001S</t>
  </si>
  <si>
    <t>Insulation - PH</t>
  </si>
  <si>
    <t>Roofing - PH</t>
  </si>
  <si>
    <t>Contempo Proposal</t>
  </si>
  <si>
    <t>Average of 2 best proposals</t>
  </si>
  <si>
    <t>Included allowance for courtyard low walls stucco. Decatur was $30k.</t>
  </si>
  <si>
    <t>Using Bruner proposal by Seamless / per unit for buildings 1 &amp; 3 unit as unit measurement.</t>
  </si>
  <si>
    <t>Allowance based on Decatur cost.</t>
  </si>
  <si>
    <t>Hallway flooring within the Common Plank budget.</t>
  </si>
  <si>
    <t>Appliances - Laundry Room</t>
  </si>
  <si>
    <t>Unit proposal by Old World was at $95k.</t>
  </si>
  <si>
    <t>Average of 3 proposals</t>
  </si>
  <si>
    <t>Fire Alarm - Pump House</t>
  </si>
  <si>
    <t>28-4601S</t>
  </si>
  <si>
    <t>Original was about $53k. It has been increased to $100k as account for added cost for offsite rock and SWPP measures on the south water connection road appro 90k SF</t>
  </si>
  <si>
    <t>Average of best 3 proposals</t>
  </si>
  <si>
    <t>Offsite Parvin Realignment</t>
  </si>
  <si>
    <t>32-5500</t>
  </si>
  <si>
    <t>Offsite</t>
  </si>
  <si>
    <t>Start Up Utilities</t>
  </si>
  <si>
    <t>Line Item</t>
  </si>
  <si>
    <t>Variance</t>
  </si>
  <si>
    <t>Comments</t>
  </si>
  <si>
    <t>Slab Concrete</t>
  </si>
  <si>
    <t>Increased unit cost $11.50 to average of 3 proposals $11.83. Recommend leaving at $11.50</t>
  </si>
  <si>
    <t>Increase to include elevator pis (CMU)</t>
  </si>
  <si>
    <t>Increased price per pound based on current proposals.</t>
  </si>
  <si>
    <t>Changed unit cost to average of 3 current proposals</t>
  </si>
  <si>
    <t>Updated pricing per unit to Bruner (from Torrey Pines)</t>
  </si>
  <si>
    <t>Added a line item to consider cost of laundry room appliances. Considering 2.</t>
  </si>
  <si>
    <t>Change unit cost to average of 2 best proposals vs Bruner.</t>
  </si>
  <si>
    <t>WEST HENDERSON</t>
  </si>
  <si>
    <t>Level 1 (New Site Plan) A</t>
  </si>
  <si>
    <t>Details</t>
  </si>
  <si>
    <t>Change</t>
  </si>
  <si>
    <t>Conditions</t>
  </si>
  <si>
    <t>PV$</t>
  </si>
  <si>
    <t>PV%</t>
  </si>
  <si>
    <t>Updated to proposals average</t>
  </si>
  <si>
    <t>Updated from Torrey to Bruner</t>
  </si>
  <si>
    <t>Allowance based on Bruner price per Bldg SF</t>
  </si>
  <si>
    <t>Added $60k per Laundry room (2)</t>
  </si>
  <si>
    <t>Updated at 1.5x Bruner</t>
  </si>
  <si>
    <t>Updated based on proposals</t>
  </si>
  <si>
    <t>Updated based on current proposal pricing</t>
  </si>
  <si>
    <t>Reduced allowance for 4 automated antry gates.</t>
  </si>
  <si>
    <t>Based on current proposals</t>
  </si>
  <si>
    <t>Updated based on current proposal pricing and updated plans</t>
  </si>
  <si>
    <t>Bid Risk &amp; BABA</t>
  </si>
  <si>
    <t>1 Br - 1 Ba Cab</t>
  </si>
  <si>
    <t>2 Br - 1 Ba Cab</t>
  </si>
  <si>
    <t>2 Br - 2 Ba Cab</t>
  </si>
  <si>
    <t>3 Br - 2 Ba Cab</t>
  </si>
  <si>
    <t>Landscaping Bldg. 1</t>
  </si>
  <si>
    <t>Landscaping Bldg. 2</t>
  </si>
  <si>
    <t>Landscaping Bldg. 3</t>
  </si>
  <si>
    <t>Landscaping Bldg. 4</t>
  </si>
  <si>
    <t>Landscaping Bldg. 5</t>
  </si>
  <si>
    <t>Livable Area</t>
  </si>
  <si>
    <t>N</t>
  </si>
  <si>
    <t>Corridor Bldg. 5</t>
  </si>
  <si>
    <t>Quantity</t>
  </si>
  <si>
    <t xml:space="preserve">Per Level </t>
  </si>
  <si>
    <t>Increase based on Bruner Proposal by Desert.</t>
  </si>
  <si>
    <t>Average of all 3 bids at Bruner ($3.67M Gilmore, $3.7M National and$3.78M Focus.)</t>
  </si>
  <si>
    <t>10% Escalation due to 3 bedroom and 2nd bathroom units.</t>
  </si>
  <si>
    <t>Average of the 2 low bids at Bruner (Batttle Born at $2.33 and Red Rock $2.71)</t>
  </si>
  <si>
    <t>TORC Proposal.</t>
  </si>
  <si>
    <t>(DELETED) Baja Cover. Added 20% escalation due to Baja company sold to equity firm.</t>
  </si>
  <si>
    <t>10% escalation to account for the extra bedrooms</t>
  </si>
  <si>
    <t>Bruner Low bid by Builders Source</t>
  </si>
  <si>
    <t xml:space="preserve">Bruner </t>
  </si>
  <si>
    <t>Bruner Proposal (Wall at $7.7 2nd lowest)</t>
  </si>
  <si>
    <t>Assumption of 25% of corridor SF.</t>
  </si>
  <si>
    <t>Rainbow</t>
  </si>
  <si>
    <t>DELETED Added 10% to account for new selection of color which is expected to increase price.</t>
  </si>
  <si>
    <t>Added 10% escalation to accounf for the 3x2 unit type.</t>
  </si>
  <si>
    <t xml:space="preserve">Design Item Could be removed from Budget </t>
  </si>
  <si>
    <t>Added $250 per unit for larger Fridge (Family vs Senior Afforable project.)</t>
  </si>
  <si>
    <t>15% escalation with more bedroom/windows expected.</t>
  </si>
  <si>
    <t>Added 15% escalation for the 2nd bathroom in 43% as well as to account for increase in price with new cabinet selection at Decatur.</t>
  </si>
  <si>
    <t>Added 15% escalation for the 2nd bathroom in 43% as well as to account for increase in price with new top selection at Decatur.</t>
  </si>
  <si>
    <t>Using 3 stop Decatur for Hydrolift.</t>
  </si>
  <si>
    <t>According to historicals, a 2 bathroom apartment cost 30% more than a 1 bathroom.</t>
  </si>
  <si>
    <t>Used Allstate proposal. Enix proposal is $9,618</t>
  </si>
  <si>
    <t>Includes 11 lights @ $25K btw LV Blvd and Larson (140' on center) and $1.6M place holder for traffic signal on Larson &amp; LV Blvd.</t>
  </si>
  <si>
    <t>$100K paceholder for only the street signal pole.</t>
  </si>
  <si>
    <t>Per Pool</t>
  </si>
  <si>
    <t>Includes New 520 Hz Tone Requirement</t>
  </si>
  <si>
    <t>Difference is primarly on he import/export CY. Pete's latest rough grading shows close to a balance site (previous 30k vs 5k CY.)</t>
  </si>
  <si>
    <t>Includes milling.</t>
  </si>
  <si>
    <t>We are required to have 2 automated gates per Latest information from planning.</t>
  </si>
  <si>
    <t>Added $50k to previous budget. This allowance covers the estimated 1,000 LF of 4' retaining wall required on the south project perimeter.</t>
  </si>
  <si>
    <t>Torrey Pines 2nd best proposal in terms of $, Alpha.</t>
  </si>
  <si>
    <t>Park Option 1 - 3/4" Rock where building 3 used to be. Sidewalk and benches increses to $111k.</t>
  </si>
  <si>
    <t>Based on estimated water loop and laterals with Torrey Pines pricing and allowance for hard dig and street work.</t>
  </si>
  <si>
    <t>Based on estimated sewer online run with 11 manholes, Torrey Pines pricing and allowance for hard dig and street work.</t>
  </si>
  <si>
    <t>Per Rich Rial: Las Vegas Blvd. and Welpman.  This is roughly 1,400’ away from the project</t>
  </si>
  <si>
    <t>Per Pete, Plan which intails POC at Larson &amp; Rancho Destino (northeast) to Casa Del Sol &amp; Via Nobila on the south</t>
  </si>
  <si>
    <t xml:space="preserve">Latest news have Lennar moving forward with the community on Larson and Casa Del Sol, making this the POC. Updated budget and takeoffs. </t>
  </si>
  <si>
    <t xml:space="preserve">Based on a 3,898 LF run of 6" conduit connecting at Power station on Gilespie. </t>
  </si>
  <si>
    <t>Cost per SF</t>
  </si>
  <si>
    <t>Indirect</t>
  </si>
  <si>
    <t xml:space="preserve">Conventional  slab </t>
  </si>
  <si>
    <t>Bldg 1 only</t>
  </si>
  <si>
    <t>See Note</t>
  </si>
  <si>
    <t>12 Month Moving Average</t>
  </si>
  <si>
    <t>LSF</t>
  </si>
  <si>
    <t>Baja Cover. Added 20% escalation due to Baja company sold to equity firm.</t>
  </si>
  <si>
    <t>Included the latest efficiency requirement. 15% escalation with more bedrooms/windows expected.</t>
  </si>
  <si>
    <t>Average over the last 3 projects (S. Nellis, Torrey and Decatur.)</t>
  </si>
  <si>
    <t>RMI proposal for Decatur using Vinyl Plank RMX/Urban.</t>
  </si>
  <si>
    <t>Added 10% to account for new selection of color which is expected to increase price.</t>
  </si>
  <si>
    <t xml:space="preserve">Figuring Build 1 and 3 having common area cabinets. </t>
  </si>
  <si>
    <t>Figuring Build 1 and 3 having common area tops.</t>
  </si>
  <si>
    <t>Providing allowance of 30% of Solar. Added 20% escalation due to our prefer trade changing ownership (sell.)</t>
  </si>
  <si>
    <t>Raptor Sovent system at Torrey Pines.</t>
  </si>
  <si>
    <t>Tiny Homes</t>
  </si>
  <si>
    <t>Hualapai</t>
  </si>
  <si>
    <t xml:space="preserve">Enix provided budget proposal for Hualapai with new refrigerant. </t>
  </si>
  <si>
    <t>Includes 5% for Additional EV Requirements Allowance</t>
  </si>
  <si>
    <t>Average of the last 2 projects (includes GTI proposal on Torrey and Decatur.)</t>
  </si>
  <si>
    <t xml:space="preserve">Total Take of 169k SF of 7"/10" with 1" UTAC. Rocky Mountain Cost Estimate. </t>
  </si>
  <si>
    <t xml:space="preserve">See Budget File. Added $81k for Larson island and roundabout. </t>
  </si>
  <si>
    <t>Based on 4" conduit run, 4 onsite transformers and allowance for hard dig and street work. NOT ADDING PLACE HOLDER FOR LOWERING COX/DATE LINE CROSSING THE SITE</t>
  </si>
  <si>
    <t>Using Pete's Plan B or Worse case scenario where water POC is in Augmon.</t>
  </si>
  <si>
    <t>No Update - Based on Pete's latest storm drain marked up plan provided on 12/2/24 meeting.</t>
  </si>
  <si>
    <t xml:space="preserve">No Update - Based on a 4,562 LF run of 6" conduit connecting at Power station on Gilespie. </t>
  </si>
  <si>
    <t>Based on Pete's latest storm drain marked up plan provided on 12/2/24 meeting.</t>
  </si>
  <si>
    <t xml:space="preserve">Based on a 4,562 LF run of 6" conduit connecting at Power station on Gilespie. </t>
  </si>
  <si>
    <t xml:space="preserve">West Henderon </t>
  </si>
  <si>
    <t>Summary of Budget Changes</t>
  </si>
  <si>
    <t>Difference</t>
  </si>
  <si>
    <t>UC</t>
  </si>
  <si>
    <t>Budget Change</t>
  </si>
  <si>
    <t xml:space="preserve">Details </t>
  </si>
  <si>
    <t>Concrete Slab</t>
  </si>
  <si>
    <t>New Take Off</t>
  </si>
  <si>
    <t>Proposal from NRC at $9.16  (aggressive proposal)</t>
  </si>
  <si>
    <t>Cabana Concrete -Sunked Seating</t>
  </si>
  <si>
    <t>Added Sunked Seating $25k per area (3).</t>
  </si>
  <si>
    <t>Lightweight SF</t>
  </si>
  <si>
    <t>Based on NV Gypsum proposal.</t>
  </si>
  <si>
    <t>Deck</t>
  </si>
  <si>
    <t>Latest Bruner pricing</t>
  </si>
  <si>
    <t>Framing SF</t>
  </si>
  <si>
    <t>Change in total buildgs SF in new plan.</t>
  </si>
  <si>
    <t>Framing $</t>
  </si>
  <si>
    <t>Proposal from Gilmore at $17.36</t>
  </si>
  <si>
    <t>Original price was Bruner/unit + 10% for extra rooms. New pricing is based on 2 proposals.</t>
  </si>
  <si>
    <t>New pricing is based on proposal cost / sf.</t>
  </si>
  <si>
    <t>New plans take off with parapet walls included.</t>
  </si>
  <si>
    <t>Roofing %</t>
  </si>
  <si>
    <t>Stucco SF</t>
  </si>
  <si>
    <t>Takeoff based on plans yielded 5,742 sf more than previous.</t>
  </si>
  <si>
    <t>Drywall SF</t>
  </si>
  <si>
    <t>Efficiency on change of Bldg SF</t>
  </si>
  <si>
    <t>Drywall $</t>
  </si>
  <si>
    <t>Change in Pricing Based on Bruner</t>
  </si>
  <si>
    <t>Took off 10% for color upgrade</t>
  </si>
  <si>
    <t>Level 1 TP vs Level 2 based on proposal.</t>
  </si>
  <si>
    <t>Based on Torrey Pines pricing.</t>
  </si>
  <si>
    <t>Otis proposal.</t>
  </si>
  <si>
    <t>Original calculated cost based on historical. Initial proposal indicates significantly higher.</t>
  </si>
  <si>
    <t>Added 5% due to Sigma reported prince increase in Romex for Bruner.</t>
  </si>
  <si>
    <t>Plan calls for 16 rather than 11 original budgeted.</t>
  </si>
  <si>
    <t>Fire Alarm / Two Way Com</t>
  </si>
  <si>
    <t>Updated to Proposal. Per NFP Henderson carries significatly ($100K) higher fees for permit.</t>
  </si>
  <si>
    <t>Plan takeoff yieled significant more (4' sidewalk vs 3.5" sidewalk.)</t>
  </si>
  <si>
    <t>Based on take offs and updated pricing.</t>
  </si>
  <si>
    <t>Landscaping SF</t>
  </si>
  <si>
    <t>Latest Torrey Pines pricing. Alpha proposal is at $2.5M or $8.43 $/sf</t>
  </si>
  <si>
    <t>Removed 1" UTAC $600k (not in the plans or bids), 12k lf less in paving at Larson $200k.</t>
  </si>
  <si>
    <t>10" sidewalk at offsites.</t>
  </si>
  <si>
    <t>2 above ground Turbine ($120k) + 1,275 LF line for future use Larson/LV Blvd.</t>
  </si>
  <si>
    <t>Offsite Sewer</t>
  </si>
  <si>
    <t>Plan shows 72" Manhole versus 48" previous concensus.</t>
  </si>
  <si>
    <t>Percentages Items</t>
  </si>
  <si>
    <t>General Conditions</t>
  </si>
  <si>
    <t xml:space="preserve">Contingency </t>
  </si>
  <si>
    <t>Bonds and GL</t>
  </si>
  <si>
    <t>Explained Difference</t>
  </si>
  <si>
    <t>SENIOR / AFFORABLE PROJECTS</t>
  </si>
  <si>
    <t>South Nellis</t>
  </si>
  <si>
    <t>Contract</t>
  </si>
  <si>
    <t>Acres</t>
  </si>
  <si>
    <t xml:space="preserve">% </t>
  </si>
  <si>
    <t>Cost</t>
  </si>
  <si>
    <t>UOM</t>
  </si>
  <si>
    <t>U</t>
  </si>
  <si>
    <t>PU</t>
  </si>
  <si>
    <t xml:space="preserve">Low </t>
  </si>
  <si>
    <t xml:space="preserve">2nd </t>
  </si>
  <si>
    <t>3rd</t>
  </si>
  <si>
    <t>Ave</t>
  </si>
  <si>
    <t>SF (Bldg)</t>
  </si>
  <si>
    <t>Lands SF</t>
  </si>
  <si>
    <t>SF (Slab)</t>
  </si>
  <si>
    <t>SY (Bldg)</t>
  </si>
  <si>
    <t>LEVEL 1.1 (LATEST)</t>
  </si>
  <si>
    <t>LEVEL 1</t>
  </si>
  <si>
    <t>Afforable</t>
  </si>
  <si>
    <t xml:space="preserve">Start Date </t>
  </si>
  <si>
    <t>Net Change</t>
  </si>
  <si>
    <t>U.P.</t>
  </si>
  <si>
    <t>Total U.P.</t>
  </si>
  <si>
    <t>Notes</t>
  </si>
  <si>
    <t>General Requirement</t>
  </si>
  <si>
    <t>Latest budget has pricing of $1.5 / SF less than 11/9/23 budget.</t>
  </si>
  <si>
    <t>New takeoff has 1/3 of the square footage as well pricing of $7 / SF less than 11/9/23 budget.</t>
  </si>
  <si>
    <t>Lower pricing on Torrey Pines</t>
  </si>
  <si>
    <t>11/9/23 budget was using $19.45 (Pebble) + $4 contingency.</t>
  </si>
  <si>
    <t>Uncertain why previous budget had a different Cost / LSF for Torrey Pines ($4.30 verified.)</t>
  </si>
  <si>
    <t>Level 1 used non windingbid on Torrey Pines.</t>
  </si>
  <si>
    <t>Level 2 have dumpster for this section under construction cleaning contract.</t>
  </si>
  <si>
    <t>Included the latest efficiency requirement. 15% escalation with mode bedrooms/windows expected.</t>
  </si>
  <si>
    <t>Deleted N/A allowance.</t>
  </si>
  <si>
    <t>Included in Construction cleaning contract</t>
  </si>
  <si>
    <t>Based on Pebble contracted price.</t>
  </si>
  <si>
    <t>Update budget uses latest vinyl plank proposal by RMI on Decatur</t>
  </si>
  <si>
    <t>New windows with a hight efficiency.</t>
  </si>
  <si>
    <t>Previous budget had a 20% bid risk. Added 15% escalation for the 2nd bathroom &amp; new cabinet selection at Decatur.</t>
  </si>
  <si>
    <t>Added 15% escalation for 2nd bath in 43% &amp; to account for increase in price with new top selection at Decatur.</t>
  </si>
  <si>
    <t>Based on latest pricing</t>
  </si>
  <si>
    <t xml:space="preserve">Using Decatur 3 Stop Gen 3 for 3-story blds and price provided at Decatur for Hydrolift for the 2-story (prorated amount.) </t>
  </si>
  <si>
    <t>Based on sovent system at Torrey Pines.</t>
  </si>
  <si>
    <t>Used latest pricing. I am not sure if level 1 had allowance for expedited gear on psf pricing.</t>
  </si>
  <si>
    <t>Includes 11 Street lights and $1.6MM for traffic signal. Nearest street light and signal is 3,100 LF to the north (Volunteer &amp; LV Blvd)</t>
  </si>
  <si>
    <t>Traffic Signal (1)</t>
  </si>
  <si>
    <t>Used Pebble job cost.</t>
  </si>
  <si>
    <r>
      <t>Fire Alarm</t>
    </r>
    <r>
      <rPr>
        <sz val="11"/>
        <color theme="0"/>
        <rFont val="Aptos Narrow"/>
        <family val="2"/>
        <scheme val="minor"/>
      </rPr>
      <t xml:space="preserve"> / Two Way Comm AOR</t>
    </r>
  </si>
  <si>
    <t>Latest includes New 520 Hz Tone Requirement</t>
  </si>
  <si>
    <t>Level 2 has lower allowance. No particular reason.</t>
  </si>
  <si>
    <t>Original take off has 116k CY of site excavation versus current estimate of 76k CY.</t>
  </si>
  <si>
    <t>k</t>
  </si>
  <si>
    <t>2" AC / 4" Type II on 272k sf onsite parking/street. Cost estimate provided by Rocky Mountain.</t>
  </si>
  <si>
    <t>Added $50k for the additional wall masonry required by City of Henderson on the north/northeast perimeter.</t>
  </si>
  <si>
    <t xml:space="preserve">Takeoff of 169k SF of 7"/10" with 1" UTAC. Rocky Mountain provided cost estimate. </t>
  </si>
  <si>
    <t>Added Larson Islands and roundabouts A Curb.</t>
  </si>
  <si>
    <t>Based on takeoffs.</t>
  </si>
  <si>
    <t>4" conduit &amp; 4  transformers + allowance for hard dig and street work. NO PLACE HOLDER FOR LOWERING COX/DATE LINE CROSSING THE SITE.</t>
  </si>
  <si>
    <t>Using Pete's Plan B or Worse case scenerio where water POC is in Augmon.</t>
  </si>
  <si>
    <t>Based on a 4,562 LF run of 6" conduit connecting at Power station on Gilespie ST / Torrey Pines pricing.</t>
  </si>
  <si>
    <t>Sum of Summary</t>
  </si>
  <si>
    <t>Level 1 used non winding bid on Torrey Pines.</t>
  </si>
  <si>
    <t>Everything above earthwork</t>
  </si>
  <si>
    <t>Earthwork + Exterior Improvement+Utilities</t>
  </si>
  <si>
    <t>ONSITE</t>
  </si>
  <si>
    <t>Level 1.1 - Dec 2024</t>
  </si>
  <si>
    <t>Level 0 - Nov 2023</t>
  </si>
  <si>
    <t>$ Variance</t>
  </si>
  <si>
    <t>% Variance</t>
  </si>
  <si>
    <t>Grading &amp; Paving</t>
  </si>
  <si>
    <t>Grading &amp; Paving Total</t>
  </si>
  <si>
    <t>Concrete</t>
  </si>
  <si>
    <t>Concrete Total</t>
  </si>
  <si>
    <t>double loop</t>
  </si>
  <si>
    <t>Utilities Total</t>
  </si>
  <si>
    <t>Other</t>
  </si>
  <si>
    <t>Other Total</t>
  </si>
  <si>
    <t>TOTAL ONSITE COST</t>
  </si>
  <si>
    <t>OFFSITES</t>
  </si>
  <si>
    <t>Includes 11 Street lights versus 7 on the 11/9/23 budget.</t>
  </si>
  <si>
    <t>Per Ted, we will need to install the pole and undergrounds for our corner and pay a traffic study mitigation fee.</t>
  </si>
  <si>
    <t>TOTAL OFFSITE COST</t>
  </si>
  <si>
    <t>FF&amp;E</t>
  </si>
  <si>
    <t>Courtyard</t>
  </si>
  <si>
    <t>courtyard</t>
  </si>
  <si>
    <t>Onsite</t>
  </si>
  <si>
    <t>General Requirements</t>
  </si>
  <si>
    <t>Soft Cost</t>
  </si>
  <si>
    <t>Contingency</t>
  </si>
  <si>
    <t>Fees</t>
  </si>
  <si>
    <t>Date</t>
  </si>
  <si>
    <t>SCOPE</t>
  </si>
  <si>
    <t>Budget Description</t>
  </si>
  <si>
    <t>Level 0</t>
  </si>
  <si>
    <t>ADDS</t>
  </si>
  <si>
    <t>Plumbing</t>
  </si>
  <si>
    <t>Building Subtotal</t>
  </si>
  <si>
    <t xml:space="preserve">Offsite </t>
  </si>
  <si>
    <t>Offsite Concrete</t>
  </si>
  <si>
    <t>Offsite Subtotal</t>
  </si>
  <si>
    <t>Offsites</t>
  </si>
  <si>
    <t xml:space="preserve">Contractor/Overhead </t>
  </si>
  <si>
    <t>Total Budget</t>
  </si>
  <si>
    <t>WorkSheet Name</t>
  </si>
  <si>
    <t>Report Code</t>
  </si>
  <si>
    <t>Company Id</t>
  </si>
  <si>
    <t>Job Id</t>
  </si>
  <si>
    <t>Start Date</t>
  </si>
  <si>
    <t>End Date</t>
  </si>
  <si>
    <t>Payroll Subledger</t>
  </si>
  <si>
    <t>Pay Period Id</t>
  </si>
  <si>
    <t>OFFSITE BUDGET COMPARISON</t>
  </si>
  <si>
    <t>TOTAL BUDGET</t>
  </si>
  <si>
    <t>W. Hend.</t>
  </si>
  <si>
    <t>Average</t>
  </si>
  <si>
    <t xml:space="preserve">Units </t>
  </si>
  <si>
    <t xml:space="preserve">Finish Carpentry </t>
  </si>
  <si>
    <t xml:space="preserve">Windows and Sliding </t>
  </si>
  <si>
    <t xml:space="preserve">Cabinets </t>
  </si>
  <si>
    <t>Counter Tops</t>
  </si>
  <si>
    <t>Fire Alarms</t>
  </si>
  <si>
    <t>Security</t>
  </si>
  <si>
    <t>Building Cost</t>
  </si>
  <si>
    <t>Offsite Cost</t>
  </si>
  <si>
    <t>Asphalt Sawcut &amp; Rem</t>
  </si>
  <si>
    <t>Curbs and Gutters</t>
  </si>
  <si>
    <t>Traffic Control</t>
  </si>
  <si>
    <t>Water</t>
  </si>
  <si>
    <t>Total Offsites Cost</t>
  </si>
  <si>
    <t>Total Project Hard Cost</t>
  </si>
  <si>
    <t xml:space="preserve"> </t>
  </si>
  <si>
    <t xml:space="preserve">Estimated Potential Savings </t>
  </si>
  <si>
    <t>Budget Starting Point</t>
  </si>
  <si>
    <t xml:space="preserve">Variance </t>
  </si>
  <si>
    <t>Value Engineer Cost Savings</t>
  </si>
  <si>
    <t>Budget Amount</t>
  </si>
  <si>
    <t>Reduction</t>
  </si>
  <si>
    <t>Update Budget</t>
  </si>
  <si>
    <t>Tower Elevations</t>
  </si>
  <si>
    <t>Change to 3/4 not Mat. Previous proposal show 56% discount.</t>
  </si>
  <si>
    <t>Carports</t>
  </si>
  <si>
    <t>We currently have 375 carports per plan</t>
  </si>
  <si>
    <t>Landscaping</t>
  </si>
  <si>
    <t>Downsize large park and offsite eastnorth property perimeter.</t>
  </si>
  <si>
    <t>Net Potential Savings (x1.2)</t>
  </si>
  <si>
    <t>Value - Level 2</t>
  </si>
  <si>
    <t>Budget Per SF</t>
  </si>
  <si>
    <t>Budget Per Unit</t>
  </si>
  <si>
    <t>Roof Towers</t>
  </si>
  <si>
    <t>CO Variable</t>
  </si>
  <si>
    <t>Estimated Cost</t>
  </si>
  <si>
    <t>Framing</t>
  </si>
  <si>
    <t>Insulation</t>
  </si>
  <si>
    <t>Subtotal Cost Per Tower</t>
  </si>
  <si>
    <t>No Towers</t>
  </si>
  <si>
    <t>Value Eng</t>
  </si>
  <si>
    <t>Park Area</t>
  </si>
  <si>
    <t>We have price to tock at $40k plus $60 for trees</t>
  </si>
  <si>
    <t>Round about Landscaping</t>
  </si>
  <si>
    <t>Reducing by 30%.</t>
  </si>
  <si>
    <t>$</t>
  </si>
  <si>
    <t>$ / GSF</t>
  </si>
  <si>
    <t>$ / U</t>
  </si>
  <si>
    <t>WH</t>
  </si>
  <si>
    <t>Detail</t>
  </si>
  <si>
    <t>X Times</t>
  </si>
  <si>
    <t>Leaseable</t>
  </si>
  <si>
    <t>Gross</t>
  </si>
  <si>
    <t>.</t>
  </si>
  <si>
    <t>Percentage of Cost</t>
  </si>
  <si>
    <t>Multiple buildings of 2 and 3 story, more slab SF.</t>
  </si>
  <si>
    <t>Slab SF / Unit</t>
  </si>
  <si>
    <t>Larger building SF on a per unit basis (approximatly 11% greater)</t>
  </si>
  <si>
    <t>Bldg SF / U</t>
  </si>
  <si>
    <t>Carrying 20% Escalation due to Baja sale. More carport per unit (0.99 versus 0.52)</t>
  </si>
  <si>
    <t>Budget on $/SF. WH has larger SF per unit average (852 vs 742 + 15% or $1760 equivalent)</t>
  </si>
  <si>
    <t>Density WH at 25 units/acre vs Torry at 38.</t>
  </si>
  <si>
    <t>Higher density at Torrey increases landscaping budget $3M. Offsite Paving $1.8M.</t>
  </si>
  <si>
    <t>Brings sewer and water for worse case secenario. Offiste power also significant.</t>
  </si>
  <si>
    <t>50 - Sub Bonds / Contractor Insurance</t>
  </si>
  <si>
    <t>Largest Differences (Increase Per Unit)</t>
  </si>
  <si>
    <t>Efficiency. WH has 373 SF slab / unit versus 247 Sf / unit at TP (WH is % higher).</t>
  </si>
  <si>
    <t>Increased 5% to try to account for price increase after Bruner contract.</t>
  </si>
  <si>
    <t>Landscaping change plans yield 132k sf more than previous. WH has 782 sf landscape area per unit vers 211 sf/ unit for TP</t>
  </si>
  <si>
    <t>Significantly more offsite utilities.</t>
  </si>
  <si>
    <t>Overal higher cost per unit. Percentage of total HC.</t>
  </si>
  <si>
    <t>No bid risk at TP.</t>
  </si>
  <si>
    <t>Added Cost</t>
  </si>
  <si>
    <t>If Ovation goes first then POC is 660 LF on Gilespie</t>
  </si>
  <si>
    <t>16" CL350 Rancho Destino</t>
  </si>
  <si>
    <t>16" Fittings Restrained</t>
  </si>
  <si>
    <t>Trench Backfield, HD and TC</t>
  </si>
  <si>
    <t>Total (x1.2)</t>
  </si>
  <si>
    <t xml:space="preserve">27" Sewer Line </t>
  </si>
  <si>
    <t>Bids Risk</t>
  </si>
  <si>
    <t>Deficit</t>
  </si>
  <si>
    <t>Sub</t>
  </si>
  <si>
    <t>72" SSMH</t>
  </si>
  <si>
    <t>Northstar</t>
  </si>
  <si>
    <t>JMAC</t>
  </si>
  <si>
    <t>Favorable Bids</t>
  </si>
  <si>
    <t>NRC Concrete</t>
  </si>
  <si>
    <t>Gilmore Construction</t>
  </si>
  <si>
    <t>Finished Carpentry</t>
  </si>
  <si>
    <t>Rystin Construction, Inc.</t>
  </si>
  <si>
    <t>Solar Industries, Inc.</t>
  </si>
  <si>
    <t>Landscape</t>
  </si>
  <si>
    <t>Alpha Landscapes</t>
  </si>
  <si>
    <t>Net Risk</t>
  </si>
  <si>
    <t xml:space="preserve">Park Options </t>
  </si>
  <si>
    <t xml:space="preserve">By Gothic </t>
  </si>
  <si>
    <t>Total Proposal</t>
  </si>
  <si>
    <t>Option 1</t>
  </si>
  <si>
    <t>¾” rock entire area.</t>
  </si>
  <si>
    <t>Option 2</t>
  </si>
  <si>
    <t>¾” rock entire area.  </t>
  </si>
  <si>
    <t>Sidewalk around perimeter.</t>
  </si>
  <si>
    <t>Benches periodically at sidewalk.</t>
  </si>
  <si>
    <t>Option 3</t>
  </si>
  <si>
    <t>Large turf area in the middle.</t>
  </si>
  <si>
    <t>Option 4</t>
  </si>
  <si>
    <t>Playground area.</t>
  </si>
  <si>
    <t>D</t>
  </si>
  <si>
    <t>P</t>
  </si>
  <si>
    <t>COMPARABLE PROPERTY COST NORMALIZATION</t>
  </si>
  <si>
    <t>Variance to West Henderson</t>
  </si>
  <si>
    <t>Thresholds for Formatting</t>
  </si>
  <si>
    <t>Comparison ($)</t>
  </si>
  <si>
    <t>Comparison ($ / Unit)</t>
  </si>
  <si>
    <t>Absolute $</t>
  </si>
  <si>
    <t>CSI Code</t>
  </si>
  <si>
    <t>Subject Project</t>
  </si>
  <si>
    <t>Decatur / Rome</t>
  </si>
  <si>
    <t>Comp. Average</t>
  </si>
  <si>
    <t>As % of Total Variance</t>
  </si>
  <si>
    <t>Meet Threshold for Formatting</t>
  </si>
  <si>
    <t>ADJUSTED HARD COSTS</t>
  </si>
  <si>
    <t>Masonry</t>
  </si>
  <si>
    <t>Metals</t>
  </si>
  <si>
    <t>Wood &amp; Finished Carpentry</t>
  </si>
  <si>
    <t>Thermal &amp; Moisture Protection</t>
  </si>
  <si>
    <t>Openings</t>
  </si>
  <si>
    <t>Finishes</t>
  </si>
  <si>
    <t>Specialties</t>
  </si>
  <si>
    <t>Equipment</t>
  </si>
  <si>
    <t>Cabinets, Countertops &amp; Blinds</t>
  </si>
  <si>
    <t>Special Construction</t>
  </si>
  <si>
    <t>Conveying Equipment</t>
  </si>
  <si>
    <t>Fire Suppression</t>
  </si>
  <si>
    <t xml:space="preserve">2nd bathoom added approximatly $500k ($1282/units) to the overall plumbing </t>
  </si>
  <si>
    <t>Communications</t>
  </si>
  <si>
    <t>Electronic Safety &amp; Security</t>
  </si>
  <si>
    <t>Alarms with new low Freq code (based on Decatur +10%)</t>
  </si>
  <si>
    <t>Decatur 25 units/acre versus WH 17.33 units/acre (WH has 30% more unit/ acre vs 22% lower cost/acre)</t>
  </si>
  <si>
    <t>Dec $/Ac</t>
  </si>
  <si>
    <t>Only 27% higher than Decatur the cost per acre is 12% lower at Dec vs WH ($386k vs $339k)</t>
  </si>
  <si>
    <t>WH $/AC</t>
  </si>
  <si>
    <t>Offsite is approximatly $5M of the total $7M budget 71% (sewer 2900 LF, Water 6,500 LF, dry 4,000 LF POC) Bruner was 29% at $450k.</t>
  </si>
  <si>
    <t>Dif</t>
  </si>
  <si>
    <t>Torrey and Bruner will max at approx $1M ($5200/unit). WH would have to increase to approx $2M from current $400k</t>
  </si>
  <si>
    <t>Field Surveys &amp; Staking</t>
  </si>
  <si>
    <t>FFE</t>
  </si>
  <si>
    <t>Refundable Deposits</t>
  </si>
  <si>
    <t>TOTAL ADJUSTED HARD COSTS</t>
  </si>
  <si>
    <t>ADJUSTED SOFT COSTS</t>
  </si>
  <si>
    <t>Permits &amp; fees</t>
  </si>
  <si>
    <t>PFNA is $5k/unit, WUFNA is $2.4k/unit, NVE is $500/unit</t>
  </si>
  <si>
    <t>A&amp;E</t>
  </si>
  <si>
    <t>Economies of scale with Unit Count</t>
  </si>
  <si>
    <t>Bldr Risk, Predev Int, Misc Soft Costs</t>
  </si>
  <si>
    <t>Title and Recording</t>
  </si>
  <si>
    <t>Legal Fees</t>
  </si>
  <si>
    <t>Marketing &amp; Leaseup</t>
  </si>
  <si>
    <t>Property Taxes</t>
  </si>
  <si>
    <t>Accounting &amp; Cost Cert</t>
  </si>
  <si>
    <t>Tax Credit Fees</t>
  </si>
  <si>
    <t>Market Study &amp; 3rd Party Reports</t>
  </si>
  <si>
    <t>Bank Expenses</t>
  </si>
  <si>
    <t>Construction Loan Fee</t>
  </si>
  <si>
    <t>Construction Loan Interest</t>
  </si>
  <si>
    <t>Perm Loan Fees &amp; Closing Costs</t>
  </si>
  <si>
    <t>Consultant Fees</t>
  </si>
  <si>
    <t>TOTAL ADJUSTED SOFT COSTS</t>
  </si>
  <si>
    <t>Operating Reserve</t>
  </si>
  <si>
    <t>TOTAL FINANCE COSTS</t>
  </si>
  <si>
    <t>TOTAL ADJUSTED CONSTRUCTION COSTS</t>
  </si>
  <si>
    <t>SUMMARY OF EXCLUDED COSTS</t>
  </si>
  <si>
    <t>Percentage-Based Costs</t>
  </si>
  <si>
    <t>P&amp;P Bond, Insurance, Sub Bonds</t>
  </si>
  <si>
    <t>Contractor Profit &amp; Overhead</t>
  </si>
  <si>
    <t>Construction Contingency</t>
  </si>
  <si>
    <t>Soft Cost Contingency</t>
  </si>
  <si>
    <t>Developer Fee</t>
  </si>
  <si>
    <t>Total Percentage-Based Costs</t>
  </si>
  <si>
    <t>TOTAL DEVELOPMENT COST EXCLUDING LAND</t>
  </si>
  <si>
    <t>Land Costs</t>
  </si>
  <si>
    <t>TOTAL DEVELOPMENT COST</t>
  </si>
  <si>
    <t>OFFSITE COMPARISON</t>
  </si>
  <si>
    <t>Total Offsite Costs</t>
  </si>
  <si>
    <t>FOR COMP AVERAGE</t>
  </si>
  <si>
    <t xml:space="preserve">TPINES - Torrey Pines Contract </t>
  </si>
  <si>
    <t xml:space="preserve">Job Cost Progress Report as of December 10, 2024 </t>
  </si>
  <si>
    <t>Original Estimate</t>
  </si>
  <si>
    <t>Approved COs</t>
  </si>
  <si>
    <t>Current Estimate</t>
  </si>
  <si>
    <t>Subcontract Committed</t>
  </si>
  <si>
    <t>Subcontract COs</t>
  </si>
  <si>
    <t>Purchase Orders</t>
  </si>
  <si>
    <t>Total Committed</t>
  </si>
  <si>
    <t>O/S Budget</t>
  </si>
  <si>
    <t>Cost To Date</t>
  </si>
  <si>
    <t>Current Month</t>
  </si>
  <si>
    <t>Cost To</t>
  </si>
  <si>
    <t>O/S Commitment</t>
  </si>
  <si>
    <t>Estimate @ Completion</t>
  </si>
  <si>
    <t>% Complete</t>
  </si>
  <si>
    <t>Complete</t>
  </si>
  <si>
    <t>10-1454 - Street Signs</t>
  </si>
  <si>
    <t>10 - Specialties Total</t>
  </si>
  <si>
    <t>26-5613 - Street Lights</t>
  </si>
  <si>
    <t>26 - Electrical Total</t>
  </si>
  <si>
    <t>32-1216 - Paving</t>
  </si>
  <si>
    <t>32-1613 - Curbs-Gutters</t>
  </si>
  <si>
    <t>32-1623 - Concrete Flatwork</t>
  </si>
  <si>
    <t>32 - Exterior Improvements Total</t>
  </si>
  <si>
    <t>33-1001 - Water System</t>
  </si>
  <si>
    <t>33-3001 - Sewer System</t>
  </si>
  <si>
    <t>33-4001 - Storm Drains</t>
  </si>
  <si>
    <t>33 - Utilities Total</t>
  </si>
  <si>
    <t>34-4116 - Traffic Control</t>
  </si>
  <si>
    <t>34 - Transportation Total</t>
  </si>
  <si>
    <t>49-0802 - Grading Testing</t>
  </si>
  <si>
    <t>49-0950 - Third Party Inspec/Reports</t>
  </si>
  <si>
    <t>49 - Field Surveys, Staking Total</t>
  </si>
  <si>
    <t>OFFSITE - Offsite Total</t>
  </si>
  <si>
    <t>Job Total</t>
  </si>
  <si>
    <t>All Job Total</t>
  </si>
  <si>
    <t>Generated By: Victor Alvarez @ December 10, 2024 10:40:27 AM</t>
  </si>
  <si>
    <t xml:space="preserve">PEBBLE - Pebble Seniors Contract </t>
  </si>
  <si>
    <t>Job: PEBBLE - Pebble Seniors Contract      Owner: Pebble Seniors LLC      Start Date: 11-01-2023      Completion Date: 05-01-2025</t>
  </si>
  <si>
    <t>OFFSITE - Offsite</t>
  </si>
  <si>
    <t>32-0506 - Asphalt sawcut and removal</t>
  </si>
  <si>
    <t>33-7101 - Underground Electric</t>
  </si>
  <si>
    <t>49-0601 - Staking</t>
  </si>
  <si>
    <t>Generated By: Victor Alvarez @ December 10, 2024 10:41:15 AM</t>
  </si>
  <si>
    <t xml:space="preserve">DECROM - Decatur Rome Contract </t>
  </si>
  <si>
    <t>Job: DECATURROM - Decatur Rome Contract      Owner: Decatur Rome Seniors LLC      Start Date: 04-16-2024      Completion Date: 03-16-2026</t>
  </si>
  <si>
    <t>32-0506 - Onsite Sawcut/Removal</t>
  </si>
  <si>
    <t>32-1613 - Curbs &amp; Gutters</t>
  </si>
  <si>
    <t>Generated By: Victor Alvarez @ December 10, 2024 10:32:46 AM</t>
  </si>
  <si>
    <t>Russell IV - Offsite Cost</t>
  </si>
  <si>
    <t>Budget Code Description</t>
  </si>
  <si>
    <t>Revised Budget</t>
  </si>
  <si>
    <t>OFFSITE.Street Signs.Allowance</t>
  </si>
  <si>
    <t>OFFSITE.Street Signs.Standard</t>
  </si>
  <si>
    <t>OFFSITE.Street Lights.Allowance</t>
  </si>
  <si>
    <t>OFFSITE.Street Lights.Standard</t>
  </si>
  <si>
    <t>31-2201 - Grading</t>
  </si>
  <si>
    <t>OFFSITE.Grading.Standard</t>
  </si>
  <si>
    <t>OFFSITE.Asphalt sawcut and removal.Allowance</t>
  </si>
  <si>
    <t>OFFSITE.Asphalt sawcut and removal.Standard</t>
  </si>
  <si>
    <t>OFFSITE.Paving.Standard</t>
  </si>
  <si>
    <t>OFFSITE.Curbs-Gutters.Standard</t>
  </si>
  <si>
    <t>OFFSITE.Concrete Flatwork.Standard</t>
  </si>
  <si>
    <t>OFFSITE.Water System.Allowance</t>
  </si>
  <si>
    <t>OFFSITE.Water System.Bonds</t>
  </si>
  <si>
    <t>OFFSITE.Water System.Standard</t>
  </si>
  <si>
    <t>OFFSITE.Sewer System.Standard</t>
  </si>
  <si>
    <t>OFFSITE.Underground Electric.Allowance</t>
  </si>
  <si>
    <t>33-7102 - Secondary Conduit</t>
  </si>
  <si>
    <t>OFFSITE.Secondary Conduit.Standard</t>
  </si>
  <si>
    <t>OFFSITE.Traffic Control.Allowance</t>
  </si>
  <si>
    <t>OFFSITE.Traffic Control.Standard</t>
  </si>
  <si>
    <t>Total Offsite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</si>
</sst>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dd/yy;@"/>
    <numFmt numFmtId="165" formatCode="#,##0.0"/>
    <numFmt numFmtId="166" formatCode="&quot;$&quot;#,##0"/>
    <numFmt numFmtId="167" formatCode="_(* #,##0_);_(* \(#,##0\);_(* &quot;-&quot;??_);_(@_)"/>
    <numFmt numFmtId="168" formatCode="_(&quot;$&quot;* #,##0_);_(&quot;$&quot;* \(#,##0\);_(&quot;$&quot;* &quot;-&quot;??_);_(@_)"/>
    <numFmt numFmtId="169" formatCode="&quot;$&quot;#,##0.0"/>
    <numFmt numFmtId="170" formatCode="0.000%"/>
    <numFmt numFmtId="171" formatCode="&quot;$&quot;#,##0.00"/>
    <numFmt numFmtId="172" formatCode="_([$$-409]* #,##0_);_([$$-409]* \(#,##0\);_([$$-409]* &quot;-&quot;??_);_(@_)"/>
    <numFmt numFmtId="173" formatCode="0.0"/>
    <numFmt numFmtId="174" formatCode="0.0%"/>
    <numFmt numFmtId="175" formatCode="_(* #,##0.000_);_(* \(#,##0.000\);_(* &quot;-&quot;??_);_(@_)"/>
    <numFmt numFmtId="176" formatCode="&quot;$&quot;#,##0.00;[Red]&quot;$&quot;#,##0.00"/>
    <numFmt numFmtId="177" formatCode="&quot;$&quot;#,##0;[Red]&quot;$&quot;#,##0"/>
    <numFmt numFmtId="178" formatCode="&quot;$&quot;#,##0.0_);[Red]\(&quot;$&quot;#,##0.0\)"/>
    <numFmt numFmtId="179" formatCode="#,##0.0_);[Red]\(#,##0.0\)"/>
    <numFmt numFmtId="180" formatCode="0_);\(0\)"/>
    <numFmt numFmtId="181" formatCode="_(* #,##0_);_(* \(#,##0\);_(* &quot;-&quot;???_);_(@_)"/>
    <numFmt numFmtId="182" formatCode="0.000"/>
  </numFmts>
  <fonts count="67">
    <font>
      <sz val="11"/>
      <color theme="1"/>
      <name val="Aptos Narrow"/>
      <family val="2"/>
      <scheme val="minor"/>
    </font>
    <font>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i/>
      <sz val="11"/>
      <name val="Aptos Narrow"/>
      <family val="2"/>
      <scheme val="minor"/>
    </font>
    <font>
      <u val="singleAccounting"/>
      <sz val="11"/>
      <name val="Aptos Narrow"/>
      <family val="2"/>
      <scheme val="minor"/>
    </font>
    <font>
      <sz val="8"/>
      <name val="Aptos Narrow"/>
      <family val="2"/>
      <scheme val="minor"/>
    </font>
    <font>
      <b/>
      <sz val="12"/>
      <name val="Aptos Display"/>
      <family val="2"/>
      <scheme val="major"/>
    </font>
    <font>
      <sz val="12"/>
      <name val="Aptos Display"/>
      <family val="2"/>
      <scheme val="major"/>
    </font>
    <font>
      <sz val="11"/>
      <color theme="6"/>
      <name val="Aptos Narrow"/>
      <family val="2"/>
      <scheme val="minor"/>
    </font>
    <font>
      <sz val="11"/>
      <color theme="1"/>
      <name val="Amasis MT Pro"/>
      <family val="1"/>
    </font>
    <font>
      <b/>
      <sz val="11"/>
      <color theme="1"/>
      <name val="Amasis MT Pro"/>
      <family val="1"/>
    </font>
    <font>
      <b/>
      <sz val="11"/>
      <name val="Amasis MT Pro"/>
      <family val="1"/>
    </font>
    <font>
      <sz val="11"/>
      <name val="Amasis MT Pro"/>
      <family val="1"/>
    </font>
    <font>
      <sz val="11"/>
      <color rgb="FF000000"/>
      <name val="Amasis MT Pro"/>
      <family val="1"/>
    </font>
    <font>
      <b/>
      <sz val="20"/>
      <name val="Aptos Narrow"/>
      <family val="2"/>
      <scheme val="minor"/>
    </font>
    <font>
      <b/>
      <sz val="20"/>
      <color theme="0"/>
      <name val="Aptos Narrow"/>
      <family val="2"/>
      <scheme val="minor"/>
    </font>
    <font>
      <sz val="11"/>
      <color theme="0"/>
      <name val="Aptos Narrow"/>
      <family val="2"/>
      <scheme val="minor"/>
    </font>
    <font>
      <b/>
      <sz val="11"/>
      <color rgb="FFFF0000"/>
      <name val="Aptos Narrow"/>
      <family val="2"/>
      <scheme val="minor"/>
    </font>
    <font>
      <b/>
      <sz val="11"/>
      <color theme="0"/>
      <name val="Aptos Narrow"/>
      <family val="2"/>
      <scheme val="minor"/>
    </font>
    <font>
      <b/>
      <sz val="11"/>
      <color theme="1"/>
      <name val="Aptos Narrow"/>
      <family val="2"/>
      <scheme val="minor"/>
    </font>
    <font>
      <sz val="11"/>
      <color theme="1"/>
      <name val="Helvetica"/>
      <family val="2"/>
    </font>
    <font>
      <b/>
      <sz val="11"/>
      <color rgb="FF000000"/>
      <name val="Helvetica"/>
      <family val="2"/>
    </font>
    <font>
      <b/>
      <sz val="9"/>
      <color theme="1"/>
      <name val="Helvetica"/>
      <family val="2"/>
    </font>
    <font>
      <b/>
      <sz val="11"/>
      <color theme="1"/>
      <name val="Helvetica"/>
      <family val="2"/>
    </font>
    <font>
      <sz val="9"/>
      <color theme="1"/>
      <name val="Helvetica"/>
      <family val="2"/>
    </font>
    <font>
      <sz val="9"/>
      <color rgb="FF000000"/>
      <name val="Helvetica"/>
      <family val="2"/>
    </font>
    <font>
      <b/>
      <sz val="9"/>
      <color rgb="FF000000"/>
      <name val="Helvetica"/>
      <family val="2"/>
    </font>
    <font>
      <sz val="9"/>
      <color rgb="FFFF0000"/>
      <name val="Helvetica"/>
      <family val="2"/>
    </font>
    <font>
      <b/>
      <sz val="9"/>
      <color rgb="FFFF0000"/>
      <name val="Helvetica"/>
      <family val="2"/>
    </font>
    <font>
      <b/>
      <u/>
      <sz val="11"/>
      <color theme="1"/>
      <name val="Aptos Narrow"/>
      <family val="2"/>
      <scheme val="minor"/>
    </font>
    <font>
      <sz val="10"/>
      <color theme="1"/>
      <name val="Geneva"/>
    </font>
    <font>
      <b/>
      <sz val="10"/>
      <color theme="0"/>
      <name val="Geneva"/>
    </font>
    <font>
      <b/>
      <sz val="10"/>
      <name val="Geneva"/>
    </font>
    <font>
      <b/>
      <sz val="10"/>
      <color theme="1"/>
      <name val="Geneva"/>
    </font>
    <font>
      <b/>
      <u val="singleAccounting"/>
      <sz val="10"/>
      <color theme="1"/>
      <name val="Geneva"/>
    </font>
    <font>
      <u val="singleAccounting"/>
      <sz val="10"/>
      <color theme="1"/>
      <name val="Geneva"/>
    </font>
    <font>
      <sz val="11"/>
      <color theme="9"/>
      <name val="Aptos Narrow"/>
      <family val="2"/>
      <scheme val="minor"/>
    </font>
    <font>
      <sz val="10"/>
      <name val="Arial"/>
      <family val="2"/>
    </font>
    <font>
      <b/>
      <sz val="18"/>
      <color theme="1"/>
      <name val="Aptos Narrow"/>
      <family val="2"/>
      <scheme val="minor"/>
    </font>
    <font>
      <sz val="12"/>
      <color theme="1"/>
      <name val="Aptos Narrow"/>
      <family val="2"/>
      <scheme val="minor"/>
    </font>
    <font>
      <sz val="10"/>
      <name val="Arial"/>
      <family val="2"/>
    </font>
    <font>
      <b/>
      <sz val="12"/>
      <color theme="1"/>
      <name val="Aptos Narrow"/>
      <family val="2"/>
      <scheme val="minor"/>
    </font>
    <font>
      <sz val="12"/>
      <color rgb="FF0000FF"/>
      <name val="Aptos Narrow"/>
      <family val="2"/>
      <scheme val="minor"/>
    </font>
    <font>
      <b/>
      <sz val="12"/>
      <name val="Aptos Narrow"/>
      <family val="2"/>
      <scheme val="minor"/>
    </font>
    <font>
      <b/>
      <u/>
      <sz val="12"/>
      <color indexed="8"/>
      <name val="Aptos Narrow"/>
      <family val="2"/>
      <scheme val="minor"/>
    </font>
    <font>
      <sz val="12"/>
      <name val="Aptos Narrow"/>
      <family val="2"/>
      <scheme val="minor"/>
    </font>
    <font>
      <sz val="12"/>
      <color indexed="8"/>
      <name val="Aptos Narrow"/>
      <family val="2"/>
      <scheme val="minor"/>
    </font>
    <font>
      <u/>
      <sz val="10"/>
      <color theme="10"/>
      <name val="Arial"/>
      <family val="2"/>
    </font>
    <font>
      <b/>
      <sz val="12"/>
      <color indexed="8"/>
      <name val="Aptos Narrow"/>
      <family val="2"/>
      <scheme val="minor"/>
    </font>
    <font>
      <b/>
      <i/>
      <sz val="12"/>
      <color theme="1"/>
      <name val="Aptos Narrow"/>
      <family val="2"/>
      <scheme val="minor"/>
    </font>
    <font>
      <i/>
      <sz val="12"/>
      <color theme="1"/>
      <name val="Aptos Narrow"/>
      <family val="2"/>
      <scheme val="minor"/>
    </font>
    <font>
      <i/>
      <sz val="11"/>
      <color theme="1"/>
      <name val="Aptos Narrow"/>
      <family val="2"/>
      <scheme val="minor"/>
    </font>
    <font>
      <b/>
      <sz val="12"/>
      <color rgb="FF0000FF"/>
      <name val="Aptos Narrow"/>
      <family val="2"/>
      <scheme val="minor"/>
    </font>
    <font>
      <sz val="10"/>
      <name val="Geneva"/>
    </font>
    <font>
      <b/>
      <sz val="12"/>
      <name val="Geneva"/>
    </font>
    <font>
      <sz val="10"/>
      <name val="Geneva"/>
      <family val="2"/>
    </font>
    <font>
      <sz val="10"/>
      <color rgb="FF0000FF"/>
      <name val="Geneva"/>
    </font>
    <font>
      <u val="singleAccounting"/>
      <sz val="10"/>
      <name val="Geneva"/>
    </font>
    <font>
      <sz val="11"/>
      <name val="Geneva"/>
    </font>
    <font>
      <sz val="11"/>
      <color rgb="FF0000FF"/>
      <name val="Aptos Narrow"/>
      <family val="2"/>
      <scheme val="minor"/>
    </font>
    <font>
      <b/>
      <sz val="9"/>
      <color indexed="81"/>
      <name val="Tahoma"/>
      <family val="2"/>
    </font>
    <font>
      <sz val="9"/>
      <color indexed="81"/>
      <name val="Tahoma"/>
      <family val="2"/>
    </font>
    <font>
      <sz val="11"/>
      <color theme="6"/>
      <name val="Amasis MT Pro"/>
      <family val="1"/>
    </font>
    <font>
      <sz val="11"/>
      <color rgb="FFFF0000"/>
      <name val="Amasis MT Pro"/>
      <family val="1"/>
    </font>
    <font>
      <u val="singleAccounting"/>
      <sz val="10"/>
      <color rgb="FF0000FF"/>
      <name val="Geneva"/>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3" tint="0.249977111117893"/>
        <bgColor indexed="64"/>
      </patternFill>
    </fill>
    <fill>
      <patternFill patternType="solid">
        <fgColor rgb="FFFF0000"/>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C1CDFF"/>
        <bgColor indexed="64"/>
      </patternFill>
    </fill>
    <fill>
      <patternFill patternType="solid">
        <fgColor theme="1"/>
        <bgColor indexed="64"/>
      </patternFill>
    </fill>
  </fills>
  <borders count="116">
    <border>
      <left/>
      <right/>
      <top/>
      <bottom/>
      <diagonal/>
    </border>
    <border>
      <left/>
      <right/>
      <top style="medium">
        <color indexed="64"/>
      </top>
      <bottom style="medium">
        <color indexed="64"/>
      </bottom>
      <diagonal/>
    </border>
    <border>
      <left/>
      <right/>
      <top style="medium">
        <color indexed="64"/>
      </top>
      <bottom style="thin">
        <color indexed="64"/>
      </bottom>
      <diagonal/>
    </border>
    <border>
      <left/>
      <right/>
      <top style="medium">
        <color indexed="64"/>
      </top>
      <bottom style="hair">
        <color indexed="64"/>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bottom style="hair">
        <color auto="1"/>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top style="hair">
        <color auto="1"/>
      </top>
      <bottom/>
      <diagonal/>
    </border>
    <border>
      <left style="hair">
        <color indexed="64"/>
      </left>
      <right style="hair">
        <color indexed="64"/>
      </right>
      <top/>
      <bottom style="medium">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bottom style="hair">
        <color auto="1"/>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medium">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auto="1"/>
      </top>
      <bottom/>
      <diagonal/>
    </border>
    <border>
      <left/>
      <right style="medium">
        <color indexed="64"/>
      </right>
      <top style="hair">
        <color auto="1"/>
      </top>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hair">
        <color auto="1"/>
      </bottom>
      <diagonal/>
    </border>
    <border>
      <left style="medium">
        <color indexed="64"/>
      </left>
      <right style="hair">
        <color indexed="64"/>
      </right>
      <top/>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thin">
        <color indexed="64"/>
      </top>
      <bottom/>
      <diagonal/>
    </border>
    <border>
      <left style="medium">
        <color indexed="64"/>
      </left>
      <right style="hair">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hair">
        <color indexed="64"/>
      </right>
      <top/>
      <bottom style="thin">
        <color indexed="64"/>
      </bottom>
      <diagonal/>
    </border>
    <border>
      <left style="medium">
        <color indexed="64"/>
      </left>
      <right style="hair">
        <color indexed="64"/>
      </right>
      <top/>
      <bottom style="hair">
        <color auto="1"/>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style="hair">
        <color indexed="64"/>
      </right>
      <top style="hair">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hair">
        <color indexed="64"/>
      </top>
      <bottom/>
      <diagonal/>
    </border>
    <border>
      <left/>
      <right/>
      <top style="medium">
        <color rgb="FFC0C0C0"/>
      </top>
      <bottom/>
      <diagonal/>
    </border>
    <border>
      <left/>
      <right style="medium">
        <color indexed="64"/>
      </right>
      <top style="thin">
        <color indexed="64"/>
      </top>
      <bottom/>
      <diagonal/>
    </border>
    <border>
      <left style="medium">
        <color indexed="64"/>
      </left>
      <right style="hair">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right style="hair">
        <color indexed="64"/>
      </right>
      <top style="medium">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9" fillId="0" borderId="0"/>
    <xf numFmtId="44" fontId="39"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49" fillId="0" borderId="0" applyNumberFormat="0" applyFill="0" applyBorder="0" applyAlignment="0" applyProtection="0"/>
    <xf numFmtId="0" fontId="55" fillId="0" borderId="0"/>
    <xf numFmtId="41" fontId="57" fillId="0" borderId="0" applyFont="0" applyFill="0" applyBorder="0" applyAlignment="0" applyProtection="0"/>
    <xf numFmtId="8" fontId="57" fillId="0" borderId="0" applyFont="0" applyFill="0" applyBorder="0" applyAlignment="0" applyProtection="0"/>
    <xf numFmtId="9" fontId="57" fillId="0" borderId="0" applyFont="0" applyFill="0" applyBorder="0" applyAlignment="0" applyProtection="0"/>
  </cellStyleXfs>
  <cellXfs count="1139">
    <xf numFmtId="0" fontId="0" fillId="0" borderId="0" xfId="0"/>
    <xf numFmtId="0" fontId="3" fillId="2" borderId="0" xfId="0" applyFont="1" applyFill="1" applyAlignment="1">
      <alignment horizontal="left" vertical="top" indent="1" readingOrder="1"/>
    </xf>
    <xf numFmtId="0" fontId="3" fillId="2" borderId="10" xfId="0" applyFont="1" applyFill="1" applyBorder="1" applyAlignment="1">
      <alignment horizontal="left" vertical="top" indent="1" readingOrder="1"/>
    </xf>
    <xf numFmtId="0" fontId="4" fillId="2" borderId="0" xfId="0" applyFont="1" applyFill="1" applyAlignment="1">
      <alignment horizontal="left" vertical="top" indent="3" readingOrder="1"/>
    </xf>
    <xf numFmtId="0" fontId="3" fillId="2" borderId="12" xfId="0" applyFont="1" applyFill="1" applyBorder="1" applyAlignment="1">
      <alignment horizontal="left" vertical="top" indent="1" readingOrder="1"/>
    </xf>
    <xf numFmtId="0" fontId="4" fillId="2" borderId="4" xfId="0" applyFont="1" applyFill="1" applyBorder="1" applyAlignment="1">
      <alignment horizontal="left" vertical="top" indent="3" readingOrder="1"/>
    </xf>
    <xf numFmtId="0" fontId="4" fillId="2" borderId="11" xfId="0" applyFont="1" applyFill="1" applyBorder="1" applyAlignment="1">
      <alignment horizontal="left" vertical="top" indent="3" readingOrder="1"/>
    </xf>
    <xf numFmtId="0" fontId="4" fillId="2" borderId="6" xfId="0" applyFont="1" applyFill="1" applyBorder="1" applyAlignment="1">
      <alignment horizontal="left" vertical="top" indent="3" readingOrder="1"/>
    </xf>
    <xf numFmtId="0" fontId="4" fillId="2" borderId="7" xfId="0" applyFont="1" applyFill="1" applyBorder="1" applyAlignment="1">
      <alignment horizontal="left" vertical="top" indent="3" readingOrder="1"/>
    </xf>
    <xf numFmtId="49" fontId="4" fillId="2" borderId="6" xfId="0" applyNumberFormat="1" applyFont="1" applyFill="1" applyBorder="1" applyAlignment="1">
      <alignment horizontal="left" vertical="top" indent="3" readingOrder="1"/>
    </xf>
    <xf numFmtId="0" fontId="4" fillId="2" borderId="25" xfId="0" applyFont="1" applyFill="1" applyBorder="1" applyAlignment="1">
      <alignment horizontal="left" vertical="top" indent="1" readingOrder="1"/>
    </xf>
    <xf numFmtId="0" fontId="4" fillId="2" borderId="27" xfId="0" applyFont="1" applyFill="1" applyBorder="1" applyAlignment="1">
      <alignment horizontal="left" vertical="top" indent="1" readingOrder="1"/>
    </xf>
    <xf numFmtId="0" fontId="3" fillId="2" borderId="29" xfId="0" applyFont="1" applyFill="1" applyBorder="1" applyAlignment="1">
      <alignment horizontal="left" vertical="top" indent="1" readingOrder="1"/>
    </xf>
    <xf numFmtId="0" fontId="4" fillId="2" borderId="29" xfId="0" applyFont="1" applyFill="1" applyBorder="1" applyAlignment="1">
      <alignment horizontal="left" vertical="top" indent="1" readingOrder="1"/>
    </xf>
    <xf numFmtId="0" fontId="4" fillId="0" borderId="0" xfId="0" applyFont="1"/>
    <xf numFmtId="0" fontId="4" fillId="4" borderId="15" xfId="0" applyFont="1" applyFill="1" applyBorder="1"/>
    <xf numFmtId="0" fontId="3" fillId="4" borderId="14" xfId="0" applyFont="1" applyFill="1" applyBorder="1" applyAlignment="1">
      <alignment horizontal="left" vertical="top" readingOrder="1"/>
    </xf>
    <xf numFmtId="0" fontId="4" fillId="4" borderId="24" xfId="0" applyFont="1" applyFill="1" applyBorder="1" applyAlignment="1">
      <alignment horizontal="center"/>
    </xf>
    <xf numFmtId="4" fontId="4" fillId="4" borderId="24" xfId="0" applyNumberFormat="1" applyFont="1" applyFill="1" applyBorder="1"/>
    <xf numFmtId="9" fontId="4" fillId="4" borderId="24" xfId="2" applyFont="1" applyFill="1" applyBorder="1" applyAlignment="1">
      <alignment horizontal="center"/>
    </xf>
    <xf numFmtId="3" fontId="4" fillId="4" borderId="24" xfId="0" applyNumberFormat="1" applyFont="1" applyFill="1" applyBorder="1"/>
    <xf numFmtId="166" fontId="3" fillId="4" borderId="14" xfId="0" applyNumberFormat="1" applyFont="1" applyFill="1" applyBorder="1"/>
    <xf numFmtId="0" fontId="4" fillId="0" borderId="0" xfId="0" applyFont="1" applyAlignment="1">
      <alignment horizontal="center"/>
    </xf>
    <xf numFmtId="0" fontId="3" fillId="0" borderId="0" xfId="0" applyFont="1" applyAlignment="1">
      <alignment horizontal="center"/>
    </xf>
    <xf numFmtId="44" fontId="4" fillId="0" borderId="0" xfId="3" applyFont="1"/>
    <xf numFmtId="44" fontId="4" fillId="0" borderId="0" xfId="0" applyNumberFormat="1" applyFont="1" applyAlignment="1">
      <alignment horizontal="center"/>
    </xf>
    <xf numFmtId="0" fontId="5" fillId="0" borderId="0" xfId="0" applyFont="1"/>
    <xf numFmtId="0" fontId="5" fillId="0" borderId="0" xfId="0" applyFont="1" applyAlignment="1">
      <alignment horizontal="center"/>
    </xf>
    <xf numFmtId="43" fontId="5" fillId="0" borderId="0" xfId="0" applyNumberFormat="1" applyFont="1" applyAlignment="1">
      <alignment horizontal="center"/>
    </xf>
    <xf numFmtId="0" fontId="3" fillId="0" borderId="0" xfId="0" applyFont="1"/>
    <xf numFmtId="44" fontId="6" fillId="0" borderId="0" xfId="3" applyFont="1"/>
    <xf numFmtId="44" fontId="3" fillId="0" borderId="0" xfId="0" applyNumberFormat="1" applyFont="1"/>
    <xf numFmtId="0" fontId="4" fillId="0" borderId="0" xfId="0" applyFont="1" applyAlignment="1">
      <alignment horizontal="left"/>
    </xf>
    <xf numFmtId="0" fontId="3" fillId="4" borderId="8"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6" xfId="0" applyFont="1" applyFill="1" applyBorder="1" applyAlignment="1">
      <alignment horizontal="center" vertical="center" wrapText="1"/>
    </xf>
    <xf numFmtId="0" fontId="3" fillId="4" borderId="8" xfId="0" applyFont="1" applyFill="1" applyBorder="1" applyAlignment="1">
      <alignment horizontal="centerContinuous" vertical="center"/>
    </xf>
    <xf numFmtId="0" fontId="4" fillId="4" borderId="8" xfId="0" applyFont="1" applyFill="1" applyBorder="1" applyAlignment="1">
      <alignment horizontal="centerContinuous" vertical="center"/>
    </xf>
    <xf numFmtId="3" fontId="4" fillId="2" borderId="22" xfId="0" applyNumberFormat="1" applyFont="1" applyFill="1" applyBorder="1" applyAlignment="1">
      <alignment horizontal="center"/>
    </xf>
    <xf numFmtId="3" fontId="4" fillId="2" borderId="23" xfId="0" applyNumberFormat="1" applyFont="1" applyFill="1" applyBorder="1" applyAlignment="1">
      <alignment horizontal="center"/>
    </xf>
    <xf numFmtId="0" fontId="4" fillId="2" borderId="22" xfId="0" applyFont="1" applyFill="1" applyBorder="1" applyAlignment="1">
      <alignment horizontal="center"/>
    </xf>
    <xf numFmtId="0" fontId="4" fillId="0" borderId="11" xfId="0" applyFont="1" applyBorder="1" applyAlignment="1">
      <alignment horizontal="left" vertical="top" indent="3" readingOrder="1"/>
    </xf>
    <xf numFmtId="3" fontId="4" fillId="2" borderId="21" xfId="0" applyNumberFormat="1" applyFont="1" applyFill="1" applyBorder="1" applyAlignment="1">
      <alignment horizontal="center"/>
    </xf>
    <xf numFmtId="3" fontId="4" fillId="2" borderId="20" xfId="0" applyNumberFormat="1" applyFont="1" applyFill="1" applyBorder="1" applyAlignment="1">
      <alignment horizontal="center"/>
    </xf>
    <xf numFmtId="0" fontId="4" fillId="3" borderId="6" xfId="0" applyFont="1" applyFill="1" applyBorder="1" applyAlignment="1">
      <alignment horizontal="left" vertical="top" indent="3" readingOrder="1"/>
    </xf>
    <xf numFmtId="0" fontId="4" fillId="2" borderId="6" xfId="0" applyFont="1" applyFill="1" applyBorder="1"/>
    <xf numFmtId="1" fontId="4" fillId="2" borderId="6" xfId="0" applyNumberFormat="1" applyFont="1" applyFill="1" applyBorder="1" applyAlignment="1">
      <alignment horizontal="center"/>
    </xf>
    <xf numFmtId="0" fontId="4" fillId="2" borderId="21" xfId="0" applyFont="1" applyFill="1" applyBorder="1" applyAlignment="1">
      <alignment horizontal="center"/>
    </xf>
    <xf numFmtId="3" fontId="4" fillId="2" borderId="6" xfId="0" applyNumberFormat="1" applyFont="1" applyFill="1" applyBorder="1" applyAlignment="1">
      <alignment horizontal="center"/>
    </xf>
    <xf numFmtId="1" fontId="4" fillId="0" borderId="15" xfId="0" applyNumberFormat="1" applyFont="1" applyBorder="1" applyAlignment="1">
      <alignment horizontal="center"/>
    </xf>
    <xf numFmtId="4" fontId="4" fillId="0" borderId="22" xfId="0" applyNumberFormat="1" applyFont="1" applyBorder="1"/>
    <xf numFmtId="4" fontId="4" fillId="2" borderId="22" xfId="0" applyNumberFormat="1" applyFont="1" applyFill="1" applyBorder="1"/>
    <xf numFmtId="0" fontId="4" fillId="0" borderId="6" xfId="0" applyFont="1" applyBorder="1" applyAlignment="1">
      <alignment horizontal="left" vertical="top" indent="3" readingOrder="1"/>
    </xf>
    <xf numFmtId="9" fontId="4" fillId="2" borderId="22" xfId="2" applyFont="1" applyFill="1" applyBorder="1" applyAlignment="1">
      <alignment horizontal="center"/>
    </xf>
    <xf numFmtId="3" fontId="4" fillId="2" borderId="22" xfId="0" applyNumberFormat="1" applyFont="1" applyFill="1" applyBorder="1"/>
    <xf numFmtId="0" fontId="4" fillId="2" borderId="0" xfId="0" applyFont="1" applyFill="1"/>
    <xf numFmtId="0" fontId="4" fillId="2" borderId="0" xfId="0" applyFont="1" applyFill="1" applyAlignment="1">
      <alignment horizontal="center"/>
    </xf>
    <xf numFmtId="166" fontId="3" fillId="2" borderId="0" xfId="0" applyNumberFormat="1" applyFont="1" applyFill="1" applyAlignment="1">
      <alignment horizontal="left" vertical="top" indent="1" readingOrder="1"/>
    </xf>
    <xf numFmtId="0" fontId="4" fillId="0" borderId="39" xfId="0" applyFont="1" applyBorder="1"/>
    <xf numFmtId="0" fontId="4" fillId="2" borderId="40" xfId="0" applyFont="1" applyFill="1" applyBorder="1"/>
    <xf numFmtId="0" fontId="4" fillId="2" borderId="18" xfId="0" applyFont="1" applyFill="1" applyBorder="1" applyAlignment="1">
      <alignment horizontal="center"/>
    </xf>
    <xf numFmtId="4" fontId="4" fillId="2" borderId="21" xfId="0" applyNumberFormat="1" applyFont="1" applyFill="1" applyBorder="1"/>
    <xf numFmtId="3" fontId="4" fillId="2" borderId="18" xfId="0" applyNumberFormat="1" applyFont="1" applyFill="1" applyBorder="1" applyAlignment="1">
      <alignment horizontal="center"/>
    </xf>
    <xf numFmtId="9" fontId="4" fillId="2" borderId="21" xfId="2" applyFont="1" applyFill="1" applyBorder="1" applyAlignment="1">
      <alignment horizontal="center"/>
    </xf>
    <xf numFmtId="4" fontId="4" fillId="2" borderId="20" xfId="0" applyNumberFormat="1" applyFont="1" applyFill="1" applyBorder="1"/>
    <xf numFmtId="0" fontId="4" fillId="2" borderId="20" xfId="0" applyFont="1" applyFill="1" applyBorder="1" applyAlignment="1">
      <alignment horizontal="center"/>
    </xf>
    <xf numFmtId="4" fontId="4" fillId="2" borderId="21" xfId="0" applyNumberFormat="1" applyFont="1" applyFill="1" applyBorder="1" applyAlignment="1">
      <alignment horizontal="right"/>
    </xf>
    <xf numFmtId="3" fontId="4" fillId="2" borderId="21" xfId="0" applyNumberFormat="1" applyFont="1" applyFill="1" applyBorder="1" applyAlignment="1">
      <alignment horizontal="right"/>
    </xf>
    <xf numFmtId="3" fontId="4" fillId="0" borderId="6" xfId="0" applyNumberFormat="1" applyFont="1" applyBorder="1" applyAlignment="1">
      <alignment horizontal="center"/>
    </xf>
    <xf numFmtId="166" fontId="3" fillId="2" borderId="2" xfId="0" applyNumberFormat="1" applyFont="1" applyFill="1" applyBorder="1"/>
    <xf numFmtId="166" fontId="3" fillId="2" borderId="13" xfId="0" applyNumberFormat="1" applyFont="1" applyFill="1" applyBorder="1"/>
    <xf numFmtId="166" fontId="3" fillId="2" borderId="4" xfId="0" applyNumberFormat="1" applyFont="1" applyFill="1" applyBorder="1"/>
    <xf numFmtId="0" fontId="3" fillId="4" borderId="1" xfId="0" applyFont="1" applyFill="1" applyBorder="1" applyAlignment="1">
      <alignment horizontal="centerContinuous"/>
    </xf>
    <xf numFmtId="0" fontId="3" fillId="6" borderId="37" xfId="0" applyFont="1" applyFill="1" applyBorder="1" applyAlignment="1">
      <alignment horizontal="centerContinuous"/>
    </xf>
    <xf numFmtId="0" fontId="3" fillId="6" borderId="1" xfId="0" applyFont="1" applyFill="1" applyBorder="1" applyAlignment="1">
      <alignment horizontal="centerContinuous"/>
    </xf>
    <xf numFmtId="0" fontId="3" fillId="6" borderId="38" xfId="0" applyFont="1" applyFill="1" applyBorder="1" applyAlignment="1">
      <alignment horizontal="centerContinuous"/>
    </xf>
    <xf numFmtId="0" fontId="3" fillId="2" borderId="3" xfId="0" applyFont="1" applyFill="1" applyBorder="1"/>
    <xf numFmtId="0" fontId="4" fillId="2" borderId="3" xfId="0" applyFont="1" applyFill="1" applyBorder="1" applyAlignment="1">
      <alignment horizontal="center"/>
    </xf>
    <xf numFmtId="0" fontId="3" fillId="2" borderId="4" xfId="0" applyFont="1" applyFill="1" applyBorder="1" applyAlignment="1">
      <alignment horizontal="left"/>
    </xf>
    <xf numFmtId="0" fontId="3" fillId="2" borderId="4" xfId="0" applyFont="1" applyFill="1" applyBorder="1" applyAlignment="1">
      <alignment horizontal="center"/>
    </xf>
    <xf numFmtId="0" fontId="3" fillId="5" borderId="14" xfId="0" applyFont="1" applyFill="1" applyBorder="1" applyAlignment="1">
      <alignment horizontal="center"/>
    </xf>
    <xf numFmtId="0" fontId="4" fillId="2" borderId="45" xfId="0" applyFont="1" applyFill="1" applyBorder="1"/>
    <xf numFmtId="3" fontId="4" fillId="2" borderId="3" xfId="0" applyNumberFormat="1" applyFont="1" applyFill="1" applyBorder="1" applyAlignment="1">
      <alignment horizontal="center"/>
    </xf>
    <xf numFmtId="0" fontId="4" fillId="2" borderId="46" xfId="0" applyFont="1" applyFill="1" applyBorder="1"/>
    <xf numFmtId="0" fontId="4" fillId="2" borderId="39" xfId="0" applyFont="1" applyFill="1" applyBorder="1"/>
    <xf numFmtId="0" fontId="3" fillId="2" borderId="6" xfId="0" applyFont="1" applyFill="1" applyBorder="1"/>
    <xf numFmtId="0" fontId="4" fillId="2" borderId="6" xfId="0" applyFont="1" applyFill="1" applyBorder="1" applyAlignment="1">
      <alignment horizontal="center"/>
    </xf>
    <xf numFmtId="0" fontId="4" fillId="2" borderId="5" xfId="0" applyFont="1" applyFill="1" applyBorder="1" applyAlignment="1">
      <alignment horizontal="left" indent="1"/>
    </xf>
    <xf numFmtId="0" fontId="4" fillId="2" borderId="5" xfId="0" applyFont="1" applyFill="1" applyBorder="1" applyAlignment="1">
      <alignment horizontal="center"/>
    </xf>
    <xf numFmtId="9" fontId="4" fillId="2" borderId="5" xfId="2" applyFont="1" applyFill="1" applyBorder="1" applyAlignment="1">
      <alignment horizontal="center"/>
    </xf>
    <xf numFmtId="0" fontId="4" fillId="2" borderId="31" xfId="0" applyFont="1" applyFill="1" applyBorder="1"/>
    <xf numFmtId="0" fontId="4" fillId="2" borderId="10" xfId="0" applyFont="1" applyFill="1" applyBorder="1"/>
    <xf numFmtId="0" fontId="4" fillId="2" borderId="32" xfId="0" applyFont="1" applyFill="1" applyBorder="1"/>
    <xf numFmtId="0" fontId="4" fillId="2" borderId="6" xfId="0" applyFont="1" applyFill="1" applyBorder="1" applyAlignment="1">
      <alignment horizontal="left" indent="1"/>
    </xf>
    <xf numFmtId="9" fontId="4" fillId="2" borderId="6" xfId="2" applyFont="1" applyFill="1" applyBorder="1" applyAlignment="1">
      <alignment horizontal="center"/>
    </xf>
    <xf numFmtId="0" fontId="4" fillId="2" borderId="33" xfId="0" applyFont="1" applyFill="1" applyBorder="1"/>
    <xf numFmtId="0" fontId="4" fillId="2" borderId="34" xfId="0" applyFont="1" applyFill="1" applyBorder="1"/>
    <xf numFmtId="164" fontId="4" fillId="2" borderId="6" xfId="0" applyNumberFormat="1" applyFont="1" applyFill="1" applyBorder="1" applyAlignment="1">
      <alignment horizontal="center"/>
    </xf>
    <xf numFmtId="3" fontId="4" fillId="3" borderId="6" xfId="0" applyNumberFormat="1" applyFont="1" applyFill="1" applyBorder="1" applyAlignment="1">
      <alignment horizontal="center"/>
    </xf>
    <xf numFmtId="0" fontId="4" fillId="0" borderId="40" xfId="0" applyFont="1" applyBorder="1"/>
    <xf numFmtId="0" fontId="4" fillId="2" borderId="7" xfId="0" applyFont="1" applyFill="1" applyBorder="1" applyAlignment="1">
      <alignment horizontal="left" indent="1"/>
    </xf>
    <xf numFmtId="0" fontId="4" fillId="2" borderId="7" xfId="0" applyFont="1" applyFill="1" applyBorder="1" applyAlignment="1">
      <alignment horizontal="center"/>
    </xf>
    <xf numFmtId="9" fontId="4" fillId="2" borderId="7" xfId="2" applyFont="1" applyFill="1" applyBorder="1" applyAlignment="1">
      <alignment horizontal="center"/>
    </xf>
    <xf numFmtId="0" fontId="4" fillId="2" borderId="47" xfId="0" applyFont="1" applyFill="1" applyBorder="1"/>
    <xf numFmtId="3" fontId="4" fillId="2" borderId="11" xfId="0" applyNumberFormat="1" applyFont="1" applyFill="1" applyBorder="1" applyAlignment="1">
      <alignment horizontal="center"/>
    </xf>
    <xf numFmtId="0" fontId="4" fillId="2" borderId="48" xfId="0" applyFont="1" applyFill="1" applyBorder="1"/>
    <xf numFmtId="0" fontId="3" fillId="4" borderId="8" xfId="0" applyFont="1" applyFill="1" applyBorder="1" applyAlignment="1">
      <alignment horizontal="left"/>
    </xf>
    <xf numFmtId="0" fontId="3" fillId="4" borderId="8" xfId="0" applyFont="1" applyFill="1" applyBorder="1" applyAlignment="1">
      <alignment horizontal="center"/>
    </xf>
    <xf numFmtId="9" fontId="3" fillId="4" borderId="8" xfId="2" applyFont="1" applyFill="1" applyBorder="1" applyAlignment="1">
      <alignment horizontal="center"/>
    </xf>
    <xf numFmtId="0" fontId="3" fillId="5" borderId="14" xfId="0" applyFont="1" applyFill="1" applyBorder="1"/>
    <xf numFmtId="3" fontId="3" fillId="5" borderId="14" xfId="0" applyNumberFormat="1" applyFont="1" applyFill="1" applyBorder="1" applyAlignment="1">
      <alignment horizontal="center"/>
    </xf>
    <xf numFmtId="4" fontId="4" fillId="2" borderId="6" xfId="0" applyNumberFormat="1" applyFont="1" applyFill="1" applyBorder="1" applyAlignment="1">
      <alignment horizontal="center"/>
    </xf>
    <xf numFmtId="171" fontId="4" fillId="2" borderId="0" xfId="0" applyNumberFormat="1" applyFont="1" applyFill="1"/>
    <xf numFmtId="0" fontId="3" fillId="2" borderId="11" xfId="0" applyFont="1" applyFill="1" applyBorder="1"/>
    <xf numFmtId="0" fontId="4" fillId="2" borderId="11" xfId="0" applyFont="1" applyFill="1" applyBorder="1"/>
    <xf numFmtId="0" fontId="4" fillId="2" borderId="11" xfId="0" applyFont="1" applyFill="1" applyBorder="1" applyAlignment="1">
      <alignment horizontal="center"/>
    </xf>
    <xf numFmtId="0" fontId="3" fillId="4" borderId="2" xfId="0" applyFont="1" applyFill="1" applyBorder="1" applyAlignment="1">
      <alignment horizontal="left"/>
    </xf>
    <xf numFmtId="0" fontId="3" fillId="4" borderId="2" xfId="0" applyFont="1" applyFill="1" applyBorder="1" applyAlignment="1">
      <alignment horizontal="centerContinuous"/>
    </xf>
    <xf numFmtId="0" fontId="4" fillId="0" borderId="41" xfId="0" applyFont="1" applyBorder="1"/>
    <xf numFmtId="0" fontId="4" fillId="0" borderId="42" xfId="0" applyFont="1" applyBorder="1"/>
    <xf numFmtId="0" fontId="3" fillId="2" borderId="5" xfId="0" applyFont="1" applyFill="1" applyBorder="1" applyAlignment="1">
      <alignment horizontal="left"/>
    </xf>
    <xf numFmtId="0" fontId="3" fillId="2" borderId="6" xfId="0" applyFont="1" applyFill="1" applyBorder="1" applyAlignment="1">
      <alignment horizontal="left"/>
    </xf>
    <xf numFmtId="0" fontId="3" fillId="3" borderId="31" xfId="0" applyFont="1" applyFill="1" applyBorder="1" applyAlignment="1">
      <alignment horizontal="left"/>
    </xf>
    <xf numFmtId="0" fontId="3" fillId="3" borderId="10" xfId="0" applyFont="1" applyFill="1" applyBorder="1" applyAlignment="1">
      <alignment horizontal="left"/>
    </xf>
    <xf numFmtId="166" fontId="3" fillId="3" borderId="32" xfId="0" applyNumberFormat="1" applyFont="1" applyFill="1" applyBorder="1" applyAlignment="1">
      <alignment horizontal="right"/>
    </xf>
    <xf numFmtId="0" fontId="3" fillId="3" borderId="33" xfId="0" applyFont="1" applyFill="1" applyBorder="1" applyAlignment="1">
      <alignment horizontal="left"/>
    </xf>
    <xf numFmtId="0" fontId="3" fillId="3" borderId="0" xfId="0" applyFont="1" applyFill="1" applyAlignment="1">
      <alignment horizontal="left"/>
    </xf>
    <xf numFmtId="166" fontId="3" fillId="3" borderId="34" xfId="0" applyNumberFormat="1" applyFont="1" applyFill="1" applyBorder="1" applyAlignment="1">
      <alignment horizontal="right"/>
    </xf>
    <xf numFmtId="0" fontId="3" fillId="2" borderId="9" xfId="0" applyFont="1" applyFill="1" applyBorder="1" applyAlignment="1">
      <alignment horizontal="left"/>
    </xf>
    <xf numFmtId="0" fontId="3" fillId="2" borderId="9" xfId="0" applyFont="1" applyFill="1" applyBorder="1"/>
    <xf numFmtId="0" fontId="4" fillId="2" borderId="9" xfId="0" applyFont="1" applyFill="1" applyBorder="1"/>
    <xf numFmtId="2" fontId="4" fillId="2" borderId="9" xfId="0" applyNumberFormat="1" applyFont="1" applyFill="1" applyBorder="1" applyAlignment="1">
      <alignment horizontal="center"/>
    </xf>
    <xf numFmtId="0" fontId="3" fillId="3" borderId="35" xfId="0" applyFont="1" applyFill="1" applyBorder="1" applyAlignment="1">
      <alignment horizontal="left"/>
    </xf>
    <xf numFmtId="0" fontId="3" fillId="3" borderId="8" xfId="0" applyFont="1" applyFill="1" applyBorder="1" applyAlignment="1">
      <alignment horizontal="left"/>
    </xf>
    <xf numFmtId="169" fontId="3" fillId="3" borderId="36" xfId="0" applyNumberFormat="1" applyFont="1" applyFill="1" applyBorder="1" applyAlignment="1">
      <alignment horizontal="right"/>
    </xf>
    <xf numFmtId="0" fontId="3" fillId="2" borderId="0" xfId="0" applyFont="1" applyFill="1"/>
    <xf numFmtId="165" fontId="4" fillId="2" borderId="0" xfId="0" applyNumberFormat="1" applyFont="1" applyFill="1" applyAlignment="1">
      <alignment horizontal="center"/>
    </xf>
    <xf numFmtId="0" fontId="4" fillId="2" borderId="35" xfId="0" applyFont="1" applyFill="1" applyBorder="1"/>
    <xf numFmtId="0" fontId="4" fillId="2" borderId="8" xfId="0" applyFont="1" applyFill="1" applyBorder="1"/>
    <xf numFmtId="0" fontId="4" fillId="2" borderId="36" xfId="0" applyFont="1" applyFill="1" applyBorder="1"/>
    <xf numFmtId="0" fontId="4" fillId="2" borderId="43" xfId="0" applyFont="1" applyFill="1" applyBorder="1"/>
    <xf numFmtId="3" fontId="4" fillId="2" borderId="9" xfId="0" applyNumberFormat="1" applyFont="1" applyFill="1" applyBorder="1" applyAlignment="1">
      <alignment horizontal="center"/>
    </xf>
    <xf numFmtId="0" fontId="4" fillId="2" borderId="44" xfId="0" applyFont="1" applyFill="1" applyBorder="1"/>
    <xf numFmtId="0" fontId="4" fillId="2" borderId="17" xfId="0" applyFont="1" applyFill="1" applyBorder="1" applyAlignment="1">
      <alignment horizontal="center"/>
    </xf>
    <xf numFmtId="3" fontId="4" fillId="2" borderId="17" xfId="0" applyNumberFormat="1" applyFont="1" applyFill="1" applyBorder="1"/>
    <xf numFmtId="9" fontId="4" fillId="2" borderId="17" xfId="2" applyFont="1" applyFill="1" applyBorder="1" applyAlignment="1">
      <alignment horizontal="center"/>
    </xf>
    <xf numFmtId="3" fontId="4" fillId="2" borderId="17" xfId="0" applyNumberFormat="1" applyFont="1" applyFill="1" applyBorder="1" applyAlignment="1">
      <alignment horizontal="right"/>
    </xf>
    <xf numFmtId="4" fontId="4" fillId="2" borderId="18" xfId="0" applyNumberFormat="1" applyFont="1" applyFill="1" applyBorder="1"/>
    <xf numFmtId="9" fontId="4" fillId="2" borderId="18" xfId="2" applyFont="1" applyFill="1" applyBorder="1" applyAlignment="1">
      <alignment horizontal="center"/>
    </xf>
    <xf numFmtId="4" fontId="4" fillId="2" borderId="18" xfId="0" applyNumberFormat="1" applyFont="1" applyFill="1" applyBorder="1" applyAlignment="1">
      <alignment horizontal="right"/>
    </xf>
    <xf numFmtId="3" fontId="4" fillId="2" borderId="18" xfId="0" applyNumberFormat="1" applyFont="1" applyFill="1" applyBorder="1" applyAlignment="1">
      <alignment horizontal="right"/>
    </xf>
    <xf numFmtId="0" fontId="4" fillId="2" borderId="19" xfId="0" applyFont="1" applyFill="1" applyBorder="1" applyAlignment="1">
      <alignment horizontal="center"/>
    </xf>
    <xf numFmtId="3" fontId="4" fillId="2" borderId="19" xfId="0" applyNumberFormat="1" applyFont="1" applyFill="1" applyBorder="1" applyAlignment="1">
      <alignment horizontal="center"/>
    </xf>
    <xf numFmtId="4" fontId="4" fillId="2" borderId="19" xfId="0" applyNumberFormat="1" applyFont="1" applyFill="1" applyBorder="1"/>
    <xf numFmtId="9" fontId="4" fillId="2" borderId="19" xfId="2" applyFont="1" applyFill="1" applyBorder="1" applyAlignment="1">
      <alignment horizontal="center"/>
    </xf>
    <xf numFmtId="4" fontId="4" fillId="2" borderId="19" xfId="0" applyNumberFormat="1" applyFont="1" applyFill="1" applyBorder="1" applyAlignment="1">
      <alignment horizontal="right"/>
    </xf>
    <xf numFmtId="3" fontId="4" fillId="2" borderId="19" xfId="0" applyNumberFormat="1" applyFont="1" applyFill="1" applyBorder="1" applyAlignment="1">
      <alignment horizontal="right"/>
    </xf>
    <xf numFmtId="9" fontId="4" fillId="2" borderId="20" xfId="2" applyFont="1" applyFill="1" applyBorder="1" applyAlignment="1">
      <alignment horizontal="center"/>
    </xf>
    <xf numFmtId="4" fontId="4" fillId="2" borderId="20" xfId="0" applyNumberFormat="1" applyFont="1" applyFill="1" applyBorder="1" applyAlignment="1">
      <alignment horizontal="right"/>
    </xf>
    <xf numFmtId="3" fontId="4" fillId="2" borderId="20" xfId="0" applyNumberFormat="1" applyFont="1" applyFill="1" applyBorder="1" applyAlignment="1">
      <alignment horizontal="right"/>
    </xf>
    <xf numFmtId="4" fontId="4" fillId="2" borderId="22" xfId="0" applyNumberFormat="1" applyFont="1" applyFill="1" applyBorder="1" applyAlignment="1">
      <alignment horizontal="right"/>
    </xf>
    <xf numFmtId="0" fontId="3" fillId="2" borderId="31" xfId="0" applyFont="1" applyFill="1" applyBorder="1"/>
    <xf numFmtId="0" fontId="3" fillId="2" borderId="10" xfId="0" applyFont="1" applyFill="1" applyBorder="1"/>
    <xf numFmtId="0" fontId="3" fillId="2" borderId="10" xfId="0" applyFont="1" applyFill="1" applyBorder="1" applyAlignment="1">
      <alignment horizontal="center"/>
    </xf>
    <xf numFmtId="0" fontId="3" fillId="2" borderId="32" xfId="0" applyFont="1" applyFill="1" applyBorder="1"/>
    <xf numFmtId="0" fontId="4" fillId="2" borderId="0" xfId="0" applyFont="1" applyFill="1" applyAlignment="1">
      <alignment horizontal="right"/>
    </xf>
    <xf numFmtId="0" fontId="4" fillId="2" borderId="23" xfId="0" applyFont="1" applyFill="1" applyBorder="1" applyAlignment="1">
      <alignment horizontal="center"/>
    </xf>
    <xf numFmtId="4" fontId="4" fillId="2" borderId="23" xfId="0" applyNumberFormat="1" applyFont="1" applyFill="1" applyBorder="1"/>
    <xf numFmtId="9" fontId="4" fillId="2" borderId="23" xfId="2" applyFont="1" applyFill="1" applyBorder="1" applyAlignment="1">
      <alignment horizontal="center"/>
    </xf>
    <xf numFmtId="4" fontId="4" fillId="2" borderId="23" xfId="0" applyNumberFormat="1" applyFont="1" applyFill="1" applyBorder="1" applyAlignment="1">
      <alignment horizontal="right"/>
    </xf>
    <xf numFmtId="0" fontId="3" fillId="2" borderId="8" xfId="0" applyFont="1" applyFill="1" applyBorder="1"/>
    <xf numFmtId="0" fontId="3" fillId="2" borderId="36" xfId="0" applyFont="1" applyFill="1" applyBorder="1"/>
    <xf numFmtId="3" fontId="4" fillId="2" borderId="19" xfId="0" applyNumberFormat="1" applyFont="1" applyFill="1" applyBorder="1"/>
    <xf numFmtId="0" fontId="3" fillId="2" borderId="31" xfId="0" applyFont="1" applyFill="1" applyBorder="1" applyAlignment="1">
      <alignment horizontal="center"/>
    </xf>
    <xf numFmtId="0" fontId="3" fillId="2" borderId="32" xfId="0" applyFont="1" applyFill="1" applyBorder="1" applyAlignment="1">
      <alignment horizontal="center"/>
    </xf>
    <xf numFmtId="0" fontId="8" fillId="2" borderId="33" xfId="0" applyFont="1" applyFill="1" applyBorder="1"/>
    <xf numFmtId="0" fontId="9" fillId="2" borderId="0" xfId="0" applyFont="1" applyFill="1"/>
    <xf numFmtId="0" fontId="9" fillId="2" borderId="34" xfId="0" applyFont="1" applyFill="1" applyBorder="1"/>
    <xf numFmtId="167" fontId="4" fillId="2" borderId="6" xfId="1" applyNumberFormat="1" applyFont="1" applyFill="1" applyBorder="1"/>
    <xf numFmtId="0" fontId="9" fillId="2" borderId="33" xfId="0" applyFont="1" applyFill="1" applyBorder="1"/>
    <xf numFmtId="0" fontId="9" fillId="2" borderId="35" xfId="0" applyFont="1" applyFill="1" applyBorder="1"/>
    <xf numFmtId="0" fontId="9" fillId="2" borderId="8" xfId="0" applyFont="1" applyFill="1" applyBorder="1"/>
    <xf numFmtId="1" fontId="8" fillId="2" borderId="36" xfId="0" applyNumberFormat="1" applyFont="1" applyFill="1" applyBorder="1"/>
    <xf numFmtId="165" fontId="4" fillId="2" borderId="22" xfId="0" applyNumberFormat="1" applyFont="1" applyFill="1" applyBorder="1" applyAlignment="1">
      <alignment horizontal="center"/>
    </xf>
    <xf numFmtId="0" fontId="8" fillId="2" borderId="36" xfId="0" applyFont="1" applyFill="1" applyBorder="1"/>
    <xf numFmtId="165" fontId="4" fillId="2" borderId="21" xfId="0" applyNumberFormat="1" applyFont="1" applyFill="1" applyBorder="1" applyAlignment="1">
      <alignment horizontal="center"/>
    </xf>
    <xf numFmtId="10" fontId="4" fillId="2" borderId="20" xfId="2" applyNumberFormat="1" applyFont="1" applyFill="1" applyBorder="1" applyAlignment="1">
      <alignment horizontal="center"/>
    </xf>
    <xf numFmtId="7" fontId="4" fillId="2" borderId="21" xfId="3" applyNumberFormat="1" applyFont="1" applyFill="1" applyBorder="1" applyAlignment="1">
      <alignment horizontal="center"/>
    </xf>
    <xf numFmtId="10" fontId="4" fillId="2" borderId="18" xfId="2" applyNumberFormat="1" applyFont="1" applyFill="1" applyBorder="1" applyAlignment="1">
      <alignment horizontal="center"/>
    </xf>
    <xf numFmtId="9" fontId="4" fillId="2" borderId="0" xfId="2" applyFont="1" applyFill="1" applyAlignment="1">
      <alignment horizontal="center"/>
    </xf>
    <xf numFmtId="166" fontId="4" fillId="2" borderId="0" xfId="0" applyNumberFormat="1" applyFont="1" applyFill="1"/>
    <xf numFmtId="3" fontId="4" fillId="2" borderId="26" xfId="0" applyNumberFormat="1" applyFont="1" applyFill="1" applyBorder="1" applyAlignment="1">
      <alignment horizontal="right"/>
    </xf>
    <xf numFmtId="3" fontId="4" fillId="2" borderId="28" xfId="0" applyNumberFormat="1" applyFont="1" applyFill="1" applyBorder="1" applyAlignment="1">
      <alignment horizontal="right"/>
    </xf>
    <xf numFmtId="3" fontId="4" fillId="2" borderId="30" xfId="0" applyNumberFormat="1" applyFont="1" applyFill="1" applyBorder="1" applyAlignment="1">
      <alignment horizontal="right"/>
    </xf>
    <xf numFmtId="3" fontId="4" fillId="2" borderId="0" xfId="0" applyNumberFormat="1" applyFont="1" applyFill="1"/>
    <xf numFmtId="4" fontId="4" fillId="3" borderId="18" xfId="0" applyNumberFormat="1" applyFont="1" applyFill="1" applyBorder="1"/>
    <xf numFmtId="44" fontId="4" fillId="2" borderId="33" xfId="3" applyFont="1" applyFill="1" applyBorder="1"/>
    <xf numFmtId="44" fontId="4" fillId="2" borderId="35" xfId="0" applyNumberFormat="1" applyFont="1" applyFill="1" applyBorder="1"/>
    <xf numFmtId="10" fontId="4" fillId="2" borderId="21" xfId="2" applyNumberFormat="1" applyFont="1" applyFill="1" applyBorder="1" applyAlignment="1">
      <alignment horizontal="center"/>
    </xf>
    <xf numFmtId="9" fontId="4" fillId="2" borderId="6" xfId="2" applyFont="1" applyFill="1" applyBorder="1"/>
    <xf numFmtId="170" fontId="4" fillId="2" borderId="0" xfId="2" applyNumberFormat="1" applyFont="1" applyFill="1"/>
    <xf numFmtId="0" fontId="4" fillId="2" borderId="22" xfId="0" quotePrefix="1" applyFont="1" applyFill="1" applyBorder="1" applyAlignment="1">
      <alignment horizontal="center"/>
    </xf>
    <xf numFmtId="14" fontId="4" fillId="2" borderId="5" xfId="0" applyNumberFormat="1" applyFont="1" applyFill="1" applyBorder="1" applyAlignment="1">
      <alignment horizontal="center"/>
    </xf>
    <xf numFmtId="14" fontId="4" fillId="2" borderId="9" xfId="0" applyNumberFormat="1" applyFont="1" applyFill="1" applyBorder="1" applyAlignment="1">
      <alignment horizontal="center"/>
    </xf>
    <xf numFmtId="164" fontId="3" fillId="3" borderId="6" xfId="0" applyNumberFormat="1" applyFont="1" applyFill="1" applyBorder="1" applyAlignment="1">
      <alignment horizontal="center"/>
    </xf>
    <xf numFmtId="3" fontId="2" fillId="2" borderId="22" xfId="0" applyNumberFormat="1" applyFont="1" applyFill="1" applyBorder="1"/>
    <xf numFmtId="0" fontId="10" fillId="2" borderId="22" xfId="0" applyFont="1" applyFill="1" applyBorder="1" applyAlignment="1">
      <alignment horizontal="center"/>
    </xf>
    <xf numFmtId="3" fontId="10" fillId="2" borderId="22" xfId="0" applyNumberFormat="1" applyFont="1" applyFill="1" applyBorder="1" applyAlignment="1">
      <alignment horizontal="center"/>
    </xf>
    <xf numFmtId="4" fontId="10" fillId="2" borderId="22" xfId="0" applyNumberFormat="1" applyFont="1" applyFill="1" applyBorder="1"/>
    <xf numFmtId="9" fontId="10" fillId="2" borderId="22" xfId="2" applyFont="1" applyFill="1" applyBorder="1" applyAlignment="1">
      <alignment horizontal="center"/>
    </xf>
    <xf numFmtId="3" fontId="10" fillId="2" borderId="22" xfId="0" applyNumberFormat="1" applyFont="1" applyFill="1" applyBorder="1"/>
    <xf numFmtId="0" fontId="11" fillId="0" borderId="0" xfId="0" applyFont="1"/>
    <xf numFmtId="0" fontId="11" fillId="0" borderId="0" xfId="0" applyFont="1" applyAlignment="1">
      <alignment horizontal="center"/>
    </xf>
    <xf numFmtId="0" fontId="12" fillId="0" borderId="8" xfId="0" applyFont="1" applyBorder="1" applyAlignment="1">
      <alignment horizontal="centerContinuous"/>
    </xf>
    <xf numFmtId="0" fontId="11" fillId="0" borderId="0" xfId="0" applyFont="1" applyAlignment="1">
      <alignment vertical="center"/>
    </xf>
    <xf numFmtId="0" fontId="13" fillId="0" borderId="8" xfId="0" applyFont="1" applyBorder="1" applyAlignment="1">
      <alignment horizontal="centerContinuous" vertical="center"/>
    </xf>
    <xf numFmtId="0" fontId="11" fillId="0" borderId="8" xfId="0" applyFont="1" applyBorder="1" applyAlignment="1">
      <alignment horizontal="centerContinuous" vertical="center"/>
    </xf>
    <xf numFmtId="0" fontId="13" fillId="0" borderId="8" xfId="0" applyFont="1" applyBorder="1" applyAlignment="1">
      <alignment horizontal="center" vertical="center"/>
    </xf>
    <xf numFmtId="0" fontId="11" fillId="0" borderId="0" xfId="0" applyFont="1" applyAlignment="1">
      <alignment horizontal="center" vertical="center"/>
    </xf>
    <xf numFmtId="0" fontId="11" fillId="7" borderId="0" xfId="0" applyFont="1" applyFill="1" applyAlignment="1">
      <alignment vertical="center"/>
    </xf>
    <xf numFmtId="0" fontId="11" fillId="2" borderId="0" xfId="0" applyFont="1" applyFill="1" applyAlignment="1">
      <alignment vertical="center"/>
    </xf>
    <xf numFmtId="172" fontId="11" fillId="0" borderId="0" xfId="0" applyNumberFormat="1" applyFont="1" applyAlignment="1">
      <alignment vertical="center"/>
    </xf>
    <xf numFmtId="173" fontId="11" fillId="0" borderId="0" xfId="0" applyNumberFormat="1" applyFont="1" applyAlignment="1">
      <alignment horizontal="center" vertical="center"/>
    </xf>
    <xf numFmtId="3" fontId="11" fillId="0" borderId="0" xfId="0" applyNumberFormat="1" applyFont="1" applyAlignment="1">
      <alignment horizontal="center" vertical="center"/>
    </xf>
    <xf numFmtId="3" fontId="14" fillId="0" borderId="0" xfId="0" applyNumberFormat="1" applyFont="1" applyAlignment="1">
      <alignment horizontal="center" vertical="center"/>
    </xf>
    <xf numFmtId="4" fontId="11" fillId="0" borderId="0" xfId="0" applyNumberFormat="1" applyFont="1" applyAlignment="1">
      <alignment horizontal="center" vertical="center"/>
    </xf>
    <xf numFmtId="4" fontId="14" fillId="0" borderId="0" xfId="0" applyNumberFormat="1" applyFont="1" applyAlignment="1">
      <alignment horizontal="center" vertical="center"/>
    </xf>
    <xf numFmtId="0" fontId="11" fillId="0" borderId="8" xfId="0" applyFont="1" applyBorder="1" applyAlignment="1">
      <alignment vertical="center"/>
    </xf>
    <xf numFmtId="0" fontId="11" fillId="0" borderId="8" xfId="0" applyFont="1" applyBorder="1" applyAlignment="1">
      <alignment horizontal="center" vertical="center"/>
    </xf>
    <xf numFmtId="3" fontId="11" fillId="0" borderId="8" xfId="0" applyNumberFormat="1" applyFont="1" applyBorder="1" applyAlignment="1">
      <alignment horizontal="center" vertical="center"/>
    </xf>
    <xf numFmtId="3" fontId="14" fillId="0" borderId="8" xfId="0" applyNumberFormat="1" applyFont="1" applyBorder="1" applyAlignment="1">
      <alignment horizontal="center" vertical="center"/>
    </xf>
    <xf numFmtId="0" fontId="13" fillId="0" borderId="8" xfId="0" applyFont="1" applyBorder="1" applyAlignment="1">
      <alignment horizontal="left" vertical="center"/>
    </xf>
    <xf numFmtId="0" fontId="14" fillId="0" borderId="11" xfId="0" applyFont="1" applyBorder="1" applyAlignment="1">
      <alignment horizontal="left" vertical="center" readingOrder="1"/>
    </xf>
    <xf numFmtId="9" fontId="14" fillId="0" borderId="11" xfId="2" applyFont="1" applyBorder="1" applyAlignment="1">
      <alignment horizontal="left" vertical="center" readingOrder="1"/>
    </xf>
    <xf numFmtId="3" fontId="11" fillId="0" borderId="11" xfId="0" applyNumberFormat="1" applyFont="1" applyBorder="1" applyAlignment="1">
      <alignment horizontal="right" vertical="center"/>
    </xf>
    <xf numFmtId="3" fontId="14" fillId="0" borderId="11" xfId="0" applyNumberFormat="1" applyFont="1" applyBorder="1" applyAlignment="1">
      <alignment horizontal="center" vertical="center"/>
    </xf>
    <xf numFmtId="4" fontId="11" fillId="0" borderId="11" xfId="0" applyNumberFormat="1" applyFont="1" applyBorder="1" applyAlignment="1">
      <alignment horizontal="center" vertical="center"/>
    </xf>
    <xf numFmtId="165" fontId="11" fillId="0" borderId="11" xfId="0" applyNumberFormat="1" applyFont="1" applyBorder="1" applyAlignment="1">
      <alignment horizontal="center" vertical="center"/>
    </xf>
    <xf numFmtId="0" fontId="14" fillId="0" borderId="6" xfId="0" applyFont="1" applyBorder="1" applyAlignment="1">
      <alignment horizontal="left" vertical="center" readingOrder="1"/>
    </xf>
    <xf numFmtId="9" fontId="14" fillId="0" borderId="6" xfId="2" applyFont="1" applyBorder="1" applyAlignment="1">
      <alignment horizontal="left" vertical="center" readingOrder="1"/>
    </xf>
    <xf numFmtId="3" fontId="11" fillId="0" borderId="6" xfId="0" applyNumberFormat="1" applyFont="1" applyBorder="1" applyAlignment="1">
      <alignment horizontal="right" vertical="center"/>
    </xf>
    <xf numFmtId="3" fontId="14" fillId="0" borderId="6" xfId="0" applyNumberFormat="1" applyFont="1" applyBorder="1" applyAlignment="1">
      <alignment horizontal="center" vertical="center"/>
    </xf>
    <xf numFmtId="3" fontId="11" fillId="0" borderId="6" xfId="0" applyNumberFormat="1" applyFont="1" applyBorder="1" applyAlignment="1">
      <alignment horizontal="center" vertical="center"/>
    </xf>
    <xf numFmtId="4" fontId="11" fillId="0" borderId="6" xfId="0" applyNumberFormat="1" applyFont="1" applyBorder="1" applyAlignment="1">
      <alignment horizontal="center" vertical="center"/>
    </xf>
    <xf numFmtId="3" fontId="11" fillId="0" borderId="6" xfId="0" applyNumberFormat="1" applyFont="1" applyBorder="1" applyAlignment="1">
      <alignment vertical="center"/>
    </xf>
    <xf numFmtId="3" fontId="11" fillId="0" borderId="0" xfId="0" applyNumberFormat="1" applyFont="1" applyAlignment="1">
      <alignment vertical="center"/>
    </xf>
    <xf numFmtId="4" fontId="15" fillId="0" borderId="6" xfId="0" applyNumberFormat="1" applyFont="1" applyBorder="1" applyAlignment="1">
      <alignment horizontal="center" vertical="center"/>
    </xf>
    <xf numFmtId="3" fontId="15" fillId="0" borderId="6" xfId="0" applyNumberFormat="1" applyFont="1" applyBorder="1" applyAlignment="1">
      <alignment horizontal="center" vertical="center"/>
    </xf>
    <xf numFmtId="4" fontId="14" fillId="0" borderId="6" xfId="0" applyNumberFormat="1" applyFont="1" applyBorder="1" applyAlignment="1">
      <alignment horizontal="center" vertical="center"/>
    </xf>
    <xf numFmtId="3" fontId="14" fillId="0" borderId="6" xfId="0" applyNumberFormat="1" applyFont="1" applyBorder="1" applyAlignment="1">
      <alignment vertical="center"/>
    </xf>
    <xf numFmtId="0" fontId="14" fillId="0" borderId="9" xfId="0" applyFont="1" applyBorder="1" applyAlignment="1">
      <alignment horizontal="left" vertical="center" readingOrder="1"/>
    </xf>
    <xf numFmtId="9" fontId="14" fillId="0" borderId="9" xfId="2" applyFont="1" applyBorder="1" applyAlignment="1">
      <alignment horizontal="left" vertical="center" readingOrder="1"/>
    </xf>
    <xf numFmtId="3" fontId="11" fillId="0" borderId="9" xfId="0" applyNumberFormat="1" applyFont="1" applyBorder="1" applyAlignment="1">
      <alignment vertical="center"/>
    </xf>
    <xf numFmtId="3" fontId="14" fillId="0" borderId="9" xfId="0" applyNumberFormat="1" applyFont="1" applyBorder="1" applyAlignment="1">
      <alignment horizontal="center" vertical="center"/>
    </xf>
    <xf numFmtId="3" fontId="11" fillId="0" borderId="9" xfId="0" applyNumberFormat="1" applyFont="1" applyBorder="1" applyAlignment="1">
      <alignment horizontal="center" vertical="center"/>
    </xf>
    <xf numFmtId="0" fontId="13" fillId="0" borderId="0" xfId="0" applyFont="1" applyAlignment="1">
      <alignment horizontal="left" vertical="center" readingOrder="1"/>
    </xf>
    <xf numFmtId="166" fontId="11" fillId="0" borderId="0" xfId="0" applyNumberFormat="1" applyFont="1" applyAlignment="1">
      <alignment horizontal="right" vertical="center"/>
    </xf>
    <xf numFmtId="166" fontId="11" fillId="0" borderId="0" xfId="0" applyNumberFormat="1" applyFont="1" applyAlignment="1">
      <alignment horizontal="center" vertical="center"/>
    </xf>
    <xf numFmtId="3" fontId="11" fillId="0" borderId="0" xfId="0" applyNumberFormat="1" applyFont="1"/>
    <xf numFmtId="0" fontId="17" fillId="8" borderId="31" xfId="0" applyFont="1" applyFill="1" applyBorder="1" applyAlignment="1">
      <alignment horizontal="centerContinuous" vertical="center"/>
    </xf>
    <xf numFmtId="0" fontId="17" fillId="8" borderId="10" xfId="0" applyFont="1" applyFill="1" applyBorder="1" applyAlignment="1">
      <alignment horizontal="centerContinuous" vertical="center"/>
    </xf>
    <xf numFmtId="0" fontId="17" fillId="8" borderId="10" xfId="0" applyFont="1" applyFill="1" applyBorder="1" applyAlignment="1">
      <alignment horizontal="centerContinuous" vertical="center" readingOrder="1"/>
    </xf>
    <xf numFmtId="0" fontId="17" fillId="8" borderId="32" xfId="0" applyFont="1" applyFill="1" applyBorder="1" applyAlignment="1">
      <alignment horizontal="centerContinuous" vertical="center" readingOrder="1"/>
    </xf>
    <xf numFmtId="0" fontId="3" fillId="4" borderId="37" xfId="0" applyFont="1" applyFill="1" applyBorder="1" applyAlignment="1">
      <alignment horizontal="centerContinuous"/>
    </xf>
    <xf numFmtId="0" fontId="3" fillId="4" borderId="38" xfId="0" applyFont="1" applyFill="1" applyBorder="1" applyAlignment="1">
      <alignment horizontal="centerContinuous"/>
    </xf>
    <xf numFmtId="0" fontId="3" fillId="2" borderId="45" xfId="0" applyFont="1" applyFill="1" applyBorder="1"/>
    <xf numFmtId="0" fontId="3" fillId="2" borderId="51" xfId="0" applyFont="1" applyFill="1" applyBorder="1" applyAlignment="1">
      <alignment horizontal="center"/>
    </xf>
    <xf numFmtId="0" fontId="3" fillId="2" borderId="39" xfId="0" applyFont="1" applyFill="1" applyBorder="1"/>
    <xf numFmtId="9" fontId="4" fillId="2" borderId="52" xfId="2" applyFont="1" applyFill="1" applyBorder="1" applyAlignment="1">
      <alignment horizontal="center"/>
    </xf>
    <xf numFmtId="9" fontId="4" fillId="2" borderId="40" xfId="2" applyFont="1" applyFill="1" applyBorder="1" applyAlignment="1">
      <alignment horizontal="center"/>
    </xf>
    <xf numFmtId="9" fontId="4" fillId="2" borderId="53" xfId="2" applyFont="1" applyFill="1" applyBorder="1" applyAlignment="1">
      <alignment horizontal="center"/>
    </xf>
    <xf numFmtId="9" fontId="3" fillId="4" borderId="36" xfId="2" applyFont="1" applyFill="1" applyBorder="1" applyAlignment="1">
      <alignment horizontal="center"/>
    </xf>
    <xf numFmtId="174" fontId="4" fillId="2" borderId="0" xfId="2" applyNumberFormat="1" applyFont="1" applyFill="1" applyBorder="1"/>
    <xf numFmtId="0" fontId="4" fillId="2" borderId="40" xfId="0" applyFont="1" applyFill="1" applyBorder="1" applyAlignment="1">
      <alignment horizontal="center"/>
    </xf>
    <xf numFmtId="0" fontId="4" fillId="2" borderId="33" xfId="0" applyFont="1" applyFill="1" applyBorder="1" applyAlignment="1">
      <alignment horizontal="center"/>
    </xf>
    <xf numFmtId="0" fontId="3" fillId="9" borderId="37" xfId="0" applyFont="1" applyFill="1" applyBorder="1" applyAlignment="1">
      <alignment horizontal="centerContinuous"/>
    </xf>
    <xf numFmtId="0" fontId="4" fillId="9" borderId="38" xfId="0" applyFont="1" applyFill="1" applyBorder="1" applyAlignment="1">
      <alignment horizontal="centerContinuous"/>
    </xf>
    <xf numFmtId="0" fontId="3" fillId="2" borderId="31" xfId="0" applyFont="1" applyFill="1" applyBorder="1" applyAlignment="1">
      <alignment horizontal="left"/>
    </xf>
    <xf numFmtId="166" fontId="3" fillId="2" borderId="10" xfId="0" applyNumberFormat="1" applyFont="1" applyFill="1" applyBorder="1" applyAlignment="1">
      <alignment horizontal="right"/>
    </xf>
    <xf numFmtId="166" fontId="3" fillId="9" borderId="33" xfId="0" applyNumberFormat="1" applyFont="1" applyFill="1" applyBorder="1"/>
    <xf numFmtId="166" fontId="3" fillId="2" borderId="32" xfId="0" applyNumberFormat="1" applyFont="1" applyFill="1" applyBorder="1" applyAlignment="1">
      <alignment horizontal="right"/>
    </xf>
    <xf numFmtId="0" fontId="3" fillId="2" borderId="33" xfId="0" applyFont="1" applyFill="1" applyBorder="1" applyAlignment="1">
      <alignment horizontal="left"/>
    </xf>
    <xf numFmtId="166" fontId="3" fillId="2" borderId="0" xfId="0" applyNumberFormat="1" applyFont="1" applyFill="1" applyAlignment="1">
      <alignment horizontal="right"/>
    </xf>
    <xf numFmtId="0" fontId="4" fillId="9" borderId="34" xfId="0" applyFont="1" applyFill="1" applyBorder="1"/>
    <xf numFmtId="166" fontId="3" fillId="2" borderId="34" xfId="0" applyNumberFormat="1" applyFont="1" applyFill="1" applyBorder="1" applyAlignment="1">
      <alignment horizontal="right"/>
    </xf>
    <xf numFmtId="0" fontId="3" fillId="2" borderId="35" xfId="0" applyFont="1" applyFill="1" applyBorder="1" applyAlignment="1">
      <alignment horizontal="left"/>
    </xf>
    <xf numFmtId="169" fontId="3" fillId="2" borderId="8" xfId="0" applyNumberFormat="1" applyFont="1" applyFill="1" applyBorder="1" applyAlignment="1">
      <alignment horizontal="right"/>
    </xf>
    <xf numFmtId="169" fontId="3" fillId="9" borderId="35" xfId="0" applyNumberFormat="1" applyFont="1" applyFill="1" applyBorder="1"/>
    <xf numFmtId="0" fontId="4" fillId="9" borderId="36" xfId="0" applyFont="1" applyFill="1" applyBorder="1"/>
    <xf numFmtId="2" fontId="4" fillId="2" borderId="44" xfId="0" applyNumberFormat="1" applyFont="1" applyFill="1" applyBorder="1" applyAlignment="1">
      <alignment horizontal="center"/>
    </xf>
    <xf numFmtId="169" fontId="3" fillId="2" borderId="36" xfId="0" applyNumberFormat="1" applyFont="1" applyFill="1" applyBorder="1" applyAlignment="1">
      <alignment horizontal="right"/>
    </xf>
    <xf numFmtId="0" fontId="3" fillId="4" borderId="54" xfId="0" applyFont="1" applyFill="1" applyBorder="1" applyAlignment="1">
      <alignment horizontal="center" vertical="center"/>
    </xf>
    <xf numFmtId="0" fontId="4" fillId="2" borderId="35" xfId="0" applyFont="1" applyFill="1" applyBorder="1" applyAlignment="1">
      <alignment horizontal="center"/>
    </xf>
    <xf numFmtId="0" fontId="4" fillId="2" borderId="8" xfId="0" applyFont="1" applyFill="1" applyBorder="1" applyAlignment="1">
      <alignment horizontal="center"/>
    </xf>
    <xf numFmtId="0" fontId="3" fillId="2" borderId="8" xfId="0" applyFont="1" applyFill="1" applyBorder="1" applyAlignment="1">
      <alignment horizontal="left" vertical="top" indent="1" readingOrder="1"/>
    </xf>
    <xf numFmtId="0" fontId="3" fillId="2" borderId="36" xfId="0" applyFont="1" applyFill="1" applyBorder="1" applyAlignment="1">
      <alignment horizontal="left" vertical="top" indent="1" readingOrder="1"/>
    </xf>
    <xf numFmtId="166" fontId="4" fillId="2" borderId="50" xfId="0" applyNumberFormat="1" applyFont="1" applyFill="1" applyBorder="1"/>
    <xf numFmtId="9" fontId="4" fillId="2" borderId="50" xfId="2" applyFont="1" applyFill="1" applyBorder="1"/>
    <xf numFmtId="0" fontId="3" fillId="4" borderId="55" xfId="0" applyFont="1" applyFill="1" applyBorder="1" applyAlignment="1">
      <alignment horizontal="center" vertical="center"/>
    </xf>
    <xf numFmtId="0" fontId="3" fillId="4" borderId="56" xfId="0" applyFont="1" applyFill="1" applyBorder="1" applyAlignment="1">
      <alignment horizontal="center" vertical="center"/>
    </xf>
    <xf numFmtId="0" fontId="3" fillId="4" borderId="57" xfId="0" applyFont="1" applyFill="1" applyBorder="1" applyAlignment="1">
      <alignment horizontal="center" vertical="center"/>
    </xf>
    <xf numFmtId="0" fontId="3" fillId="4" borderId="57" xfId="0" applyFont="1" applyFill="1" applyBorder="1" applyAlignment="1">
      <alignment horizontal="center" vertical="center" wrapText="1"/>
    </xf>
    <xf numFmtId="0" fontId="3" fillId="4" borderId="38" xfId="0" applyFont="1" applyFill="1" applyBorder="1" applyAlignment="1">
      <alignment horizontal="center" vertical="center"/>
    </xf>
    <xf numFmtId="166" fontId="3" fillId="4" borderId="55" xfId="0" applyNumberFormat="1" applyFont="1" applyFill="1" applyBorder="1" applyAlignment="1">
      <alignment horizontal="center" vertical="center"/>
    </xf>
    <xf numFmtId="0" fontId="3" fillId="4" borderId="54" xfId="0" applyFont="1" applyFill="1" applyBorder="1" applyAlignment="1">
      <alignment horizontal="centerContinuous" vertical="center"/>
    </xf>
    <xf numFmtId="0" fontId="3" fillId="2" borderId="49" xfId="0" applyFont="1" applyFill="1" applyBorder="1" applyAlignment="1">
      <alignment horizontal="left" vertical="top" indent="1" readingOrder="1"/>
    </xf>
    <xf numFmtId="0" fontId="4" fillId="2" borderId="58" xfId="0" applyFont="1" applyFill="1" applyBorder="1" applyAlignment="1">
      <alignment horizontal="center"/>
    </xf>
    <xf numFmtId="166" fontId="3" fillId="2" borderId="59" xfId="0" applyNumberFormat="1" applyFont="1" applyFill="1" applyBorder="1"/>
    <xf numFmtId="166" fontId="3" fillId="2" borderId="60" xfId="0" applyNumberFormat="1" applyFont="1" applyFill="1" applyBorder="1"/>
    <xf numFmtId="9" fontId="3" fillId="2" borderId="60" xfId="2" applyFont="1" applyFill="1" applyBorder="1"/>
    <xf numFmtId="0" fontId="4" fillId="2" borderId="61" xfId="0" applyFont="1" applyFill="1" applyBorder="1"/>
    <xf numFmtId="0" fontId="4" fillId="2" borderId="50" xfId="0" applyFont="1" applyFill="1" applyBorder="1" applyAlignment="1">
      <alignment horizontal="left" vertical="top" indent="3" readingOrder="1"/>
    </xf>
    <xf numFmtId="0" fontId="4" fillId="2" borderId="62" xfId="0" applyFont="1" applyFill="1" applyBorder="1" applyAlignment="1">
      <alignment horizontal="center"/>
    </xf>
    <xf numFmtId="0" fontId="4" fillId="2" borderId="63" xfId="0" applyFont="1" applyFill="1" applyBorder="1"/>
    <xf numFmtId="0" fontId="3" fillId="2" borderId="64" xfId="0" applyFont="1" applyFill="1" applyBorder="1" applyAlignment="1">
      <alignment horizontal="left" vertical="top" indent="1" readingOrder="1"/>
    </xf>
    <xf numFmtId="0" fontId="4" fillId="2" borderId="65" xfId="0" applyFont="1" applyFill="1" applyBorder="1" applyAlignment="1">
      <alignment horizontal="center"/>
    </xf>
    <xf numFmtId="166" fontId="3" fillId="2" borderId="66" xfId="0" applyNumberFormat="1" applyFont="1" applyFill="1" applyBorder="1"/>
    <xf numFmtId="166" fontId="3" fillId="2" borderId="67" xfId="0" applyNumberFormat="1" applyFont="1" applyFill="1" applyBorder="1"/>
    <xf numFmtId="9" fontId="3" fillId="2" borderId="67" xfId="2" applyFont="1" applyFill="1" applyBorder="1"/>
    <xf numFmtId="0" fontId="4" fillId="2" borderId="68" xfId="0" applyFont="1" applyFill="1" applyBorder="1" applyAlignment="1">
      <alignment horizontal="left" vertical="top" indent="3" readingOrder="1"/>
    </xf>
    <xf numFmtId="0" fontId="4" fillId="2" borderId="69" xfId="0" applyFont="1" applyFill="1" applyBorder="1" applyAlignment="1">
      <alignment horizontal="center"/>
    </xf>
    <xf numFmtId="0" fontId="4" fillId="2" borderId="61" xfId="0" applyFont="1" applyFill="1" applyBorder="1" applyAlignment="1">
      <alignment horizontal="left" vertical="top" indent="3" readingOrder="1"/>
    </xf>
    <xf numFmtId="0" fontId="4" fillId="2" borderId="70" xfId="0" applyFont="1" applyFill="1" applyBorder="1" applyAlignment="1">
      <alignment horizontal="center"/>
    </xf>
    <xf numFmtId="0" fontId="4" fillId="2" borderId="63" xfId="0" applyFont="1" applyFill="1" applyBorder="1" applyAlignment="1">
      <alignment horizontal="left" vertical="top" indent="3" readingOrder="1"/>
    </xf>
    <xf numFmtId="0" fontId="4" fillId="2" borderId="71" xfId="0" applyFont="1" applyFill="1" applyBorder="1" applyAlignment="1">
      <alignment horizontal="center"/>
    </xf>
    <xf numFmtId="0" fontId="4" fillId="2" borderId="72" xfId="0" applyFont="1" applyFill="1" applyBorder="1" applyAlignment="1">
      <alignment horizontal="left" vertical="top" indent="3" readingOrder="1"/>
    </xf>
    <xf numFmtId="0" fontId="4" fillId="2" borderId="73" xfId="0" applyFont="1" applyFill="1" applyBorder="1" applyAlignment="1">
      <alignment horizontal="center"/>
    </xf>
    <xf numFmtId="166" fontId="3" fillId="2" borderId="51" xfId="0" applyNumberFormat="1" applyFont="1" applyFill="1" applyBorder="1"/>
    <xf numFmtId="166" fontId="3" fillId="2" borderId="68" xfId="0" applyNumberFormat="1" applyFont="1" applyFill="1" applyBorder="1"/>
    <xf numFmtId="9" fontId="3" fillId="2" borderId="68" xfId="2" applyFont="1" applyFill="1" applyBorder="1"/>
    <xf numFmtId="0" fontId="4" fillId="0" borderId="63" xfId="0" applyFont="1" applyBorder="1" applyAlignment="1">
      <alignment horizontal="left" vertical="top" indent="3" readingOrder="1"/>
    </xf>
    <xf numFmtId="0" fontId="4" fillId="0" borderId="34" xfId="0" applyFont="1" applyBorder="1"/>
    <xf numFmtId="166" fontId="4" fillId="0" borderId="50" xfId="0" applyNumberFormat="1" applyFont="1" applyBorder="1"/>
    <xf numFmtId="9" fontId="4" fillId="0" borderId="50" xfId="2" applyFont="1" applyBorder="1"/>
    <xf numFmtId="0" fontId="4" fillId="0" borderId="61" xfId="0" applyFont="1" applyBorder="1" applyAlignment="1">
      <alignment horizontal="left" vertical="top" indent="3" readingOrder="1"/>
    </xf>
    <xf numFmtId="166" fontId="3" fillId="0" borderId="66" xfId="0" applyNumberFormat="1" applyFont="1" applyBorder="1"/>
    <xf numFmtId="166" fontId="3" fillId="0" borderId="67" xfId="0" applyNumberFormat="1" applyFont="1" applyBorder="1"/>
    <xf numFmtId="9" fontId="3" fillId="0" borderId="67" xfId="2" applyFont="1" applyBorder="1"/>
    <xf numFmtId="49" fontId="4" fillId="2" borderId="63" xfId="0" applyNumberFormat="1" applyFont="1" applyFill="1" applyBorder="1" applyAlignment="1">
      <alignment horizontal="left" vertical="top" indent="3" readingOrder="1"/>
    </xf>
    <xf numFmtId="0" fontId="3" fillId="4" borderId="74" xfId="0" applyFont="1" applyFill="1" applyBorder="1" applyAlignment="1">
      <alignment horizontal="left" vertical="top" readingOrder="1"/>
    </xf>
    <xf numFmtId="0" fontId="4" fillId="4" borderId="75" xfId="0" applyFont="1" applyFill="1" applyBorder="1" applyAlignment="1">
      <alignment horizontal="center"/>
    </xf>
    <xf numFmtId="166" fontId="3" fillId="4" borderId="76" xfId="0" applyNumberFormat="1" applyFont="1" applyFill="1" applyBorder="1"/>
    <xf numFmtId="166" fontId="3" fillId="4" borderId="74" xfId="0" applyNumberFormat="1" applyFont="1" applyFill="1" applyBorder="1"/>
    <xf numFmtId="9" fontId="3" fillId="4" borderId="74" xfId="2" applyFont="1" applyFill="1" applyBorder="1"/>
    <xf numFmtId="0" fontId="4" fillId="2" borderId="77" xfId="0" applyFont="1" applyFill="1" applyBorder="1"/>
    <xf numFmtId="0" fontId="4" fillId="2" borderId="63" xfId="0" applyFont="1" applyFill="1" applyBorder="1" applyAlignment="1">
      <alignment horizontal="center"/>
    </xf>
    <xf numFmtId="0" fontId="4" fillId="2" borderId="6" xfId="0" applyFont="1" applyFill="1" applyBorder="1" applyAlignment="1">
      <alignment horizontal="left"/>
    </xf>
    <xf numFmtId="9" fontId="4" fillId="2" borderId="0" xfId="0" applyNumberFormat="1" applyFont="1" applyFill="1"/>
    <xf numFmtId="44" fontId="4" fillId="2" borderId="5" xfId="3" applyFont="1" applyFill="1" applyBorder="1" applyAlignment="1">
      <alignment horizontal="center"/>
    </xf>
    <xf numFmtId="44" fontId="4" fillId="2" borderId="6" xfId="3" applyFont="1" applyFill="1" applyBorder="1" applyAlignment="1">
      <alignment horizontal="center"/>
    </xf>
    <xf numFmtId="44" fontId="4" fillId="2" borderId="7" xfId="3" applyFont="1" applyFill="1" applyBorder="1" applyAlignment="1">
      <alignment horizontal="center"/>
    </xf>
    <xf numFmtId="44" fontId="4" fillId="2" borderId="0" xfId="0" applyNumberFormat="1" applyFont="1" applyFill="1"/>
    <xf numFmtId="10" fontId="3" fillId="2" borderId="14" xfId="2" applyNumberFormat="1" applyFont="1" applyFill="1" applyBorder="1"/>
    <xf numFmtId="174" fontId="4" fillId="2" borderId="22" xfId="2" applyNumberFormat="1" applyFont="1" applyFill="1" applyBorder="1" applyAlignment="1">
      <alignment horizontal="center"/>
    </xf>
    <xf numFmtId="9" fontId="3" fillId="2" borderId="0" xfId="0" applyNumberFormat="1" applyFont="1" applyFill="1" applyAlignment="1">
      <alignment horizontal="left" vertical="top" indent="1" readingOrder="1"/>
    </xf>
    <xf numFmtId="175" fontId="4" fillId="2" borderId="0" xfId="1" applyNumberFormat="1" applyFont="1" applyFill="1"/>
    <xf numFmtId="0" fontId="14" fillId="0" borderId="0" xfId="0" applyFont="1" applyAlignment="1">
      <alignment vertical="center"/>
    </xf>
    <xf numFmtId="3" fontId="11" fillId="2" borderId="6" xfId="0" applyNumberFormat="1" applyFont="1" applyFill="1" applyBorder="1" applyAlignment="1">
      <alignment horizontal="center" vertical="center"/>
    </xf>
    <xf numFmtId="44" fontId="4" fillId="2" borderId="0" xfId="3" applyFont="1" applyFill="1"/>
    <xf numFmtId="4" fontId="11" fillId="0" borderId="0" xfId="0" applyNumberFormat="1" applyFont="1" applyAlignment="1">
      <alignment horizontal="center"/>
    </xf>
    <xf numFmtId="0" fontId="16" fillId="10" borderId="31" xfId="0" applyFont="1" applyFill="1" applyBorder="1" applyAlignment="1">
      <alignment horizontal="centerContinuous" vertical="center"/>
    </xf>
    <xf numFmtId="0" fontId="16" fillId="10" borderId="10" xfId="0" applyFont="1" applyFill="1" applyBorder="1" applyAlignment="1">
      <alignment horizontal="centerContinuous" vertical="center"/>
    </xf>
    <xf numFmtId="0" fontId="16" fillId="10" borderId="10" xfId="0" applyFont="1" applyFill="1" applyBorder="1" applyAlignment="1">
      <alignment horizontal="centerContinuous" vertical="center" readingOrder="1"/>
    </xf>
    <xf numFmtId="0" fontId="16" fillId="10" borderId="32" xfId="0" applyFont="1" applyFill="1" applyBorder="1" applyAlignment="1">
      <alignment horizontal="centerContinuous" vertical="center" readingOrder="1"/>
    </xf>
    <xf numFmtId="0" fontId="3" fillId="10" borderId="56" xfId="0" applyFont="1" applyFill="1" applyBorder="1" applyAlignment="1">
      <alignment horizontal="center" vertical="center"/>
    </xf>
    <xf numFmtId="0" fontId="3" fillId="10" borderId="57" xfId="0" applyFont="1" applyFill="1" applyBorder="1" applyAlignment="1">
      <alignment horizontal="center" vertical="center"/>
    </xf>
    <xf numFmtId="0" fontId="3" fillId="10" borderId="57" xfId="0" applyFont="1" applyFill="1" applyBorder="1" applyAlignment="1">
      <alignment horizontal="center" vertical="center" wrapText="1"/>
    </xf>
    <xf numFmtId="0" fontId="3" fillId="10" borderId="38" xfId="0" applyFont="1" applyFill="1" applyBorder="1" applyAlignment="1">
      <alignment horizontal="center" vertical="center"/>
    </xf>
    <xf numFmtId="0" fontId="4" fillId="10" borderId="75" xfId="0" applyFont="1" applyFill="1" applyBorder="1" applyAlignment="1">
      <alignment horizontal="center"/>
    </xf>
    <xf numFmtId="0" fontId="4" fillId="10" borderId="24" xfId="0" applyFont="1" applyFill="1" applyBorder="1" applyAlignment="1">
      <alignment horizontal="center"/>
    </xf>
    <xf numFmtId="4" fontId="4" fillId="10" borderId="24" xfId="0" applyNumberFormat="1" applyFont="1" applyFill="1" applyBorder="1"/>
    <xf numFmtId="9" fontId="4" fillId="10" borderId="24" xfId="2" applyFont="1" applyFill="1" applyBorder="1" applyAlignment="1">
      <alignment horizontal="center"/>
    </xf>
    <xf numFmtId="3" fontId="4" fillId="10" borderId="24" xfId="0" applyNumberFormat="1" applyFont="1" applyFill="1" applyBorder="1"/>
    <xf numFmtId="166" fontId="3" fillId="10" borderId="76" xfId="0" applyNumberFormat="1" applyFont="1" applyFill="1" applyBorder="1"/>
    <xf numFmtId="0" fontId="2" fillId="2" borderId="11" xfId="0" applyFont="1" applyFill="1" applyBorder="1" applyAlignment="1">
      <alignment horizontal="left" vertical="top" indent="3" readingOrder="1"/>
    </xf>
    <xf numFmtId="0" fontId="2" fillId="2" borderId="21" xfId="0" applyFont="1" applyFill="1" applyBorder="1" applyAlignment="1">
      <alignment horizontal="center"/>
    </xf>
    <xf numFmtId="3" fontId="2" fillId="2" borderId="21" xfId="0" applyNumberFormat="1" applyFont="1" applyFill="1" applyBorder="1" applyAlignment="1">
      <alignment horizontal="center"/>
    </xf>
    <xf numFmtId="4" fontId="2" fillId="2" borderId="21" xfId="0" applyNumberFormat="1" applyFont="1" applyFill="1" applyBorder="1"/>
    <xf numFmtId="9" fontId="2" fillId="2" borderId="21" xfId="2" applyFont="1" applyFill="1" applyBorder="1" applyAlignment="1">
      <alignment horizontal="center"/>
    </xf>
    <xf numFmtId="4" fontId="2" fillId="2" borderId="21" xfId="0" applyNumberFormat="1" applyFont="1" applyFill="1" applyBorder="1" applyAlignment="1">
      <alignment horizontal="right"/>
    </xf>
    <xf numFmtId="3" fontId="2" fillId="2" borderId="21" xfId="0" applyNumberFormat="1" applyFont="1" applyFill="1" applyBorder="1" applyAlignment="1">
      <alignment horizontal="right"/>
    </xf>
    <xf numFmtId="9" fontId="3" fillId="9" borderId="34" xfId="2" applyFont="1" applyFill="1" applyBorder="1" applyAlignment="1">
      <alignment horizontal="center"/>
    </xf>
    <xf numFmtId="3" fontId="2" fillId="2" borderId="6" xfId="0" applyNumberFormat="1"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19" fillId="4" borderId="8" xfId="0" applyFont="1" applyFill="1" applyBorder="1" applyAlignment="1">
      <alignment horizontal="center"/>
    </xf>
    <xf numFmtId="0" fontId="2" fillId="2" borderId="40" xfId="0" applyFont="1" applyFill="1" applyBorder="1" applyAlignment="1">
      <alignment horizontal="center"/>
    </xf>
    <xf numFmtId="2" fontId="2" fillId="2" borderId="44" xfId="0" applyNumberFormat="1" applyFont="1" applyFill="1" applyBorder="1" applyAlignment="1">
      <alignment horizontal="center"/>
    </xf>
    <xf numFmtId="0" fontId="4" fillId="2" borderId="4" xfId="0" applyFont="1" applyFill="1" applyBorder="1"/>
    <xf numFmtId="0" fontId="3" fillId="0" borderId="4" xfId="0" applyFont="1" applyBorder="1"/>
    <xf numFmtId="0" fontId="4" fillId="0" borderId="4" xfId="0" applyFont="1" applyBorder="1"/>
    <xf numFmtId="0" fontId="3" fillId="0" borderId="0" xfId="0" applyFont="1" applyAlignment="1">
      <alignment horizontal="left" vertical="top" indent="3" readingOrder="1"/>
    </xf>
    <xf numFmtId="166" fontId="4" fillId="0" borderId="0" xfId="0" applyNumberFormat="1" applyFont="1"/>
    <xf numFmtId="9" fontId="4" fillId="0" borderId="0" xfId="2" applyFont="1" applyFill="1" applyBorder="1"/>
    <xf numFmtId="3" fontId="4" fillId="0" borderId="0" xfId="0" applyNumberFormat="1" applyFont="1" applyAlignment="1">
      <alignment horizontal="right"/>
    </xf>
    <xf numFmtId="3" fontId="4" fillId="0" borderId="0" xfId="0" applyNumberFormat="1" applyFont="1"/>
    <xf numFmtId="3" fontId="3" fillId="0" borderId="0" xfId="0" applyNumberFormat="1" applyFont="1"/>
    <xf numFmtId="3" fontId="4" fillId="0" borderId="4" xfId="0" applyNumberFormat="1" applyFont="1" applyBorder="1"/>
    <xf numFmtId="166" fontId="4" fillId="0" borderId="4" xfId="0" applyNumberFormat="1" applyFont="1" applyBorder="1"/>
    <xf numFmtId="9" fontId="4" fillId="0" borderId="4" xfId="2" applyFont="1" applyFill="1" applyBorder="1"/>
    <xf numFmtId="0" fontId="4" fillId="0" borderId="0" xfId="0" applyFont="1" applyAlignment="1">
      <alignment horizontal="left" vertical="top" indent="4" readingOrder="1"/>
    </xf>
    <xf numFmtId="0" fontId="4" fillId="0" borderId="4" xfId="0" applyFont="1" applyBorder="1" applyAlignment="1">
      <alignment horizontal="left" vertical="top" indent="4" readingOrder="1"/>
    </xf>
    <xf numFmtId="0" fontId="3" fillId="0" borderId="0" xfId="0" applyFont="1" applyAlignment="1">
      <alignment horizontal="left" indent="1"/>
    </xf>
    <xf numFmtId="0" fontId="16" fillId="0" borderId="0" xfId="0" applyFont="1" applyAlignment="1">
      <alignment vertical="center"/>
    </xf>
    <xf numFmtId="0" fontId="16" fillId="0" borderId="0" xfId="0" applyFont="1" applyAlignment="1">
      <alignment vertical="center" readingOrder="1"/>
    </xf>
    <xf numFmtId="0" fontId="17" fillId="0" borderId="0" xfId="0" applyFont="1" applyAlignment="1">
      <alignment vertical="center" readingOrder="1"/>
    </xf>
    <xf numFmtId="0" fontId="2" fillId="0" borderId="4" xfId="0" applyFont="1" applyBorder="1"/>
    <xf numFmtId="0" fontId="2" fillId="0" borderId="0" xfId="0" applyFont="1"/>
    <xf numFmtId="0" fontId="3" fillId="11" borderId="14" xfId="0" applyFont="1" applyFill="1" applyBorder="1"/>
    <xf numFmtId="3" fontId="3" fillId="11" borderId="14" xfId="0" applyNumberFormat="1" applyFont="1" applyFill="1" applyBorder="1"/>
    <xf numFmtId="166" fontId="3" fillId="11" borderId="14" xfId="0" applyNumberFormat="1" applyFont="1" applyFill="1" applyBorder="1"/>
    <xf numFmtId="0" fontId="3" fillId="11" borderId="0" xfId="0" applyFont="1" applyFill="1"/>
    <xf numFmtId="0" fontId="4" fillId="11" borderId="0" xfId="0" applyFont="1" applyFill="1"/>
    <xf numFmtId="166" fontId="4" fillId="11" borderId="0" xfId="0" applyNumberFormat="1" applyFont="1" applyFill="1"/>
    <xf numFmtId="0" fontId="20" fillId="12" borderId="0" xfId="0" applyFont="1" applyFill="1"/>
    <xf numFmtId="0" fontId="17" fillId="12" borderId="0" xfId="0" applyFont="1" applyFill="1" applyAlignment="1">
      <alignment vertical="center" readingOrder="1"/>
    </xf>
    <xf numFmtId="0" fontId="18" fillId="12" borderId="0" xfId="0" applyFont="1" applyFill="1"/>
    <xf numFmtId="0" fontId="20" fillId="12" borderId="0" xfId="0" applyFont="1" applyFill="1" applyAlignment="1">
      <alignment horizontal="center" vertical="center"/>
    </xf>
    <xf numFmtId="0" fontId="4" fillId="12" borderId="0" xfId="0" applyFont="1" applyFill="1"/>
    <xf numFmtId="0" fontId="3" fillId="11" borderId="0" xfId="0" applyFont="1" applyFill="1" applyAlignment="1">
      <alignment horizontal="right"/>
    </xf>
    <xf numFmtId="166" fontId="3" fillId="11" borderId="0" xfId="0" applyNumberFormat="1" applyFont="1" applyFill="1" applyAlignment="1">
      <alignment horizontal="right"/>
    </xf>
    <xf numFmtId="166" fontId="4" fillId="0" borderId="78" xfId="0" applyNumberFormat="1" applyFont="1" applyBorder="1" applyAlignment="1">
      <alignment horizontal="center" vertical="center"/>
    </xf>
    <xf numFmtId="0" fontId="4" fillId="0" borderId="13" xfId="0" applyFont="1" applyBorder="1" applyAlignment="1">
      <alignment horizontal="center" vertical="center"/>
    </xf>
    <xf numFmtId="9" fontId="4" fillId="0" borderId="79" xfId="2" applyFont="1" applyFill="1" applyBorder="1" applyAlignment="1">
      <alignment horizontal="center" vertical="center"/>
    </xf>
    <xf numFmtId="0" fontId="17" fillId="12" borderId="0" xfId="0" applyFont="1" applyFill="1" applyAlignment="1">
      <alignment horizontal="left" vertical="center" indent="6"/>
    </xf>
    <xf numFmtId="166" fontId="4" fillId="13" borderId="50" xfId="0" applyNumberFormat="1" applyFont="1" applyFill="1" applyBorder="1"/>
    <xf numFmtId="166" fontId="2" fillId="13" borderId="50" xfId="0" applyNumberFormat="1" applyFont="1" applyFill="1" applyBorder="1"/>
    <xf numFmtId="0" fontId="4" fillId="13" borderId="63" xfId="0" applyFont="1" applyFill="1" applyBorder="1"/>
    <xf numFmtId="3" fontId="4" fillId="2" borderId="18" xfId="0" applyNumberFormat="1" applyFont="1" applyFill="1" applyBorder="1"/>
    <xf numFmtId="0" fontId="18" fillId="13" borderId="50" xfId="0" applyFont="1" applyFill="1" applyBorder="1" applyAlignment="1">
      <alignment horizontal="left" vertical="top" indent="3" readingOrder="1"/>
    </xf>
    <xf numFmtId="0" fontId="20" fillId="13" borderId="0" xfId="0" applyFont="1" applyFill="1"/>
    <xf numFmtId="0" fontId="18" fillId="13" borderId="62" xfId="0" applyFont="1" applyFill="1" applyBorder="1" applyAlignment="1">
      <alignment horizontal="center"/>
    </xf>
    <xf numFmtId="0" fontId="18" fillId="13" borderId="18" xfId="0" applyFont="1" applyFill="1" applyBorder="1" applyAlignment="1">
      <alignment horizontal="center"/>
    </xf>
    <xf numFmtId="3" fontId="18" fillId="13" borderId="18" xfId="0" applyNumberFormat="1" applyFont="1" applyFill="1" applyBorder="1" applyAlignment="1">
      <alignment horizontal="center"/>
    </xf>
    <xf numFmtId="4" fontId="18" fillId="13" borderId="18" xfId="0" applyNumberFormat="1" applyFont="1" applyFill="1" applyBorder="1"/>
    <xf numFmtId="9" fontId="18" fillId="13" borderId="18" xfId="2" applyFont="1" applyFill="1" applyBorder="1" applyAlignment="1">
      <alignment horizontal="center"/>
    </xf>
    <xf numFmtId="3" fontId="18" fillId="13" borderId="18" xfId="0" applyNumberFormat="1" applyFont="1" applyFill="1" applyBorder="1"/>
    <xf numFmtId="0" fontId="18" fillId="13" borderId="34" xfId="0" applyFont="1" applyFill="1" applyBorder="1"/>
    <xf numFmtId="0" fontId="18" fillId="13" borderId="0" xfId="0" applyFont="1" applyFill="1"/>
    <xf numFmtId="166" fontId="18" fillId="13" borderId="50" xfId="0" applyNumberFormat="1" applyFont="1" applyFill="1" applyBorder="1"/>
    <xf numFmtId="9" fontId="18" fillId="13" borderId="50" xfId="2" applyFont="1" applyFill="1" applyBorder="1"/>
    <xf numFmtId="0" fontId="18" fillId="13" borderId="63" xfId="0" applyFont="1" applyFill="1" applyBorder="1"/>
    <xf numFmtId="0" fontId="4" fillId="2" borderId="10" xfId="0" applyFont="1" applyFill="1" applyBorder="1" applyAlignment="1">
      <alignment horizontal="right"/>
    </xf>
    <xf numFmtId="166" fontId="4" fillId="2" borderId="32" xfId="0" applyNumberFormat="1" applyFont="1" applyFill="1" applyBorder="1"/>
    <xf numFmtId="166" fontId="3" fillId="2" borderId="36" xfId="0" applyNumberFormat="1" applyFont="1" applyFill="1" applyBorder="1"/>
    <xf numFmtId="0" fontId="4" fillId="2" borderId="80" xfId="0" applyFont="1" applyFill="1" applyBorder="1"/>
    <xf numFmtId="0" fontId="4" fillId="2" borderId="4" xfId="0" applyFont="1" applyFill="1" applyBorder="1" applyAlignment="1">
      <alignment horizontal="right"/>
    </xf>
    <xf numFmtId="166" fontId="4" fillId="2" borderId="51" xfId="0" applyNumberFormat="1" applyFont="1" applyFill="1" applyBorder="1"/>
    <xf numFmtId="166" fontId="3" fillId="2" borderId="0" xfId="0" applyNumberFormat="1" applyFont="1" applyFill="1"/>
    <xf numFmtId="0" fontId="3" fillId="2" borderId="0" xfId="0" applyFont="1" applyFill="1" applyAlignment="1">
      <alignment horizontal="right"/>
    </xf>
    <xf numFmtId="10" fontId="3" fillId="4" borderId="74" xfId="2" applyNumberFormat="1" applyFont="1" applyFill="1" applyBorder="1"/>
    <xf numFmtId="171" fontId="11" fillId="0" borderId="0" xfId="0" applyNumberFormat="1" applyFont="1"/>
    <xf numFmtId="0" fontId="16" fillId="5" borderId="49" xfId="0" applyFont="1" applyFill="1" applyBorder="1" applyAlignment="1">
      <alignment vertical="center"/>
    </xf>
    <xf numFmtId="0" fontId="16" fillId="5" borderId="50" xfId="0" applyFont="1" applyFill="1" applyBorder="1" applyAlignment="1">
      <alignment vertical="center"/>
    </xf>
    <xf numFmtId="0" fontId="16" fillId="5" borderId="0" xfId="0" applyFont="1" applyFill="1" applyAlignment="1">
      <alignment vertical="center"/>
    </xf>
    <xf numFmtId="0" fontId="3" fillId="4" borderId="0" xfId="0" applyFont="1" applyFill="1" applyAlignment="1">
      <alignment horizontal="left" vertical="top" readingOrder="1"/>
    </xf>
    <xf numFmtId="49" fontId="4" fillId="2" borderId="0" xfId="0" applyNumberFormat="1" applyFont="1" applyFill="1" applyAlignment="1">
      <alignment horizontal="center" vertical="top" readingOrder="1"/>
    </xf>
    <xf numFmtId="0" fontId="4" fillId="2" borderId="0" xfId="0" applyFont="1" applyFill="1" applyAlignment="1">
      <alignment horizontal="center" vertical="top" readingOrder="1"/>
    </xf>
    <xf numFmtId="49" fontId="4" fillId="2" borderId="61" xfId="0" applyNumberFormat="1" applyFont="1" applyFill="1" applyBorder="1" applyAlignment="1">
      <alignment horizontal="left" vertical="top" indent="3" readingOrder="1"/>
    </xf>
    <xf numFmtId="49" fontId="4" fillId="2" borderId="22" xfId="0" applyNumberFormat="1" applyFont="1" applyFill="1" applyBorder="1" applyAlignment="1">
      <alignment horizontal="center" vertical="top" readingOrder="1"/>
    </xf>
    <xf numFmtId="0" fontId="4" fillId="2" borderId="22" xfId="0" applyFont="1" applyFill="1" applyBorder="1" applyAlignment="1">
      <alignment horizontal="center" vertical="top" readingOrder="1"/>
    </xf>
    <xf numFmtId="3" fontId="4" fillId="2" borderId="21" xfId="0" applyNumberFormat="1" applyFont="1" applyFill="1" applyBorder="1"/>
    <xf numFmtId="3" fontId="4" fillId="2" borderId="22" xfId="0" applyNumberFormat="1" applyFont="1" applyFill="1" applyBorder="1" applyAlignment="1">
      <alignment horizontal="right"/>
    </xf>
    <xf numFmtId="3" fontId="4" fillId="2" borderId="20" xfId="0" applyNumberFormat="1" applyFont="1" applyFill="1" applyBorder="1"/>
    <xf numFmtId="166" fontId="3" fillId="2" borderId="50" xfId="0" applyNumberFormat="1" applyFont="1" applyFill="1" applyBorder="1"/>
    <xf numFmtId="166" fontId="4" fillId="2" borderId="68" xfId="0" applyNumberFormat="1" applyFont="1" applyFill="1" applyBorder="1"/>
    <xf numFmtId="9" fontId="3" fillId="2" borderId="50" xfId="2" applyFont="1" applyFill="1" applyBorder="1"/>
    <xf numFmtId="9" fontId="4" fillId="2" borderId="68" xfId="2" applyFont="1" applyFill="1" applyBorder="1"/>
    <xf numFmtId="49" fontId="4" fillId="2" borderId="50" xfId="0" applyNumberFormat="1" applyFont="1" applyFill="1" applyBorder="1" applyAlignment="1">
      <alignment horizontal="left" vertical="top" indent="3" readingOrder="1"/>
    </xf>
    <xf numFmtId="0" fontId="4" fillId="2" borderId="18" xfId="0" applyFont="1" applyFill="1" applyBorder="1" applyAlignment="1">
      <alignment horizontal="center" vertical="top" readingOrder="1"/>
    </xf>
    <xf numFmtId="0" fontId="4" fillId="2" borderId="81" xfId="0" applyFont="1" applyFill="1" applyBorder="1"/>
    <xf numFmtId="49" fontId="3" fillId="2" borderId="63" xfId="0" applyNumberFormat="1" applyFont="1" applyFill="1" applyBorder="1" applyAlignment="1">
      <alignment horizontal="left" vertical="top" indent="3" readingOrder="1"/>
    </xf>
    <xf numFmtId="49" fontId="3" fillId="2" borderId="22" xfId="0" applyNumberFormat="1" applyFont="1" applyFill="1" applyBorder="1" applyAlignment="1">
      <alignment horizontal="center" vertical="top" readingOrder="1"/>
    </xf>
    <xf numFmtId="3" fontId="3" fillId="2" borderId="22" xfId="0" applyNumberFormat="1" applyFont="1" applyFill="1" applyBorder="1"/>
    <xf numFmtId="0" fontId="3" fillId="2" borderId="71" xfId="0" applyFont="1" applyFill="1" applyBorder="1" applyAlignment="1">
      <alignment horizontal="center"/>
    </xf>
    <xf numFmtId="0" fontId="3" fillId="2" borderId="63" xfId="0" applyFont="1" applyFill="1" applyBorder="1" applyAlignment="1">
      <alignment horizontal="left" vertical="top" indent="3" readingOrder="1"/>
    </xf>
    <xf numFmtId="0" fontId="3" fillId="2" borderId="22" xfId="0" applyFont="1" applyFill="1" applyBorder="1" applyAlignment="1">
      <alignment horizontal="center"/>
    </xf>
    <xf numFmtId="0" fontId="10" fillId="2" borderId="0" xfId="0" applyFont="1" applyFill="1" applyAlignment="1">
      <alignment horizontal="center"/>
    </xf>
    <xf numFmtId="0" fontId="0" fillId="0" borderId="0" xfId="0" applyAlignment="1">
      <alignment horizontal="center"/>
    </xf>
    <xf numFmtId="0" fontId="0" fillId="0" borderId="4" xfId="0" applyBorder="1"/>
    <xf numFmtId="0" fontId="0" fillId="0" borderId="0" xfId="0" applyAlignment="1">
      <alignment horizontal="right"/>
    </xf>
    <xf numFmtId="3" fontId="0" fillId="0" borderId="0" xfId="0" applyNumberFormat="1" applyAlignment="1">
      <alignment horizontal="right"/>
    </xf>
    <xf numFmtId="0" fontId="0" fillId="0" borderId="0" xfId="0" applyAlignment="1">
      <alignment horizontal="left" indent="1"/>
    </xf>
    <xf numFmtId="0" fontId="0" fillId="0" borderId="4" xfId="0" applyBorder="1" applyAlignment="1">
      <alignment horizontal="left" indent="1"/>
    </xf>
    <xf numFmtId="3" fontId="0" fillId="0" borderId="4" xfId="0" applyNumberFormat="1" applyBorder="1" applyAlignment="1">
      <alignment horizontal="right"/>
    </xf>
    <xf numFmtId="166" fontId="0" fillId="0" borderId="0" xfId="0" applyNumberFormat="1" applyAlignment="1">
      <alignment horizontal="right"/>
    </xf>
    <xf numFmtId="166" fontId="0" fillId="0" borderId="0" xfId="0" applyNumberFormat="1"/>
    <xf numFmtId="0" fontId="21" fillId="0" borderId="0" xfId="0" applyFont="1"/>
    <xf numFmtId="17" fontId="21" fillId="0" borderId="0" xfId="0" applyNumberFormat="1" applyFont="1" applyAlignment="1">
      <alignment horizontal="center"/>
    </xf>
    <xf numFmtId="0" fontId="21" fillId="0" borderId="8" xfId="0" applyFont="1" applyBorder="1" applyAlignment="1">
      <alignment horizontal="center"/>
    </xf>
    <xf numFmtId="0" fontId="21" fillId="0" borderId="8" xfId="0" applyFont="1" applyBorder="1"/>
    <xf numFmtId="0" fontId="0" fillId="0" borderId="8" xfId="0" applyBorder="1"/>
    <xf numFmtId="0" fontId="0" fillId="0" borderId="8" xfId="0" applyBorder="1" applyAlignment="1">
      <alignment horizontal="center"/>
    </xf>
    <xf numFmtId="171" fontId="21" fillId="0" borderId="0" xfId="0" applyNumberFormat="1" applyFont="1" applyAlignment="1">
      <alignment horizontal="center"/>
    </xf>
    <xf numFmtId="176" fontId="0" fillId="0" borderId="0" xfId="0" applyNumberFormat="1" applyAlignment="1">
      <alignment horizontal="right"/>
    </xf>
    <xf numFmtId="176" fontId="0" fillId="0" borderId="4" xfId="0" applyNumberFormat="1" applyBorder="1" applyAlignment="1">
      <alignment horizontal="right"/>
    </xf>
    <xf numFmtId="177" fontId="0" fillId="0" borderId="0" xfId="0" applyNumberFormat="1" applyAlignment="1">
      <alignment horizontal="right"/>
    </xf>
    <xf numFmtId="177" fontId="0" fillId="0" borderId="4" xfId="0" applyNumberFormat="1" applyBorder="1" applyAlignment="1">
      <alignment horizontal="right"/>
    </xf>
    <xf numFmtId="177" fontId="0" fillId="0" borderId="0" xfId="0" applyNumberFormat="1"/>
    <xf numFmtId="177" fontId="21" fillId="0" borderId="0" xfId="0" applyNumberFormat="1" applyFont="1" applyAlignment="1">
      <alignment horizontal="right"/>
    </xf>
    <xf numFmtId="0" fontId="0" fillId="0" borderId="0" xfId="0" applyAlignment="1">
      <alignment horizontal="left" indent="2"/>
    </xf>
    <xf numFmtId="0" fontId="0" fillId="0" borderId="0" xfId="0" applyAlignment="1">
      <alignment horizontal="left" indent="3"/>
    </xf>
    <xf numFmtId="177" fontId="3" fillId="0" borderId="0" xfId="0" applyNumberFormat="1" applyFont="1" applyAlignment="1">
      <alignment horizontal="right"/>
    </xf>
    <xf numFmtId="0" fontId="22" fillId="0" borderId="0" xfId="0" applyFont="1"/>
    <xf numFmtId="0" fontId="22" fillId="0" borderId="0" xfId="0" applyFont="1" applyAlignment="1">
      <alignment wrapText="1"/>
    </xf>
    <xf numFmtId="0" fontId="24" fillId="0" borderId="0" xfId="0" applyFont="1" applyAlignment="1">
      <alignment horizontal="right" vertical="center" wrapText="1" indent="1"/>
    </xf>
    <xf numFmtId="49" fontId="25" fillId="0" borderId="0" xfId="0" applyNumberFormat="1" applyFont="1" applyAlignment="1">
      <alignment vertical="top" wrapText="1"/>
    </xf>
    <xf numFmtId="4" fontId="27" fillId="0" borderId="0" xfId="0" applyNumberFormat="1" applyFont="1" applyAlignment="1">
      <alignment horizontal="right" vertical="top" wrapText="1"/>
    </xf>
    <xf numFmtId="0" fontId="27" fillId="0" borderId="0" xfId="0" applyFont="1" applyAlignment="1">
      <alignment horizontal="right" vertical="top" wrapText="1"/>
    </xf>
    <xf numFmtId="0" fontId="26" fillId="0" borderId="0" xfId="0" applyFont="1" applyAlignment="1">
      <alignment horizontal="right" vertical="top" wrapText="1"/>
    </xf>
    <xf numFmtId="4" fontId="26" fillId="0" borderId="0" xfId="0" applyNumberFormat="1" applyFont="1" applyAlignment="1">
      <alignment horizontal="right" vertical="top" wrapText="1"/>
    </xf>
    <xf numFmtId="10" fontId="26" fillId="0" borderId="0" xfId="0" applyNumberFormat="1" applyFont="1" applyAlignment="1">
      <alignment horizontal="right" vertical="top" wrapText="1"/>
    </xf>
    <xf numFmtId="49" fontId="24" fillId="0" borderId="82" xfId="0" applyNumberFormat="1" applyFont="1" applyBorder="1" applyAlignment="1">
      <alignment horizontal="left" vertical="top" wrapText="1"/>
    </xf>
    <xf numFmtId="4" fontId="24" fillId="0" borderId="82" xfId="0" applyNumberFormat="1" applyFont="1" applyBorder="1" applyAlignment="1">
      <alignment horizontal="right" vertical="top" wrapText="1"/>
    </xf>
    <xf numFmtId="0" fontId="24" fillId="0" borderId="82" xfId="0" applyFont="1" applyBorder="1" applyAlignment="1">
      <alignment horizontal="right" vertical="top" wrapText="1"/>
    </xf>
    <xf numFmtId="4" fontId="28" fillId="0" borderId="82" xfId="0" applyNumberFormat="1" applyFont="1" applyBorder="1" applyAlignment="1">
      <alignment horizontal="right" vertical="top" wrapText="1"/>
    </xf>
    <xf numFmtId="10" fontId="24" fillId="0" borderId="82" xfId="0" applyNumberFormat="1" applyFont="1" applyBorder="1" applyAlignment="1">
      <alignment horizontal="right" vertical="top" wrapText="1"/>
    </xf>
    <xf numFmtId="4" fontId="29" fillId="0" borderId="0" xfId="0" applyNumberFormat="1" applyFont="1" applyAlignment="1">
      <alignment horizontal="right" vertical="top" wrapText="1"/>
    </xf>
    <xf numFmtId="4" fontId="30" fillId="0" borderId="82" xfId="0" applyNumberFormat="1" applyFont="1" applyBorder="1" applyAlignment="1">
      <alignment horizontal="right" vertical="top" wrapText="1"/>
    </xf>
    <xf numFmtId="0" fontId="28" fillId="0" borderId="82" xfId="0" applyFont="1" applyBorder="1" applyAlignment="1">
      <alignment horizontal="right" vertical="top" wrapText="1"/>
    </xf>
    <xf numFmtId="44" fontId="0" fillId="0" borderId="0" xfId="3" applyFont="1"/>
    <xf numFmtId="44" fontId="0" fillId="0" borderId="0" xfId="0" applyNumberFormat="1"/>
    <xf numFmtId="44" fontId="21" fillId="0" borderId="0" xfId="0" applyNumberFormat="1" applyFont="1"/>
    <xf numFmtId="0" fontId="21" fillId="0" borderId="4" xfId="0" applyFont="1" applyBorder="1"/>
    <xf numFmtId="0" fontId="21" fillId="0" borderId="0" xfId="0" applyFont="1" applyAlignment="1">
      <alignment horizontal="left" indent="1"/>
    </xf>
    <xf numFmtId="44" fontId="0" fillId="0" borderId="4" xfId="3" applyFont="1" applyBorder="1"/>
    <xf numFmtId="49" fontId="26" fillId="0" borderId="0" xfId="0" applyNumberFormat="1" applyFont="1" applyAlignment="1">
      <alignment horizontal="right" vertical="top" wrapText="1"/>
    </xf>
    <xf numFmtId="49" fontId="24" fillId="0" borderId="82" xfId="0" applyNumberFormat="1" applyFont="1" applyBorder="1" applyAlignment="1">
      <alignment horizontal="left" vertical="top" wrapText="1" indent="3"/>
    </xf>
    <xf numFmtId="49" fontId="24" fillId="0" borderId="82" xfId="0" applyNumberFormat="1" applyFont="1" applyBorder="1" applyAlignment="1">
      <alignment horizontal="left" vertical="top" wrapText="1" indent="2"/>
    </xf>
    <xf numFmtId="49" fontId="24" fillId="0" borderId="82" xfId="0" applyNumberFormat="1" applyFont="1" applyBorder="1" applyAlignment="1">
      <alignment horizontal="left" vertical="top" wrapText="1" indent="1"/>
    </xf>
    <xf numFmtId="0" fontId="21" fillId="0" borderId="0" xfId="0" applyFont="1" applyAlignment="1">
      <alignment horizontal="center"/>
    </xf>
    <xf numFmtId="0" fontId="4" fillId="0" borderId="0" xfId="0" applyFont="1" applyAlignment="1">
      <alignment horizontal="left" vertical="top" indent="3" readingOrder="1"/>
    </xf>
    <xf numFmtId="0" fontId="3" fillId="0" borderId="0" xfId="0" applyFont="1" applyAlignment="1">
      <alignment horizontal="left" vertical="top" indent="2" readingOrder="1"/>
    </xf>
    <xf numFmtId="166" fontId="21" fillId="0" borderId="0" xfId="0" applyNumberFormat="1" applyFont="1"/>
    <xf numFmtId="0" fontId="20" fillId="14" borderId="0" xfId="0" applyFont="1" applyFill="1" applyAlignment="1">
      <alignment horizontal="centerContinuous"/>
    </xf>
    <xf numFmtId="166" fontId="20" fillId="14" borderId="0" xfId="0" applyNumberFormat="1" applyFont="1" applyFill="1" applyAlignment="1">
      <alignment horizontal="centerContinuous"/>
    </xf>
    <xf numFmtId="0" fontId="20" fillId="15" borderId="0" xfId="0" applyFont="1" applyFill="1" applyAlignment="1">
      <alignment horizontal="centerContinuous"/>
    </xf>
    <xf numFmtId="0" fontId="18" fillId="15" borderId="0" xfId="0" applyFont="1" applyFill="1" applyAlignment="1">
      <alignment horizontal="centerContinuous"/>
    </xf>
    <xf numFmtId="166" fontId="0" fillId="0" borderId="6" xfId="0" applyNumberFormat="1" applyBorder="1"/>
    <xf numFmtId="0" fontId="3" fillId="0" borderId="14" xfId="0" applyFont="1" applyBorder="1" applyAlignment="1">
      <alignment horizontal="left" vertical="top" indent="2" readingOrder="1"/>
    </xf>
    <xf numFmtId="166" fontId="21" fillId="0" borderId="14" xfId="0" applyNumberFormat="1" applyFont="1" applyBorder="1"/>
    <xf numFmtId="0" fontId="21" fillId="0" borderId="0" xfId="0" applyFont="1" applyAlignment="1">
      <alignment horizontal="left" indent="11"/>
    </xf>
    <xf numFmtId="0" fontId="21" fillId="0" borderId="8" xfId="0" applyFont="1" applyBorder="1" applyAlignment="1">
      <alignment horizontal="left" indent="11"/>
    </xf>
    <xf numFmtId="0" fontId="31" fillId="0" borderId="0" xfId="0" applyFont="1" applyAlignment="1">
      <alignment horizontal="left" indent="3"/>
    </xf>
    <xf numFmtId="0" fontId="20" fillId="0" borderId="0" xfId="0" applyFont="1" applyAlignment="1">
      <alignment horizontal="centerContinuous"/>
    </xf>
    <xf numFmtId="0" fontId="21" fillId="3" borderId="0" xfId="0" applyFont="1" applyFill="1" applyAlignment="1">
      <alignment horizontal="center"/>
    </xf>
    <xf numFmtId="0" fontId="21" fillId="3" borderId="8" xfId="0" applyFont="1" applyFill="1" applyBorder="1" applyAlignment="1">
      <alignment horizontal="center"/>
    </xf>
    <xf numFmtId="166" fontId="0" fillId="3" borderId="6" xfId="0" applyNumberFormat="1" applyFill="1" applyBorder="1"/>
    <xf numFmtId="166" fontId="21" fillId="3" borderId="14" xfId="0" applyNumberFormat="1" applyFont="1" applyFill="1" applyBorder="1"/>
    <xf numFmtId="0" fontId="4" fillId="0" borderId="15" xfId="0" applyFont="1" applyBorder="1" applyAlignment="1">
      <alignment horizontal="left" vertical="top" indent="3" readingOrder="1"/>
    </xf>
    <xf numFmtId="166" fontId="0" fillId="3" borderId="15" xfId="0" applyNumberFormat="1" applyFill="1" applyBorder="1"/>
    <xf numFmtId="166" fontId="0" fillId="10" borderId="15" xfId="0" applyNumberFormat="1" applyFill="1" applyBorder="1"/>
    <xf numFmtId="166" fontId="0" fillId="0" borderId="15" xfId="0" applyNumberFormat="1" applyBorder="1"/>
    <xf numFmtId="0" fontId="3" fillId="0" borderId="13" xfId="0" applyFont="1" applyBorder="1" applyAlignment="1">
      <alignment horizontal="left" vertical="top" indent="2" readingOrder="1"/>
    </xf>
    <xf numFmtId="166" fontId="21" fillId="3" borderId="13" xfId="0" applyNumberFormat="1" applyFont="1" applyFill="1" applyBorder="1"/>
    <xf numFmtId="166" fontId="21" fillId="0" borderId="13" xfId="0" applyNumberFormat="1" applyFont="1" applyBorder="1"/>
    <xf numFmtId="0" fontId="3" fillId="0" borderId="13" xfId="0" applyFont="1" applyBorder="1" applyAlignment="1">
      <alignment horizontal="left" vertical="top" indent="3" readingOrder="1"/>
    </xf>
    <xf numFmtId="0" fontId="0" fillId="0" borderId="13" xfId="0" applyBorder="1"/>
    <xf numFmtId="43" fontId="0" fillId="0" borderId="0" xfId="1" applyFont="1"/>
    <xf numFmtId="44" fontId="4" fillId="2" borderId="0" xfId="0" applyNumberFormat="1" applyFont="1" applyFill="1" applyAlignment="1">
      <alignment horizontal="center"/>
    </xf>
    <xf numFmtId="44" fontId="4" fillId="2" borderId="21" xfId="3" applyFont="1" applyFill="1" applyBorder="1" applyAlignment="1">
      <alignment horizontal="right"/>
    </xf>
    <xf numFmtId="9" fontId="0" fillId="0" borderId="0" xfId="2" applyFont="1"/>
    <xf numFmtId="10" fontId="0" fillId="0" borderId="0" xfId="2" applyNumberFormat="1" applyFont="1"/>
    <xf numFmtId="0" fontId="32" fillId="0" borderId="0" xfId="0" applyFont="1"/>
    <xf numFmtId="0" fontId="33" fillId="14" borderId="0" xfId="0" applyFont="1" applyFill="1" applyAlignment="1">
      <alignment horizontal="centerContinuous"/>
    </xf>
    <xf numFmtId="0" fontId="33" fillId="16" borderId="0" xfId="0" applyFont="1" applyFill="1" applyAlignment="1">
      <alignment horizontal="centerContinuous"/>
    </xf>
    <xf numFmtId="0" fontId="33" fillId="17" borderId="0" xfId="0" applyFont="1" applyFill="1" applyAlignment="1">
      <alignment horizontal="centerContinuous"/>
    </xf>
    <xf numFmtId="0" fontId="34" fillId="0" borderId="0" xfId="0" applyFont="1" applyAlignment="1">
      <alignment horizontal="left"/>
    </xf>
    <xf numFmtId="167" fontId="35" fillId="0" borderId="0" xfId="0" applyNumberFormat="1" applyFont="1"/>
    <xf numFmtId="8" fontId="35" fillId="0" borderId="0" xfId="0" applyNumberFormat="1" applyFont="1"/>
    <xf numFmtId="6" fontId="35" fillId="0" borderId="0" xfId="0" applyNumberFormat="1" applyFont="1"/>
    <xf numFmtId="43" fontId="36" fillId="0" borderId="0" xfId="1" applyFont="1" applyAlignment="1">
      <alignment horizontal="center"/>
    </xf>
    <xf numFmtId="43" fontId="37" fillId="0" borderId="0" xfId="1" applyFont="1"/>
    <xf numFmtId="0" fontId="32" fillId="0" borderId="0" xfId="0" applyFont="1" applyAlignment="1">
      <alignment horizontal="left" indent="1"/>
    </xf>
    <xf numFmtId="167" fontId="32" fillId="0" borderId="0" xfId="1" applyNumberFormat="1" applyFont="1" applyBorder="1"/>
    <xf numFmtId="38" fontId="32" fillId="0" borderId="0" xfId="0" applyNumberFormat="1" applyFont="1"/>
    <xf numFmtId="38" fontId="32" fillId="0" borderId="0" xfId="0" applyNumberFormat="1" applyFont="1" applyAlignment="1">
      <alignment horizontal="center"/>
    </xf>
    <xf numFmtId="40" fontId="32" fillId="0" borderId="0" xfId="0" applyNumberFormat="1" applyFont="1"/>
    <xf numFmtId="178" fontId="32" fillId="0" borderId="0" xfId="0" applyNumberFormat="1" applyFont="1"/>
    <xf numFmtId="6" fontId="32" fillId="0" borderId="0" xfId="0" applyNumberFormat="1" applyFont="1"/>
    <xf numFmtId="0" fontId="0" fillId="0" borderId="6" xfId="0" applyBorder="1"/>
    <xf numFmtId="6" fontId="32" fillId="0" borderId="6" xfId="0" applyNumberFormat="1" applyFont="1" applyBorder="1"/>
    <xf numFmtId="178" fontId="32" fillId="0" borderId="6" xfId="0" applyNumberFormat="1" applyFont="1" applyBorder="1"/>
    <xf numFmtId="38" fontId="32" fillId="0" borderId="6" xfId="0" applyNumberFormat="1" applyFont="1" applyBorder="1"/>
    <xf numFmtId="179" fontId="32" fillId="0" borderId="6" xfId="0" applyNumberFormat="1" applyFont="1" applyBorder="1"/>
    <xf numFmtId="0" fontId="0" fillId="0" borderId="0" xfId="0" applyAlignment="1">
      <alignment horizontal="left"/>
    </xf>
    <xf numFmtId="178" fontId="35" fillId="0" borderId="0" xfId="0" applyNumberFormat="1" applyFont="1"/>
    <xf numFmtId="168" fontId="0" fillId="0" borderId="0" xfId="3" applyNumberFormat="1" applyFont="1" applyAlignment="1">
      <alignment horizontal="center"/>
    </xf>
    <xf numFmtId="167" fontId="0" fillId="0" borderId="0" xfId="1" applyNumberFormat="1" applyFont="1"/>
    <xf numFmtId="168" fontId="0" fillId="0" borderId="0" xfId="3" applyNumberFormat="1" applyFont="1"/>
    <xf numFmtId="43" fontId="0" fillId="0" borderId="0" xfId="1" applyFont="1" applyAlignment="1">
      <alignment horizontal="center"/>
    </xf>
    <xf numFmtId="9" fontId="0" fillId="0" borderId="0" xfId="1" applyNumberFormat="1" applyFont="1" applyAlignment="1">
      <alignment horizontal="center"/>
    </xf>
    <xf numFmtId="9" fontId="0" fillId="0" borderId="0" xfId="2" applyFont="1" applyAlignment="1">
      <alignment horizontal="center"/>
    </xf>
    <xf numFmtId="0" fontId="16" fillId="5" borderId="49" xfId="0" applyFont="1" applyFill="1" applyBorder="1" applyAlignment="1">
      <alignment horizontal="center" vertical="center"/>
    </xf>
    <xf numFmtId="3" fontId="10" fillId="2" borderId="21" xfId="0" applyNumberFormat="1" applyFont="1" applyFill="1" applyBorder="1" applyAlignment="1">
      <alignment horizontal="right"/>
    </xf>
    <xf numFmtId="0" fontId="10" fillId="2" borderId="21" xfId="0" applyFont="1" applyFill="1" applyBorder="1" applyAlignment="1">
      <alignment horizontal="center"/>
    </xf>
    <xf numFmtId="0" fontId="10" fillId="2" borderId="6" xfId="0" applyFont="1" applyFill="1" applyBorder="1"/>
    <xf numFmtId="0" fontId="2" fillId="2" borderId="6" xfId="0" applyFont="1" applyFill="1" applyBorder="1"/>
    <xf numFmtId="0" fontId="17" fillId="14" borderId="32" xfId="0" applyFont="1" applyFill="1" applyBorder="1" applyAlignment="1">
      <alignment horizontal="centerContinuous" vertical="center" readingOrder="1"/>
    </xf>
    <xf numFmtId="0" fontId="3" fillId="2" borderId="4" xfId="0" applyFont="1" applyFill="1" applyBorder="1"/>
    <xf numFmtId="0" fontId="16" fillId="10" borderId="31" xfId="0" applyFont="1" applyFill="1" applyBorder="1" applyAlignment="1">
      <alignment horizontal="centerContinuous" vertical="center" readingOrder="1"/>
    </xf>
    <xf numFmtId="174" fontId="4" fillId="2" borderId="33" xfId="2" applyNumberFormat="1" applyFont="1" applyFill="1" applyBorder="1"/>
    <xf numFmtId="174" fontId="4" fillId="2" borderId="34" xfId="2" applyNumberFormat="1" applyFont="1" applyFill="1" applyBorder="1"/>
    <xf numFmtId="0" fontId="3" fillId="2" borderId="35" xfId="0" applyFont="1" applyFill="1" applyBorder="1" applyAlignment="1">
      <alignment horizontal="left" vertical="top" indent="1" readingOrder="1"/>
    </xf>
    <xf numFmtId="166" fontId="4" fillId="2" borderId="34" xfId="0" applyNumberFormat="1" applyFont="1" applyFill="1" applyBorder="1"/>
    <xf numFmtId="0" fontId="3" fillId="2" borderId="80" xfId="0" applyFont="1" applyFill="1" applyBorder="1"/>
    <xf numFmtId="166" fontId="3" fillId="2" borderId="51" xfId="0" applyNumberFormat="1" applyFont="1" applyFill="1" applyBorder="1" applyAlignment="1">
      <alignment horizontal="center"/>
    </xf>
    <xf numFmtId="9" fontId="4" fillId="2" borderId="34" xfId="2" applyFont="1" applyFill="1" applyBorder="1" applyAlignment="1">
      <alignment horizontal="center"/>
    </xf>
    <xf numFmtId="166" fontId="4" fillId="2" borderId="55" xfId="0" applyNumberFormat="1" applyFont="1" applyFill="1" applyBorder="1"/>
    <xf numFmtId="9" fontId="4" fillId="2" borderId="55" xfId="2" applyFont="1" applyFill="1" applyBorder="1"/>
    <xf numFmtId="0" fontId="17" fillId="14" borderId="31" xfId="0" applyFont="1" applyFill="1" applyBorder="1" applyAlignment="1">
      <alignment horizontal="centerContinuous" vertical="center" readingOrder="1"/>
    </xf>
    <xf numFmtId="166" fontId="4" fillId="2" borderId="33" xfId="0" applyNumberFormat="1" applyFont="1" applyFill="1" applyBorder="1"/>
    <xf numFmtId="0" fontId="4" fillId="2" borderId="49" xfId="0" applyFont="1" applyFill="1" applyBorder="1" applyAlignment="1">
      <alignment horizontal="left" vertical="top" indent="3" readingOrder="1"/>
    </xf>
    <xf numFmtId="0" fontId="3" fillId="2" borderId="68" xfId="0" applyFont="1" applyFill="1" applyBorder="1" applyAlignment="1">
      <alignment horizontal="left" vertical="top" indent="1" readingOrder="1"/>
    </xf>
    <xf numFmtId="0" fontId="4" fillId="2" borderId="64" xfId="0" applyFont="1" applyFill="1" applyBorder="1" applyAlignment="1">
      <alignment horizontal="left" vertical="top" indent="3" readingOrder="1"/>
    </xf>
    <xf numFmtId="0" fontId="4" fillId="2" borderId="83" xfId="0" applyFont="1" applyFill="1" applyBorder="1"/>
    <xf numFmtId="166" fontId="3" fillId="2" borderId="34" xfId="0" applyNumberFormat="1" applyFont="1" applyFill="1" applyBorder="1"/>
    <xf numFmtId="166" fontId="4" fillId="2" borderId="64" xfId="0" applyNumberFormat="1" applyFont="1" applyFill="1" applyBorder="1"/>
    <xf numFmtId="9" fontId="4" fillId="2" borderId="64" xfId="2" applyFont="1" applyFill="1" applyBorder="1"/>
    <xf numFmtId="0" fontId="4" fillId="2" borderId="12" xfId="0" applyFont="1" applyFill="1" applyBorder="1"/>
    <xf numFmtId="0" fontId="4" fillId="0" borderId="50" xfId="0" applyFont="1" applyBorder="1" applyAlignment="1">
      <alignment horizontal="left" vertical="top" indent="3" readingOrder="1"/>
    </xf>
    <xf numFmtId="0" fontId="4" fillId="0" borderId="64" xfId="0" applyFont="1" applyBorder="1" applyAlignment="1">
      <alignment horizontal="left" vertical="top" indent="3" readingOrder="1"/>
    </xf>
    <xf numFmtId="166" fontId="3" fillId="0" borderId="51" xfId="0" applyNumberFormat="1" applyFont="1" applyBorder="1"/>
    <xf numFmtId="166" fontId="3" fillId="0" borderId="68" xfId="0" applyNumberFormat="1" applyFont="1" applyBorder="1"/>
    <xf numFmtId="9" fontId="3" fillId="0" borderId="68" xfId="2" applyFont="1" applyBorder="1"/>
    <xf numFmtId="0" fontId="3" fillId="4" borderId="55" xfId="0" applyFont="1" applyFill="1" applyBorder="1" applyAlignment="1">
      <alignment horizontal="left" vertical="top" readingOrder="1"/>
    </xf>
    <xf numFmtId="166" fontId="3" fillId="10" borderId="36" xfId="0" applyNumberFormat="1" applyFont="1" applyFill="1" applyBorder="1"/>
    <xf numFmtId="166" fontId="3" fillId="4" borderId="55" xfId="0" applyNumberFormat="1" applyFont="1" applyFill="1" applyBorder="1"/>
    <xf numFmtId="9" fontId="3" fillId="4" borderId="55" xfId="2" applyFont="1" applyFill="1" applyBorder="1"/>
    <xf numFmtId="3" fontId="4" fillId="2" borderId="62" xfId="0" applyNumberFormat="1" applyFont="1" applyFill="1" applyBorder="1" applyAlignment="1">
      <alignment horizontal="right"/>
    </xf>
    <xf numFmtId="3" fontId="4" fillId="2" borderId="69" xfId="0" applyNumberFormat="1" applyFont="1" applyFill="1" applyBorder="1" applyAlignment="1">
      <alignment horizontal="right"/>
    </xf>
    <xf numFmtId="3" fontId="4" fillId="2" borderId="65" xfId="0" applyNumberFormat="1" applyFont="1" applyFill="1" applyBorder="1" applyAlignment="1">
      <alignment horizontal="right"/>
    </xf>
    <xf numFmtId="3" fontId="4" fillId="2" borderId="69" xfId="0" applyNumberFormat="1" applyFont="1" applyFill="1" applyBorder="1"/>
    <xf numFmtId="3" fontId="4" fillId="2" borderId="62" xfId="0" applyNumberFormat="1" applyFont="1" applyFill="1" applyBorder="1"/>
    <xf numFmtId="3" fontId="2" fillId="2" borderId="62" xfId="0" applyNumberFormat="1" applyFont="1" applyFill="1" applyBorder="1"/>
    <xf numFmtId="3" fontId="4" fillId="10" borderId="84" xfId="0" applyNumberFormat="1" applyFont="1" applyFill="1" applyBorder="1"/>
    <xf numFmtId="0" fontId="4" fillId="2" borderId="51" xfId="0" applyFont="1" applyFill="1" applyBorder="1"/>
    <xf numFmtId="3" fontId="10" fillId="2" borderId="3" xfId="0" applyNumberFormat="1" applyFont="1" applyFill="1" applyBorder="1" applyAlignment="1">
      <alignment horizontal="center"/>
    </xf>
    <xf numFmtId="3" fontId="10" fillId="2" borderId="6" xfId="0" applyNumberFormat="1" applyFont="1" applyFill="1" applyBorder="1" applyAlignment="1">
      <alignment horizontal="center"/>
    </xf>
    <xf numFmtId="3" fontId="10" fillId="2" borderId="9" xfId="0" applyNumberFormat="1" applyFont="1" applyFill="1" applyBorder="1" applyAlignment="1">
      <alignment horizontal="center"/>
    </xf>
    <xf numFmtId="3" fontId="10" fillId="0" borderId="6" xfId="0" applyNumberFormat="1" applyFont="1" applyBorder="1" applyAlignment="1">
      <alignment horizontal="center"/>
    </xf>
    <xf numFmtId="174" fontId="4" fillId="2" borderId="47" xfId="2" applyNumberFormat="1" applyFont="1" applyFill="1" applyBorder="1"/>
    <xf numFmtId="180" fontId="4" fillId="2" borderId="11" xfId="1" applyNumberFormat="1" applyFont="1" applyFill="1" applyBorder="1"/>
    <xf numFmtId="3" fontId="4" fillId="2" borderId="11" xfId="0" applyNumberFormat="1" applyFont="1" applyFill="1" applyBorder="1"/>
    <xf numFmtId="9" fontId="4" fillId="2" borderId="48" xfId="2" applyFont="1" applyFill="1" applyBorder="1" applyAlignment="1">
      <alignment horizontal="center"/>
    </xf>
    <xf numFmtId="174" fontId="4" fillId="2" borderId="39" xfId="2" applyNumberFormat="1" applyFont="1" applyFill="1" applyBorder="1"/>
    <xf numFmtId="3" fontId="4" fillId="2" borderId="6" xfId="0" applyNumberFormat="1" applyFont="1" applyFill="1" applyBorder="1" applyAlignment="1">
      <alignment horizontal="right"/>
    </xf>
    <xf numFmtId="3" fontId="4" fillId="2" borderId="6" xfId="0" applyNumberFormat="1" applyFont="1" applyFill="1" applyBorder="1"/>
    <xf numFmtId="180" fontId="4" fillId="2" borderId="6" xfId="1" applyNumberFormat="1" applyFont="1" applyFill="1" applyBorder="1"/>
    <xf numFmtId="0" fontId="4" fillId="2" borderId="47" xfId="0" applyFont="1" applyFill="1" applyBorder="1" applyAlignment="1">
      <alignment horizontal="left"/>
    </xf>
    <xf numFmtId="166" fontId="4" fillId="2" borderId="11" xfId="0" applyNumberFormat="1" applyFont="1" applyFill="1" applyBorder="1" applyAlignment="1">
      <alignment horizontal="right"/>
    </xf>
    <xf numFmtId="166" fontId="4" fillId="2" borderId="11" xfId="0" applyNumberFormat="1" applyFont="1" applyFill="1" applyBorder="1"/>
    <xf numFmtId="0" fontId="4" fillId="2" borderId="39" xfId="0" applyFont="1" applyFill="1" applyBorder="1" applyAlignment="1">
      <alignment horizontal="left"/>
    </xf>
    <xf numFmtId="169" fontId="4" fillId="2" borderId="6" xfId="0" applyNumberFormat="1" applyFont="1" applyFill="1" applyBorder="1" applyAlignment="1">
      <alignment horizontal="right"/>
    </xf>
    <xf numFmtId="169" fontId="4" fillId="2" borderId="6" xfId="0" applyNumberFormat="1" applyFont="1" applyFill="1" applyBorder="1"/>
    <xf numFmtId="166" fontId="4" fillId="2" borderId="6" xfId="0" applyNumberFormat="1" applyFont="1" applyFill="1" applyBorder="1" applyAlignment="1">
      <alignment horizontal="right"/>
    </xf>
    <xf numFmtId="166" fontId="4" fillId="2" borderId="6" xfId="0" applyNumberFormat="1" applyFont="1" applyFill="1" applyBorder="1"/>
    <xf numFmtId="180" fontId="4" fillId="2" borderId="48" xfId="1" applyNumberFormat="1" applyFont="1" applyFill="1" applyBorder="1"/>
    <xf numFmtId="3" fontId="4" fillId="2" borderId="40" xfId="0" applyNumberFormat="1" applyFont="1" applyFill="1" applyBorder="1" applyAlignment="1">
      <alignment horizontal="right"/>
    </xf>
    <xf numFmtId="180" fontId="4" fillId="2" borderId="40" xfId="1" applyNumberFormat="1" applyFont="1" applyFill="1" applyBorder="1"/>
    <xf numFmtId="166" fontId="4" fillId="2" borderId="48" xfId="0" applyNumberFormat="1" applyFont="1" applyFill="1" applyBorder="1" applyAlignment="1">
      <alignment horizontal="right"/>
    </xf>
    <xf numFmtId="169" fontId="4" fillId="2" borderId="40" xfId="0" applyNumberFormat="1" applyFont="1" applyFill="1" applyBorder="1" applyAlignment="1">
      <alignment horizontal="right"/>
    </xf>
    <xf numFmtId="166" fontId="4" fillId="2" borderId="40" xfId="0" applyNumberFormat="1" applyFont="1" applyFill="1" applyBorder="1" applyAlignment="1">
      <alignment horizontal="right"/>
    </xf>
    <xf numFmtId="166" fontId="3" fillId="2" borderId="4" xfId="0" applyNumberFormat="1" applyFont="1" applyFill="1" applyBorder="1" applyAlignment="1">
      <alignment horizontal="right"/>
    </xf>
    <xf numFmtId="166" fontId="3" fillId="2" borderId="4" xfId="0" applyNumberFormat="1" applyFont="1" applyFill="1" applyBorder="1" applyAlignment="1">
      <alignment horizontal="right" indent="1"/>
    </xf>
    <xf numFmtId="38" fontId="32" fillId="2" borderId="6" xfId="0" applyNumberFormat="1" applyFont="1" applyFill="1" applyBorder="1"/>
    <xf numFmtId="3" fontId="4" fillId="0" borderId="22" xfId="0" applyNumberFormat="1" applyFont="1" applyBorder="1" applyAlignment="1">
      <alignment horizontal="center"/>
    </xf>
    <xf numFmtId="9" fontId="0" fillId="0" borderId="0" xfId="0" applyNumberFormat="1" applyAlignment="1">
      <alignment horizontal="center"/>
    </xf>
    <xf numFmtId="9" fontId="4" fillId="2" borderId="0" xfId="2" applyFont="1" applyFill="1"/>
    <xf numFmtId="44" fontId="0" fillId="0" borderId="0" xfId="3" applyFont="1" applyBorder="1"/>
    <xf numFmtId="0" fontId="0" fillId="0" borderId="31" xfId="0" applyBorder="1"/>
    <xf numFmtId="0" fontId="0" fillId="0" borderId="10" xfId="0" applyBorder="1"/>
    <xf numFmtId="0" fontId="21" fillId="0" borderId="2" xfId="0" applyFont="1" applyBorder="1" applyAlignment="1">
      <alignment horizontal="center"/>
    </xf>
    <xf numFmtId="0" fontId="21" fillId="0" borderId="59" xfId="0" applyFont="1" applyBorder="1" applyAlignment="1">
      <alignment horizontal="center"/>
    </xf>
    <xf numFmtId="168" fontId="0" fillId="0" borderId="0" xfId="0" applyNumberFormat="1"/>
    <xf numFmtId="174" fontId="0" fillId="0" borderId="34" xfId="2" applyNumberFormat="1" applyFont="1" applyBorder="1" applyAlignment="1">
      <alignment horizontal="center"/>
    </xf>
    <xf numFmtId="0" fontId="0" fillId="0" borderId="33" xfId="0" applyBorder="1"/>
    <xf numFmtId="0" fontId="0" fillId="0" borderId="34" xfId="0" applyBorder="1"/>
    <xf numFmtId="0" fontId="0" fillId="0" borderId="35" xfId="0" applyBorder="1"/>
    <xf numFmtId="168" fontId="0" fillId="0" borderId="8" xfId="3" applyNumberFormat="1" applyFont="1" applyBorder="1"/>
    <xf numFmtId="168" fontId="0" fillId="0" borderId="8" xfId="0" applyNumberFormat="1" applyBorder="1"/>
    <xf numFmtId="0" fontId="0" fillId="0" borderId="36" xfId="0" applyBorder="1"/>
    <xf numFmtId="168" fontId="0" fillId="0" borderId="0" xfId="3" applyNumberFormat="1" applyFont="1" applyBorder="1"/>
    <xf numFmtId="0" fontId="21" fillId="0" borderId="85" xfId="0" applyFont="1" applyBorder="1"/>
    <xf numFmtId="0" fontId="21" fillId="0" borderId="2" xfId="0" applyFont="1" applyBorder="1"/>
    <xf numFmtId="44" fontId="21" fillId="0" borderId="2" xfId="3" applyFont="1" applyBorder="1"/>
    <xf numFmtId="0" fontId="21" fillId="0" borderId="59" xfId="0" applyFont="1" applyBorder="1"/>
    <xf numFmtId="0" fontId="0" fillId="0" borderId="33" xfId="0" applyBorder="1" applyAlignment="1">
      <alignment horizontal="center"/>
    </xf>
    <xf numFmtId="0" fontId="21" fillId="0" borderId="85" xfId="0" applyFont="1" applyBorder="1" applyAlignment="1">
      <alignment horizontal="center"/>
    </xf>
    <xf numFmtId="0" fontId="21" fillId="0" borderId="10" xfId="0" applyFont="1" applyBorder="1"/>
    <xf numFmtId="174" fontId="0" fillId="0" borderId="36" xfId="2" applyNumberFormat="1" applyFont="1" applyBorder="1" applyAlignment="1">
      <alignment horizontal="center"/>
    </xf>
    <xf numFmtId="168" fontId="0" fillId="0" borderId="4" xfId="0" applyNumberFormat="1" applyBorder="1"/>
    <xf numFmtId="0" fontId="21" fillId="3" borderId="0" xfId="0" applyFont="1" applyFill="1"/>
    <xf numFmtId="0" fontId="0" fillId="18" borderId="0" xfId="0" applyFill="1"/>
    <xf numFmtId="44" fontId="0" fillId="18" borderId="0" xfId="0" applyNumberFormat="1" applyFill="1"/>
    <xf numFmtId="4" fontId="11" fillId="2" borderId="6" xfId="0" applyNumberFormat="1" applyFont="1" applyFill="1" applyBorder="1" applyAlignment="1">
      <alignment horizontal="center" vertical="center"/>
    </xf>
    <xf numFmtId="0" fontId="11" fillId="9" borderId="0" xfId="0" applyFont="1" applyFill="1" applyAlignment="1">
      <alignment vertical="center"/>
    </xf>
    <xf numFmtId="168" fontId="11" fillId="0" borderId="0" xfId="3" applyNumberFormat="1" applyFont="1" applyAlignment="1">
      <alignment vertical="center"/>
    </xf>
    <xf numFmtId="0" fontId="16" fillId="3" borderId="31" xfId="0" applyFont="1" applyFill="1" applyBorder="1" applyAlignment="1">
      <alignment horizontal="centerContinuous" vertical="center" readingOrder="1"/>
    </xf>
    <xf numFmtId="0" fontId="16" fillId="3" borderId="32" xfId="0" applyFont="1" applyFill="1" applyBorder="1" applyAlignment="1">
      <alignment horizontal="centerContinuous" vertical="center" readingOrder="1"/>
    </xf>
    <xf numFmtId="3" fontId="4" fillId="3" borderId="84" xfId="0" applyNumberFormat="1" applyFont="1" applyFill="1" applyBorder="1"/>
    <xf numFmtId="166" fontId="3" fillId="3" borderId="36" xfId="0" applyNumberFormat="1" applyFont="1" applyFill="1" applyBorder="1"/>
    <xf numFmtId="166" fontId="3" fillId="3" borderId="55" xfId="0" applyNumberFormat="1" applyFont="1" applyFill="1" applyBorder="1"/>
    <xf numFmtId="9" fontId="3" fillId="3" borderId="55" xfId="2" applyFont="1" applyFill="1" applyBorder="1"/>
    <xf numFmtId="0" fontId="3" fillId="3" borderId="84" xfId="0" applyFont="1" applyFill="1" applyBorder="1" applyAlignment="1">
      <alignment horizontal="center" vertical="center"/>
    </xf>
    <xf numFmtId="0" fontId="3" fillId="3" borderId="36" xfId="0" applyFont="1" applyFill="1" applyBorder="1" applyAlignment="1">
      <alignment horizontal="center" vertical="center"/>
    </xf>
    <xf numFmtId="166" fontId="3" fillId="3" borderId="55" xfId="0" applyNumberFormat="1" applyFont="1" applyFill="1" applyBorder="1" applyAlignment="1">
      <alignment horizontal="center" vertical="center"/>
    </xf>
    <xf numFmtId="0" fontId="20" fillId="14" borderId="84" xfId="0" applyFont="1" applyFill="1" applyBorder="1" applyAlignment="1">
      <alignment horizontal="center" vertical="center"/>
    </xf>
    <xf numFmtId="0" fontId="20" fillId="14" borderId="36" xfId="0" applyFont="1" applyFill="1" applyBorder="1" applyAlignment="1">
      <alignment horizontal="center" vertical="center"/>
    </xf>
    <xf numFmtId="0" fontId="18" fillId="14" borderId="0" xfId="0" applyFont="1" applyFill="1"/>
    <xf numFmtId="166" fontId="20" fillId="14" borderId="55" xfId="0" applyNumberFormat="1" applyFont="1" applyFill="1" applyBorder="1" applyAlignment="1">
      <alignment horizontal="center" vertical="center"/>
    </xf>
    <xf numFmtId="3" fontId="18" fillId="14" borderId="84" xfId="0" applyNumberFormat="1" applyFont="1" applyFill="1" applyBorder="1"/>
    <xf numFmtId="166" fontId="20" fillId="14" borderId="36" xfId="0" applyNumberFormat="1" applyFont="1" applyFill="1" applyBorder="1"/>
    <xf numFmtId="6" fontId="0" fillId="0" borderId="0" xfId="0" applyNumberFormat="1"/>
    <xf numFmtId="38" fontId="0" fillId="0" borderId="0" xfId="0" applyNumberFormat="1"/>
    <xf numFmtId="0" fontId="0" fillId="0" borderId="7" xfId="0" applyBorder="1"/>
    <xf numFmtId="38" fontId="0" fillId="0" borderId="4" xfId="0" applyNumberFormat="1" applyBorder="1"/>
    <xf numFmtId="6" fontId="21" fillId="0" borderId="0" xfId="0" applyNumberFormat="1" applyFont="1"/>
    <xf numFmtId="0" fontId="0" fillId="0" borderId="11" xfId="0" applyBorder="1"/>
    <xf numFmtId="14" fontId="21" fillId="0" borderId="0" xfId="0" applyNumberFormat="1" applyFont="1"/>
    <xf numFmtId="168" fontId="21" fillId="3" borderId="0" xfId="3" applyNumberFormat="1" applyFont="1" applyFill="1"/>
    <xf numFmtId="44" fontId="21" fillId="0" borderId="4" xfId="3" applyFont="1" applyBorder="1"/>
    <xf numFmtId="0" fontId="21" fillId="2" borderId="0" xfId="0" applyFont="1" applyFill="1"/>
    <xf numFmtId="0" fontId="0" fillId="2" borderId="0" xfId="0" applyFill="1" applyAlignment="1">
      <alignment horizontal="center"/>
    </xf>
    <xf numFmtId="0" fontId="0" fillId="2" borderId="0" xfId="0" applyFill="1"/>
    <xf numFmtId="0" fontId="0" fillId="2" borderId="87" xfId="0" applyFill="1" applyBorder="1" applyAlignment="1">
      <alignment horizontal="left" indent="1"/>
    </xf>
    <xf numFmtId="3" fontId="0" fillId="2" borderId="12" xfId="0" applyNumberFormat="1" applyFill="1" applyBorder="1" applyAlignment="1">
      <alignment horizontal="center"/>
    </xf>
    <xf numFmtId="171" fontId="0" fillId="2" borderId="12" xfId="0" applyNumberFormat="1" applyFill="1" applyBorder="1" applyAlignment="1">
      <alignment horizontal="center"/>
    </xf>
    <xf numFmtId="166" fontId="0" fillId="2" borderId="12" xfId="0" applyNumberFormat="1" applyFill="1" applyBorder="1" applyAlignment="1">
      <alignment horizontal="center"/>
    </xf>
    <xf numFmtId="0" fontId="0" fillId="2" borderId="88" xfId="0" applyFill="1" applyBorder="1"/>
    <xf numFmtId="0" fontId="0" fillId="2" borderId="89" xfId="0" applyFill="1" applyBorder="1" applyAlignment="1">
      <alignment horizontal="left" indent="1"/>
    </xf>
    <xf numFmtId="3" fontId="0" fillId="2" borderId="0" xfId="0" applyNumberFormat="1" applyFill="1" applyAlignment="1">
      <alignment horizontal="center"/>
    </xf>
    <xf numFmtId="171" fontId="0" fillId="2" borderId="0" xfId="0" applyNumberFormat="1" applyFill="1" applyAlignment="1">
      <alignment horizontal="center"/>
    </xf>
    <xf numFmtId="166" fontId="0" fillId="2" borderId="0" xfId="0" applyNumberFormat="1" applyFill="1" applyAlignment="1">
      <alignment horizontal="center"/>
    </xf>
    <xf numFmtId="0" fontId="0" fillId="2" borderId="90" xfId="0" applyFill="1" applyBorder="1"/>
    <xf numFmtId="4" fontId="0" fillId="2" borderId="0" xfId="0" applyNumberFormat="1" applyFill="1" applyAlignment="1">
      <alignment horizontal="center"/>
    </xf>
    <xf numFmtId="166" fontId="0" fillId="2" borderId="4" xfId="0" applyNumberFormat="1" applyFill="1" applyBorder="1" applyAlignment="1">
      <alignment horizontal="center"/>
    </xf>
    <xf numFmtId="0" fontId="0" fillId="2" borderId="91" xfId="0" applyFill="1" applyBorder="1"/>
    <xf numFmtId="0" fontId="0" fillId="2" borderId="4" xfId="0" applyFill="1" applyBorder="1" applyAlignment="1">
      <alignment horizontal="center"/>
    </xf>
    <xf numFmtId="166" fontId="21" fillId="2" borderId="4" xfId="0" applyNumberFormat="1" applyFont="1" applyFill="1" applyBorder="1" applyAlignment="1">
      <alignment horizontal="center"/>
    </xf>
    <xf numFmtId="0" fontId="0" fillId="2" borderId="92" xfId="0" applyFill="1" applyBorder="1"/>
    <xf numFmtId="0" fontId="0" fillId="2" borderId="0" xfId="0" applyFill="1" applyAlignment="1">
      <alignment horizontal="left" indent="1"/>
    </xf>
    <xf numFmtId="166" fontId="21" fillId="2" borderId="0" xfId="0" applyNumberFormat="1" applyFont="1" applyFill="1" applyAlignment="1">
      <alignment horizontal="center"/>
    </xf>
    <xf numFmtId="0" fontId="0" fillId="2" borderId="78" xfId="0" applyFill="1" applyBorder="1" applyAlignment="1">
      <alignment horizontal="left" indent="1"/>
    </xf>
    <xf numFmtId="0" fontId="0" fillId="2" borderId="4" xfId="0" applyFill="1" applyBorder="1"/>
    <xf numFmtId="0" fontId="0" fillId="2" borderId="79" xfId="0" applyFill="1" applyBorder="1"/>
    <xf numFmtId="0" fontId="0" fillId="2" borderId="91" xfId="0" applyFill="1" applyBorder="1" applyAlignment="1">
      <alignment horizontal="left" indent="1"/>
    </xf>
    <xf numFmtId="166" fontId="0" fillId="2" borderId="13" xfId="0" applyNumberFormat="1" applyFill="1" applyBorder="1" applyAlignment="1">
      <alignment horizontal="center"/>
    </xf>
    <xf numFmtId="0" fontId="21" fillId="7" borderId="78" xfId="0" applyFont="1" applyFill="1" applyBorder="1" applyAlignment="1">
      <alignment vertical="center"/>
    </xf>
    <xf numFmtId="0" fontId="21" fillId="7" borderId="13" xfId="0" applyFont="1" applyFill="1" applyBorder="1" applyAlignment="1">
      <alignment horizontal="center" vertical="center"/>
    </xf>
    <xf numFmtId="0" fontId="21" fillId="7" borderId="13" xfId="0" applyFont="1" applyFill="1" applyBorder="1" applyAlignment="1">
      <alignment vertical="center"/>
    </xf>
    <xf numFmtId="166" fontId="21" fillId="7" borderId="13" xfId="0" applyNumberFormat="1" applyFont="1" applyFill="1" applyBorder="1" applyAlignment="1">
      <alignment horizontal="center" vertical="center"/>
    </xf>
    <xf numFmtId="0" fontId="0" fillId="7" borderId="79" xfId="0" applyFill="1" applyBorder="1" applyAlignment="1">
      <alignment vertical="center"/>
    </xf>
    <xf numFmtId="0" fontId="21" fillId="7" borderId="4" xfId="0" applyFont="1" applyFill="1" applyBorder="1" applyAlignment="1">
      <alignment horizontal="center" vertical="center"/>
    </xf>
    <xf numFmtId="0" fontId="0" fillId="19" borderId="79" xfId="0" applyFill="1" applyBorder="1" applyAlignment="1">
      <alignment horizontal="center"/>
    </xf>
    <xf numFmtId="0" fontId="0" fillId="19" borderId="78" xfId="0" applyFill="1" applyBorder="1" applyAlignment="1">
      <alignment horizontal="center"/>
    </xf>
    <xf numFmtId="0" fontId="0" fillId="19" borderId="86" xfId="0" applyFill="1" applyBorder="1" applyAlignment="1">
      <alignment horizontal="left" indent="5"/>
    </xf>
    <xf numFmtId="0" fontId="0" fillId="19" borderId="79" xfId="0" applyFill="1" applyBorder="1" applyAlignment="1">
      <alignment horizontal="left" indent="5"/>
    </xf>
    <xf numFmtId="0" fontId="0" fillId="19" borderId="87" xfId="0" applyFill="1" applyBorder="1" applyAlignment="1">
      <alignment horizontal="left" indent="5"/>
    </xf>
    <xf numFmtId="0" fontId="0" fillId="19" borderId="88" xfId="0" applyFill="1" applyBorder="1" applyAlignment="1">
      <alignment horizontal="left" indent="5"/>
    </xf>
    <xf numFmtId="0" fontId="3" fillId="2" borderId="19" xfId="0" applyFont="1" applyFill="1" applyBorder="1" applyAlignment="1">
      <alignment horizontal="center"/>
    </xf>
    <xf numFmtId="181" fontId="4" fillId="2" borderId="0" xfId="0" applyNumberFormat="1" applyFont="1" applyFill="1"/>
    <xf numFmtId="167" fontId="4" fillId="2" borderId="0" xfId="1" applyNumberFormat="1" applyFont="1" applyFill="1"/>
    <xf numFmtId="168" fontId="4" fillId="2" borderId="0" xfId="3" applyNumberFormat="1" applyFont="1" applyFill="1"/>
    <xf numFmtId="0" fontId="2" fillId="2" borderId="0" xfId="0" applyFont="1" applyFill="1"/>
    <xf numFmtId="3" fontId="2" fillId="2" borderId="9" xfId="0" applyNumberFormat="1" applyFont="1" applyFill="1" applyBorder="1" applyAlignment="1">
      <alignment horizontal="center"/>
    </xf>
    <xf numFmtId="3" fontId="2" fillId="0" borderId="6" xfId="0" applyNumberFormat="1" applyFont="1" applyBorder="1" applyAlignment="1">
      <alignment horizontal="center"/>
    </xf>
    <xf numFmtId="1" fontId="2" fillId="0" borderId="15" xfId="0" applyNumberFormat="1" applyFont="1" applyBorder="1" applyAlignment="1">
      <alignment horizontal="center"/>
    </xf>
    <xf numFmtId="3" fontId="4" fillId="3" borderId="18" xfId="0" applyNumberFormat="1" applyFont="1" applyFill="1" applyBorder="1"/>
    <xf numFmtId="0" fontId="4" fillId="2" borderId="0" xfId="0" applyFont="1" applyFill="1" applyAlignment="1">
      <alignment horizontal="left"/>
    </xf>
    <xf numFmtId="3" fontId="4" fillId="2" borderId="0" xfId="0" applyNumberFormat="1" applyFont="1" applyFill="1" applyAlignment="1">
      <alignment horizontal="center"/>
    </xf>
    <xf numFmtId="3" fontId="11" fillId="0" borderId="6" xfId="1" applyNumberFormat="1" applyFont="1" applyBorder="1" applyAlignment="1">
      <alignment horizontal="center" vertical="center"/>
    </xf>
    <xf numFmtId="2" fontId="11" fillId="0" borderId="6" xfId="0" applyNumberFormat="1" applyFont="1" applyBorder="1" applyAlignment="1">
      <alignment horizontal="center" vertical="center"/>
    </xf>
    <xf numFmtId="0" fontId="11" fillId="0" borderId="6" xfId="0" applyFont="1" applyBorder="1" applyAlignment="1">
      <alignment horizontal="center" vertical="center"/>
    </xf>
    <xf numFmtId="3" fontId="10" fillId="2" borderId="20" xfId="0" applyNumberFormat="1" applyFont="1" applyFill="1" applyBorder="1" applyAlignment="1">
      <alignment horizontal="right"/>
    </xf>
    <xf numFmtId="3" fontId="4" fillId="0" borderId="22" xfId="0" applyNumberFormat="1" applyFont="1" applyBorder="1"/>
    <xf numFmtId="14" fontId="4" fillId="2" borderId="6" xfId="0" applyNumberFormat="1" applyFont="1" applyFill="1" applyBorder="1" applyAlignment="1">
      <alignment horizontal="center"/>
    </xf>
    <xf numFmtId="0" fontId="0" fillId="0" borderId="0" xfId="0" quotePrefix="1" applyAlignment="1">
      <alignment horizontal="center"/>
    </xf>
    <xf numFmtId="0" fontId="21" fillId="0" borderId="4" xfId="0" applyFont="1" applyBorder="1" applyAlignment="1">
      <alignment horizontal="center"/>
    </xf>
    <xf numFmtId="171" fontId="4" fillId="2" borderId="22" xfId="0" applyNumberFormat="1" applyFont="1" applyFill="1" applyBorder="1" applyAlignment="1">
      <alignment horizontal="center"/>
    </xf>
    <xf numFmtId="3" fontId="0" fillId="0" borderId="0" xfId="0" applyNumberFormat="1" applyAlignment="1">
      <alignment horizontal="center"/>
    </xf>
    <xf numFmtId="0" fontId="38" fillId="2" borderId="0" xfId="0" applyFont="1" applyFill="1"/>
    <xf numFmtId="0" fontId="38" fillId="2" borderId="6" xfId="0" applyFont="1" applyFill="1" applyBorder="1"/>
    <xf numFmtId="0" fontId="38" fillId="2" borderId="0" xfId="0" applyFont="1" applyFill="1" applyAlignment="1">
      <alignment horizontal="center"/>
    </xf>
    <xf numFmtId="4" fontId="4" fillId="2" borderId="0" xfId="0" applyNumberFormat="1" applyFont="1" applyFill="1"/>
    <xf numFmtId="3" fontId="0" fillId="0" borderId="0" xfId="0" applyNumberFormat="1"/>
    <xf numFmtId="0" fontId="0" fillId="19" borderId="31" xfId="0" applyFill="1" applyBorder="1" applyAlignment="1">
      <alignment horizontal="center" vertical="center"/>
    </xf>
    <xf numFmtId="0" fontId="0" fillId="19" borderId="93" xfId="0" applyFill="1" applyBorder="1" applyAlignment="1">
      <alignment horizontal="left" vertical="center"/>
    </xf>
    <xf numFmtId="0" fontId="0" fillId="19" borderId="63" xfId="0" applyFill="1" applyBorder="1" applyAlignment="1">
      <alignment horizontal="left" vertical="center"/>
    </xf>
    <xf numFmtId="0" fontId="0" fillId="19" borderId="77" xfId="0" applyFill="1" applyBorder="1" applyAlignment="1">
      <alignment horizontal="left" vertical="center"/>
    </xf>
    <xf numFmtId="0" fontId="0" fillId="19" borderId="45" xfId="0" applyFill="1" applyBorder="1" applyAlignment="1">
      <alignment horizontal="left" vertical="center"/>
    </xf>
    <xf numFmtId="0" fontId="0" fillId="19" borderId="39" xfId="0" applyFill="1" applyBorder="1" applyAlignment="1">
      <alignment horizontal="left" vertical="center"/>
    </xf>
    <xf numFmtId="0" fontId="0" fillId="19" borderId="43" xfId="0" applyFill="1" applyBorder="1" applyAlignment="1">
      <alignment horizontal="left" vertical="center"/>
    </xf>
    <xf numFmtId="0" fontId="0" fillId="19" borderId="58" xfId="0" applyFill="1" applyBorder="1" applyAlignment="1">
      <alignment horizontal="center" vertical="center"/>
    </xf>
    <xf numFmtId="0" fontId="0" fillId="19" borderId="17" xfId="0" applyFill="1"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center" vertical="center"/>
    </xf>
    <xf numFmtId="0" fontId="0" fillId="0" borderId="95" xfId="0" applyBorder="1" applyAlignment="1">
      <alignment horizontal="left" vertical="center"/>
    </xf>
    <xf numFmtId="0" fontId="0" fillId="0" borderId="96" xfId="0" applyBorder="1"/>
    <xf numFmtId="0" fontId="0" fillId="0" borderId="71" xfId="0" applyBorder="1" applyAlignment="1">
      <alignment horizontal="center" vertical="center"/>
    </xf>
    <xf numFmtId="0" fontId="0" fillId="0" borderId="22" xfId="0" applyBorder="1" applyAlignment="1">
      <alignment horizontal="center" vertical="center"/>
    </xf>
    <xf numFmtId="0" fontId="0" fillId="0" borderId="22" xfId="0" applyBorder="1" applyAlignment="1">
      <alignment horizontal="left" vertical="center"/>
    </xf>
    <xf numFmtId="0" fontId="0" fillId="0" borderId="97" xfId="0" applyBorder="1"/>
    <xf numFmtId="0" fontId="0" fillId="0" borderId="22" xfId="0" applyBorder="1"/>
    <xf numFmtId="0" fontId="0" fillId="0" borderId="98" xfId="0" applyBorder="1" applyAlignment="1">
      <alignment horizontal="center" vertical="center"/>
    </xf>
    <xf numFmtId="0" fontId="0" fillId="0" borderId="99" xfId="0" applyBorder="1" applyAlignment="1">
      <alignment horizontal="center" vertical="center"/>
    </xf>
    <xf numFmtId="0" fontId="0" fillId="0" borderId="99" xfId="0" applyBorder="1" applyAlignment="1">
      <alignment horizontal="left" vertical="center"/>
    </xf>
    <xf numFmtId="0" fontId="0" fillId="0" borderId="99" xfId="0" applyBorder="1"/>
    <xf numFmtId="0" fontId="0" fillId="0" borderId="100" xfId="0" applyBorder="1"/>
    <xf numFmtId="171" fontId="0" fillId="0" borderId="0" xfId="0" applyNumberFormat="1"/>
    <xf numFmtId="0" fontId="0" fillId="19" borderId="54" xfId="0" applyFill="1" applyBorder="1" applyAlignment="1">
      <alignment horizontal="center" vertical="center"/>
    </xf>
    <xf numFmtId="0" fontId="0" fillId="19" borderId="56" xfId="0" applyFill="1" applyBorder="1" applyAlignment="1">
      <alignment horizontal="center" vertical="center"/>
    </xf>
    <xf numFmtId="0" fontId="0" fillId="19" borderId="57" xfId="0" applyFill="1" applyBorder="1" applyAlignment="1">
      <alignment horizontal="center" vertical="center"/>
    </xf>
    <xf numFmtId="0" fontId="0" fillId="19" borderId="101" xfId="0" applyFill="1" applyBorder="1" applyAlignment="1">
      <alignment horizontal="center" vertical="center"/>
    </xf>
    <xf numFmtId="171" fontId="4" fillId="0" borderId="22" xfId="0" applyNumberFormat="1" applyFont="1" applyBorder="1" applyAlignment="1">
      <alignment horizontal="center"/>
    </xf>
    <xf numFmtId="0" fontId="38" fillId="2" borderId="6" xfId="0" applyFont="1" applyFill="1" applyBorder="1" applyAlignment="1">
      <alignment horizontal="left"/>
    </xf>
    <xf numFmtId="171" fontId="4" fillId="0" borderId="0" xfId="0" applyNumberFormat="1" applyFont="1" applyAlignment="1">
      <alignment horizontal="center"/>
    </xf>
    <xf numFmtId="4" fontId="14" fillId="2" borderId="6" xfId="0" applyNumberFormat="1" applyFont="1" applyFill="1" applyBorder="1" applyAlignment="1">
      <alignment horizontal="center" vertical="center"/>
    </xf>
    <xf numFmtId="0" fontId="4" fillId="0" borderId="0" xfId="0" quotePrefix="1" applyFont="1" applyAlignment="1">
      <alignment horizontal="center"/>
    </xf>
    <xf numFmtId="166" fontId="4" fillId="0" borderId="0" xfId="0" applyNumberFormat="1" applyFont="1" applyAlignment="1">
      <alignment horizontal="center"/>
    </xf>
    <xf numFmtId="166" fontId="4" fillId="2" borderId="22" xfId="0" applyNumberFormat="1" applyFont="1" applyFill="1" applyBorder="1" applyAlignment="1">
      <alignment horizontal="center"/>
    </xf>
    <xf numFmtId="9" fontId="0" fillId="2" borderId="0" xfId="2" applyFont="1" applyFill="1"/>
    <xf numFmtId="0" fontId="0" fillId="0" borderId="96" xfId="0" applyBorder="1" applyAlignment="1">
      <alignment horizontal="right" vertical="center"/>
    </xf>
    <xf numFmtId="0" fontId="0" fillId="0" borderId="97" xfId="0" applyBorder="1" applyAlignment="1">
      <alignment horizontal="right" vertical="center"/>
    </xf>
    <xf numFmtId="0" fontId="0" fillId="0" borderId="100" xfId="0" applyBorder="1" applyAlignment="1">
      <alignment horizontal="right" vertical="center"/>
    </xf>
    <xf numFmtId="0" fontId="0" fillId="0" borderId="94" xfId="0" applyBorder="1"/>
    <xf numFmtId="0" fontId="0" fillId="0" borderId="95" xfId="0" applyBorder="1"/>
    <xf numFmtId="0" fontId="0" fillId="0" borderId="98" xfId="0" applyBorder="1"/>
    <xf numFmtId="0" fontId="0" fillId="0" borderId="71" xfId="0" applyBorder="1"/>
    <xf numFmtId="0" fontId="0" fillId="0" borderId="0" xfId="0" applyAlignment="1">
      <alignment horizontal="center" vertical="center"/>
    </xf>
    <xf numFmtId="10" fontId="0" fillId="0" borderId="77" xfId="2" applyNumberFormat="1" applyFont="1" applyBorder="1" applyAlignment="1">
      <alignment horizontal="center" vertical="center"/>
    </xf>
    <xf numFmtId="3" fontId="0" fillId="0" borderId="94" xfId="0" applyNumberFormat="1" applyBorder="1" applyAlignment="1">
      <alignment horizontal="center" vertical="center"/>
    </xf>
    <xf numFmtId="0" fontId="0" fillId="0" borderId="57" xfId="0" applyBorder="1" applyAlignment="1">
      <alignment horizontal="center" vertical="center"/>
    </xf>
    <xf numFmtId="0" fontId="0" fillId="19" borderId="56" xfId="0" applyFill="1" applyBorder="1" applyAlignment="1">
      <alignment horizontal="center"/>
    </xf>
    <xf numFmtId="0" fontId="0" fillId="19" borderId="57" xfId="0" applyFill="1" applyBorder="1" applyAlignment="1">
      <alignment horizontal="center"/>
    </xf>
    <xf numFmtId="2" fontId="0" fillId="0" borderId="0" xfId="0" applyNumberFormat="1"/>
    <xf numFmtId="0" fontId="2" fillId="2" borderId="0" xfId="0" applyFont="1" applyFill="1" applyAlignment="1">
      <alignment horizontal="center"/>
    </xf>
    <xf numFmtId="9" fontId="4" fillId="0" borderId="0" xfId="0" quotePrefix="1" applyNumberFormat="1" applyFont="1" applyAlignment="1">
      <alignment horizontal="center"/>
    </xf>
    <xf numFmtId="168" fontId="0" fillId="3" borderId="0" xfId="0" applyNumberFormat="1" applyFill="1"/>
    <xf numFmtId="0" fontId="21" fillId="6" borderId="2" xfId="0" applyFont="1" applyFill="1" applyBorder="1" applyAlignment="1">
      <alignment horizontal="center"/>
    </xf>
    <xf numFmtId="168" fontId="0" fillId="6" borderId="0" xfId="3" applyNumberFormat="1" applyFont="1" applyFill="1" applyBorder="1"/>
    <xf numFmtId="44" fontId="0" fillId="6" borderId="0" xfId="3" applyFont="1" applyFill="1" applyBorder="1"/>
    <xf numFmtId="168" fontId="0" fillId="6" borderId="8" xfId="3" applyNumberFormat="1" applyFont="1" applyFill="1" applyBorder="1"/>
    <xf numFmtId="165" fontId="4" fillId="2" borderId="22" xfId="0" applyNumberFormat="1" applyFont="1" applyFill="1" applyBorder="1"/>
    <xf numFmtId="44" fontId="0" fillId="0" borderId="0" xfId="0" applyNumberFormat="1" applyAlignment="1">
      <alignment horizontal="center"/>
    </xf>
    <xf numFmtId="10" fontId="4" fillId="2" borderId="0" xfId="2" applyNumberFormat="1" applyFont="1" applyFill="1"/>
    <xf numFmtId="0" fontId="4" fillId="2" borderId="41" xfId="0" applyFont="1" applyFill="1" applyBorder="1"/>
    <xf numFmtId="171" fontId="0" fillId="2" borderId="13" xfId="0" applyNumberFormat="1" applyFill="1" applyBorder="1" applyAlignment="1">
      <alignment horizontal="center"/>
    </xf>
    <xf numFmtId="44" fontId="21" fillId="0" borderId="4" xfId="3" applyFont="1" applyBorder="1" applyAlignment="1">
      <alignment horizontal="center"/>
    </xf>
    <xf numFmtId="9" fontId="21" fillId="0" borderId="4" xfId="0" applyNumberFormat="1" applyFont="1" applyBorder="1" applyAlignment="1">
      <alignment horizontal="center"/>
    </xf>
    <xf numFmtId="0" fontId="21" fillId="0" borderId="34" xfId="0" applyFont="1" applyBorder="1"/>
    <xf numFmtId="37" fontId="0" fillId="0" borderId="0" xfId="3" applyNumberFormat="1" applyFont="1"/>
    <xf numFmtId="37" fontId="0" fillId="0" borderId="4" xfId="3" applyNumberFormat="1" applyFont="1" applyBorder="1"/>
    <xf numFmtId="9" fontId="0" fillId="0" borderId="4" xfId="0" applyNumberFormat="1" applyBorder="1" applyAlignment="1">
      <alignment horizontal="center"/>
    </xf>
    <xf numFmtId="168" fontId="0" fillId="0" borderId="4" xfId="3" applyNumberFormat="1" applyFont="1" applyBorder="1"/>
    <xf numFmtId="0" fontId="0" fillId="0" borderId="2" xfId="0" applyBorder="1"/>
    <xf numFmtId="168" fontId="1" fillId="0" borderId="0" xfId="3" applyNumberFormat="1" applyFont="1" applyBorder="1"/>
    <xf numFmtId="0" fontId="21" fillId="0" borderId="37" xfId="0" applyFont="1" applyBorder="1" applyAlignment="1">
      <alignment horizontal="center"/>
    </xf>
    <xf numFmtId="0" fontId="21" fillId="0" borderId="1" xfId="0" applyFont="1" applyBorder="1"/>
    <xf numFmtId="168" fontId="21" fillId="0" borderId="1" xfId="3" applyNumberFormat="1" applyFont="1" applyBorder="1"/>
    <xf numFmtId="9" fontId="21" fillId="0" borderId="1" xfId="0" applyNumberFormat="1" applyFont="1" applyBorder="1" applyAlignment="1">
      <alignment horizontal="center"/>
    </xf>
    <xf numFmtId="0" fontId="0" fillId="0" borderId="80" xfId="0" applyBorder="1" applyAlignment="1">
      <alignment horizontal="center"/>
    </xf>
    <xf numFmtId="0" fontId="0" fillId="0" borderId="51" xfId="0" applyBorder="1"/>
    <xf numFmtId="37" fontId="0" fillId="0" borderId="0" xfId="0" applyNumberFormat="1"/>
    <xf numFmtId="168" fontId="0" fillId="2" borderId="0" xfId="0" applyNumberFormat="1" applyFill="1"/>
    <xf numFmtId="166" fontId="0" fillId="0" borderId="4" xfId="0" applyNumberFormat="1" applyBorder="1"/>
    <xf numFmtId="166" fontId="0" fillId="0" borderId="0" xfId="0" applyNumberFormat="1" applyAlignment="1">
      <alignment horizontal="center"/>
    </xf>
    <xf numFmtId="166" fontId="0" fillId="0" borderId="12" xfId="0" applyNumberFormat="1" applyBorder="1"/>
    <xf numFmtId="0" fontId="21" fillId="0" borderId="14" xfId="0" applyFont="1" applyBorder="1"/>
    <xf numFmtId="0" fontId="0" fillId="0" borderId="4" xfId="0" applyBorder="1" applyAlignment="1">
      <alignment horizontal="center"/>
    </xf>
    <xf numFmtId="166" fontId="21" fillId="0" borderId="4" xfId="0" applyNumberFormat="1" applyFont="1" applyBorder="1" applyAlignment="1">
      <alignment horizontal="center"/>
    </xf>
    <xf numFmtId="166" fontId="0" fillId="0" borderId="4" xfId="0" applyNumberFormat="1" applyBorder="1" applyAlignment="1">
      <alignment horizontal="center"/>
    </xf>
    <xf numFmtId="0" fontId="0" fillId="0" borderId="37" xfId="0" applyBorder="1" applyAlignment="1">
      <alignment horizontal="left" indent="1"/>
    </xf>
    <xf numFmtId="166" fontId="0" fillId="0" borderId="1" xfId="0" applyNumberFormat="1" applyBorder="1" applyAlignment="1">
      <alignment horizontal="center"/>
    </xf>
    <xf numFmtId="166" fontId="0" fillId="0" borderId="38" xfId="0" applyNumberFormat="1" applyBorder="1" applyAlignment="1">
      <alignment horizontal="center"/>
    </xf>
    <xf numFmtId="169" fontId="0" fillId="2" borderId="13" xfId="0" applyNumberFormat="1" applyFill="1" applyBorder="1" applyAlignment="1">
      <alignment horizontal="center"/>
    </xf>
    <xf numFmtId="166" fontId="0" fillId="2" borderId="0" xfId="0" applyNumberFormat="1" applyFill="1"/>
    <xf numFmtId="169" fontId="0" fillId="2" borderId="12" xfId="0" applyNumberFormat="1" applyFill="1" applyBorder="1" applyAlignment="1">
      <alignment horizontal="center"/>
    </xf>
    <xf numFmtId="164" fontId="4" fillId="3" borderId="6" xfId="0" applyNumberFormat="1" applyFont="1" applyFill="1" applyBorder="1" applyAlignment="1">
      <alignment horizontal="center"/>
    </xf>
    <xf numFmtId="0" fontId="0" fillId="0" borderId="0" xfId="0" applyAlignment="1">
      <alignment wrapText="1"/>
    </xf>
    <xf numFmtId="0" fontId="4" fillId="2" borderId="0" xfId="0" applyFont="1" applyFill="1" applyAlignment="1">
      <alignment horizontal="left" indent="1"/>
    </xf>
    <xf numFmtId="44" fontId="4" fillId="2" borderId="0" xfId="3" applyFont="1" applyFill="1" applyAlignment="1">
      <alignment horizontal="center"/>
    </xf>
    <xf numFmtId="43" fontId="4" fillId="2" borderId="0" xfId="0" applyNumberFormat="1" applyFont="1" applyFill="1"/>
    <xf numFmtId="174" fontId="4" fillId="2" borderId="0" xfId="2" applyNumberFormat="1" applyFont="1" applyFill="1"/>
    <xf numFmtId="3" fontId="2" fillId="2" borderId="19" xfId="0" applyNumberFormat="1" applyFont="1" applyFill="1" applyBorder="1"/>
    <xf numFmtId="0" fontId="40" fillId="0" borderId="0" xfId="0" applyFont="1"/>
    <xf numFmtId="0" fontId="41" fillId="0" borderId="0" xfId="0" applyFont="1"/>
    <xf numFmtId="167" fontId="41" fillId="0" borderId="0" xfId="6" applyNumberFormat="1" applyFont="1" applyFill="1"/>
    <xf numFmtId="0" fontId="41" fillId="0" borderId="0" xfId="0" applyFont="1" applyAlignment="1">
      <alignment horizontal="center"/>
    </xf>
    <xf numFmtId="0" fontId="41" fillId="0" borderId="0" xfId="0" applyFont="1" applyAlignment="1">
      <alignment vertical="top"/>
    </xf>
    <xf numFmtId="167" fontId="44" fillId="0" borderId="0" xfId="6" applyNumberFormat="1" applyFont="1" applyFill="1" applyBorder="1"/>
    <xf numFmtId="0" fontId="43" fillId="0" borderId="0" xfId="0" applyFont="1" applyAlignment="1">
      <alignment horizontal="center" wrapText="1"/>
    </xf>
    <xf numFmtId="14" fontId="45" fillId="5" borderId="86" xfId="6" applyNumberFormat="1" applyFont="1" applyFill="1" applyBorder="1" applyAlignment="1">
      <alignment horizontal="center" vertical="center" wrapText="1"/>
    </xf>
    <xf numFmtId="167" fontId="43" fillId="21" borderId="86" xfId="6" applyNumberFormat="1" applyFont="1" applyFill="1" applyBorder="1" applyAlignment="1">
      <alignment horizontal="center" vertical="center" wrapText="1"/>
    </xf>
    <xf numFmtId="0" fontId="41" fillId="0" borderId="0" xfId="0" applyFont="1" applyAlignment="1">
      <alignment vertical="center"/>
    </xf>
    <xf numFmtId="167" fontId="45" fillId="5" borderId="86" xfId="6" applyNumberFormat="1" applyFont="1" applyFill="1" applyBorder="1" applyAlignment="1">
      <alignment horizontal="center" vertical="center" wrapText="1"/>
    </xf>
    <xf numFmtId="167" fontId="45" fillId="5" borderId="86" xfId="6" quotePrefix="1" applyNumberFormat="1" applyFont="1" applyFill="1" applyBorder="1" applyAlignment="1">
      <alignment horizontal="center" vertical="center" wrapText="1"/>
    </xf>
    <xf numFmtId="167" fontId="45" fillId="22" borderId="86" xfId="6" applyNumberFormat="1" applyFont="1" applyFill="1" applyBorder="1" applyAlignment="1">
      <alignment horizontal="center" vertical="center" wrapText="1"/>
    </xf>
    <xf numFmtId="0" fontId="41" fillId="0" borderId="0" xfId="0" applyFont="1" applyAlignment="1">
      <alignment horizontal="center" wrapText="1"/>
    </xf>
    <xf numFmtId="9" fontId="44" fillId="0" borderId="0" xfId="0" applyNumberFormat="1" applyFont="1"/>
    <xf numFmtId="0" fontId="46" fillId="0" borderId="0" xfId="0" applyFont="1"/>
    <xf numFmtId="167" fontId="47" fillId="0" borderId="102" xfId="7" applyNumberFormat="1" applyFont="1" applyFill="1" applyBorder="1"/>
    <xf numFmtId="167" fontId="47" fillId="0" borderId="103" xfId="7" applyNumberFormat="1" applyFont="1" applyFill="1" applyBorder="1"/>
    <xf numFmtId="167" fontId="48" fillId="0" borderId="102" xfId="6" applyNumberFormat="1" applyFont="1" applyFill="1" applyBorder="1"/>
    <xf numFmtId="167" fontId="48" fillId="0" borderId="103" xfId="6" applyNumberFormat="1" applyFont="1" applyFill="1" applyBorder="1"/>
    <xf numFmtId="167" fontId="41" fillId="0" borderId="102" xfId="6" applyNumberFormat="1" applyFont="1" applyFill="1" applyBorder="1"/>
    <xf numFmtId="9" fontId="41" fillId="0" borderId="102" xfId="2" applyFont="1" applyFill="1" applyBorder="1" applyAlignment="1">
      <alignment horizontal="right"/>
    </xf>
    <xf numFmtId="0" fontId="41" fillId="0" borderId="6" xfId="0" applyFont="1" applyBorder="1" applyAlignment="1">
      <alignment horizontal="center"/>
    </xf>
    <xf numFmtId="0" fontId="41" fillId="0" borderId="0" xfId="0" quotePrefix="1" applyFont="1" applyAlignment="1">
      <alignment horizontal="center"/>
    </xf>
    <xf numFmtId="0" fontId="41" fillId="0" borderId="6" xfId="0" quotePrefix="1" applyFont="1" applyBorder="1" applyAlignment="1">
      <alignment horizontal="center"/>
    </xf>
    <xf numFmtId="0" fontId="41" fillId="0" borderId="0" xfId="8" applyFont="1" applyFill="1" applyAlignment="1">
      <alignment horizontal="center"/>
    </xf>
    <xf numFmtId="0" fontId="43" fillId="0" borderId="0" xfId="0" applyFont="1" applyAlignment="1">
      <alignment horizontal="left" indent="4"/>
    </xf>
    <xf numFmtId="0" fontId="43" fillId="0" borderId="0" xfId="0" applyFont="1"/>
    <xf numFmtId="0" fontId="43" fillId="0" borderId="0" xfId="0" applyFont="1" applyAlignment="1">
      <alignment horizontal="center"/>
    </xf>
    <xf numFmtId="167" fontId="45" fillId="0" borderId="104" xfId="6" applyNumberFormat="1" applyFont="1" applyFill="1" applyBorder="1"/>
    <xf numFmtId="9" fontId="41" fillId="0" borderId="104" xfId="2" applyFont="1" applyFill="1" applyBorder="1" applyAlignment="1">
      <alignment horizontal="right"/>
    </xf>
    <xf numFmtId="174" fontId="43" fillId="0" borderId="0" xfId="2" applyNumberFormat="1" applyFont="1" applyAlignment="1">
      <alignment horizontal="center"/>
    </xf>
    <xf numFmtId="167" fontId="47" fillId="0" borderId="102" xfId="6" applyNumberFormat="1" applyFont="1" applyFill="1" applyBorder="1"/>
    <xf numFmtId="43" fontId="41" fillId="0" borderId="0" xfId="0" applyNumberFormat="1" applyFont="1" applyAlignment="1">
      <alignment horizontal="center"/>
    </xf>
    <xf numFmtId="43" fontId="41" fillId="0" borderId="0" xfId="0" applyNumberFormat="1" applyFont="1" applyAlignment="1">
      <alignment horizontal="left"/>
    </xf>
    <xf numFmtId="0" fontId="41" fillId="0" borderId="0" xfId="0" applyFont="1" applyAlignment="1">
      <alignment horizontal="left"/>
    </xf>
    <xf numFmtId="0" fontId="41" fillId="0" borderId="0" xfId="8" applyFont="1" applyAlignment="1">
      <alignment horizontal="center"/>
    </xf>
    <xf numFmtId="0" fontId="47" fillId="0" borderId="0" xfId="0" applyFont="1"/>
    <xf numFmtId="167" fontId="50" fillId="0" borderId="104" xfId="6" applyNumberFormat="1" applyFont="1" applyFill="1" applyBorder="1"/>
    <xf numFmtId="9" fontId="50" fillId="0" borderId="104" xfId="2" applyFont="1" applyFill="1" applyBorder="1" applyAlignment="1">
      <alignment horizontal="right"/>
    </xf>
    <xf numFmtId="3" fontId="41" fillId="0" borderId="0" xfId="0" applyNumberFormat="1" applyFont="1"/>
    <xf numFmtId="10" fontId="44" fillId="0" borderId="0" xfId="0" applyNumberFormat="1" applyFont="1" applyAlignment="1">
      <alignment horizontal="center"/>
    </xf>
    <xf numFmtId="0" fontId="41" fillId="0" borderId="0" xfId="0" applyFont="1" applyAlignment="1">
      <alignment horizontal="left" indent="4"/>
    </xf>
    <xf numFmtId="167" fontId="48" fillId="0" borderId="0" xfId="6" applyNumberFormat="1" applyFont="1" applyFill="1" applyBorder="1"/>
    <xf numFmtId="9" fontId="48" fillId="0" borderId="0" xfId="2" applyFont="1" applyFill="1" applyBorder="1" applyAlignment="1">
      <alignment horizontal="right"/>
    </xf>
    <xf numFmtId="0" fontId="43" fillId="19" borderId="0" xfId="0" applyFont="1" applyFill="1" applyAlignment="1">
      <alignment horizontal="left" indent="4"/>
    </xf>
    <xf numFmtId="0" fontId="43" fillId="19" borderId="0" xfId="0" applyFont="1" applyFill="1"/>
    <xf numFmtId="0" fontId="43" fillId="19" borderId="0" xfId="0" applyFont="1" applyFill="1" applyAlignment="1">
      <alignment horizontal="center"/>
    </xf>
    <xf numFmtId="167" fontId="50" fillId="19" borderId="104" xfId="6" applyNumberFormat="1" applyFont="1" applyFill="1" applyBorder="1"/>
    <xf numFmtId="9" fontId="50" fillId="19" borderId="104" xfId="2" applyFont="1" applyFill="1" applyBorder="1"/>
    <xf numFmtId="0" fontId="51" fillId="0" borderId="0" xfId="0" applyFont="1"/>
    <xf numFmtId="9" fontId="51" fillId="0" borderId="0" xfId="2" applyFont="1" applyAlignment="1">
      <alignment horizontal="right"/>
    </xf>
    <xf numFmtId="0" fontId="51" fillId="0" borderId="0" xfId="0" applyFont="1" applyAlignment="1">
      <alignment horizontal="center"/>
    </xf>
    <xf numFmtId="14" fontId="41" fillId="0" borderId="0" xfId="6" applyNumberFormat="1" applyFont="1" applyFill="1"/>
    <xf numFmtId="14" fontId="41" fillId="0" borderId="0" xfId="6" applyNumberFormat="1" applyFont="1" applyFill="1" applyBorder="1"/>
    <xf numFmtId="9" fontId="41" fillId="0" borderId="0" xfId="2" applyFont="1" applyAlignment="1">
      <alignment horizontal="right"/>
    </xf>
    <xf numFmtId="167" fontId="41" fillId="0" borderId="0" xfId="6" applyNumberFormat="1" applyFont="1" applyFill="1" applyBorder="1"/>
    <xf numFmtId="167" fontId="41" fillId="0" borderId="0" xfId="7" applyNumberFormat="1" applyFont="1" applyFill="1" applyBorder="1"/>
    <xf numFmtId="9" fontId="41" fillId="0" borderId="0" xfId="2" applyFont="1" applyFill="1" applyBorder="1" applyAlignment="1">
      <alignment horizontal="right"/>
    </xf>
    <xf numFmtId="10" fontId="41" fillId="0" borderId="0" xfId="0" applyNumberFormat="1" applyFont="1" applyAlignment="1">
      <alignment horizontal="center"/>
    </xf>
    <xf numFmtId="167" fontId="41" fillId="0" borderId="103" xfId="6" applyNumberFormat="1" applyFont="1" applyFill="1" applyBorder="1"/>
    <xf numFmtId="9" fontId="41" fillId="0" borderId="103" xfId="2" applyFont="1" applyFill="1" applyBorder="1" applyAlignment="1">
      <alignment horizontal="right"/>
    </xf>
    <xf numFmtId="167" fontId="41" fillId="0" borderId="105" xfId="6" applyNumberFormat="1" applyFont="1" applyFill="1" applyBorder="1"/>
    <xf numFmtId="9" fontId="41" fillId="0" borderId="105" xfId="2" applyFont="1" applyFill="1" applyBorder="1" applyAlignment="1">
      <alignment horizontal="right"/>
    </xf>
    <xf numFmtId="167" fontId="43" fillId="0" borderId="106" xfId="6" applyNumberFormat="1" applyFont="1" applyFill="1" applyBorder="1"/>
    <xf numFmtId="9" fontId="43" fillId="0" borderId="106" xfId="2" applyFont="1" applyFill="1" applyBorder="1" applyAlignment="1">
      <alignment horizontal="right"/>
    </xf>
    <xf numFmtId="167" fontId="41" fillId="0" borderId="86" xfId="6" applyNumberFormat="1" applyFont="1" applyFill="1" applyBorder="1"/>
    <xf numFmtId="9" fontId="41" fillId="0" borderId="86" xfId="2" applyFont="1" applyFill="1" applyBorder="1" applyAlignment="1">
      <alignment horizontal="right"/>
    </xf>
    <xf numFmtId="167" fontId="41" fillId="0" borderId="0" xfId="7" applyNumberFormat="1" applyFont="1" applyFill="1"/>
    <xf numFmtId="170" fontId="41" fillId="0" borderId="0" xfId="2" applyNumberFormat="1" applyFont="1" applyFill="1"/>
    <xf numFmtId="0" fontId="52" fillId="0" borderId="0" xfId="0" applyFont="1" applyAlignment="1">
      <alignment horizontal="center"/>
    </xf>
    <xf numFmtId="0" fontId="53" fillId="0" borderId="0" xfId="0" applyFont="1"/>
    <xf numFmtId="167" fontId="53" fillId="0" borderId="0" xfId="0" applyNumberFormat="1" applyFont="1"/>
    <xf numFmtId="0" fontId="41" fillId="0" borderId="37" xfId="0" applyFont="1" applyBorder="1"/>
    <xf numFmtId="0" fontId="41" fillId="0" borderId="1" xfId="0" applyFont="1" applyBorder="1"/>
    <xf numFmtId="167" fontId="41" fillId="0" borderId="1" xfId="6" applyNumberFormat="1" applyFont="1" applyFill="1" applyBorder="1"/>
    <xf numFmtId="0" fontId="41" fillId="0" borderId="38" xfId="0" applyFont="1" applyBorder="1" applyAlignment="1">
      <alignment horizontal="center"/>
    </xf>
    <xf numFmtId="0" fontId="54" fillId="0" borderId="54" xfId="0" applyFont="1" applyBorder="1" applyAlignment="1">
      <alignment horizontal="center"/>
    </xf>
    <xf numFmtId="0" fontId="41" fillId="0" borderId="6" xfId="0" applyFont="1" applyBorder="1" applyAlignment="1">
      <alignment horizontal="left" wrapText="1"/>
    </xf>
    <xf numFmtId="0" fontId="41" fillId="0" borderId="6" xfId="0" applyFont="1" applyBorder="1" applyAlignment="1">
      <alignment horizontal="left"/>
    </xf>
    <xf numFmtId="167" fontId="41" fillId="0" borderId="0" xfId="0" applyNumberFormat="1" applyFont="1" applyAlignment="1">
      <alignment horizontal="center"/>
    </xf>
    <xf numFmtId="9" fontId="41" fillId="0" borderId="0" xfId="2" applyFont="1" applyAlignment="1">
      <alignment horizontal="center"/>
    </xf>
    <xf numFmtId="43" fontId="0" fillId="0" borderId="0" xfId="0" applyNumberFormat="1"/>
    <xf numFmtId="168" fontId="4" fillId="2" borderId="0" xfId="3" applyNumberFormat="1" applyFont="1" applyFill="1" applyAlignment="1">
      <alignment horizontal="center"/>
    </xf>
    <xf numFmtId="44" fontId="41" fillId="0" borderId="0" xfId="3" applyFont="1" applyAlignment="1">
      <alignment horizontal="center"/>
    </xf>
    <xf numFmtId="44" fontId="41" fillId="0" borderId="0" xfId="0" applyNumberFormat="1" applyFont="1" applyAlignment="1">
      <alignment horizontal="center"/>
    </xf>
    <xf numFmtId="0" fontId="41" fillId="0" borderId="15" xfId="0" applyFont="1" applyBorder="1" applyAlignment="1">
      <alignment horizontal="center"/>
    </xf>
    <xf numFmtId="0" fontId="41" fillId="0" borderId="11" xfId="0" applyFont="1" applyBorder="1" applyAlignment="1">
      <alignment horizontal="left"/>
    </xf>
    <xf numFmtId="0" fontId="41" fillId="0" borderId="1" xfId="0" applyFont="1" applyBorder="1" applyAlignment="1">
      <alignment horizontal="center"/>
    </xf>
    <xf numFmtId="167" fontId="41" fillId="0" borderId="107" xfId="6" applyNumberFormat="1" applyFont="1" applyFill="1" applyBorder="1"/>
    <xf numFmtId="0" fontId="0" fillId="0" borderId="1" xfId="0" applyBorder="1"/>
    <xf numFmtId="9" fontId="41" fillId="0" borderId="107" xfId="2" applyFont="1" applyFill="1" applyBorder="1" applyAlignment="1">
      <alignment horizontal="right"/>
    </xf>
    <xf numFmtId="0" fontId="41" fillId="0" borderId="38" xfId="0" applyFont="1" applyBorder="1" applyAlignment="1">
      <alignment horizontal="left"/>
    </xf>
    <xf numFmtId="0" fontId="41" fillId="0" borderId="11" xfId="0" applyFont="1" applyBorder="1" applyAlignment="1">
      <alignment horizontal="center"/>
    </xf>
    <xf numFmtId="167" fontId="41" fillId="3" borderId="107" xfId="6" applyNumberFormat="1" applyFont="1" applyFill="1" applyBorder="1"/>
    <xf numFmtId="9" fontId="41" fillId="3" borderId="107" xfId="2" applyFont="1" applyFill="1" applyBorder="1" applyAlignment="1">
      <alignment horizontal="right"/>
    </xf>
    <xf numFmtId="167" fontId="41" fillId="0" borderId="1" xfId="0" applyNumberFormat="1" applyFont="1" applyBorder="1" applyAlignment="1">
      <alignment horizontal="center"/>
    </xf>
    <xf numFmtId="0" fontId="41" fillId="0" borderId="1" xfId="0" applyFont="1" applyBorder="1" applyAlignment="1">
      <alignment horizontal="left"/>
    </xf>
    <xf numFmtId="168" fontId="0" fillId="18" borderId="0" xfId="3" applyNumberFormat="1" applyFont="1" applyFill="1" applyBorder="1"/>
    <xf numFmtId="9" fontId="0" fillId="18" borderId="0" xfId="0" applyNumberFormat="1" applyFill="1" applyAlignment="1">
      <alignment horizontal="center"/>
    </xf>
    <xf numFmtId="168" fontId="0" fillId="18" borderId="0" xfId="0" applyNumberFormat="1" applyFill="1"/>
    <xf numFmtId="0" fontId="14" fillId="0" borderId="11" xfId="0" applyFont="1" applyBorder="1" applyAlignment="1">
      <alignment horizontal="left"/>
    </xf>
    <xf numFmtId="42" fontId="14" fillId="0" borderId="6" xfId="3" applyNumberFormat="1" applyFont="1" applyFill="1" applyBorder="1" applyAlignment="1">
      <alignment horizontal="center"/>
    </xf>
    <xf numFmtId="0" fontId="14" fillId="0" borderId="6" xfId="0" applyFont="1" applyBorder="1" applyAlignment="1">
      <alignment horizontal="left"/>
    </xf>
    <xf numFmtId="166" fontId="4" fillId="2" borderId="0" xfId="2" applyNumberFormat="1" applyFont="1" applyFill="1"/>
    <xf numFmtId="0" fontId="14" fillId="0" borderId="7" xfId="0" applyFont="1" applyBorder="1" applyAlignment="1">
      <alignment horizontal="left"/>
    </xf>
    <xf numFmtId="42" fontId="14" fillId="0" borderId="7" xfId="3" applyNumberFormat="1" applyFont="1" applyFill="1" applyBorder="1" applyAlignment="1">
      <alignment horizontal="center"/>
    </xf>
    <xf numFmtId="42" fontId="21" fillId="0" borderId="0" xfId="0" applyNumberFormat="1" applyFont="1"/>
    <xf numFmtId="42" fontId="14" fillId="0" borderId="11" xfId="3" applyNumberFormat="1" applyFont="1" applyFill="1" applyBorder="1" applyAlignment="1"/>
    <xf numFmtId="42" fontId="14" fillId="0" borderId="6" xfId="3" applyNumberFormat="1" applyFont="1" applyFill="1" applyBorder="1" applyAlignment="1"/>
    <xf numFmtId="44" fontId="11" fillId="0" borderId="0" xfId="3" applyFont="1" applyAlignment="1">
      <alignment vertical="center"/>
    </xf>
    <xf numFmtId="44" fontId="11" fillId="0" borderId="0" xfId="0" applyNumberFormat="1" applyFont="1" applyAlignment="1">
      <alignment vertical="center"/>
    </xf>
    <xf numFmtId="171" fontId="4" fillId="2" borderId="0" xfId="2" applyNumberFormat="1" applyFont="1" applyFill="1"/>
    <xf numFmtId="0" fontId="0" fillId="19" borderId="108" xfId="0" applyFill="1" applyBorder="1" applyAlignment="1">
      <alignment horizontal="center" vertical="center"/>
    </xf>
    <xf numFmtId="0" fontId="0" fillId="0" borderId="109" xfId="0" applyBorder="1" applyAlignment="1">
      <alignment horizontal="center" vertical="center"/>
    </xf>
    <xf numFmtId="0" fontId="0" fillId="0" borderId="110" xfId="0" applyBorder="1" applyAlignment="1">
      <alignment horizontal="center" vertical="center"/>
    </xf>
    <xf numFmtId="0" fontId="0" fillId="0" borderId="111" xfId="0" applyBorder="1" applyAlignment="1">
      <alignment horizontal="center" vertical="center"/>
    </xf>
    <xf numFmtId="0" fontId="0" fillId="19" borderId="112" xfId="0" applyFill="1" applyBorder="1" applyAlignment="1">
      <alignment horizontal="center" vertical="center"/>
    </xf>
    <xf numFmtId="0" fontId="0" fillId="0" borderId="113"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xf>
    <xf numFmtId="0" fontId="0" fillId="0" borderId="114" xfId="0" applyBorder="1"/>
    <xf numFmtId="0" fontId="0" fillId="0" borderId="115" xfId="0" applyBorder="1"/>
    <xf numFmtId="0" fontId="2" fillId="2" borderId="15" xfId="0" applyFont="1" applyFill="1" applyBorder="1"/>
    <xf numFmtId="0" fontId="4" fillId="2" borderId="15" xfId="0" applyFont="1" applyFill="1" applyBorder="1"/>
    <xf numFmtId="166" fontId="3" fillId="2" borderId="12" xfId="0" applyNumberFormat="1" applyFont="1" applyFill="1" applyBorder="1"/>
    <xf numFmtId="0" fontId="10" fillId="2" borderId="6" xfId="0" applyFont="1" applyFill="1" applyBorder="1" applyAlignment="1">
      <alignment horizontal="left" vertical="top" indent="3" readingOrder="1"/>
    </xf>
    <xf numFmtId="0" fontId="10" fillId="2" borderId="11" xfId="0" applyFont="1" applyFill="1" applyBorder="1" applyAlignment="1">
      <alignment horizontal="left" vertical="top" indent="3" readingOrder="1"/>
    </xf>
    <xf numFmtId="165" fontId="10" fillId="2" borderId="21" xfId="0" applyNumberFormat="1" applyFont="1" applyFill="1" applyBorder="1" applyAlignment="1">
      <alignment horizontal="center"/>
    </xf>
    <xf numFmtId="9" fontId="10" fillId="2" borderId="21" xfId="2" applyFont="1" applyFill="1" applyBorder="1" applyAlignment="1">
      <alignment horizontal="center"/>
    </xf>
    <xf numFmtId="165" fontId="10" fillId="2" borderId="22" xfId="0" applyNumberFormat="1" applyFont="1" applyFill="1" applyBorder="1" applyAlignment="1">
      <alignment horizontal="center"/>
    </xf>
    <xf numFmtId="3" fontId="10" fillId="2" borderId="21" xfId="0" applyNumberFormat="1" applyFont="1" applyFill="1" applyBorder="1" applyAlignment="1">
      <alignment horizontal="center"/>
    </xf>
    <xf numFmtId="3" fontId="10" fillId="2" borderId="22" xfId="0" applyNumberFormat="1" applyFont="1" applyFill="1" applyBorder="1" applyAlignment="1">
      <alignment horizontal="right"/>
    </xf>
    <xf numFmtId="0" fontId="4" fillId="2" borderId="3" xfId="0" applyFont="1" applyFill="1" applyBorder="1" applyAlignment="1">
      <alignment horizontal="left" vertical="top" indent="3" readingOrder="1"/>
    </xf>
    <xf numFmtId="0" fontId="4" fillId="2" borderId="95" xfId="0" applyFont="1" applyFill="1" applyBorder="1" applyAlignment="1">
      <alignment horizontal="center"/>
    </xf>
    <xf numFmtId="0" fontId="3" fillId="2" borderId="4" xfId="0" applyFont="1" applyFill="1" applyBorder="1" applyAlignment="1">
      <alignment horizontal="left" vertical="top" indent="1" readingOrder="1"/>
    </xf>
    <xf numFmtId="0" fontId="56" fillId="0" borderId="4" xfId="9" applyFont="1" applyBorder="1"/>
    <xf numFmtId="3" fontId="0" fillId="0" borderId="4" xfId="10" applyNumberFormat="1" applyFont="1" applyBorder="1"/>
    <xf numFmtId="0" fontId="34" fillId="0" borderId="4" xfId="9" applyFont="1" applyBorder="1" applyAlignment="1">
      <alignment horizontal="right"/>
    </xf>
    <xf numFmtId="0" fontId="55" fillId="0" borderId="4" xfId="9" applyBorder="1"/>
    <xf numFmtId="0" fontId="55" fillId="0" borderId="0" xfId="9"/>
    <xf numFmtId="3" fontId="0" fillId="0" borderId="0" xfId="10" applyNumberFormat="1" applyFont="1"/>
    <xf numFmtId="0" fontId="55" fillId="23" borderId="0" xfId="9" applyFill="1"/>
    <xf numFmtId="0" fontId="56" fillId="0" borderId="0" xfId="9" applyFont="1"/>
    <xf numFmtId="0" fontId="34" fillId="0" borderId="12" xfId="9" applyFont="1" applyBorder="1"/>
    <xf numFmtId="0" fontId="55" fillId="0" borderId="12" xfId="9" applyBorder="1"/>
    <xf numFmtId="1" fontId="58" fillId="0" borderId="12" xfId="9" applyNumberFormat="1" applyFont="1" applyBorder="1"/>
    <xf numFmtId="0" fontId="58" fillId="0" borderId="0" xfId="9" applyFont="1"/>
    <xf numFmtId="168" fontId="37" fillId="0" borderId="0" xfId="11" applyNumberFormat="1" applyFont="1" applyBorder="1"/>
    <xf numFmtId="0" fontId="55" fillId="0" borderId="0" xfId="9" applyAlignment="1">
      <alignment horizontal="centerContinuous"/>
    </xf>
    <xf numFmtId="44" fontId="55" fillId="0" borderId="0" xfId="9" applyNumberFormat="1"/>
    <xf numFmtId="44" fontId="59" fillId="0" borderId="0" xfId="9" applyNumberFormat="1" applyFont="1"/>
    <xf numFmtId="10" fontId="58" fillId="0" borderId="0" xfId="9" applyNumberFormat="1" applyFont="1"/>
    <xf numFmtId="0" fontId="34" fillId="0" borderId="0" xfId="9" applyFont="1" applyAlignment="1">
      <alignment horizontal="left"/>
    </xf>
    <xf numFmtId="0" fontId="34" fillId="0" borderId="0" xfId="9" applyFont="1"/>
    <xf numFmtId="44" fontId="34" fillId="0" borderId="0" xfId="9" applyNumberFormat="1" applyFont="1"/>
    <xf numFmtId="0" fontId="34" fillId="0" borderId="12" xfId="9" applyFont="1" applyBorder="1" applyAlignment="1">
      <alignment horizontal="center"/>
    </xf>
    <xf numFmtId="0" fontId="34" fillId="0" borderId="12" xfId="9" applyFont="1" applyBorder="1" applyAlignment="1">
      <alignment horizontal="centerContinuous"/>
    </xf>
    <xf numFmtId="0" fontId="34" fillId="0" borderId="0" xfId="9" applyFont="1" applyAlignment="1">
      <alignment horizontal="center"/>
    </xf>
    <xf numFmtId="0" fontId="34" fillId="0" borderId="4" xfId="9" applyFont="1" applyBorder="1"/>
    <xf numFmtId="0" fontId="34" fillId="0" borderId="4" xfId="9" applyFont="1" applyBorder="1" applyAlignment="1">
      <alignment horizontal="centerContinuous"/>
    </xf>
    <xf numFmtId="0" fontId="34" fillId="0" borderId="4" xfId="9" applyFont="1" applyBorder="1" applyAlignment="1">
      <alignment horizontal="center"/>
    </xf>
    <xf numFmtId="168" fontId="58" fillId="0" borderId="0" xfId="11" applyNumberFormat="1" applyFont="1" applyBorder="1"/>
    <xf numFmtId="8" fontId="58" fillId="0" borderId="0" xfId="11" applyFont="1" applyBorder="1" applyAlignment="1">
      <alignment horizontal="right"/>
    </xf>
    <xf numFmtId="6" fontId="0" fillId="0" borderId="0" xfId="11" applyNumberFormat="1" applyFont="1" applyBorder="1" applyAlignment="1">
      <alignment horizontal="right"/>
    </xf>
    <xf numFmtId="0" fontId="55" fillId="0" borderId="0" xfId="9" applyAlignment="1">
      <alignment horizontal="center"/>
    </xf>
    <xf numFmtId="168" fontId="0" fillId="0" borderId="0" xfId="11" applyNumberFormat="1" applyFont="1" applyBorder="1"/>
    <xf numFmtId="0" fontId="34" fillId="0" borderId="13" xfId="9" applyFont="1" applyBorder="1"/>
    <xf numFmtId="0" fontId="55" fillId="0" borderId="13" xfId="9" applyBorder="1"/>
    <xf numFmtId="44" fontId="34" fillId="0" borderId="13" xfId="9" applyNumberFormat="1" applyFont="1" applyBorder="1"/>
    <xf numFmtId="168" fontId="34" fillId="0" borderId="13" xfId="11" applyNumberFormat="1" applyFont="1" applyBorder="1"/>
    <xf numFmtId="6" fontId="34" fillId="0" borderId="13" xfId="11" applyNumberFormat="1" applyFont="1" applyBorder="1"/>
    <xf numFmtId="0" fontId="34" fillId="0" borderId="13" xfId="9" applyFont="1" applyBorder="1" applyAlignment="1">
      <alignment horizontal="center"/>
    </xf>
    <xf numFmtId="6" fontId="34" fillId="0" borderId="0" xfId="11" applyNumberFormat="1" applyFont="1" applyBorder="1"/>
    <xf numFmtId="0" fontId="55" fillId="0" borderId="12" xfId="9" applyBorder="1" applyAlignment="1">
      <alignment horizontal="center"/>
    </xf>
    <xf numFmtId="0" fontId="60" fillId="0" borderId="0" xfId="9" applyFont="1"/>
    <xf numFmtId="0" fontId="55" fillId="0" borderId="4" xfId="9" applyBorder="1" applyAlignment="1">
      <alignment horizontal="center"/>
    </xf>
    <xf numFmtId="174" fontId="55" fillId="0" borderId="12" xfId="9" applyNumberFormat="1" applyBorder="1"/>
    <xf numFmtId="10" fontId="61" fillId="0" borderId="0" xfId="12" applyNumberFormat="1" applyFont="1"/>
    <xf numFmtId="6" fontId="55" fillId="0" borderId="0" xfId="9" applyNumberFormat="1"/>
    <xf numFmtId="6" fontId="55" fillId="0" borderId="4" xfId="9" applyNumberFormat="1" applyBorder="1"/>
    <xf numFmtId="0" fontId="34" fillId="23" borderId="0" xfId="9" applyFont="1" applyFill="1"/>
    <xf numFmtId="10" fontId="58" fillId="23" borderId="0" xfId="9" applyNumberFormat="1" applyFont="1" applyFill="1"/>
    <xf numFmtId="0" fontId="34" fillId="0" borderId="13" xfId="9" applyFont="1" applyBorder="1" applyAlignment="1">
      <alignment horizontal="center" wrapText="1"/>
    </xf>
    <xf numFmtId="168" fontId="55" fillId="0" borderId="0" xfId="9" applyNumberFormat="1"/>
    <xf numFmtId="0" fontId="58" fillId="0" borderId="0" xfId="9" applyFont="1" applyAlignment="1">
      <alignment horizontal="center"/>
    </xf>
    <xf numFmtId="168" fontId="59" fillId="0" borderId="0" xfId="9" applyNumberFormat="1" applyFont="1"/>
    <xf numFmtId="168" fontId="34" fillId="0" borderId="0" xfId="9" applyNumberFormat="1" applyFont="1"/>
    <xf numFmtId="3" fontId="38" fillId="2" borderId="21" xfId="0" applyNumberFormat="1" applyFont="1" applyFill="1" applyBorder="1" applyAlignment="1">
      <alignment horizontal="right"/>
    </xf>
    <xf numFmtId="9" fontId="4" fillId="2" borderId="95" xfId="2" applyFont="1" applyFill="1" applyBorder="1" applyAlignment="1">
      <alignment horizontal="center"/>
    </xf>
    <xf numFmtId="3" fontId="4" fillId="2" borderId="95" xfId="0" applyNumberFormat="1" applyFont="1" applyFill="1" applyBorder="1" applyAlignment="1">
      <alignment horizontal="right"/>
    </xf>
    <xf numFmtId="166" fontId="3" fillId="3" borderId="36" xfId="0" applyNumberFormat="1" applyFont="1" applyFill="1" applyBorder="1" applyAlignment="1">
      <alignment horizontal="right"/>
    </xf>
    <xf numFmtId="3" fontId="4" fillId="2" borderId="23" xfId="0" applyNumberFormat="1" applyFont="1" applyFill="1" applyBorder="1"/>
    <xf numFmtId="0" fontId="13" fillId="18" borderId="8" xfId="0" applyFont="1" applyFill="1" applyBorder="1" applyAlignment="1">
      <alignment horizontal="center" vertical="center"/>
    </xf>
    <xf numFmtId="4" fontId="11" fillId="18" borderId="11" xfId="0" applyNumberFormat="1" applyFont="1" applyFill="1" applyBorder="1" applyAlignment="1">
      <alignment horizontal="center" vertical="center"/>
    </xf>
    <xf numFmtId="4" fontId="11" fillId="18" borderId="6" xfId="0" applyNumberFormat="1" applyFont="1" applyFill="1" applyBorder="1" applyAlignment="1">
      <alignment horizontal="center" vertical="center"/>
    </xf>
    <xf numFmtId="3" fontId="11" fillId="18" borderId="6" xfId="0" applyNumberFormat="1" applyFont="1" applyFill="1" applyBorder="1" applyAlignment="1">
      <alignment horizontal="center" vertical="center"/>
    </xf>
    <xf numFmtId="4" fontId="14" fillId="18" borderId="6" xfId="0" applyNumberFormat="1" applyFont="1" applyFill="1" applyBorder="1" applyAlignment="1">
      <alignment horizontal="center" vertical="center"/>
    </xf>
    <xf numFmtId="3" fontId="15" fillId="18" borderId="6" xfId="0" applyNumberFormat="1" applyFont="1" applyFill="1" applyBorder="1" applyAlignment="1">
      <alignment horizontal="center" vertical="center"/>
    </xf>
    <xf numFmtId="4" fontId="15" fillId="18" borderId="6" xfId="0" applyNumberFormat="1" applyFont="1" applyFill="1" applyBorder="1" applyAlignment="1">
      <alignment horizontal="center" vertical="center"/>
    </xf>
    <xf numFmtId="3" fontId="14" fillId="18" borderId="6" xfId="0" applyNumberFormat="1" applyFont="1" applyFill="1" applyBorder="1" applyAlignment="1">
      <alignment horizontal="center" vertical="center"/>
    </xf>
    <xf numFmtId="3" fontId="11" fillId="18" borderId="9" xfId="0" applyNumberFormat="1" applyFont="1" applyFill="1" applyBorder="1" applyAlignment="1">
      <alignment horizontal="center" vertical="center"/>
    </xf>
    <xf numFmtId="4" fontId="64" fillId="0" borderId="6" xfId="0" applyNumberFormat="1" applyFont="1" applyBorder="1" applyAlignment="1">
      <alignment horizontal="center" vertical="center"/>
    </xf>
    <xf numFmtId="3" fontId="64" fillId="0" borderId="6" xfId="0" applyNumberFormat="1" applyFont="1" applyBorder="1" applyAlignment="1">
      <alignment horizontal="center" vertical="center"/>
    </xf>
    <xf numFmtId="4" fontId="64" fillId="0" borderId="11" xfId="0" applyNumberFormat="1" applyFont="1" applyBorder="1" applyAlignment="1">
      <alignment horizontal="center" vertical="center"/>
    </xf>
    <xf numFmtId="4" fontId="65" fillId="0" borderId="6" xfId="0" applyNumberFormat="1" applyFont="1" applyBorder="1" applyAlignment="1">
      <alignment horizontal="center" vertical="center"/>
    </xf>
    <xf numFmtId="3" fontId="11" fillId="5" borderId="6" xfId="0" applyNumberFormat="1" applyFont="1" applyFill="1" applyBorder="1" applyAlignment="1">
      <alignment horizontal="center" vertical="center"/>
    </xf>
    <xf numFmtId="4" fontId="11" fillId="5" borderId="6" xfId="0" applyNumberFormat="1" applyFont="1" applyFill="1" applyBorder="1" applyAlignment="1">
      <alignment horizontal="center" vertical="center"/>
    </xf>
    <xf numFmtId="3" fontId="15" fillId="5" borderId="6" xfId="0" applyNumberFormat="1" applyFont="1" applyFill="1" applyBorder="1" applyAlignment="1">
      <alignment horizontal="center" vertical="center"/>
    </xf>
    <xf numFmtId="4" fontId="14" fillId="5" borderId="6" xfId="0" applyNumberFormat="1" applyFont="1" applyFill="1" applyBorder="1" applyAlignment="1">
      <alignment horizontal="center" vertical="center"/>
    </xf>
    <xf numFmtId="4" fontId="15" fillId="5" borderId="6" xfId="0" applyNumberFormat="1" applyFont="1" applyFill="1" applyBorder="1" applyAlignment="1">
      <alignment horizontal="center" vertical="center"/>
    </xf>
    <xf numFmtId="3" fontId="11" fillId="5" borderId="9" xfId="0" applyNumberFormat="1" applyFont="1" applyFill="1" applyBorder="1" applyAlignment="1">
      <alignment horizontal="center" vertical="center"/>
    </xf>
    <xf numFmtId="168" fontId="4" fillId="2" borderId="0" xfId="0" applyNumberFormat="1" applyFont="1" applyFill="1"/>
    <xf numFmtId="167" fontId="4" fillId="2" borderId="0" xfId="0" applyNumberFormat="1" applyFont="1" applyFill="1"/>
    <xf numFmtId="3" fontId="4" fillId="13" borderId="0" xfId="0" applyNumberFormat="1" applyFont="1" applyFill="1"/>
    <xf numFmtId="0" fontId="2" fillId="13" borderId="6" xfId="0" applyFont="1" applyFill="1" applyBorder="1"/>
    <xf numFmtId="182" fontId="4" fillId="2" borderId="0" xfId="0" applyNumberFormat="1" applyFont="1" applyFill="1"/>
    <xf numFmtId="166" fontId="14" fillId="0" borderId="6" xfId="0" applyNumberFormat="1" applyFont="1" applyBorder="1" applyAlignment="1">
      <alignment horizontal="center"/>
    </xf>
    <xf numFmtId="166" fontId="14" fillId="0" borderId="6" xfId="3" applyNumberFormat="1" applyFont="1" applyFill="1" applyBorder="1" applyAlignment="1">
      <alignment horizontal="center"/>
    </xf>
    <xf numFmtId="166" fontId="14" fillId="0" borderId="7" xfId="0" applyNumberFormat="1" applyFont="1" applyBorder="1" applyAlignment="1">
      <alignment horizontal="center"/>
    </xf>
    <xf numFmtId="166" fontId="14" fillId="0" borderId="7" xfId="3" applyNumberFormat="1" applyFont="1" applyFill="1" applyBorder="1" applyAlignment="1">
      <alignment horizontal="center"/>
    </xf>
    <xf numFmtId="165" fontId="4" fillId="2" borderId="21" xfId="0" applyNumberFormat="1" applyFont="1" applyFill="1" applyBorder="1"/>
    <xf numFmtId="44" fontId="3" fillId="2" borderId="0" xfId="3" applyFont="1" applyFill="1" applyAlignment="1">
      <alignment horizontal="left" vertical="top" indent="1" readingOrder="1"/>
    </xf>
    <xf numFmtId="44" fontId="4" fillId="2" borderId="0" xfId="3" applyFont="1" applyFill="1" applyAlignment="1">
      <alignment horizontal="left" vertical="top" indent="1" readingOrder="1"/>
    </xf>
    <xf numFmtId="166" fontId="66" fillId="0" borderId="0" xfId="11" applyNumberFormat="1" applyFont="1" applyBorder="1"/>
    <xf numFmtId="166" fontId="58" fillId="0" borderId="4" xfId="11" applyNumberFormat="1" applyFont="1" applyFill="1" applyBorder="1" applyProtection="1">
      <protection locked="0"/>
    </xf>
    <xf numFmtId="167" fontId="43" fillId="2" borderId="86" xfId="6" applyNumberFormat="1" applyFont="1" applyFill="1" applyBorder="1" applyAlignment="1">
      <alignment horizontal="center" vertical="center" wrapText="1"/>
    </xf>
    <xf numFmtId="0" fontId="0" fillId="19" borderId="37" xfId="0" applyFill="1" applyBorder="1" applyAlignment="1">
      <alignment horizontal="center"/>
    </xf>
    <xf numFmtId="0" fontId="0" fillId="19" borderId="1" xfId="0" applyFill="1" applyBorder="1" applyAlignment="1">
      <alignment horizontal="center"/>
    </xf>
    <xf numFmtId="0" fontId="0" fillId="19" borderId="38" xfId="0" applyFill="1" applyBorder="1" applyAlignment="1">
      <alignment horizontal="center"/>
    </xf>
    <xf numFmtId="9" fontId="0" fillId="0" borderId="57" xfId="2" applyFont="1" applyBorder="1" applyAlignment="1">
      <alignment horizontal="center"/>
    </xf>
    <xf numFmtId="9" fontId="0" fillId="0" borderId="101" xfId="2" applyFont="1" applyBorder="1" applyAlignment="1">
      <alignment horizontal="center"/>
    </xf>
    <xf numFmtId="0" fontId="0" fillId="19" borderId="57" xfId="0" applyFill="1" applyBorder="1" applyAlignment="1">
      <alignment horizontal="center"/>
    </xf>
    <xf numFmtId="0" fontId="0" fillId="19" borderId="101" xfId="0" applyFill="1" applyBorder="1" applyAlignment="1">
      <alignment horizontal="center"/>
    </xf>
    <xf numFmtId="0" fontId="38" fillId="2" borderId="6" xfId="0" applyFont="1" applyFill="1" applyBorder="1" applyAlignment="1">
      <alignment horizontal="left"/>
    </xf>
    <xf numFmtId="0" fontId="4" fillId="2" borderId="6" xfId="0" applyFont="1" applyFill="1" applyBorder="1" applyAlignment="1">
      <alignment horizontal="left"/>
    </xf>
    <xf numFmtId="0" fontId="10" fillId="2" borderId="6" xfId="0" applyFont="1" applyFill="1" applyBorder="1" applyAlignment="1">
      <alignment horizontal="left"/>
    </xf>
    <xf numFmtId="0" fontId="16" fillId="5" borderId="49" xfId="0" applyFont="1" applyFill="1" applyBorder="1" applyAlignment="1">
      <alignment horizontal="center" vertical="center"/>
    </xf>
    <xf numFmtId="0" fontId="16" fillId="5" borderId="50" xfId="0" applyFont="1" applyFill="1" applyBorder="1" applyAlignment="1">
      <alignment horizontal="center" vertical="center"/>
    </xf>
    <xf numFmtId="167" fontId="43" fillId="5" borderId="87" xfId="6" applyNumberFormat="1" applyFont="1" applyFill="1" applyBorder="1" applyAlignment="1">
      <alignment horizontal="center" wrapText="1"/>
    </xf>
    <xf numFmtId="167" fontId="43" fillId="5" borderId="88" xfId="6" applyNumberFormat="1" applyFont="1" applyFill="1" applyBorder="1" applyAlignment="1">
      <alignment horizontal="center" wrapText="1"/>
    </xf>
    <xf numFmtId="167" fontId="43" fillId="5" borderId="91" xfId="6" applyNumberFormat="1" applyFont="1" applyFill="1" applyBorder="1" applyAlignment="1">
      <alignment horizontal="center" wrapText="1"/>
    </xf>
    <xf numFmtId="167" fontId="43" fillId="5" borderId="92" xfId="6" applyNumberFormat="1" applyFont="1" applyFill="1" applyBorder="1" applyAlignment="1">
      <alignment horizontal="center" wrapText="1"/>
    </xf>
    <xf numFmtId="0" fontId="43" fillId="20" borderId="78" xfId="0" applyFont="1" applyFill="1" applyBorder="1" applyAlignment="1">
      <alignment horizontal="center"/>
    </xf>
    <xf numFmtId="0" fontId="43" fillId="20" borderId="13" xfId="0" applyFont="1" applyFill="1" applyBorder="1" applyAlignment="1">
      <alignment horizontal="center"/>
    </xf>
    <xf numFmtId="0" fontId="43" fillId="20" borderId="79" xfId="0" applyFont="1" applyFill="1" applyBorder="1" applyAlignment="1">
      <alignment horizontal="center"/>
    </xf>
    <xf numFmtId="0" fontId="24" fillId="0" borderId="0" xfId="0" applyFont="1" applyAlignment="1">
      <alignment horizontal="right" vertical="center" wrapText="1" indent="1"/>
    </xf>
    <xf numFmtId="0" fontId="26" fillId="0" borderId="0" xfId="0" applyFont="1" applyAlignment="1">
      <alignment horizontal="left" wrapText="1"/>
    </xf>
    <xf numFmtId="0" fontId="22" fillId="0" borderId="0" xfId="0" applyFont="1" applyAlignment="1">
      <alignment horizontal="center" wrapText="1"/>
    </xf>
    <xf numFmtId="0" fontId="23" fillId="0" borderId="0" xfId="0" applyFont="1" applyAlignment="1">
      <alignment horizontal="center" wrapText="1"/>
    </xf>
    <xf numFmtId="0" fontId="24" fillId="0" borderId="0" xfId="0" applyFont="1" applyAlignment="1">
      <alignment horizontal="right" vertical="center" wrapText="1"/>
    </xf>
    <xf numFmtId="49" fontId="25" fillId="0" borderId="0" xfId="0" applyNumberFormat="1" applyFont="1" applyAlignment="1">
      <alignment horizontal="left" vertical="top" wrapText="1" indent="3"/>
    </xf>
    <xf numFmtId="49" fontId="25" fillId="0" borderId="0" xfId="0" applyNumberFormat="1" applyFont="1" applyAlignment="1">
      <alignment horizontal="left" vertical="top" wrapText="1"/>
    </xf>
    <xf numFmtId="49" fontId="25" fillId="0" borderId="0" xfId="0" applyNumberFormat="1" applyFont="1" applyAlignment="1">
      <alignment horizontal="left" vertical="top" wrapText="1" indent="1"/>
    </xf>
  </cellXfs>
  <cellStyles count="13">
    <cellStyle name="Comma" xfId="1" builtinId="3"/>
    <cellStyle name="Comma 2" xfId="6" xr:uid="{94D308D6-075F-42EE-A2DB-8C4D69CAFF84}"/>
    <cellStyle name="Comma 2 2" xfId="7" xr:uid="{F64D4C66-2F28-4985-BBA3-85E5337790F6}"/>
    <cellStyle name="Comma 2 3" xfId="10" xr:uid="{3A21E7F0-A150-4489-BF76-2E7B2451DD16}"/>
    <cellStyle name="Currency" xfId="3" builtinId="4"/>
    <cellStyle name="Currency 2" xfId="5" xr:uid="{E610249F-42B2-4256-9E8A-8DE62D077F3E}"/>
    <cellStyle name="Currency 2 2" xfId="11" xr:uid="{98D129EE-4FF8-4DC9-BDAE-EE13F4DA2DF3}"/>
    <cellStyle name="Hyperlink" xfId="8" builtinId="8"/>
    <cellStyle name="Normal" xfId="0" builtinId="0"/>
    <cellStyle name="Normal 2" xfId="4" xr:uid="{E96DA617-CE81-4D42-A1BE-C495D2FD3A59}"/>
    <cellStyle name="Normal 2 2" xfId="9" xr:uid="{29154C99-9BBB-4A51-88BA-0621FDD2D343}"/>
    <cellStyle name="Percent" xfId="2" builtinId="5"/>
    <cellStyle name="Percent 2" xfId="12" xr:uid="{DC8DB389-FF81-4BB3-872E-47D79096E6AC}"/>
  </cellStyles>
  <dxfs count="20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006100"/>
      </font>
      <fill>
        <patternFill>
          <bgColor rgb="FFC6EFCE"/>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haredStrings" Target="sharedStrings.xml"/><Relationship Id="rId21" Type="http://schemas.openxmlformats.org/officeDocument/2006/relationships/worksheet" Target="worksheets/sheet21.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63" Type="http://schemas.openxmlformats.org/officeDocument/2006/relationships/externalLink" Target="externalLinks/externalLink35.xml"/><Relationship Id="rId68" Type="http://schemas.openxmlformats.org/officeDocument/2006/relationships/externalLink" Target="externalLinks/externalLink40.xml"/><Relationship Id="rId84" Type="http://schemas.openxmlformats.org/officeDocument/2006/relationships/externalLink" Target="externalLinks/externalLink56.xml"/><Relationship Id="rId89" Type="http://schemas.openxmlformats.org/officeDocument/2006/relationships/externalLink" Target="externalLinks/externalLink61.xml"/><Relationship Id="rId112" Type="http://schemas.openxmlformats.org/officeDocument/2006/relationships/externalLink" Target="externalLinks/externalLink84.xml"/><Relationship Id="rId16" Type="http://schemas.openxmlformats.org/officeDocument/2006/relationships/worksheet" Target="worksheets/sheet16.xml"/><Relationship Id="rId107" Type="http://schemas.openxmlformats.org/officeDocument/2006/relationships/externalLink" Target="externalLinks/externalLink79.xml"/><Relationship Id="rId11" Type="http://schemas.openxmlformats.org/officeDocument/2006/relationships/worksheet" Target="worksheets/sheet11.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74" Type="http://schemas.openxmlformats.org/officeDocument/2006/relationships/externalLink" Target="externalLinks/externalLink46.xml"/><Relationship Id="rId79" Type="http://schemas.openxmlformats.org/officeDocument/2006/relationships/externalLink" Target="externalLinks/externalLink51.xml"/><Relationship Id="rId102" Type="http://schemas.openxmlformats.org/officeDocument/2006/relationships/externalLink" Target="externalLinks/externalLink74.xml"/><Relationship Id="rId5" Type="http://schemas.openxmlformats.org/officeDocument/2006/relationships/worksheet" Target="worksheets/sheet5.xml"/><Relationship Id="rId90" Type="http://schemas.openxmlformats.org/officeDocument/2006/relationships/externalLink" Target="externalLinks/externalLink62.xml"/><Relationship Id="rId95" Type="http://schemas.openxmlformats.org/officeDocument/2006/relationships/externalLink" Target="externalLinks/externalLink6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64" Type="http://schemas.openxmlformats.org/officeDocument/2006/relationships/externalLink" Target="externalLinks/externalLink36.xml"/><Relationship Id="rId69" Type="http://schemas.openxmlformats.org/officeDocument/2006/relationships/externalLink" Target="externalLinks/externalLink41.xml"/><Relationship Id="rId113" Type="http://schemas.openxmlformats.org/officeDocument/2006/relationships/externalLink" Target="externalLinks/externalLink85.xml"/><Relationship Id="rId118" Type="http://schemas.openxmlformats.org/officeDocument/2006/relationships/calcChain" Target="calcChain.xml"/><Relationship Id="rId80" Type="http://schemas.openxmlformats.org/officeDocument/2006/relationships/externalLink" Target="externalLinks/externalLink52.xml"/><Relationship Id="rId85" Type="http://schemas.openxmlformats.org/officeDocument/2006/relationships/externalLink" Target="externalLinks/externalLink5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59" Type="http://schemas.openxmlformats.org/officeDocument/2006/relationships/externalLink" Target="externalLinks/externalLink31.xml"/><Relationship Id="rId103" Type="http://schemas.openxmlformats.org/officeDocument/2006/relationships/externalLink" Target="externalLinks/externalLink75.xml"/><Relationship Id="rId108" Type="http://schemas.openxmlformats.org/officeDocument/2006/relationships/externalLink" Target="externalLinks/externalLink80.xml"/><Relationship Id="rId54" Type="http://schemas.openxmlformats.org/officeDocument/2006/relationships/externalLink" Target="externalLinks/externalLink26.xml"/><Relationship Id="rId70" Type="http://schemas.openxmlformats.org/officeDocument/2006/relationships/externalLink" Target="externalLinks/externalLink42.xml"/><Relationship Id="rId75" Type="http://schemas.openxmlformats.org/officeDocument/2006/relationships/externalLink" Target="externalLinks/externalLink47.xml"/><Relationship Id="rId91" Type="http://schemas.openxmlformats.org/officeDocument/2006/relationships/externalLink" Target="externalLinks/externalLink63.xml"/><Relationship Id="rId96" Type="http://schemas.openxmlformats.org/officeDocument/2006/relationships/externalLink" Target="externalLinks/externalLink6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21.xml"/><Relationship Id="rId114" Type="http://schemas.openxmlformats.org/officeDocument/2006/relationships/externalLink" Target="externalLinks/externalLink86.xml"/><Relationship Id="rId119" Type="http://schemas.openxmlformats.org/officeDocument/2006/relationships/customXml" Target="../customXml/item1.xml"/><Relationship Id="rId44" Type="http://schemas.openxmlformats.org/officeDocument/2006/relationships/externalLink" Target="externalLinks/externalLink16.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81" Type="http://schemas.openxmlformats.org/officeDocument/2006/relationships/externalLink" Target="externalLinks/externalLink53.xml"/><Relationship Id="rId86" Type="http://schemas.openxmlformats.org/officeDocument/2006/relationships/externalLink" Target="externalLinks/externalLink5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 Id="rId109" Type="http://schemas.openxmlformats.org/officeDocument/2006/relationships/externalLink" Target="externalLinks/externalLink81.xml"/><Relationship Id="rId34" Type="http://schemas.openxmlformats.org/officeDocument/2006/relationships/externalLink" Target="externalLinks/externalLink6.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76" Type="http://schemas.openxmlformats.org/officeDocument/2006/relationships/externalLink" Target="externalLinks/externalLink48.xml"/><Relationship Id="rId97" Type="http://schemas.openxmlformats.org/officeDocument/2006/relationships/externalLink" Target="externalLinks/externalLink69.xml"/><Relationship Id="rId104" Type="http://schemas.openxmlformats.org/officeDocument/2006/relationships/externalLink" Target="externalLinks/externalLink76.xml"/><Relationship Id="rId120"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externalLink" Target="externalLinks/externalLink43.xml"/><Relationship Id="rId92" Type="http://schemas.openxmlformats.org/officeDocument/2006/relationships/externalLink" Target="externalLinks/externalLink64.xml"/><Relationship Id="rId2" Type="http://schemas.openxmlformats.org/officeDocument/2006/relationships/worksheet" Target="worksheets/sheet2.xml"/><Relationship Id="rId29" Type="http://schemas.openxmlformats.org/officeDocument/2006/relationships/externalLink" Target="externalLinks/externalLink1.xml"/><Relationship Id="rId24" Type="http://schemas.openxmlformats.org/officeDocument/2006/relationships/worksheet" Target="worksheets/sheet24.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66" Type="http://schemas.openxmlformats.org/officeDocument/2006/relationships/externalLink" Target="externalLinks/externalLink38.xml"/><Relationship Id="rId87" Type="http://schemas.openxmlformats.org/officeDocument/2006/relationships/externalLink" Target="externalLinks/externalLink59.xml"/><Relationship Id="rId110" Type="http://schemas.openxmlformats.org/officeDocument/2006/relationships/externalLink" Target="externalLinks/externalLink82.xml"/><Relationship Id="rId115" Type="http://schemas.openxmlformats.org/officeDocument/2006/relationships/theme" Target="theme/theme1.xml"/><Relationship Id="rId61" Type="http://schemas.openxmlformats.org/officeDocument/2006/relationships/externalLink" Target="externalLinks/externalLink33.xml"/><Relationship Id="rId82" Type="http://schemas.openxmlformats.org/officeDocument/2006/relationships/externalLink" Target="externalLinks/externalLink5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56" Type="http://schemas.openxmlformats.org/officeDocument/2006/relationships/externalLink" Target="externalLinks/externalLink28.xml"/><Relationship Id="rId77" Type="http://schemas.openxmlformats.org/officeDocument/2006/relationships/externalLink" Target="externalLinks/externalLink49.xml"/><Relationship Id="rId100" Type="http://schemas.openxmlformats.org/officeDocument/2006/relationships/externalLink" Target="externalLinks/externalLink72.xml"/><Relationship Id="rId105" Type="http://schemas.openxmlformats.org/officeDocument/2006/relationships/externalLink" Target="externalLinks/externalLink77.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externalLink" Target="externalLinks/externalLink44.xml"/><Relationship Id="rId93" Type="http://schemas.openxmlformats.org/officeDocument/2006/relationships/externalLink" Target="externalLinks/externalLink65.xml"/><Relationship Id="rId98" Type="http://schemas.openxmlformats.org/officeDocument/2006/relationships/externalLink" Target="externalLinks/externalLink70.xml"/><Relationship Id="rId121" Type="http://schemas.openxmlformats.org/officeDocument/2006/relationships/customXml" Target="../customXml/item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8.xml"/><Relationship Id="rId67" Type="http://schemas.openxmlformats.org/officeDocument/2006/relationships/externalLink" Target="externalLinks/externalLink39.xml"/><Relationship Id="rId11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3.xml"/><Relationship Id="rId62" Type="http://schemas.openxmlformats.org/officeDocument/2006/relationships/externalLink" Target="externalLinks/externalLink34.xml"/><Relationship Id="rId83" Type="http://schemas.openxmlformats.org/officeDocument/2006/relationships/externalLink" Target="externalLinks/externalLink55.xml"/><Relationship Id="rId88" Type="http://schemas.openxmlformats.org/officeDocument/2006/relationships/externalLink" Target="externalLinks/externalLink60.xml"/><Relationship Id="rId111" Type="http://schemas.openxmlformats.org/officeDocument/2006/relationships/externalLink" Target="externalLinks/externalLink83.xml"/><Relationship Id="rId15" Type="http://schemas.openxmlformats.org/officeDocument/2006/relationships/worksheet" Target="worksheets/sheet15.xml"/><Relationship Id="rId36" Type="http://schemas.openxmlformats.org/officeDocument/2006/relationships/externalLink" Target="externalLinks/externalLink8.xml"/><Relationship Id="rId57" Type="http://schemas.openxmlformats.org/officeDocument/2006/relationships/externalLink" Target="externalLinks/externalLink29.xml"/><Relationship Id="rId106" Type="http://schemas.openxmlformats.org/officeDocument/2006/relationships/externalLink" Target="externalLinks/externalLink78.xml"/><Relationship Id="rId10" Type="http://schemas.openxmlformats.org/officeDocument/2006/relationships/worksheet" Target="worksheets/sheet10.xml"/><Relationship Id="rId31" Type="http://schemas.openxmlformats.org/officeDocument/2006/relationships/externalLink" Target="externalLinks/externalLink3.xml"/><Relationship Id="rId52" Type="http://schemas.openxmlformats.org/officeDocument/2006/relationships/externalLink" Target="externalLinks/externalLink24.xml"/><Relationship Id="rId73" Type="http://schemas.openxmlformats.org/officeDocument/2006/relationships/externalLink" Target="externalLinks/externalLink45.xml"/><Relationship Id="rId78" Type="http://schemas.openxmlformats.org/officeDocument/2006/relationships/externalLink" Target="externalLinks/externalLink50.xml"/><Relationship Id="rId94" Type="http://schemas.openxmlformats.org/officeDocument/2006/relationships/externalLink" Target="externalLinks/externalLink66.xml"/><Relationship Id="rId99" Type="http://schemas.openxmlformats.org/officeDocument/2006/relationships/externalLink" Target="externalLinks/externalLink71.xml"/><Relationship Id="rId101" Type="http://schemas.openxmlformats.org/officeDocument/2006/relationships/externalLink" Target="externalLinks/externalLink7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WINNT\Profiles\Charrison\Local%20Settings\Temporary%20Internet%20Files\OLKF\Accrexp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SSHORE\1996\96CAMEX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20-%20PRODUCTION/GM/Closed/Colorado%20&amp;%20Stewart%20Creative%20Office/Underwriting/AVI-JV-PROFORMA.xls" TargetMode="External"/><Relationship Id="rId1" Type="http://schemas.openxmlformats.org/officeDocument/2006/relationships/externalLinkPath" Target="/A%20-%20PRODUCTION/GM/Closed/Colorado%20&amp;%20Stewart%20Creative%20Office/Underwriting/AVI-JV-PROFORM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A%20-%20PRODUCTION\GM\Closed\Colorado%20&amp;%20Stewart%20Creative%20Office\Underwriting\AVI-JV-PROFORM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20-%20PRODUCTION\GM\Closed\Colorado%20&amp;%20Stewart%20Creative%20Office\Underwriting\AVI-JV-PROFORM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VestaCalc%202006_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PROJECT%20PROFORMAS\Models\Lennar%20VestaCalc%202006_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210\Corp%20File%20Share\A%20-%20PRODUCTION\GM\Closed\Colorado%20&amp;%20Stewart%20Creative%20Office\Underwriting\AVI-JV-PROFORM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ref-ntdata1\public\TEMP\EXCEL\BUDGETS\WCI98\CPM\CPM98.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OvationFiles/Shared%20Documents/Construction/Decatur%20Rome/05%20-%20Subcontractor%20Files%20-%20DR/01%20-%20Bids/Masonry/Masonry%20Finishes/Stucco%20and%20TIle%20-%20Takeoff%20Comparison.xlsx" TargetMode="External"/><Relationship Id="rId2" Type="http://schemas.openxmlformats.org/officeDocument/2006/relationships/externalLinkPath" Target="https://lasvegasliving.sharepoint.com/sites/OvationFiles/Shared%20Documents/Construction/Decatur%20Rome/05%20-%20Subcontractor%20Files%20-%20DR/01%20-%20Bids/Masonry/Masonry%20Finishes/Stucco%20and%20TIle%20-%20Takeoff%20Comparison.xlsx" TargetMode="External"/><Relationship Id="rId1" Type="http://schemas.openxmlformats.org/officeDocument/2006/relationships/externalLinkPath" Target="/sites/OvationFiles/Shared%20Documents/Construction/Decatur%20Rome/05%20-%20Subcontractor%20Files%20-%20DR/01%20-%20Bids/Masonry/Masonry%20Finishes/Stucco%20and%20TIle%20-%20Takeoff%20Comparison.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A%20-%20Production\GM\Shaw's%20Marketplace%20-%20G&amp;K\Economics%20-%20Shaw's%20Marketplace%20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210\Corp%20File%20Share\A%20-%20Production\GM\Shaw's%20Marketplace%20-%20G&amp;K\Economics%20-%20Shaw's%20Marketplace%20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Thunder%20Road\TIAA\PROJECT%20PROFORMAS\WIP\A%20PROJECTS%20PROFORMAS\Centennial%20Apts\Forward%20Commitment\Economics%20-%20Centennial%20by%20NewMark.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Ovation3\Windows\PMCOMMON\AMY\ldata\2002\02BUDGETS\02%20New%20product\02Positano\4171c.WK4"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Arby%20Riley%20Apartments%20BLM%20Pilot%20%232\Arby%20Riley%20Apts%20Proforma%20by%20ovation%20100%25%20@%2080%25AMI%20w%20HOM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PROJECT%20PROFORMAS\WIP\AA%20PROSPECTIVE%20NEW%20PROJECTS\Arby%20Riley%20Apartments%20BLM%20Pilot%20%232\Arby%20Riley%20Apts%20Proforma%20by%20ovation%20100%25%20@%2080%25AMI%20w%20HOM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Client%20mgt\Real%20Estate\SF\Real%20Estate\Templeton%20Group\Model\2004\Budget%20Rollup_v11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er210\Corp%20File%20Share\A%20-%20PRODUCTION\BT\Active\BD%20Fox%20&amp;%20Freinds%20Building%20-%20Santa%20Monica\Underwriting\Economics.xl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PROJECT%20PROFORMAS\Models\OVATION\Apts%20Proforma%20by%20Ovation%20v02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210\Corp%20File%20Share\PROJECT%20PROFORMAS\Models\OVATION\Apts%20Proforma%20by%20Ovation%20v0207.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file:///\\server210\PROJECT%20PROFORMAS\WIP\A%20PROJECTS%20PROFORMAS\Centennial%20Apts\Forward%20Commitment\Underwriting\PROJECT%20PROFORMAS\WIP\Existent%20Projects%20Refinancing%20&amp;%202nd%20Mortgages\Positano\Positano%20underwriting%20analysis%20by%20churchill.xls?69E4E299" TargetMode="External"/><Relationship Id="rId1" Type="http://schemas.openxmlformats.org/officeDocument/2006/relationships/externalLinkPath" Target="file:///\\69E4E299\Positano%20underwriting%20analysis%20by%20churchil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HUD%20Financing%20-%20Future%20Development\HUD%20221(d)(4)%20Apts%20Proforma%20by%20Ovation%20v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Z:\A%20-%20Production\GM\CLOSED\Studio%20City%2004\Package\Economics%20-%20Studio%20City.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Documents%20and%20Settings/s.moyer347/My%20Documents/Company/Cost%20Analysis/2008/0787%20Alafia/Alafia%20Project%20Cost%20template.xls" TargetMode="External"/><Relationship Id="rId1" Type="http://schemas.openxmlformats.org/officeDocument/2006/relationships/externalLinkPath" Target="/Documents%20and%20Settings/s.moyer347/My%20Documents/Company/Cost%20Analysis/2008/0787%20Alafia/Alafia%20Project%20Cost%20templat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8\0787%20Alafia\Alafia%20Project%20Cost%20templat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WSPAVIL\97\WSPCAM9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TIAA\601TOWER\REPORTS\Closed%20Capit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ref-ntdata1\public\DATA96\MRR\96MAST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A%20-%20PRODUCTION\BT\Active\BD%20Fox%20&amp;%20Freinds%20Building%20-%20Santa%20Monica\Underwriting\Economics.xl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210\Corp%20File%20Share\RMW\SLR\SHARE\share\Best%20Practices%20Committee\A&amp;D%20Budget%20CshFlow%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AADATA\River%20Heights\River%20Heights\RIVERHTP\REPORTS\PROPMAN\ACCOUNTI\Month%20End\RH%20Bal%20Sheet%20Rec%20Form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PROJECT%20PROFORMAS\Models\Lennar%20land%20mod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land%20mod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ref-ntdata1\public\TEMP\windows\TEMP\Budget%20Analysis\Scott\TrizecHahn\98BudTemp\Link\SOL98exp.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fi\sheet\Swapster\Market%20Data\Swapster%20Curv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ref-ntdata1\public\Budget%20Analysis\Scott\Westfield99\DOWNLOAD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210\Corp%20File%20Share\Documents%20and%20Settings\r.hazelton304\Local%20Settings\Temporary%20Internet%20Files\OLK63\HUD\HUD%20Apartmen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2.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disbreq.xls" TargetMode="External"/><Relationship Id="rId1" Type="http://schemas.openxmlformats.org/officeDocument/2006/relationships/externalLinkPath" Target="/disbreq.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ovation1-my.sharepoint.com/disbreq.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ERIC\LDATA\PURCHASING\BIDS\Lone%20Mountain\Budget%20Projection%202005-06-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10\Corp%20File%20Share\ERIC\LDATA\PURCHASING\BIDS\Lone%20Mountain\Budget%20Projection%202005-06-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SSRRealty\12600%20Whitewater\BankRec\13-524-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Accounting\COLUMBUS\Xee\Channingway%20Center\Reports\Monthend\Channingway%20Month%20End-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JANSS\96\MODEL96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GARDEN\1996\96TAXFI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erver210\Corp%20File%20Share\OVATION\Excel%20Files\DEPOSITS%20&amp;%20WIRES\OVATIONDEPOSIT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PROJECT%20PROFORMAS\WIP\AA%20PROSPECTIVE%20NEW%20PROJECTS\Grand%20Canyon%20&amp;%20Trop\221d4\Due%20Dilligence\Example%20-%20HUD%202328%20201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Grand%20Canyon%20&amp;%20Trop\221d4\Due%20Dilligence\Example%20-%20HUD%202328%20201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erver210\PROJECT%20PROFORMAS\Investor%20Reports\Acapella\WIP\A%20PROJECTS%20PROFORMAS\Centennial%20Apts\Forward%20Commitment\Underwriting\PROJECT%20PROFORMAS\WIP\AA%20PROSPECTIVE%20NEW%20PROJECTS\Altessa\Altessa%20Underwriting.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Centennial%20Apts\Forward%20Commitment\Underwriting\PROJECT%20PROFORMAS\WIP\AA%20PROSPECTIVE%20NEW%20PROJECTS\Altessa\Altessa%20Underwriting.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Users/j.karim347/Desktop/Working%20Draft%20-%20Updated%20Report.xlsm" TargetMode="External"/><Relationship Id="rId1" Type="http://schemas.openxmlformats.org/officeDocument/2006/relationships/externalLinkPath" Target="/Users/j.karim347/Desktop/Working%20Draft%20-%20Updated%20Report.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j.karim347\Desktop\Working%20Draft%20-%20Updated%20Report.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erver210\Corp%20File%20Share\A%20-%20Production\PW\1.%20Closed\Ezralow%20-%20Westlake%20Village%20Industrial%20Park\Underwriting%20&amp;%20Package\Underwriting%20-%20Westlake%20Village%20Industrial%20Par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WIGGLE\CAM\3INS69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erver210\Corp%20File%20Share\A%20-%20Production\MR\ARA%20-%201515%20Wynkoop%20Substitution\Underwriting%20&amp;%20Package\Underwriting%20-%201515%20Wynkoop%20Substitutio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J:\My%20Documents\Budget%20Rollup_Carefree%20v7%200922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A%20-%20Production\GM\ACTIVE\Brentwood%20Retail%20-%20Avi\Econ.Brentwood%20Retail.xls" TargetMode="External"/></Relationships>
</file>

<file path=xl/externalLinks/_rels/externalLink59.xml.rels><?xml version="1.0" encoding="UTF-8" standalone="yes"?>
<Relationships xmlns="http://schemas.openxmlformats.org/package/2006/relationships"><Relationship Id="rId2" Type="http://schemas.microsoft.com/office/2019/04/relationships/externalLinkLongPath" Target="file:///N:\PROJECT%20PROFORMAS\WIP\A%20PROJECTS%20PROFORMAS\Centennial%20Apts\Forward%20Commitment\Underwriting\PROJECT%20PROFORMAS\WIP\AA%20PROSPECTIVE%20NEW%20PROJECTS\Lake%20Las%20Vegas%20Project\Lake%20Las%20Vegas%20Apts%20Proforma%20by%20Ovation%20(version%201).xls?9B6A80D8" TargetMode="External"/><Relationship Id="rId1" Type="http://schemas.openxmlformats.org/officeDocument/2006/relationships/externalLinkPath" Target="file:///\\9B6A80D8\Lake%20Las%20Vegas%20Apts%20Proforma%20by%20Ovation%20(version%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Lake%20Las%20Vegas%20Project\Lake%20Las%20Vegas%20Apts%20Proforma%20by%20Ovation%20(version%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er210\PROJECT%20PROFORMAS\WIP\A%20PROJECTS%20PROFORMAS\Centennial%20Apts\Forward%20Commitment\Underwriting\PROJECT%20PROFORMAS\WIP\AA%20PROSPECTIVE%20NEW%20PROJECTS\Duck%20Creek\Duck%20Creek%20Apts%20Proforma%20by%20Ovation%20v2.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Documents%20and%20Settings/s.moyer347/My%20Documents/Company/Cost%20Analysis/2007/0950%20Tuscany%20Villas/Tuscany%201%2018%2008%20Draft%20Lender's%20Cost.xls" TargetMode="External"/><Relationship Id="rId1" Type="http://schemas.openxmlformats.org/officeDocument/2006/relationships/externalLinkPath" Target="/Documents%20and%20Settings/s.moyer347/My%20Documents/Company/Cost%20Analysis/2007/0950%20Tuscany%20Villas/Tuscany%201%2018%2008%20Draft%20Lender's%20Cost.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7\0950%20Tuscany%20Villas\Tuscany%201%2018%2008%20Draft%20Lender's%20Cos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Documents%20and%20Settings\nbk791d\Local%20Settings\Temporary%20Internet%20Files\OLK18\Model\LBO%20v.5.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er210\PROJECT%20PROFORMAS\WIP\A%20PROJECTS%20PROFORMAS\Centennial%20Apts\Forward%20Commitment\Underwriting\PROJECT%20PROFORMAS\Investor%20Reports\Verona\thunder%20road%20development%20llc%20dba%20verona%20analysis%2006300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Trop%20&amp;%20215%20Corner\Trop%20&amp;%20215%20Apts%20Proforma%20by%20Ovation%20v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erver210\Corp%20File%20Share\winnt\temp\notes2CBB50\Finance\Feasibility%20Studies\Greystone%20South%20Coast\Playa%20Vista\Playa%20Vista%20825%20VestaCalc%2011-20-03%2098.2%25%20of%20MRpr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J:\USERS\KTR\Accounting\Peggy's%20Analysis\SunwestReno%20for%20PAM\Analysi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PROJECT%20PROFORMAS\WIP\AA%20PROSPECTIVE%20NEW%20PROJECTS\Lake%20Las%20Vegas%20Project\Lake%20Las%20Vegas%20Apts%20Proforma%20by%20Ovation%20(version%201.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server210\PROJECT%20PROFORMAS\WIP\A%20PROJECTS%20PROFORMAS\Centennial%20Apts\Forward%20Commitment\Underwriting\PROJECT%20PROFORMAS\WIP\AA%20PROSPECTIVE%20NEW%20PROJECTS\Duck%20Creek\Duck%20Creek%20Apts%20Proforma%20by%20Ovation%20v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erver210\Corp%20File%20Share\Real%20Estate\Commercial%20Mortgage%20Backed%20Securities\San%20Francisco\Flatt\Deals%20by%20Borrower\Beckstrand\Old%20Mill%20II\Old%20Mill%20II%20Spreads%20B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Documents%20and%20Settings\feely\Local%20Settings\Temporary%20Internet%20Files\OLK6A\5239905266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erver210\Corp%20File%20Share\PROJECT%20PROFORMAS\WIP\Templates\BUDGET%20-%20MASTER-%20Market%20Rate%20(ALT).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Mailserver\accdata\Celine\Test%20Mall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erver210\Corp%20File%20Share\A%20-%20Production\TD\Hamann-%20Rancho%20Anita%20Business%20Park\Underwriting%20&amp;%20Package\Econ_Rancho%20Anita%20Bus.%20Park-%202008.02.2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erver210\Corp%20File%20Share\winnt\temp\notes2CBB50\Documents%20and%20Settings\drich\My%20Documents\Research\VestaCalc%202003_1.0W.xls" TargetMode="External"/></Relationships>
</file>

<file path=xl/externalLinks/_rels/externalLink78.xml.rels><?xml version="1.0" encoding="UTF-8" standalone="yes"?>
<Relationships xmlns="http://schemas.openxmlformats.org/package/2006/relationships"><Relationship Id="rId2" Type="http://schemas.microsoft.com/office/2019/04/relationships/externalLinkLongPath" Target="file:///N:\PROJECT%20PROFORMAS\WIP\A%20PROJECTS%20PROFORMAS\Centennial%20Apts\Forward%20Commitment\Underwriting\Documents%20and%20Settings\mitsanas\My%20Documents\gm%20special\GEORGE\GM\APARTS\70%20units%20torrance%20dcf%20&amp;%20cf\Apt%20Analysis%20DCF%20&amp;%20CF.xls?73C0CA52" TargetMode="External"/><Relationship Id="rId1" Type="http://schemas.openxmlformats.org/officeDocument/2006/relationships/externalLinkPath" Target="file:///\\73C0CA52\Apt%20Analysis%20DCF%20&amp;%20CF.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erver210\Corp%20File%20Share\PROJECT%20PROFORMAS\WIP\PARADISE\CCSN%20Apts\CCSN%20Apts%20Proforma%20080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N:\ERIC\LDATA\PURCHASING\BIDS\Duck%20Creek\Budget%20Projection\Budget%20Projection%202008-11-1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erver210\Corp%20File%20Share\ERIC\LDATA\PURCHASING\BIDS\Duck%20Creek\Budget%20Projection\Budget%20Projection%202008-11-10.xls"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Renovations/Aspire%20at%20Tropicana/02%20-%20Projection%20Budgets%20&amp;%20Draws%20-%20MP/01%20-%20Pre-Construction%20Budgets/Construction%20Budget/JHREIG%20Multifamily%20VOTE1" TargetMode="External"/><Relationship Id="rId1" Type="http://schemas.openxmlformats.org/officeDocument/2006/relationships/externalLinkPath" Target="/sites/Construction/Shared%20Documents/Renovations/Aspire%20at%20Tropicana/02%20-%20Projection%20Budgets%20&amp;%20Draws%20-%20MP/01%20-%20Pre-Construction%20Budgets/Construction%20Budget/JHREIG%20Multifamily%20VOTE1" TargetMode="External"/></Relationships>
</file>

<file path=xl/externalLinks/_rels/externalLink83.xml.rels><?xml version="1.0" encoding="UTF-8" standalone="yes"?>
<Relationships xmlns="http://schemas.openxmlformats.org/package/2006/relationships"><Relationship Id="rId3" Type="http://schemas.openxmlformats.org/officeDocument/2006/relationships/externalLinkPath" Target="../../../../../../../OvationFiles/Shared%20Documents/Affordable%20Housing/1.%20New%20Developments/zzz%20Proforma%20Template/Rubin%20Brown%20Review/Budget%20-%20West%20Henderson%20-%20Level%201.1%2012-12-25%20(RB)%20es.xlsx" TargetMode="External"/><Relationship Id="rId2" Type="http://schemas.openxmlformats.org/officeDocument/2006/relationships/externalLinkPath" Target="https://ovationco.sharepoint.com/sites/OvationFiles/Shared%20Documents/Affordable%20Housing/1.%20New%20Developments/zzz%20Proforma%20Template/Rubin%20Brown%20Review/Budget%20-%20West%20Henderson%20-%20Level%201.1%2012-12-25%20(RB)%20es.xlsx" TargetMode="External"/><Relationship Id="rId1" Type="http://schemas.openxmlformats.org/officeDocument/2006/relationships/externalLinkPath" Target="/sites/OvationFiles/Shared%20Documents/Affordable%20Housing/1.%20New%20Developments/zzz%20Proforma%20Template/Rubin%20Brown%20Review/Budget%20-%20West%20Henderson%20-%20Level%201.1%2012-12-25%20(RB)%20es.xlsx" TargetMode="External"/></Relationships>
</file>

<file path=xl/externalLinks/_rels/externalLink84.xml.rels><?xml version="1.0" encoding="UTF-8" standalone="yes"?>
<Relationships xmlns="http://schemas.openxmlformats.org/package/2006/relationships"><Relationship Id="rId3" Type="http://schemas.openxmlformats.org/officeDocument/2006/relationships/externalLinkPath" Target="https://ovationco.sharepoint.com/sites/Construction/Shared%20Documents/Gagnier%20&amp;%20Arby%20-%20Senior/02%20-%20Project%20Budgets%20&amp;%20Draws%20-%20MP/01%20-%20Pre-Construction%20Budgets/Construction%20budget/Level%201.1/Gagnier%20Sr%20-%20BUDGET%20-%20Level%201.1%2012.12.25%20es%20v2.xlsx" TargetMode="External"/><Relationship Id="rId2" Type="http://schemas.microsoft.com/office/2019/04/relationships/externalLinkLongPath" Target="/sites/Construction/Shared%20Documents/Gagnier%20&amp;%20Arby%20-%20Senior/02%20-%20Project%20Budgets%20&amp;%20Draws%20-%20MP/01%20-%20Pre-Construction%20Budgets/Construction%20budget/Level%201.1/Gagnier%20Sr%20-%20BUDGET%20-%20Level%201.1%2012.12.25%20es%20v2.xlsx?BA1F48A1" TargetMode="External"/><Relationship Id="rId1" Type="http://schemas.openxmlformats.org/officeDocument/2006/relationships/externalLinkPath" Target="file:///\\BA1F48A1\Gagnier%20Sr%20-%20BUDGET%20-%20Level%201.1%2012.12.25%20es%20v2.xlsx" TargetMode="External"/><Relationship Id="rId4" Type="http://schemas.openxmlformats.org/officeDocument/2006/relationships/externalLinkPath" Target="../../../../../Gagnier%20&amp;%20Arby%20-%20Senior/02%20-%20Project%20Budgets%20&amp;%20Draws%20-%20MP/01%20-%20Pre-Construction%20Budgets/Construction%20budget/Level%201.1/Gagnier%20Sr%20-%20BUDGET%20-%20Level%201.1%2012.12.25%20es%20v2.xlsx" TargetMode="External"/></Relationships>
</file>

<file path=xl/externalLinks/_rels/externalLink85.xml.rels><?xml version="1.0" encoding="UTF-8" standalone="yes"?>
<Relationships xmlns="http://schemas.openxmlformats.org/package/2006/relationships"><Relationship Id="rId3" Type="http://schemas.openxmlformats.org/officeDocument/2006/relationships/externalLinkPath" Target="https://lasvegasliving.sharepoint.com/sites/OvationFiles/Shared%20Documents/Construction/Bruner%20Seniors/02%20-%20Project%20Budgets%20&amp;%20Draws%20-%20MP/01%20-%20Pre-Construction%20Budgets/Construction%20budget/Level%202/Bruner%20Sr%20Budget%20-%20Level%202%20-%2010-30-24.xlsx" TargetMode="External"/><Relationship Id="rId2" Type="http://schemas.microsoft.com/office/2019/04/relationships/externalLinkLongPath" Target="/sites/OvationFiles/Shared%20Documents/Construction/Bruner%20Seniors/02%20-%20Project%20Budgets%20&amp;%20Draws%20-%20MP/01%20-%20Pre-Construction%20Budgets/Construction%20budget/Level%202/Bruner%20Sr%20Budget%20-%20Level%202%20-%2010-30-24.xlsx?929ABD8F" TargetMode="External"/><Relationship Id="rId1" Type="http://schemas.openxmlformats.org/officeDocument/2006/relationships/externalLinkPath" Target="file:///\\929ABD8F\Bruner%20Sr%20Budget%20-%20Level%202%20-%2010-30-24.xlsx" TargetMode="External"/><Relationship Id="rId4" Type="http://schemas.openxmlformats.org/officeDocument/2006/relationships/externalLinkPath" Target="../../../../../../../OvationFiles/Shared%20Documents/Construction/Bruner%20Seniors/02%20-%20Project%20Budgets%20&amp;%20Draws%20-%20MP/01%20-%20Pre-Construction%20Budgets/Construction%20budget/Level%202/Bruner%20Sr%20Budget%20-%20Level%202%20-%2010-30-24.xlsx" TargetMode="External"/></Relationships>
</file>

<file path=xl/externalLinks/_rels/externalLink86.xml.rels><?xml version="1.0" encoding="UTF-8" standalone="yes"?>
<Relationships xmlns="http://schemas.openxmlformats.org/package/2006/relationships"><Relationship Id="rId3" Type="http://schemas.openxmlformats.org/officeDocument/2006/relationships/externalLinkPath" Target="../../../../../../../OvationFiles/Shared%20Documents/Affordable%20Housing/1.%20New%20Developments/Gagnier/Proformas/Gagnier%20Proforma%20(Draft)%20121024%2015Extra_w_IncAvg.xlsx" TargetMode="External"/><Relationship Id="rId2" Type="http://schemas.openxmlformats.org/officeDocument/2006/relationships/externalLinkPath" Target="https://lasvegasliving.sharepoint.com/sites/OvationFiles/Shared%20Documents/Affordable%20Housing/1.%20New%20Developments/Gagnier/Proformas/Gagnier%20Proforma%20(Draft)%20121024%2015Extra_w_IncAvg.xlsx" TargetMode="External"/><Relationship Id="rId1" Type="http://schemas.openxmlformats.org/officeDocument/2006/relationships/externalLinkPath" Target="/sites/OvationFiles/Shared%20Documents/Affordable%20Housing/1.%20New%20Developments/Gagnier/Proformas/Gagnier%20Proforma%20(Draft)%20121024%2015Extra_w_IncAv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T"/>
      <sheetName val="B"/>
      <sheetName val="Current"/>
      <sheetName val="NOV"/>
      <sheetName val="DEC"/>
      <sheetName val="JAN98"/>
      <sheetName val="feb98"/>
      <sheetName val="MAR98"/>
      <sheetName val="apr98"/>
      <sheetName val="MAY98"/>
      <sheetName val="JUN98"/>
      <sheetName val="Accrexp98"/>
      <sheetName val="Mgmt Fee Schd"/>
      <sheetName val="Lookup Values"/>
      <sheetName val="Mgmt_Fee_Schd"/>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STMT"/>
      <sheetName val="5CM95"/>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ssumptions"/>
      <sheetName val="Hen Scratchings"/>
      <sheetName val="Monthly Inputs"/>
      <sheetName val="Monthly Spreads"/>
      <sheetName val="AdminMonthly"/>
      <sheetName val="Formula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ssumptions"/>
      <sheetName val="Hen Scratchings"/>
      <sheetName val="Monthly Inputs"/>
      <sheetName val="Monthly Spreads"/>
      <sheetName val="AdminMonthly"/>
      <sheetName val="Formula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C"/>
      <sheetName val="SCHEDULE D"/>
      <sheetName val="SCHEDULE E "/>
      <sheetName val="SCHEDULE E (1)"/>
      <sheetName val="SCHEDULE F"/>
      <sheetName val="SCHEDULE G"/>
      <sheetName val="SCHEDULE H"/>
      <sheetName val="SCHEDULE J"/>
      <sheetName val="SCHEDULE 1"/>
      <sheetName val="SCHEDULE 2"/>
      <sheetName val="SCHEDULE 3 "/>
      <sheetName val="MARKETING II"/>
      <sheetName val="MARKETING III"/>
      <sheetName val="SCHEDULE A "/>
      <sheetName val="SCHEDULE B,C,MARKETING"/>
      <sheetName val="CURRENT INCOME SUMMARY"/>
      <sheetName val="SCHEDULE I"/>
      <sheetName val="SCHEDULE 3"/>
      <sheetName val="SCHEDULE B&amp;C"/>
      <sheetName val="SCHEDULE D1"/>
      <sheetName val="SCHEDULE E (2)"/>
      <sheetName val="SCHEDULE L"/>
      <sheetName val="5CM95"/>
      <sheetName val="Query"/>
    </sheetNames>
    <sheetDataSet>
      <sheetData sheetId="0"/>
      <sheetData sheetId="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hat Changed (2)"/>
      <sheetName val="Sheet1"/>
      <sheetName val="Stucco and TIle - Takeoff Compa"/>
    </sheetNames>
    <definedNames>
      <definedName name="Annual_interest_rate" refersTo="#REF!"/>
      <definedName name="First_payment_due" refersTo="#REF!"/>
      <definedName name="Grade_3" refersTo="#REF!"/>
      <definedName name="Grade_4" refersTo="#REF!"/>
      <definedName name="Grade_5" refersTo="#REF!"/>
      <definedName name="Grade_6" refersTo="#REF!"/>
      <definedName name="Payments_per_year" refersTo="#REF!"/>
      <definedName name="Periodic_rate" refersTo="#REF!"/>
      <definedName name="Pmt_to_use" refersTo="#REF!"/>
      <definedName name="Term_in_years" refersTo="#REF!"/>
      <definedName name="Total_payments" refersTo="#REF!"/>
    </definedNames>
    <sheetDataSet>
      <sheetData sheetId="0"/>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Sum"/>
      <sheetName val="Rent_Roll"/>
      <sheetName val="Hist_Bdgt"/>
      <sheetName val="Lease_Exp"/>
      <sheetName val="Proforma"/>
      <sheetName val="Prepayment"/>
      <sheetName val="AMORT"/>
      <sheetName val="Cash Flow Analysis"/>
    </sheetNames>
    <sheetDataSet>
      <sheetData sheetId="0" refreshError="1"/>
      <sheetData sheetId="1" refreshError="1"/>
      <sheetData sheetId="2" refreshError="1"/>
      <sheetData sheetId="3" refreshError="1"/>
      <sheetData sheetId="4"/>
      <sheetData sheetId="5"/>
      <sheetData sheetId="6"/>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Sum"/>
      <sheetName val="Rent_Roll"/>
      <sheetName val="Hist_Bdgt"/>
      <sheetName val="Lease_Exp"/>
      <sheetName val="Proforma"/>
      <sheetName val="Prepayment"/>
      <sheetName val="AMORT"/>
      <sheetName val="Cash Flow Analysis"/>
    </sheetNames>
    <sheetDataSet>
      <sheetData sheetId="0" refreshError="1"/>
      <sheetData sheetId="1" refreshError="1"/>
      <sheetData sheetId="2" refreshError="1"/>
      <sheetData sheetId="3" refreshError="1"/>
      <sheetData sheetId="4"/>
      <sheetData sheetId="5"/>
      <sheetData sheetId="6"/>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Summary"/>
      <sheetName val="UNIT MIX"/>
      <sheetName val="PRO FORMA"/>
      <sheetName val="holdback"/>
      <sheetName val="COST"/>
      <sheetName val="Exp Comps"/>
      <sheetName val="S&amp;U"/>
      <sheetName val="rent comps "/>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cost analysis"/>
      <sheetName val="project detail"/>
      <sheetName val="income basis"/>
      <sheetName val="income basis (use)"/>
      <sheetName val="income stmt yr0"/>
      <sheetName val="cf summary dist as apts"/>
      <sheetName val="cf summary dist as condo"/>
      <sheetName val="Sensitivity"/>
      <sheetName val="Sensitivity (IRR)"/>
      <sheetName val="annual inc stmt"/>
      <sheetName val="mo income stmt"/>
      <sheetName val="annual balance sheet"/>
      <sheetName val="balance sheet"/>
      <sheetName val="annual cash flow"/>
      <sheetName val="cash flow"/>
      <sheetName val="depreciation analysis"/>
      <sheetName val="tax analysis"/>
      <sheetName val="source &amp; uses mo sch"/>
      <sheetName val="% of completion"/>
      <sheetName val="ownership chart"/>
      <sheetName val="amr sch"/>
      <sheetName val="ovation orig. rents vs. cu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cost analysis"/>
      <sheetName val="project detail"/>
      <sheetName val="income basis"/>
      <sheetName val="income basis (use)"/>
      <sheetName val="income stmt yr0"/>
      <sheetName val="cf summary dist as apts"/>
      <sheetName val="cf summary dist as condo"/>
      <sheetName val="Sensitivity"/>
      <sheetName val="Sensitivity (IRR)"/>
      <sheetName val="annual inc stmt"/>
      <sheetName val="mo income stmt"/>
      <sheetName val="annual balance sheet"/>
      <sheetName val="balance sheet"/>
      <sheetName val="annual cash flow"/>
      <sheetName val="cash flow"/>
      <sheetName val="depreciation analysis"/>
      <sheetName val="tax analysis"/>
      <sheetName val="source &amp; uses mo sch"/>
      <sheetName val="% of completion"/>
      <sheetName val="ownership chart"/>
      <sheetName val="amr sch"/>
      <sheetName val="ovation orig. rents vs. cu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 Output--&gt;"/>
      <sheetName val="Summary"/>
      <sheetName val="__FDSCACHE__"/>
      <sheetName val="Price Per Unit"/>
      <sheetName val="Consolidated"/>
      <sheetName val="Cash Flows.CFVV"/>
      <sheetName val="Cash Flows.CFSH"/>
      <sheetName val="Cash Flows.CFSV"/>
      <sheetName val="Cash Flows.CFPUB"/>
      <sheetName val="Cash Flows.CFWH"/>
      <sheetName val="Cash Flows.CFEST"/>
      <sheetName val="Cash Flows.CFALX"/>
      <sheetName val="Cash Flows.CFPBL"/>
      <sheetName val="Cash Flows.CFOAK"/>
      <sheetName val="Cash Flows.CFN"/>
      <sheetName val="Cash Flows.CFW"/>
      <sheetName val="2003A Consol---&gt;"/>
      <sheetName val="CFVV 2003A Consol"/>
      <sheetName val="CFSH 2003A Consol"/>
      <sheetName val="CFSV 2003A Consol"/>
      <sheetName val="CFPUB 2003A Consol"/>
      <sheetName val="CFWH 2003A Consol"/>
      <sheetName val="CFEST 2003A Consol"/>
      <sheetName val="CFALX 2003A Consol"/>
      <sheetName val="CFPBL 2003A Consol"/>
      <sheetName val="CFOAK 2003A Conso"/>
      <sheetName val="2003A v 2003B"/>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Consol"/>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2003 IS"/>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 val="Comparison"/>
      <sheetName val="2004B Assumptions"/>
      <sheetName val="CFVV----&gt;"/>
      <sheetName val="Cover. CFVV"/>
      <sheetName val="Yr vs Yr. CFVV"/>
      <sheetName val="CFVV 2004B"/>
      <sheetName val="Gross Potential-IND. CFVV 2004"/>
      <sheetName val="Rental Income-IND.CFVV 2004"/>
      <sheetName val="Misc. Income.CFVV"/>
      <sheetName val="Advertising.CFVV"/>
      <sheetName val="Activities Expenses.CFVV"/>
      <sheetName val="Repairs and Maintenance.CFVV"/>
      <sheetName val="Hsekpg &amp; Laundry.CFVV"/>
      <sheetName val="Vacancy Expenses.CFVV"/>
      <sheetName val="Personel Expenses.CFVV"/>
      <sheetName val="Payroll Burden.CFVV"/>
      <sheetName val="Other PR Expenses.CFVV"/>
      <sheetName val="G &amp; A Expenses.CFVV"/>
      <sheetName val="Fees, Taxes &amp; Insurance.CFVV"/>
      <sheetName val="CF SH-----&gt;"/>
      <sheetName val="Cover.CFSH"/>
      <sheetName val="Yr vs Yr.CFSH"/>
      <sheetName val="CFSH 2004B"/>
      <sheetName val="Gross Potential-IND.CFSH"/>
      <sheetName val="Rental Income-IND.CFSH 2004"/>
      <sheetName val="Misc. Income.CFSH"/>
      <sheetName val="Advertising.CFSH"/>
      <sheetName val="Activities Expenses.CFSH"/>
      <sheetName val="Repairs and Maintenance.CFSH"/>
      <sheetName val="Hsekpg &amp; Laundry.CFSH"/>
      <sheetName val="Vacancy Expenses.CFSH"/>
      <sheetName val="Personel Expenses.CFSH"/>
      <sheetName val="Payroll Burden.CFSH"/>
      <sheetName val="Other PR Expenses.CFSH"/>
      <sheetName val="G &amp; A Expenses.CFSH"/>
      <sheetName val="Fees, Taxes &amp; Insurance.CFSH"/>
      <sheetName val="CFSV----&gt; "/>
      <sheetName val="Cover.CFSV"/>
      <sheetName val="Yr vs Yr.CFSV"/>
      <sheetName val="CFSV 2004B"/>
      <sheetName val="Gross Potential-FS.CFSV"/>
      <sheetName val="Gross Potential-IND.CFSV"/>
      <sheetName val="Rental Income-IND.CFSV 2004"/>
      <sheetName val="Rental Income-FS.CFSV"/>
      <sheetName val="Extra Services Income.CFSV"/>
      <sheetName val="Misc. Income.CFSV"/>
      <sheetName val="Advertising.CFSV"/>
      <sheetName val="Utilities.CFSV"/>
      <sheetName val="Activities Expenses.CFSV"/>
      <sheetName val="Repairs and Maintenance.CFSV"/>
      <sheetName val="Food &amp; Other Dietary.CFSV"/>
      <sheetName val="Hsekpg &amp; Laundry.CFSV"/>
      <sheetName val="Vacancy Expenses.CFSV"/>
      <sheetName val="Personel Expenses.CFSV"/>
      <sheetName val="Payroll Burden.CFSV"/>
      <sheetName val="Other PR Expenses.CFSV"/>
      <sheetName val="G &amp; A Expenses.CFSV"/>
      <sheetName val="Taxes &amp; Insurance.CFSV"/>
      <sheetName val="CF PUB----&gt; "/>
      <sheetName val="Cover.CFPUB"/>
      <sheetName val="Yr vs Yr.CFPUB"/>
      <sheetName val="CFPUB 2004B"/>
      <sheetName val="Gross Potential-IND.CFPUB"/>
      <sheetName val="Gross Potential-FS.CFPUB"/>
      <sheetName val="Rental Income-FS.CFPUB"/>
      <sheetName val="Extra Services Income.CFPUB"/>
      <sheetName val="Misc. Income.CFPUB"/>
      <sheetName val="Advertising.CFPUB"/>
      <sheetName val="Utilities.CFPUB"/>
      <sheetName val="Activities Expenses.CFPUB"/>
      <sheetName val="Repairs and Maintenance.CFPUB"/>
      <sheetName val="Food &amp; Other Dietary.CFPUB"/>
      <sheetName val="Hsekpg &amp; Laundry.CFPUB"/>
      <sheetName val="Vacancy Expenses.CFPUB"/>
      <sheetName val="Personel Expenses.CFPUB"/>
      <sheetName val="Payroll Burden.CFPUB"/>
      <sheetName val="Other PR Expenses.CFPUB"/>
      <sheetName val="G &amp; A Expenses.CFPUB"/>
      <sheetName val="Fees, Taxes &amp; Insurance.CFPUB"/>
      <sheetName val="Rental Income-IND.CFPUB 2004"/>
      <sheetName val="CF WH----&gt;"/>
      <sheetName val="Cover.CFWH"/>
      <sheetName val="Yr vs Yr.CFWH"/>
      <sheetName val="CFWH 2004B"/>
      <sheetName val="Gross Potential-IND.CFWH"/>
      <sheetName val="Gross Potential-FS.CFWH"/>
      <sheetName val="Rental Income-IND.CFWH 2004"/>
      <sheetName val="Rental Income-FS.CFWH"/>
      <sheetName val="Extra Services Income.CFWH"/>
      <sheetName val="Misc. Income.CFWH"/>
      <sheetName val="Advertising.CFWH"/>
      <sheetName val="Utilities.CFWH"/>
      <sheetName val="Activities Expenses.CFWH"/>
      <sheetName val="Repairs and Maintenance.CFWH"/>
      <sheetName val="Food &amp; Other Dietary.CFWH"/>
      <sheetName val="Hsekpg &amp; Laundry.CFWH"/>
      <sheetName val="Vacancy Expenses.CFWH"/>
      <sheetName val="Personel Expenses.CFWH"/>
      <sheetName val="Payroll Burden.CFWH"/>
      <sheetName val="Other PR Expenses.CFWH"/>
      <sheetName val="G &amp; A Expenses.CFWH"/>
      <sheetName val="Fees, Taxes &amp; Insurance.CFWH"/>
      <sheetName val="CF EST----&gt;"/>
      <sheetName val="Cover.CFEST"/>
      <sheetName val="Yr vs Yr.CFEST"/>
      <sheetName val="Gross Potential-IND.CFEST"/>
      <sheetName val="CFEST 2004B"/>
      <sheetName val="Rental Income-FS.CFEST 2004"/>
      <sheetName val="Gross Potential-FS.CFEST"/>
      <sheetName val="Rental Income-IND.CFEST"/>
      <sheetName val="Extra Services Income.CFEST"/>
      <sheetName val="Misc. Income.CFEST"/>
      <sheetName val="Advertising.CFEST"/>
      <sheetName val="Utilities.CFEST"/>
      <sheetName val="Activities Expenses.CFEST"/>
      <sheetName val="Repairs and Maintenance.CFEST"/>
      <sheetName val="Food &amp; Other Dietary.CFEST"/>
      <sheetName val="Hsekpg &amp; Laundry.CFEST"/>
      <sheetName val="Vacancy Expenses.CFEST"/>
      <sheetName val="Personel Expenses.CFEST"/>
      <sheetName val="Payroll Burden.CFEST"/>
      <sheetName val="Other PR Expenses.CFEST"/>
      <sheetName val="G &amp; A Expenses.CFEST"/>
      <sheetName val="Fees, Taxes &amp; Insurance.CFEST"/>
      <sheetName val="CF ALX----&gt;"/>
      <sheetName val="Cover.CFALX"/>
      <sheetName val="Yr vs Yr.CFALX"/>
      <sheetName val="CFALX 2004B"/>
      <sheetName val="Gross Potential-IND.CFALX"/>
      <sheetName val="Gross Potential-FS.CFALX"/>
      <sheetName val="Rental Income-IND.CFALX 2004"/>
      <sheetName val="Rental Income-FS.CFALX"/>
      <sheetName val="Extra Services Income.CFALX"/>
      <sheetName val="Misc. Income.CFALX"/>
      <sheetName val="Advertising.CFALX"/>
      <sheetName val="Utilities.CFALX"/>
      <sheetName val="Activities Expenses.CFALX"/>
      <sheetName val="Repairs and Maintenance.CFALX"/>
      <sheetName val="Food &amp; Other Dietary.CFALX"/>
      <sheetName val="Hsekpg &amp; Laundry.CFALX"/>
      <sheetName val="Vacancy Expenses.CFALX"/>
      <sheetName val="Personel Expenses.CFALX"/>
      <sheetName val="Payroll Burden.CFALX"/>
      <sheetName val="Other PR Expenses.CFALX"/>
      <sheetName val="G &amp; A Expenses.CFALX"/>
      <sheetName val="Fees, Taxes &amp; Insurance.CFALX"/>
      <sheetName val="CF PBL----&gt;"/>
      <sheetName val="Cover.CFPBL"/>
      <sheetName val="Yr vs Yr.CFPBL"/>
      <sheetName val="CFPBL 2004B"/>
      <sheetName val="Gross Potential-IND.CFPBL"/>
      <sheetName val="Gross Potential-FS.CFPBL"/>
      <sheetName val="Rental Income-IND.CFPBL 2004"/>
      <sheetName val="Rental Income-FS.CFPBL"/>
      <sheetName val="Extra Services Income.CFPBL"/>
      <sheetName val="Misc. Income.CFPBL"/>
      <sheetName val="Advertising.CFPBL"/>
      <sheetName val="Utilities.CFPBL"/>
      <sheetName val="Activities Expenses.CFPBL"/>
      <sheetName val="Repairs and Maintenance.CFPBL"/>
      <sheetName val="Food &amp; Other Dietary.CFPBL"/>
      <sheetName val="Hsekpg &amp; Laundry.CFPBL"/>
      <sheetName val="Vacancy Expenses.CFPBL"/>
      <sheetName val="Personel Expenses.CFPBL"/>
      <sheetName val="Payroll Burden.CFPBL"/>
      <sheetName val="Other PR Expenses.CFPBL"/>
      <sheetName val="G &amp; A Expenses.CFPBL"/>
      <sheetName val="Fees, Taxes &amp; Insurance.CFPBL"/>
      <sheetName val="CF OAK----&gt;"/>
      <sheetName val="Cover.CFOAK"/>
      <sheetName val="Yr vs Yr.CFOAK"/>
      <sheetName val="Gross Potential-IND.CFOAK"/>
      <sheetName val="CFOAK 2004B"/>
      <sheetName val="Gross Potential-FS.CFOAK"/>
      <sheetName val="Rental Income-IND.CFOAK"/>
      <sheetName val="Rental Income-FS.CFOAK 2004"/>
      <sheetName val="Extra Services Income.CFOAK"/>
      <sheetName val="Misc. Income.CFOAK"/>
      <sheetName val="Advertising.CFOAK"/>
      <sheetName val="Utilities.CFOAK"/>
      <sheetName val="Activities Expenses.CFOAK"/>
      <sheetName val="Repairs and Maintenance.CFOAK"/>
      <sheetName val="Food &amp; Other Dietary.CFOAK"/>
      <sheetName val="Hsekpg &amp; Laundry.CFOAK"/>
      <sheetName val="Vacancy Expenses.CFOAK"/>
      <sheetName val="Personel Expenses.CFOAK"/>
      <sheetName val="Payroll Burden.CFOAK"/>
      <sheetName val="Other PR Expenses.CFOAK"/>
      <sheetName val="G &amp; A Expenses.CFOAK"/>
      <sheetName val="Fees, Taxes &amp; Insurance.CFOAK"/>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2003 Actuals==&gt;"/>
      <sheetName val="CFVV 2003A"/>
      <sheetName val="CFSH 2003A"/>
      <sheetName val="CFSV 2003A"/>
      <sheetName val="CFPUB 2003A"/>
      <sheetName val="CFWH 2003A"/>
      <sheetName val="CFEST 2003A"/>
      <sheetName val="CFALX 2003A"/>
      <sheetName val="CFPBL 2003A"/>
      <sheetName val="CFOAK 2003A"/>
      <sheetName val="Misc. Income.CFN"/>
      <sheetName val="Advertising.CFN"/>
      <sheetName val="Utilities.CFN"/>
      <sheetName val="Activities Expenses.CFN"/>
      <sheetName val="Repairs and Maintenance.CFN"/>
      <sheetName val="Guest Suite Expense.CFN"/>
      <sheetName val="Vacancy Expenses.CFN"/>
      <sheetName val="Personel Expenses.CFN"/>
      <sheetName val="Sheet1.CFN"/>
      <sheetName val="Payroll Burden.CFN"/>
      <sheetName val="Other PR Expenses.CFN"/>
      <sheetName val="G &amp; A Expenses.CFN"/>
      <sheetName val="Taxes &amp; Insurance.CFN"/>
      <sheetName val="Extra Services Income.CFW"/>
      <sheetName val="Misc. Income.CFW"/>
      <sheetName val="Advertising.CFW"/>
      <sheetName val="Utilities.CFW"/>
      <sheetName val="Activities Expenses.CFW"/>
      <sheetName val="Repairs and Maintenance.CFW"/>
      <sheetName val="Food &amp; Other Dietary.CFW"/>
      <sheetName val="Hskpg &amp; Laundry.CFW"/>
      <sheetName val="Vacancy Expenses.CFW"/>
      <sheetName val="Personel Expenses.CFW"/>
      <sheetName val="Payroll Burden.CFW"/>
      <sheetName val="Other PR Expenses.CFW"/>
      <sheetName val="G &amp; A Expenses.CFW"/>
      <sheetName val="Taxes &amp; Insurance.C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
      <sheetName val="Inv. Summary"/>
      <sheetName val="Rent Roll"/>
      <sheetName val="Proforma"/>
      <sheetName val="Source &amp; Use"/>
    </sheetNames>
    <sheetDataSet>
      <sheetData sheetId="0" refreshError="1"/>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interest reserve cal"/>
      <sheetName val="cost analysis"/>
      <sheetName val="project detail"/>
      <sheetName val="fee calculation"/>
      <sheetName val="based rents"/>
      <sheetName val="income stmt yr0"/>
      <sheetName val="cf summary dist as apts"/>
      <sheetName val="buyout valuation"/>
      <sheetName val="Sensitivity"/>
      <sheetName val="Sensitivity (IRR)"/>
      <sheetName val="annual inc stmt"/>
      <sheetName val="annual balance sheet"/>
      <sheetName val="annual cash flow"/>
      <sheetName val="depreciation analysis"/>
      <sheetName val="mo income stmt"/>
      <sheetName val="balance sheet"/>
      <sheetName val="cash flow"/>
      <sheetName val="source &amp; uses mo sch"/>
      <sheetName val="% of completion"/>
      <sheetName val="ownership chart"/>
      <sheetName val="amr sch"/>
      <sheetName val="CHECK"/>
      <sheetName val="ovation orig. rents vs. curr"/>
      <sheetName val="cf summary dist as condo"/>
      <sheetName val="tax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interest reserve cal"/>
      <sheetName val="cost analysis"/>
      <sheetName val="project detail"/>
      <sheetName val="fee calculation"/>
      <sheetName val="based rents"/>
      <sheetName val="income stmt yr0"/>
      <sheetName val="cf summary dist as apts"/>
      <sheetName val="buyout valuation"/>
      <sheetName val="Sensitivity"/>
      <sheetName val="Sensitivity (IRR)"/>
      <sheetName val="annual inc stmt"/>
      <sheetName val="annual balance sheet"/>
      <sheetName val="annual cash flow"/>
      <sheetName val="depreciation analysis"/>
      <sheetName val="mo income stmt"/>
      <sheetName val="balance sheet"/>
      <sheetName val="cash flow"/>
      <sheetName val="source &amp; uses mo sch"/>
      <sheetName val="% of completion"/>
      <sheetName val="ownership chart"/>
      <sheetName val="amr sch"/>
      <sheetName val="CHECK"/>
      <sheetName val="ovation orig. rents vs. curr"/>
      <sheetName val="cf summary dist as condo"/>
      <sheetName val="tax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Information"/>
      <sheetName val="Rent Roll Analysis"/>
      <sheetName val="Underwriting"/>
      <sheetName val="Loan Summary"/>
      <sheetName val="Spread-Cap Rate Matrix"/>
      <sheetName val="unmapped sheet"/>
      <sheetName val="JHDropdowns"/>
      <sheetName val="LaunchingPad"/>
      <sheetName val="GlobalInfo"/>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1d4"/>
      <sheetName val="CHECK"/>
      <sheetName val="Assumptions"/>
      <sheetName val="INDEX"/>
      <sheetName val="Table of Contents"/>
      <sheetName val="Table of Contents (2)"/>
      <sheetName val="Investment Summary"/>
      <sheetName val="Investment Summary (5yr)"/>
      <sheetName val="Investment Analysis"/>
      <sheetName val="CF Dist Analysis"/>
      <sheetName val="CF Dist Analysis (5yr)"/>
      <sheetName val="sources &amp; uses"/>
      <sheetName val="HUD budget"/>
      <sheetName val="Mortgage (FHA) (2)"/>
      <sheetName val="perm loan"/>
      <sheetName val="cost analysis"/>
      <sheetName val="bank loan budget"/>
      <sheetName val="interest reserve cal"/>
      <sheetName val="fee calculation"/>
      <sheetName val="project detail"/>
      <sheetName val="base rents"/>
      <sheetName val="income stmt yr0"/>
      <sheetName val="Const Loan (0)"/>
      <sheetName val="FMV Analysis"/>
      <sheetName val="site detail"/>
      <sheetName val="Const Loan (1)"/>
      <sheetName val="Sensitivity"/>
      <sheetName val="Sensitivity (3)"/>
      <sheetName val="Sensitivity (4)"/>
      <sheetName val="Sensitivity (5)"/>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Const Loan"/>
      <sheetName val="Appraisal (0)"/>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Analysis"/>
      <sheetName val="Inv_Sum"/>
      <sheetName val="Proforma"/>
      <sheetName val="Prepayment"/>
      <sheetName val="Rent_Roll"/>
      <sheetName val="Hist_Bdgt"/>
      <sheetName val="SourcesUses"/>
      <sheetName val="Financia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 Data"/>
      <sheetName val="SF Values"/>
      <sheetName val="D3G MF Bldg Comps"/>
      <sheetName val="Site Cost Data"/>
      <sheetName val="Architect Fee Calc"/>
      <sheetName val="Other Fees"/>
      <sheetName val="Not Used1"/>
      <sheetName val="92326 Master"/>
      <sheetName val="92326 AT"/>
      <sheetName val="92326 BA"/>
      <sheetName val="92326 BB"/>
      <sheetName val="92326 BT"/>
      <sheetName val="92326 C"/>
      <sheetName val="92326 Lease"/>
      <sheetName val="92326 GR7"/>
      <sheetName val="92326 GR6SH"/>
      <sheetName val="92326 GR12"/>
      <sheetName val="D3G LI"/>
      <sheetName val="92331-B"/>
      <sheetName val="2328 Master"/>
      <sheetName val="2328 TYPE A"/>
      <sheetName val="2328 TYPE B"/>
      <sheetName val="2328 TYPE 1"/>
      <sheetName val="2328 TYPE 2"/>
      <sheetName val="2328 TYPE 3"/>
      <sheetName val="2328 CLUBHOUSE"/>
      <sheetName val="2328 LI"/>
      <sheetName val="2328 GR"/>
      <sheetName val="92329-Work"/>
      <sheetName val="92329"/>
      <sheetName val="Site Info"/>
      <sheetName val="92264 Section G"/>
      <sheetName val="92264 Section M CNA"/>
      <sheetName val="226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F Values"/>
      <sheetName val="D3G MF Bldg Comps"/>
      <sheetName val="Site Cost Data"/>
      <sheetName val="Architect Fee Calc"/>
      <sheetName val="Other Fees"/>
      <sheetName val="Not Used1"/>
      <sheetName val="92326 Master"/>
      <sheetName val="92326 AT"/>
      <sheetName val="92326 BA"/>
      <sheetName val="92326 BB"/>
      <sheetName val="92326 BT"/>
      <sheetName val="92326 C"/>
      <sheetName val="92326 Lease"/>
      <sheetName val="92326 GR7"/>
      <sheetName val="92326 GR6SH"/>
      <sheetName val="92326 GR12"/>
      <sheetName val="D3G LI"/>
      <sheetName val="92331-B"/>
      <sheetName val="2328 Master"/>
      <sheetName val="2328 TYPE A"/>
      <sheetName val="2328 TYPE B"/>
      <sheetName val="2328 TYPE 1"/>
      <sheetName val="2328 TYPE 2"/>
      <sheetName val="2328 TYPE 3"/>
      <sheetName val="2328 CLUBHOUSE"/>
      <sheetName val="2328 LI"/>
      <sheetName val="2328 GR"/>
      <sheetName val="92329-Work"/>
      <sheetName val="92329"/>
      <sheetName val="Site Info"/>
      <sheetName val="92264 Section G"/>
      <sheetName val="92264 Section M CNA"/>
      <sheetName val="226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_96 CAM"/>
      <sheetName val="CAMINVBU"/>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P (2)"/>
      <sheetName val="MERCK"/>
      <sheetName val="FIRST P"/>
      <sheetName val="CHEESB"/>
      <sheetName val="OMNI"/>
      <sheetName val="OMNI (2)"/>
      <sheetName val="WALDEN"/>
      <sheetName val="FORCE"/>
      <sheetName val="INCREDBL"/>
      <sheetName val="MASTER"/>
      <sheetName val="KOSIERADZKI"/>
      <sheetName val="WALDENEXP"/>
      <sheetName val="BRDG DTA"/>
      <sheetName val="STWRT TTLE"/>
      <sheetName val="TRNSMRCA"/>
      <sheetName val="LEONE"/>
      <sheetName val="TWOS"/>
      <sheetName val="CAST"/>
      <sheetName val="MAIRE"/>
      <sheetName val="PAIDP"/>
      <sheetName val="INFORMIX"/>
      <sheetName val="MAINWR"/>
      <sheetName val="NORTHC"/>
      <sheetName val="PAID PRES EXP"/>
      <sheetName val="KNAPPENBERGER"/>
      <sheetName val="INFORMIX-GILMAN"/>
      <sheetName val="Sheet1"/>
      <sheetName val="Sheet2"/>
      <sheetName val="Sheet3"/>
      <sheetName val="12_96 CAM"/>
      <sheetName val="CAMINVBU"/>
      <sheetName val="RECONCILIATION"/>
      <sheetName val="Sch01"/>
      <sheetName val="1120 Pg1"/>
      <sheetName val="Assumptions"/>
      <sheetName val="FIRST_P_(2)"/>
      <sheetName val="FIRST_P"/>
      <sheetName val="OMNI_(2)"/>
      <sheetName val="BRDG_DTA"/>
      <sheetName val="STWRT_TTLE"/>
      <sheetName val="PAID_PRES_EXP"/>
      <sheetName val="12_96_CAM"/>
      <sheetName val="1120_Pg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96"/>
      <sheetName val="EA96"/>
      <sheetName val="EGR96"/>
      <sheetName val="ENF96"/>
      <sheetName val="GSP96"/>
      <sheetName val="MER96"/>
      <sheetName val="MID96"/>
      <sheetName val="MON96"/>
      <sheetName val="MVC96"/>
      <sheetName val="PBO96"/>
      <sheetName val="PCR96"/>
      <sheetName val="CRITERIA1"/>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File Admin"/>
      <sheetName val="Sheet2"/>
      <sheetName val="Common Area Maintenance"/>
      <sheetName val="Gen-Info"/>
      <sheetName val="npv"/>
      <sheetName val="DETAIL"/>
      <sheetName val="RENT"/>
      <sheetName val="Inputs (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
      <sheetName val="Inv. Summary"/>
      <sheetName val="Rent Roll"/>
      <sheetName val="Proforma"/>
      <sheetName val="Source &amp; Use"/>
    </sheetNames>
    <sheetDataSet>
      <sheetData sheetId="0" refreshError="1"/>
      <sheetData sheetId="1" refreshError="1"/>
      <sheetData sheetId="2" refreshError="1"/>
      <sheetData sheetId="3"/>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3"/>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Rec"/>
      <sheetName val="Checklist"/>
      <sheetName val="Cover"/>
      <sheetName val="Contact"/>
      <sheetName val="Table of Cont"/>
      <sheetName val="Mgmt fees"/>
      <sheetName val="Dues"/>
      <sheetName val="AR "/>
      <sheetName val="Other Assets"/>
      <sheetName val="Payee 1"/>
      <sheetName val="Payee 2"/>
      <sheetName val="Payee 3"/>
      <sheetName val="RE"/>
      <sheetName val="RE Taxes"/>
      <sheetName val="Variance"/>
      <sheetName val="JE FORM"/>
      <sheetName val="Inc Rec"/>
      <sheetName val="Cash Flow"/>
      <sheetName val="Corp. Recvbl Recon."/>
      <sheetName val="Bte. Recon."/>
      <sheetName val="Instructions"/>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CB Dump"/>
      <sheetName val="Sheet2"/>
      <sheetName val="Cover Sheet"/>
      <sheetName val="#REF"/>
      <sheetName val="7"/>
      <sheetName val="6"/>
      <sheetName val="9"/>
      <sheetName val="14"/>
      <sheetName val="11"/>
      <sheetName val="Contents"/>
      <sheetName val="TAXES P9.1"/>
      <sheetName val="Rent Roll P8"/>
      <sheetName val="Lease Commission P10.5"/>
      <sheetName val="Vacancy Loss"/>
      <sheetName val="PCR96"/>
      <sheetName val="MVC96"/>
      <sheetName val="Bank_Rec"/>
      <sheetName val="Table_of_Cont"/>
      <sheetName val="Mgmt_fees"/>
      <sheetName val="AR_"/>
      <sheetName val="Other_Assets"/>
      <sheetName val="Payee_1"/>
      <sheetName val="Payee_2"/>
      <sheetName val="Payee_3"/>
      <sheetName val="RE_Taxes"/>
      <sheetName val="JE_FORM"/>
      <sheetName val="Inc_Rec"/>
      <sheetName val="Cash_Flow"/>
      <sheetName val="Corp__Recvbl_Recon_"/>
      <sheetName val="Bte__Recon_"/>
      <sheetName val="BRDG_DTA"/>
      <sheetName val="FIRST_P"/>
      <sheetName val="STWRT_TTLE"/>
      <sheetName val="CB_Dump"/>
      <sheetName val="Cover_Sheet"/>
      <sheetName val="TAXES_P9_1"/>
      <sheetName val="Rent_Roll_P8"/>
      <sheetName val="Lease_Commission_P10_5"/>
      <sheetName val="Copp mgt fee"/>
      <sheetName val="Amortization Schedule"/>
      <sheetName val="ORGANIZ. COSTS"/>
      <sheetName val="Basic Input Sheet"/>
      <sheetName val="File Admin"/>
      <sheetName val="BKREC"/>
      <sheetName val="TAX"/>
      <sheetName val="0900"/>
      <sheetName val="Data"/>
      <sheetName val="Allowance"/>
      <sheetName val="BS &amp; 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Assumptions"/>
      <sheetName val="Product Desc"/>
      <sheetName val="Land Residual - SFD"/>
      <sheetName val="Land Residual - SFA"/>
      <sheetName val="Absorption"/>
      <sheetName val="Costing"/>
      <sheetName val="Inv Overview"/>
      <sheetName val="Monthly Cash Flow"/>
      <sheetName val="Quarterly Cash Flow"/>
      <sheetName val="Annual Cash Flow"/>
      <sheetName val="Monthly Fin Stmt"/>
      <sheetName val="3rd Party Financing"/>
      <sheetName val="Tierred Return"/>
      <sheetName val="Tiered Returns 2"/>
      <sheetName val="Tiered Return 3"/>
      <sheetName val="Tiered Return"/>
      <sheetName val="Residual Revenue"/>
      <sheetName val="Diagnostic"/>
      <sheetName val="Inflation"/>
      <sheetName val="Formulas"/>
      <sheetName val="Finance"/>
      <sheetName val="LIBOR Forwards"/>
      <sheetName val="Monthly Fin Stmt (Internal)"/>
      <sheetName val="Homebuilding Closings"/>
      <sheetName val="GEN_INFO"/>
      <sheetName val="JV_INFO"/>
      <sheetName val="BY_PARCEL"/>
      <sheetName val="BY_QUARTER"/>
      <sheetName val="HS_BY_PHASE"/>
      <sheetName val="Chart"/>
      <sheetName val="Defaults"/>
      <sheetName val="Summary CF"/>
      <sheetName val="Variance"/>
      <sheetName val="Notes"/>
      <sheetName val="Design Ch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Assumptions"/>
      <sheetName val="Product Desc"/>
      <sheetName val="Land Residual - SFD"/>
      <sheetName val="Land Residual - SFA"/>
      <sheetName val="Absorption"/>
      <sheetName val="Costing"/>
      <sheetName val="Inv Overview"/>
      <sheetName val="Monthly Cash Flow"/>
      <sheetName val="Quarterly Cash Flow"/>
      <sheetName val="Annual Cash Flow"/>
      <sheetName val="Monthly Fin Stmt"/>
      <sheetName val="3rd Party Financing"/>
      <sheetName val="Tierred Return"/>
      <sheetName val="Tiered Returns 2"/>
      <sheetName val="Tiered Return 3"/>
      <sheetName val="Tiered Return"/>
      <sheetName val="Residual Revenue"/>
      <sheetName val="Diagnostic"/>
      <sheetName val="Inflation"/>
      <sheetName val="Formulas"/>
      <sheetName val="Finance"/>
      <sheetName val="LIBOR Forwards"/>
      <sheetName val="Monthly Fin Stmt (Internal)"/>
      <sheetName val="Homebuilding Closings"/>
      <sheetName val="GEN_INFO"/>
      <sheetName val="JV_INFO"/>
      <sheetName val="BY_PARCEL"/>
      <sheetName val="BY_QUARTER"/>
      <sheetName val="HS_BY_PHASE"/>
      <sheetName val="Chart"/>
      <sheetName val="Defaults"/>
      <sheetName val="Summary CF"/>
      <sheetName val="Variance"/>
      <sheetName val="Notes"/>
      <sheetName val="Design Ch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amp;C"/>
      <sheetName val="SCHEDULE D"/>
      <sheetName val="SCHEDULE D1"/>
      <sheetName val="SCHEDULE E "/>
      <sheetName val="SCHEDULE E (1)"/>
      <sheetName val="SCHEDULE F"/>
      <sheetName val="SCHEDULE G"/>
      <sheetName val="SCHEDULE H"/>
      <sheetName val="SCHEDULE I"/>
      <sheetName val="SCHEDULE J"/>
      <sheetName val="SCHEDULE K"/>
      <sheetName val="SCHEDULE 1"/>
      <sheetName val="SCHEDULE 2"/>
      <sheetName val="SCHEDULE 3"/>
      <sheetName val="MARKETING II"/>
      <sheetName val="MARKETING III"/>
      <sheetName val="Sheet1"/>
      <sheetName val="Market temp"/>
      <sheetName val="Inc Rec"/>
      <sheetName val="PCR96"/>
      <sheetName val="MVC96"/>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ves"/>
      <sheetName val="Conventions"/>
    </sheetNames>
    <sheetDataSet>
      <sheetData sheetId="0" refreshError="1"/>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nput"/>
      <sheetName val="Inc Rec"/>
      <sheetName val="By dept-bymonthBud"/>
      <sheetName val="Accountant Copy Only"/>
      <sheetName val="Tables"/>
      <sheetName val="234 #1"/>
      <sheetName val="RANGES"/>
      <sheetName val="2GD01Budget"/>
      <sheetName val="Conversion"/>
      <sheetName val="PropertyMappings"/>
      <sheetName val="cash allow"/>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put"/>
      <sheetName val="Instruction"/>
      <sheetName val="Notes"/>
      <sheetName val="Summary"/>
      <sheetName val="S&amp;U"/>
      <sheetName val="2013"/>
      <sheetName val="Rents"/>
      <sheetName val="Other Income"/>
      <sheetName val="Commercial I&amp;E"/>
      <sheetName val="2328-Total"/>
      <sheetName val="2328-Main"/>
      <sheetName val="2328-Sub1"/>
      <sheetName val="2328-Sub2"/>
      <sheetName val="CNA"/>
      <sheetName val="Other Fees"/>
      <sheetName val="Prepaids"/>
      <sheetName val="Cash"/>
      <sheetName val="Bond Costs"/>
      <sheetName val="IOD"/>
      <sheetName val="2264"/>
      <sheetName val="2264-A"/>
      <sheetName val="2264-J"/>
      <sheetName val="2438"/>
      <sheetName val="2283"/>
      <sheetName val="RC by Formula"/>
      <sheetName val="Purchase Costs"/>
      <sheetName val="Refinance Costs"/>
      <sheetName val="R R D"/>
      <sheetName val="Reserve Deposits"/>
      <sheetName val="Sensitivity"/>
      <sheetName val="Exec Sum"/>
      <sheetName val="Summary Costs"/>
      <sheetName val="Rent Comps"/>
      <sheetName val="Expense Comps"/>
      <sheetName val="Occupancy Comps"/>
      <sheetName val="Calc1"/>
      <sheetName val="Calc2"/>
      <sheetName val="C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DEX"/>
      <sheetName val="Table of Contents"/>
      <sheetName val="Investment Summary"/>
      <sheetName val="Investment Analysis"/>
      <sheetName val="CF Split Analysis"/>
      <sheetName val="sources &amp; uses"/>
      <sheetName val="perm loan"/>
      <sheetName val="perm loan (2)"/>
      <sheetName val="fee calculation"/>
      <sheetName val="CHECK"/>
      <sheetName val="bank loan budget"/>
      <sheetName val="interest reserve cal"/>
      <sheetName val="cost analysis"/>
      <sheetName val="project detail"/>
      <sheetName val="site detail"/>
      <sheetName val="base rents"/>
      <sheetName val="income stmt yr0"/>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erona)"/>
      <sheetName val="budgets (verona)"/>
      <sheetName val="mo income stmt"/>
      <sheetName val="balance sheet"/>
      <sheetName val="cash flow"/>
      <sheetName val="ownership chart"/>
      <sheetName val="amr sch"/>
      <sheetName val="source &amp; uses mo sch"/>
      <sheetName val="% of completion"/>
      <sheetName val="&lt;&gt;"/>
      <sheetName val="ovation orig. rents vs. curr"/>
      <sheetName val="buyout valuation"/>
      <sheetName val="cf 30 yr sale"/>
      <sheetName val="CF Split Analysis (4)"/>
      <sheetName val="Sensitivity (I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H"/>
      <sheetName val="ACH2"/>
      <sheetName val="Wire2"/>
      <sheetName val="PymtAdvice"/>
      <sheetName val="PymtAdvice 2"/>
      <sheetName val="Approve"/>
      <sheetName val="DisbReq"/>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
      <sheetName val="ACH2"/>
      <sheetName val="Wire2"/>
      <sheetName val="PymtAdvice"/>
      <sheetName val="PymtAdvice 2"/>
      <sheetName val="Approve"/>
      <sheetName val="DisbReq"/>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s"/>
      <sheetName val="Clubhouse"/>
      <sheetName val="Garages"/>
      <sheetName val="Site"/>
      <sheetName val="Sheet2"/>
      <sheetName val="Sheet3"/>
    </sheetNames>
    <sheetDataSet>
      <sheetData sheetId="0"/>
      <sheetData sheetId="1"/>
      <sheetData sheetId="2"/>
      <sheetData sheetId="3"/>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s"/>
      <sheetName val="Clubhouse"/>
      <sheetName val="Garages"/>
      <sheetName val="Site"/>
      <sheetName val="Sheet2"/>
      <sheetName val="Sheet3"/>
    </sheetNames>
    <sheetDataSet>
      <sheetData sheetId="0"/>
      <sheetData sheetId="1"/>
      <sheetData sheetId="2"/>
      <sheetData sheetId="3"/>
      <sheetData sheetId="4"/>
      <sheetData sheetId="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1"/>
      <sheetName val="1001"/>
      <sheetName val="0901"/>
      <sheetName val="0801"/>
      <sheetName val="0701"/>
      <sheetName val="0601"/>
      <sheetName val="0501"/>
      <sheetName val="0401"/>
      <sheetName val="0301"/>
      <sheetName val="0201"/>
      <sheetName val="0101"/>
      <sheetName val="1200"/>
      <sheetName val="1100"/>
      <sheetName val="1000"/>
      <sheetName val="0900"/>
      <sheetName val="030!"/>
      <sheetName val=" 401"/>
      <sheetName val="Inc Rec"/>
      <sheetName val="ACCT ANALYSIS"/>
      <sheetName val="12_96 CAM"/>
      <sheetName val="CAMINVBU"/>
      <sheetName val="CalcSheet"/>
      <sheetName val="_401"/>
      <sheetName val="Inc_Rec"/>
      <sheetName val="ACCT_ANALYSIS"/>
      <sheetName val="Condo Assumptions"/>
      <sheetName val="RECONCILIATION"/>
      <sheetName val="13-524-D"/>
      <sheetName val="Vacancy Loss"/>
      <sheetName val="RENT"/>
      <sheetName val="Bldg Summary"/>
      <sheetName val="Companies"/>
      <sheetName val="XAG Inputs &amp; Log"/>
      <sheetName val="Estimated RI "/>
      <sheetName val="File Admin"/>
      <sheetName val="Basic Input Sheet"/>
      <sheetName val="Sheet2"/>
      <sheetName val="ACCRD INS (2001)"/>
      <sheetName val="Input"/>
      <sheetName val="tax1730&amp;2210"/>
      <sheetName val="2060 Accr"/>
      <sheetName val="June Variance"/>
      <sheetName val="0601_x0000__x0000__x0000__x0000__x0000__x0000__x0000__x0000__x0000__x0009__x0000__x0012_[13-524-D.xls]0"/>
      <sheetName val="Bldg_Summary"/>
      <sheetName val="File_Admin"/>
      <sheetName val="XAG_Inputs_&amp;_Log"/>
      <sheetName val="Estimated_RI_"/>
      <sheetName val="ACCRD_INS_(2001)"/>
      <sheetName val="Vacancy_Loss"/>
      <sheetName val="Basic_Input_Sheet"/>
      <sheetName val="Detail"/>
      <sheetName val="Loan Amortization Schedule"/>
      <sheetName val="Depr Anal"/>
      <sheetName val="#REF"/>
      <sheetName val="Project Reporting Information"/>
      <sheetName val="WorkSheetName"/>
      <sheetName val="LEASGR"/>
      <sheetName val="Accr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s"/>
      <sheetName val="Mgmt YTD"/>
      <sheetName val="Mgmt Fee Invoice"/>
      <sheetName val="Cklst"/>
      <sheetName val="Cover"/>
      <sheetName val="Contact"/>
      <sheetName val="Inc Rec"/>
      <sheetName val="RR"/>
      <sheetName val="Cash Flow"/>
      <sheetName val="Balance Sheet"/>
      <sheetName val="3110"/>
      <sheetName val="Retained Earnings"/>
      <sheetName val="Variance"/>
      <sheetName val="Corp. Rec."/>
      <sheetName val="BTE Recv."/>
      <sheetName val="JE FORM"/>
      <sheetName val="Instructions"/>
      <sheetName val="Security Deposit"/>
      <sheetName val="Notes and Mortgages Pay."/>
      <sheetName val="Contributions"/>
      <sheetName val="Manual Billing"/>
      <sheetName val="One Time Charge for oPx"/>
      <sheetName val="0900"/>
      <sheetName val="Cal"/>
      <sheetName val="RECONCILIATION"/>
      <sheetName val="Mgmt_YTD"/>
      <sheetName val="Mgmt_Fee_Invoice"/>
      <sheetName val="Inc_Rec"/>
      <sheetName val="Cash_Flow"/>
      <sheetName val="Balance_Sheet"/>
      <sheetName val="Retained_Earnings"/>
      <sheetName val="Corp__Rec_"/>
      <sheetName val="BTE_Recv_"/>
      <sheetName val="JE_FORM"/>
      <sheetName val="Security_Deposit"/>
      <sheetName val="Notes_and_Mortgages_Pay_"/>
      <sheetName val="Manual_Billing"/>
      <sheetName val="One_Time_Charge_for_oPx"/>
      <sheetName val="Summary Esc. 1st  half 2005-06"/>
      <sheetName val="ACCT ANALYSIS"/>
      <sheetName val="tax1730&amp;2210"/>
      <sheetName val="Bldg Summary"/>
      <sheetName val="Input"/>
      <sheetName val="2060 Accr"/>
      <sheetName val="Sheet1"/>
      <sheetName val="Channingway Month End-2002"/>
      <sheetName val="Base Accounts"/>
      <sheetName val="#REF"/>
      <sheetName val="Property Tax Estimate"/>
      <sheetName val="Detail"/>
      <sheetName val="Companies"/>
      <sheetName val="WorkSheetName"/>
      <sheetName val="N-Clean-Vac - 483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TAX INV (2)"/>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TX95C"/>
    </sheetNames>
    <sheetDataSet>
      <sheetData sheetId="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IMB AUTO INS"/>
      <sheetName val="MGMT FEES"/>
      <sheetName val="Paradise-BR Ovation LLC"/>
      <sheetName val="D"/>
      <sheetName val="E"/>
      <sheetName val="Dep fr IUB to NSB"/>
      <sheetName val="TRF IUB TO NSB"/>
      <sheetName val="REIMB INTERCO"/>
      <sheetName val="REIMB COBRA"/>
      <sheetName val="MISC"/>
      <sheetName val="PAYROLL REIMB"/>
      <sheetName val="ALM CONTRIBUTION"/>
      <sheetName val="ALM Distribution"/>
      <sheetName val="SHARON HARRY PR"/>
      <sheetName val="PR FUNDING"/>
      <sheetName val="COVER PAYROLL"/>
      <sheetName val="Draw IUB LOC"/>
      <sheetName val="misc 2 "/>
      <sheetName val="Centennial Contractor Fee"/>
      <sheetName val="Thunder Road Contractor Fee"/>
      <sheetName val="Centennial Developer Fee"/>
      <sheetName val="deferred fees &amp; interco"/>
      <sheetName val="Lone Mountain Developer Fee"/>
      <sheetName val="Lone Mountain Contractor Fee"/>
      <sheetName val="Lone Mtn Contr Fee Paradise"/>
      <sheetName val="Ins Claim Reimb"/>
      <sheetName val="IUB Loan - PM portion"/>
      <sheetName val="IUB Loan pymt"/>
      <sheetName val="PAYROLL REIMB (2)"/>
      <sheetName val="ADP"/>
      <sheetName val="ada"/>
      <sheetName val="Sheet1"/>
      <sheetName val="IUB Loan pymt (2)"/>
      <sheetName val="IUB Loan pymt (3)"/>
      <sheetName val="WWS "/>
      <sheetName val="Turn-Rite reimbursements"/>
      <sheetName val="Bnk Chgs"/>
      <sheetName val="cash "/>
      <sheetName val="SHARON PR"/>
      <sheetName val="ALM Personal Exp"/>
      <sheetName val="PR FUNDING (2)"/>
      <sheetName val="LMS  "/>
      <sheetName val="MISC 5"/>
      <sheetName val="trf to WWS"/>
      <sheetName val="trf to LMS"/>
      <sheetName val="LMS Contractor Fee"/>
      <sheetName val="Bnk Chg Reimb"/>
      <sheetName val="Turn-Rite reimbursements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sheetData sheetId="30"/>
      <sheetData sheetId="31" refreshError="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2328-All Improvements"/>
      <sheetName val="Bldg A"/>
      <sheetName val="Bldg B"/>
      <sheetName val="Bldg C"/>
      <sheetName val="Bldg F"/>
      <sheetName val="Club-Leasing"/>
      <sheetName val="Carports"/>
      <sheetName val="Trash Encloser"/>
      <sheetName val="Site Breakdown"/>
      <sheetName val="Gen Reqs Breakdow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2328-All Improvements"/>
      <sheetName val="Bldg A"/>
      <sheetName val="Bldg B"/>
      <sheetName val="Bldg C"/>
      <sheetName val="Bldg F"/>
      <sheetName val="Club-Leasing"/>
      <sheetName val="Carports"/>
      <sheetName val="Trash Encloser"/>
      <sheetName val="Site Breakdown"/>
      <sheetName val="Gen Reqs Breakdow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list"/>
      <sheetName val="@Salient Data Sheet"/>
      <sheetName val="Participants"/>
      <sheetName val="2328 Master"/>
      <sheetName val="2328 TYPE 1"/>
      <sheetName val="2328 TYPE 2"/>
      <sheetName val="2328 TYPE 3"/>
      <sheetName val="2328 TYPE 4"/>
      <sheetName val="2328 TYPE 5"/>
      <sheetName val="2328 TYPE 6"/>
      <sheetName val="2328 TYPE 7"/>
      <sheetName val="2328 TYPE 8"/>
      <sheetName val="2328 TYPE 9"/>
      <sheetName val="2328 TYPE 10"/>
      <sheetName val="2328 TYPE 11"/>
      <sheetName val="2328 TYPE 12"/>
      <sheetName val="2328 TYPE 13"/>
      <sheetName val="2328 TYPE 14"/>
      <sheetName val="2328 TYPE 15"/>
      <sheetName val="2328 TYPE 16"/>
      <sheetName val="SF Table"/>
      <sheetName val="Other Fees"/>
      <sheetName val="Coverpage"/>
      <sheetName val="221d4 Report"/>
      <sheetName val="AE Appendix Page"/>
      <sheetName val="Cost Apps 1"/>
      <sheetName val="MF Bldg Comps"/>
      <sheetName val="CH Comps"/>
      <sheetName val="92326 Master"/>
      <sheetName val="92326 Type 1"/>
      <sheetName val="92326 Type 2"/>
      <sheetName val="92326 Type 3"/>
      <sheetName val="92326 Type 4"/>
      <sheetName val="92326 Type 5"/>
      <sheetName val="92326 Type 6"/>
      <sheetName val="92326 Type 7"/>
      <sheetName val="92326 Type 8"/>
      <sheetName val="92326 Type 9"/>
      <sheetName val="92326 Type 10"/>
      <sheetName val="92326 Type 11"/>
      <sheetName val="92326 Type 12"/>
      <sheetName val="92326 Type 13"/>
      <sheetName val="92326 Type 14"/>
      <sheetName val="92326 Type 15"/>
      <sheetName val="92326 Type 16"/>
      <sheetName val="@Site $ Back Up"/>
      <sheetName val="Bldg Cost $ Back Up"/>
      <sheetName val="Bldg 2 Cost $ Back Up"/>
      <sheetName val="Accessory 1 Cost $ Back Up"/>
      <sheetName val="Accessory 2 Cost $ Back Up"/>
      <sheetName val="Accessory 3 Cost $ Back Up"/>
      <sheetName val="Accessory 4 Cost $ Back Up"/>
      <sheetName val="Accessory 5 Cost $ Back Up"/>
      <sheetName val="Accessory 6 Cost $ Back Up"/>
      <sheetName val="Cost Apps 2"/>
      <sheetName val="AE Fee"/>
      <sheetName val="Cost Apps 3"/>
      <sheetName val="92331-B"/>
      <sheetName val="Cost Apps 4"/>
      <sheetName val="92329 (NC)"/>
      <sheetName val="92329 - Work (NC)"/>
      <sheetName val="92329 (SR)"/>
      <sheetName val="92329 - Work (SR)"/>
      <sheetName val="Cost Apps 5"/>
      <sheetName val="92264"/>
      <sheetName val="92264 Section G"/>
      <sheetName val="92264 Section M CNA"/>
      <sheetName val="Resume Appendix"/>
      <sheetName val="Sheet1"/>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ipants"/>
      <sheetName val="Checklist"/>
      <sheetName val="@Salient Data Sheet"/>
      <sheetName val="2328 Master"/>
      <sheetName val="2328 TYPE 1"/>
      <sheetName val="2328 TYPE 2"/>
      <sheetName val="2328 TYPE 3"/>
      <sheetName val="2328 TYPE 4"/>
      <sheetName val="2328 TYPE 5"/>
      <sheetName val="2328 TYPE 6"/>
      <sheetName val="2328 TYPE 7"/>
      <sheetName val="2328 TYPE 8"/>
      <sheetName val="2328 TYPE 9"/>
      <sheetName val="2328 TYPE 10"/>
      <sheetName val="2328 TYPE 11"/>
      <sheetName val="2328 TYPE 12"/>
      <sheetName val="2328 TYPE 13"/>
      <sheetName val="2328 TYPE 14"/>
      <sheetName val="2328 TYPE 15"/>
      <sheetName val="2328 TYPE 16"/>
      <sheetName val="SF Table"/>
      <sheetName val="Other Fees"/>
      <sheetName val="Coverpage"/>
      <sheetName val="221d4 Report"/>
      <sheetName val="AE Appendix Page"/>
      <sheetName val="Cost Apps 1"/>
      <sheetName val="MF Bldg Comps"/>
      <sheetName val="CH Comps"/>
      <sheetName val="92326 Master"/>
      <sheetName val="92326 Type 1"/>
      <sheetName val="92326 Type 2"/>
      <sheetName val="92326 Type 3"/>
      <sheetName val="92326 Type 4"/>
      <sheetName val="92326 Type 5"/>
      <sheetName val="92326 Type 6"/>
      <sheetName val="92326 Type 7"/>
      <sheetName val="92326 Type 8"/>
      <sheetName val="92326 Type 9"/>
      <sheetName val="92326 Type 10"/>
      <sheetName val="92326 Type 11"/>
      <sheetName val="92326 Type 12"/>
      <sheetName val="92326 Type 13"/>
      <sheetName val="92326 Type 14"/>
      <sheetName val="92326 Type 15"/>
      <sheetName val="92326 Type 16"/>
      <sheetName val="@Site $ Back Up"/>
      <sheetName val="Bldg Cost $ Back Up"/>
      <sheetName val="Bldg 2 Cost $ Back Up"/>
      <sheetName val="Accessory 1 Cost $ Back Up"/>
      <sheetName val="Accessory 2 Cost $ Back Up"/>
      <sheetName val="Accessory 3 Cost $ Back Up"/>
      <sheetName val="Accessory 4 Cost $ Back Up"/>
      <sheetName val="Accessory 5 Cost $ Back Up"/>
      <sheetName val="Accessory 6 Cost $ Back Up"/>
      <sheetName val="Cost Apps 2"/>
      <sheetName val="AE Fee"/>
      <sheetName val="Cost Apps 3"/>
      <sheetName val="92331-B"/>
      <sheetName val="Cost Apps 4"/>
      <sheetName val="92329 (NC)"/>
      <sheetName val="92329 - Work (NC)"/>
      <sheetName val="92329 (SR)"/>
      <sheetName val="92329 - Work (SR)"/>
      <sheetName val="Cost Apps 5"/>
      <sheetName val="92264"/>
      <sheetName val="92264 Section G"/>
      <sheetName val="92264 Section M CNA"/>
      <sheetName val="Resume Appendix"/>
      <sheetName val="Sheet1"/>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puts"/>
      <sheetName val="Summary"/>
      <sheetName val="RentRoll-Stabilized"/>
      <sheetName val="H&amp;B"/>
      <sheetName val="Proforma"/>
      <sheetName val="Cost"/>
      <sheetName val="Sale Comps"/>
      <sheetName val="Income Comps"/>
      <sheetName val="Land Comps"/>
      <sheetName val="Proforma - 1.50x DCR"/>
      <sheetName val="Rent Roll"/>
      <sheetName val="Sources &amp; Uses"/>
      <sheetName val="Sales Comps"/>
      <sheetName val="Land Sale Comps"/>
      <sheetName val="Asking Rent Comps"/>
      <sheetName val="Amort"/>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sheetName val="RentRoll-Stabilized"/>
      <sheetName val="Cost"/>
      <sheetName val="Sale Comps"/>
      <sheetName val="Income Comps"/>
      <sheetName val="Land Comps"/>
      <sheetName val="Appraisal Comparisons"/>
      <sheetName val="Portfolio Info --&gt;"/>
      <sheetName val="Portfolio Analysis"/>
      <sheetName val="Updated Portfolio Analysis"/>
      <sheetName val="Historical Information"/>
      <sheetName val="Rent Rollover Schedule"/>
      <sheetName val="Wynkoop Info --&gt;"/>
      <sheetName val="Rent Roll - Wynkoop"/>
      <sheetName val="H&amp;B &amp; Proforma - Wynkoop"/>
      <sheetName val="W - 2012"/>
      <sheetName val="W - 2013"/>
      <sheetName val="W - Oct T-12"/>
      <sheetName val="W - Oct 2014 YTD"/>
      <sheetName val="Festival Info --&gt;"/>
      <sheetName val="Festival Comp"/>
      <sheetName val="F - Oct 14 T-12"/>
      <sheetName val="F - Newmark Orig UW"/>
      <sheetName val="Admiral Info --&gt;"/>
      <sheetName val="Admiral Comp"/>
      <sheetName val="A - Oct 14 T-12"/>
      <sheetName val="A - Newmark Orig UW"/>
      <sheetName val="Mission Hills Info --&gt;"/>
      <sheetName val="Mission Hills Comp"/>
      <sheetName val="M - Oct 14 T-12"/>
      <sheetName val="M - Newmark Orig UW"/>
      <sheetName val="Alexandria Commons Info --&gt;"/>
      <sheetName val="Rent Roll - Alexandria"/>
      <sheetName val="H&amp;B - Alexandria"/>
      <sheetName val="Proforma - Alexandria"/>
      <sheetName val="A - 2012"/>
      <sheetName val="A - 2013"/>
      <sheetName val="A - Oct T-12"/>
      <sheetName val="A  - Oct 2014 YTD"/>
      <sheetName val="St. John's --&gt;"/>
      <sheetName val="Rent Roll - St. Johns"/>
      <sheetName val="H&amp;B - St. Johns"/>
      <sheetName val="Proforma - St. Johns"/>
      <sheetName val="SJ - 2011"/>
      <sheetName val="SJ - 2012"/>
      <sheetName val="SJ - 2013"/>
      <sheetName val="SJ - Oct 2014 YTD"/>
      <sheetName val="McCook --&gt;"/>
      <sheetName val="MC - Oct 2014 YTD"/>
      <sheetName val="Proforma - McCo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Ind."/>
      <sheetName val="Cash Flows.CFALX"/>
      <sheetName val="Cash Flows.CFPBL"/>
      <sheetName val="Cash Flows.CFPUB"/>
      <sheetName val="Cash Flows.CFSH"/>
      <sheetName val="Cash Flows.CFSV"/>
      <sheetName val="Cash Flows.CFVV"/>
      <sheetName val="Cash Flows.CFWH"/>
      <sheetName val="Loss to Lease"/>
      <sheetName val="Cash Flows.CFEST"/>
      <sheetName val="Cash Flows.CFOAK"/>
      <sheetName val="Cash Flows.CFN"/>
      <sheetName val="Cash Flows.CFW"/>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CFVV----&gt;"/>
      <sheetName val="CFVV 2004B"/>
      <sheetName val="Gross Potential-IND. CFVV 2004"/>
      <sheetName val="Rental Income-IND.CFVV 2004"/>
      <sheetName val="Misc. Income.CFVV"/>
      <sheetName val="Advertising.CFVV"/>
      <sheetName val="Activities Expenses.CFVV"/>
      <sheetName val="CF SH-----&gt;"/>
      <sheetName val="CFSH 2004B"/>
      <sheetName val="Gross Potential-IND.CFSH"/>
      <sheetName val="Rental Income-IND.CFSH 2004"/>
      <sheetName val="Misc. Income.CFSH"/>
      <sheetName val="Advertising.CFSH"/>
      <sheetName val="Vacancy Expenses.CFSH"/>
      <sheetName val="Fees, Taxes &amp; Insurance.CFSH"/>
      <sheetName val="CFSV----&gt; "/>
      <sheetName val="CFSV 2004B"/>
      <sheetName val="Gross Potential-FS.CFSV"/>
      <sheetName val="Gross Potential-IND.CFSV"/>
      <sheetName val="Rental Income-IND.CFSV 2004"/>
      <sheetName val="Rental Income-FS.CFSV"/>
      <sheetName val="Repairs and Maintenance.CFSV"/>
      <sheetName val="CF PUB----&gt; "/>
      <sheetName val="CFPUB 2004B"/>
      <sheetName val="Gross Potential-IND.CFPUB"/>
      <sheetName val="Rental Income-IND.CFPUB 2004"/>
      <sheetName val="CF WH----&gt;"/>
      <sheetName val="CFWH 2004B"/>
      <sheetName val="Gross Potential-IND.CFWH"/>
      <sheetName val="Rental Income-IND.CFWH 2004"/>
      <sheetName val="CF EST----&gt;"/>
      <sheetName val="CFEST 2004B"/>
      <sheetName val="Rental Income-FS.CFEST 2004"/>
      <sheetName val="Gross Potential-FS.CFEST"/>
      <sheetName val="CF ALX----&gt;"/>
      <sheetName val="CFALX 2004B"/>
      <sheetName val="Gross Potential-IND.CFALX"/>
      <sheetName val="Rental Income-IND.CFALX 2004"/>
      <sheetName val="CF PBL----&gt;"/>
      <sheetName val="CFPBL 2004B"/>
      <sheetName val="Gross Potential-IND.CFPBL"/>
      <sheetName val="Rental Income-IND.CFPBL 2004"/>
      <sheetName val="Vacancy Expenses.CFPBL"/>
      <sheetName val="CF OAK----&gt;"/>
      <sheetName val="CFOAK 2004B"/>
      <sheetName val="Gross Potential-FS.CFOAK"/>
      <sheetName val="Rental Income-FS.CFOAK 2004"/>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_Roll (2006)"/>
      <sheetName val="Rent_Roll (Current)"/>
      <sheetName val="Cost_Equity_SourcesUses"/>
      <sheetName val="Inv_Sum"/>
    </sheetNames>
    <sheetDataSet>
      <sheetData sheetId="0"/>
      <sheetData sheetId="1"/>
      <sheetData sheetId="2"/>
      <sheetData sheetId="3"/>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able of Contents"/>
      <sheetName val="Investment Analysis"/>
      <sheetName val="CF Split Analysis"/>
      <sheetName val="summary"/>
      <sheetName val="sources &amp; uses"/>
      <sheetName val="fee calculation"/>
      <sheetName val="bank loan budget"/>
      <sheetName val="interest reserve cal"/>
      <sheetName val="cost analysis"/>
      <sheetName val="project detail"/>
      <sheetName val="base rents"/>
      <sheetName val="rent basis (2)"/>
      <sheetName val="income stmt yr0"/>
      <sheetName val="Sensitivity"/>
      <sheetName val="Sensitivity (2)"/>
      <sheetName val="Sensitivity (IRR)"/>
      <sheetName val="annual inc stmt"/>
      <sheetName val="annual balance sheet"/>
      <sheetName val="annual cash flow"/>
      <sheetName val="depreciation analysis"/>
      <sheetName val="tax analysis"/>
      <sheetName val="Assumptions"/>
      <sheetName val="mo income stmt"/>
      <sheetName val="balance sheet"/>
      <sheetName val="cash flow"/>
      <sheetName val="condo sale cash flow"/>
      <sheetName val="source &amp; uses mo sch"/>
      <sheetName val="% of completion"/>
      <sheetName val="amr sch"/>
      <sheetName val="SID sch"/>
      <sheetName val="ownership chart"/>
      <sheetName val="CHECK"/>
      <sheetName val="ovation orig. rents vs. curr"/>
      <sheetName val="cf summary dist as apts"/>
      <sheetName val="cf summary dist as condo"/>
      <sheetName val="buyout valuation"/>
      <sheetName val="cf 30 yr sale"/>
      <sheetName val="perm lo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Investment Analysis"/>
      <sheetName val="CF Split Analysis"/>
      <sheetName val="summary"/>
      <sheetName val="sources &amp; uses"/>
      <sheetName val="perm loan"/>
      <sheetName val="fee calculation"/>
      <sheetName val="bank loan budget"/>
      <sheetName val="interest reserve cal"/>
      <sheetName val="cost analysis"/>
      <sheetName val="project detail"/>
      <sheetName val="base rents"/>
      <sheetName val="rent basis (2)"/>
      <sheetName val="income stmt yr0"/>
      <sheetName val="Sensitivity"/>
      <sheetName val="Sensitivity (2)"/>
      <sheetName val="Sensitivity (IRR)"/>
      <sheetName val="annual inc stmt"/>
      <sheetName val="annual balance sheet"/>
      <sheetName val="annual cash flow"/>
      <sheetName val="depreciation analysis"/>
      <sheetName val="tax analysis"/>
      <sheetName val="mo income stmt"/>
      <sheetName val="balance sheet"/>
      <sheetName val="cash flow"/>
      <sheetName val="condo sale cash flow"/>
      <sheetName val="source &amp; uses mo sch"/>
      <sheetName val="% of completion"/>
      <sheetName val="amr sch"/>
      <sheetName val="SID sch"/>
      <sheetName val="ownership chart"/>
      <sheetName val="CHECK"/>
      <sheetName val="ovation orig. rents vs. curr"/>
      <sheetName val="cf summary dist as apts"/>
      <sheetName val="cf summary dist as condo"/>
      <sheetName val="buyout valuation"/>
      <sheetName val="cf 30 yr s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Investment Analysis"/>
      <sheetName val="CF Split Analysis"/>
      <sheetName val="sources &amp; uses"/>
      <sheetName val="perm loan"/>
      <sheetName val="interest reserve cal"/>
      <sheetName val="interest reserve cal (1)"/>
      <sheetName val="interest reserve cal (2)"/>
      <sheetName val="fee calculation"/>
      <sheetName val="bank loan budget"/>
      <sheetName val="cost analysis"/>
      <sheetName val="project detail"/>
      <sheetName val="site detail"/>
      <sheetName val="base rents"/>
      <sheetName val="income stmt yr0"/>
      <sheetName val="Appraisal (0)"/>
      <sheetName val="Const Loan (0)"/>
      <sheetName val="Const Loan (00)"/>
      <sheetName val="FMV"/>
      <sheetName val="Const Loan (1)"/>
      <sheetName val="Const Loan (2)"/>
      <sheetName val="Const Loan (3)"/>
      <sheetName val="Const Loan (4)"/>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6)"/>
      <sheetName val="Bank budgets"/>
      <sheetName val="budgets (v6)"/>
      <sheetName val="CF Split (V5)"/>
      <sheetName val="mo income stmt"/>
      <sheetName val="mo income stmt (2)"/>
      <sheetName val="balance sheet"/>
      <sheetName val="cash flow"/>
      <sheetName val="ownership chart"/>
      <sheetName val="amr sch"/>
      <sheetName val="source &amp; uses mo sch"/>
      <sheetName val="% of completion"/>
      <sheetName val="&lt;&gt;"/>
      <sheetName val="ovation orig. rents vs. curr"/>
      <sheetName val="buyout valuation"/>
      <sheetName val="Sensitivity (IRR)"/>
      <sheetName val="Appraisal"/>
      <sheetName val="Appraisal (3)"/>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DEX"/>
      <sheetName val="Table of Contents"/>
      <sheetName val="Investment Summary"/>
      <sheetName val="Investment Analysis"/>
      <sheetName val="CF Split Analysis"/>
      <sheetName val="sources &amp; uses"/>
      <sheetName val="perm loan"/>
      <sheetName val="fee calculation"/>
      <sheetName val="bank loan budget"/>
      <sheetName val="interest reserve cal"/>
      <sheetName val="cost analysis"/>
      <sheetName val="project detail"/>
      <sheetName val="site detail"/>
      <sheetName val="perm loan (2)"/>
      <sheetName val="base rents"/>
      <sheetName val="income stmt yr0"/>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erona)"/>
      <sheetName val="budgets (verona)"/>
      <sheetName val="mo income stmt"/>
      <sheetName val="balance sheet"/>
      <sheetName val="cash flow"/>
      <sheetName val="ownership chart"/>
      <sheetName val="amr sch"/>
      <sheetName val="source &amp; uses mo sch"/>
      <sheetName val="% of completion"/>
      <sheetName val="CHECK"/>
      <sheetName val="ovation orig. rents vs. curr"/>
      <sheetName val="buyout valuation"/>
      <sheetName val="cf 30 yr sale"/>
      <sheetName val="CF Split Analysis (4)"/>
      <sheetName val="CF Split Analysis (5)"/>
      <sheetName val="CF Split Analysis (6)"/>
      <sheetName val="Sensitivity (I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2329"/>
      <sheetName val="Source Data"/>
      <sheetName val="Square Footage Take-offs"/>
      <sheetName val="Cost Estimate Worksheet"/>
      <sheetName val="92329-Work"/>
      <sheetName val="SNA"/>
      <sheetName val="92264 Section G - Rehab Only"/>
      <sheetName val="92264 Section M CNA"/>
      <sheetName val="2264"/>
      <sheetName val="Architect Fee Calc"/>
      <sheetName val="92331-B"/>
      <sheetName val="92326 Master"/>
      <sheetName val="92326 CC"/>
      <sheetName val="D3G LI"/>
      <sheetName val="2328-Main"/>
      <sheetName val="2328- Clubhouse"/>
      <sheetName val="2328-LI Page 1"/>
      <sheetName val="2328-LI Page 2"/>
      <sheetName val="2328-LI Page 3"/>
      <sheetName val="Other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quare Footage Take-offs"/>
      <sheetName val="Cost Estimate Worksheet"/>
      <sheetName val="92329"/>
      <sheetName val="92329-Work"/>
      <sheetName val="SNA"/>
      <sheetName val="92264 Section G - Rehab Only"/>
      <sheetName val="92264 Section M CNA"/>
      <sheetName val="2264"/>
      <sheetName val="Architect Fee Calc"/>
      <sheetName val="92331-B"/>
      <sheetName val="92326 Master"/>
      <sheetName val="92326 CC"/>
      <sheetName val="D3G LI"/>
      <sheetName val="2328-Main"/>
      <sheetName val="2328- Clubhouse"/>
      <sheetName val="2328-LI Page 1"/>
      <sheetName val="2328-LI Page 2"/>
      <sheetName val="2328-LI Page 3"/>
      <sheetName val="Other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AVP"/>
      <sheetName val="Assumptions"/>
      <sheetName val="IS, CYE(3)"/>
      <sheetName val="IS, FYE(2)"/>
      <sheetName val="CF"/>
      <sheetName val="BS"/>
      <sheetName val="debt"/>
      <sheetName val="Debt Refinancing"/>
      <sheetName val="BSadj"/>
      <sheetName val="BOCA Mgmt Equity"/>
      <sheetName val="Returns"/>
      <sheetName val="ratios"/>
      <sheetName val="CMBS Analysis"/>
      <sheetName val="BREAK"/>
      <sheetName val="ownership summary"/>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udgets"/>
      <sheetName val="interest reserve cal (3)"/>
      <sheetName val="interest reserve cal (org)"/>
      <sheetName val="interest reserve cal (2)"/>
      <sheetName val="interest reserve cal"/>
      <sheetName val="coo &amp; release dates"/>
      <sheetName val="Graphs"/>
      <sheetName val="IS"/>
      <sheetName val="expense comp"/>
      <sheetName val="salaries"/>
      <sheetName val="rent"/>
      <sheetName val="cap return"/>
      <sheetName val="-"/>
      <sheetName val="bank budgets"/>
      <sheetName val="KeyDates"/>
      <sheetName val="absorption"/>
      <sheetName val="move in-ou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Sensitivity (0)"/>
      <sheetName val="sources &amp; uses"/>
      <sheetName val="project detail"/>
      <sheetName val="income stmt yr0"/>
      <sheetName val="base rents (2)"/>
      <sheetName val="Expenses Analysis"/>
      <sheetName val="FMV Analysis"/>
      <sheetName val="Const Loan (1)"/>
      <sheetName val="Const Loan (0)"/>
      <sheetName val="site detail"/>
      <sheetName val="Investment Analysis"/>
      <sheetName val="Investment Summary (5yr)"/>
      <sheetName val="CF Dist Analysis"/>
      <sheetName val="CF Dist Analysis (5yr)"/>
      <sheetName val="perm loan"/>
      <sheetName val="cost analysis"/>
      <sheetName val="bank loan budget"/>
      <sheetName val="interest reserve cal"/>
      <sheetName val="fee calculation"/>
      <sheetName val="Sensitivity"/>
      <sheetName val="Sensitivity (3)"/>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Appraisal (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Notes Sheet"/>
      <sheetName val="Assumptions"/>
      <sheetName val="Monthly Inputs"/>
      <sheetName val="Monthly Spreads"/>
      <sheetName val="Data Tables"/>
      <sheetName val="AdminMonthly"/>
      <sheetName val="Formulas"/>
      <sheetName val="Inflation"/>
      <sheetName val="AdminDirConst"/>
      <sheetName val="Cover"/>
      <sheetName val="Sensitivity - Single"/>
      <sheetName val="Sensitivity - Dual"/>
      <sheetName val="Investment Overview (old)"/>
      <sheetName val="Investment Overview"/>
      <sheetName val="Income Stmt Summ by Plan"/>
      <sheetName val="Profit Proforma by Plan"/>
      <sheetName val="Sheet1"/>
      <sheetName val="Monthly Cash Flow"/>
      <sheetName val="Quarterly Cash Flow"/>
      <sheetName val="Q CF Investor"/>
      <sheetName val="Annual Cash Flow"/>
      <sheetName val="P&amp;L Stmt."/>
      <sheetName val="Quarterly P&amp;L Stmt."/>
      <sheetName val="Annual P&amp;L Stmt."/>
      <sheetName val="Balance Sheet"/>
      <sheetName val="Quarterly Balance Sheet"/>
      <sheetName val="Annual 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 Total Project Ph IV"/>
      <sheetName val="Costs Total Project Ph III"/>
      <sheetName val="Costs Total Project Ph II"/>
      <sheetName val="Costs Total Project Ph I"/>
      <sheetName val="Costs Total Project"/>
      <sheetName val="Budget Total Project"/>
      <sheetName val=" CF Analysis"/>
      <sheetName val="Construction Costs"/>
      <sheetName val="Cash Flow (1)"/>
      <sheetName val="Cash Flow (2)"/>
      <sheetName val="Cash Flow (3)"/>
      <sheetName val="Cash Flow (4)"/>
      <sheetName val="Cash Flow (5)"/>
      <sheetName val="Cash Flow (6)"/>
      <sheetName val="Sheet2"/>
      <sheetName val="Sheet3"/>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Investment Analysis"/>
      <sheetName val="CF Split Analysis"/>
      <sheetName val="summary"/>
      <sheetName val="sources &amp; uses"/>
      <sheetName val="fee calculation"/>
      <sheetName val="bank loan budget"/>
      <sheetName val="interest reserve cal"/>
      <sheetName val="cost analysis"/>
      <sheetName val="project detail"/>
      <sheetName val="base rents"/>
      <sheetName val="rent basis (2)"/>
      <sheetName val="income stmt yr0"/>
      <sheetName val="Sensitivity"/>
      <sheetName val="Sensitivity (2)"/>
      <sheetName val="Sensitivity (IRR)"/>
      <sheetName val="annual inc stmt"/>
      <sheetName val="annual balance sheet"/>
      <sheetName val="annual cash flow"/>
      <sheetName val="depreciation analysis"/>
      <sheetName val="tax analysis"/>
      <sheetName val="mo income stmt"/>
      <sheetName val="balance sheet"/>
      <sheetName val="cash flow"/>
      <sheetName val="condo sale cash flow"/>
      <sheetName val="source &amp; uses mo sch"/>
      <sheetName val="% of completion"/>
      <sheetName val="amr sch"/>
      <sheetName val="SID sch"/>
      <sheetName val="ownership chart"/>
      <sheetName val="CHECK"/>
      <sheetName val="ovation orig. rents vs. curr"/>
      <sheetName val="cf summary dist as apts"/>
      <sheetName val="cf summary dist as condo"/>
      <sheetName val="buyout valuation"/>
      <sheetName val="cf 30 yr s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DEX"/>
      <sheetName val="Table of Contents"/>
      <sheetName val="Investment Summary"/>
      <sheetName val="Investment Analysis"/>
      <sheetName val="CF Split Analysis"/>
      <sheetName val="sources &amp; uses"/>
      <sheetName val="perm loan"/>
      <sheetName val="fee calculation"/>
      <sheetName val="bank loan budget"/>
      <sheetName val="interest reserve cal"/>
      <sheetName val="cost analysis"/>
      <sheetName val="project detail"/>
      <sheetName val="site detail"/>
      <sheetName val="perm loan (2)"/>
      <sheetName val="base rents"/>
      <sheetName val="income stmt yr0"/>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erona)"/>
      <sheetName val="budgets (verona)"/>
      <sheetName val="mo income stmt"/>
      <sheetName val="balance sheet"/>
      <sheetName val="cash flow"/>
      <sheetName val="ownership chart"/>
      <sheetName val="amr sch"/>
      <sheetName val="source &amp; uses mo sch"/>
      <sheetName val="% of completion"/>
      <sheetName val="CHECK"/>
      <sheetName val="ovation orig. rents vs. curr"/>
      <sheetName val="buyout valuation"/>
      <sheetName val="cf 30 yr sale"/>
      <sheetName val="CF Split Analysis (4)"/>
      <sheetName val="CF Split Analysis (5)"/>
      <sheetName val="CF Split Analysis (6)"/>
      <sheetName val="Sensitivity (IRR)"/>
      <sheetName val="cf summary dist as apts"/>
      <sheetName val="cf summary dist as con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Prescreen"/>
      <sheetName val="Property Pics"/>
      <sheetName val="Property Maps"/>
      <sheetName val="Assumptions"/>
      <sheetName val="Rent Roll &amp; Vacancy"/>
      <sheetName val="Concessions"/>
      <sheetName val="Property Analysis Form"/>
      <sheetName val="Inc Exp"/>
      <sheetName val="ctData"/>
      <sheetName val="Sheet1"/>
      <sheetName val="Inc Exp Comments"/>
      <sheetName val="Optg Stmt Summary"/>
      <sheetName val="Rollover"/>
      <sheetName val="Sensitivity Analysis"/>
      <sheetName val="Replacement Reserve"/>
      <sheetName val="Proforma"/>
      <sheetName val="DSC"/>
      <sheetName val="Amortization Table"/>
      <sheetName val="CBA B-Note"/>
      <sheetName val="RENT ROLL PKG"/>
      <sheetName val="PAF PKG"/>
      <sheetName val="Inc Expense (2)"/>
      <sheetName val="HISTORY P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23990526602"/>
      <sheetName val="Template"/>
      <sheetName val="Sheet3"/>
      <sheetName val="Data Lookup"/>
      <sheetName val="8TX95C"/>
      <sheetName val="ENCUMBRANCE"/>
      <sheetName val="CSH TB"/>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e Inputs &gt;"/>
      <sheetName val="Operations (DP)"/>
      <sheetName val="Construction Draw Est."/>
      <sheetName val="Development Inputs &gt;"/>
      <sheetName val="MASTER"/>
      <sheetName val="Yellow Sheet"/>
      <sheetName val="By CC"/>
      <sheetName val="Combined"/>
      <sheetName val="A&amp;E"/>
      <sheetName val="Permits"/>
      <sheetName val="TOC"/>
      <sheetName val="CONSTRUCTION RECAP"/>
      <sheetName val="P&amp;P BOND"/>
      <sheetName val="GL INS"/>
      <sheetName val="BLDRS RISK"/>
      <sheetName val="ITEM 9-68 ! "/>
      <sheetName val="ITEM 10-70 !"/>
      <sheetName val="ITEM 12-74 !"/>
      <sheetName val="ITEM 13-76 !"/>
      <sheetName val="ITEM 16-82 !"/>
      <sheetName val="ITEM 21-98 !"/>
      <sheetName val="ITEM 22-96 !"/>
      <sheetName val="ITEM 24 !"/>
      <sheetName val="ITEM 25-BOH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SMCAMEXP97"/>
      <sheetName val="Sheet1 (2)"/>
      <sheetName val="SCountyCAMEXP97 "/>
      <sheetName val="Contrib"/>
      <sheetName val="Exppool"/>
      <sheetName val="SSMCAMEXP96"/>
      <sheetName val="SShoreGLA96CAM"/>
      <sheetName val="Sheet1"/>
      <sheetName val="GLA96TAX"/>
      <sheetName val="SSMGLA12"/>
      <sheetName val="SCounty"/>
      <sheetName val="SC.GLA97"/>
      <sheetName val="Tenants"/>
      <sheetName val="Sales Data"/>
      <sheetName val="Sheet3"/>
      <sheetName val="Contrib (2)"/>
      <sheetName val="Input"/>
      <sheetName val="SCH-28 Cash Disbursements"/>
      <sheetName val="Template"/>
      <sheetName val="3-00 RECONCILIATION"/>
      <sheetName val="Test Malls"/>
      <sheetName val="Mgmt Fee Schd"/>
      <sheetName val="Summary"/>
      <sheetName val="Sheet1_(2)"/>
      <sheetName val="SCountyCAMEXP97_"/>
      <sheetName val="SC_GLA97"/>
      <sheetName val="Sales_Data"/>
      <sheetName val="Contrib_(2)"/>
      <sheetName val="SCH-28_Cash_Disbursements"/>
      <sheetName val="3-00_RECONCILIATION"/>
      <sheetName val="Test_Malls"/>
      <sheetName val="Mgmt_Fee_Schd"/>
      <sheetName val="Note 4-10"/>
      <sheetName val="Hyperion NOI"/>
      <sheetName val="HYP NOI @ 100%"/>
      <sheetName val="Spacenet I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Request"/>
      <sheetName val="Rent Roll"/>
      <sheetName val="Rent Rollover"/>
      <sheetName val="H&amp;B"/>
      <sheetName val="Proforma Underwriting"/>
    </sheetNames>
    <sheetDataSet>
      <sheetData sheetId="0" refreshError="1"/>
      <sheetData sheetId="1" refreshError="1"/>
      <sheetData sheetId="2" refreshError="1"/>
      <sheetData sheetId="3" refreshError="1"/>
      <sheetData sheetId="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AdminMonthly"/>
      <sheetName val="Formulas"/>
      <sheetName val="Menu"/>
      <sheetName val="Hen Scratchings"/>
      <sheetName val="Monthly Inputs"/>
      <sheetName val="Monthly Spreads"/>
      <sheetName val="Data Table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buildup"/>
      <sheetName val="DCF FOR LPS"/>
    </sheetNames>
    <sheetDataSet>
      <sheetData sheetId="0"/>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sources &amp; uses"/>
      <sheetName val="cost analysis"/>
      <sheetName val="income stmt"/>
      <sheetName val="annual inc stmt"/>
      <sheetName val="cf distribution"/>
      <sheetName val="cf summary dist"/>
      <sheetName val="project detail"/>
      <sheetName val="ownership chart"/>
      <sheetName val="tax analysis"/>
      <sheetName val="depreciation analysis"/>
      <sheetName val="mortgage amortization"/>
      <sheetName val="ovation orig. rents vs. curr"/>
      <sheetName val="return analysis"/>
      <sheetName val="Tiered Return"/>
      <sheetName val="financing"/>
      <sheetName val="% of completion"/>
      <sheetName val="Sensitivity - Single"/>
      <sheetName val="Sensitivity - Dual"/>
      <sheetName val="annual cash flow"/>
      <sheetName val="Construction Loan"/>
      <sheetName val="Menu"/>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hanges"/>
      <sheetName val="Bldg"/>
      <sheetName val="Site"/>
      <sheetName val="Clubhouse"/>
      <sheetName val="Upg"/>
      <sheetName val="Sheet3"/>
    </sheetNames>
    <sheetDataSet>
      <sheetData sheetId="0"/>
      <sheetData sheetId="1"/>
      <sheetData sheetId="2"/>
      <sheetData sheetId="3"/>
      <sheetData sheetId="4"/>
      <sheetData sheetId="5"/>
      <sheetData sheetId="6"/>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hanges"/>
      <sheetName val="Bldg"/>
      <sheetName val="Site"/>
      <sheetName val="Clubhouse"/>
      <sheetName val="Upg"/>
      <sheetName val="Sheet3"/>
    </sheetNames>
    <sheetDataSet>
      <sheetData sheetId="0"/>
      <sheetData sheetId="1"/>
      <sheetData sheetId="2"/>
      <sheetData sheetId="3"/>
      <sheetData sheetId="4"/>
      <sheetData sheetId="5"/>
      <sheetData sheetId="6"/>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an Information"/>
      <sheetName val="Rent Roll Analysis"/>
      <sheetName val="Underwriting"/>
      <sheetName val="unmapped sheet"/>
      <sheetName val="Vote Cover - 1"/>
      <sheetName val="Vote Loan Info - 2"/>
      <sheetName val="Allocation, Prepay &amp; Dates - 3"/>
      <sheetName val="Vote Comments - 4"/>
      <sheetName val="Vote Use-Fees-Borrower Info - 5"/>
      <sheetName val="Vote Principal-Sponsor- 6"/>
      <sheetName val="Vote Escrows- 7"/>
      <sheetName val="Vote Property Info A - 8 "/>
      <sheetName val="Vote Property Info B - 9"/>
      <sheetName val="Vote Valuation- 10"/>
      <sheetName val="Vote Cash Flow- 11"/>
      <sheetName val="Vote Cash Flow Footnotes - 12"/>
      <sheetName val="Vote Rent Roll - 13"/>
      <sheetName val="New Rating"/>
      <sheetName val="Vote Duration"/>
      <sheetName val="Vote Rate Circle"/>
      <sheetName val="Rate Reset"/>
      <sheetName val="Variable to Fixed"/>
      <sheetName val="Cmte. of Finance Pg 1"/>
      <sheetName val="Cmte. of Finance Pg 2"/>
      <sheetName val="VLI  Listing Sheet"/>
      <sheetName val="IPLICO  Listing Sheet "/>
      <sheetName val="JHRECO LTD  Listing Sheet  "/>
      <sheetName val="Vote - Open Text"/>
      <sheetName val="Vote Rating"/>
      <sheetName val="JHREF Re-Fi"/>
      <sheetName val="JHLICO Rate Circle"/>
      <sheetName val="JHREF Rate Lock"/>
      <sheetName val="LaunchingPad"/>
      <sheetName val="GlobalInfo"/>
      <sheetName val="JHDropdowns"/>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evel 1.1 UPDATE B"/>
      <sheetName val="Insurance_Bonds"/>
      <sheetName val="Level 1.1 UPDATE A"/>
      <sheetName val="Level 1"/>
      <sheetName val="Savings Recomendations"/>
      <sheetName val="Comparison to Previous"/>
      <sheetName val="Comparison to Other"/>
      <sheetName val="Comparison to Previous (2)"/>
      <sheetName val="Another Uselss"/>
      <sheetName val="Useless Breakdown"/>
      <sheetName val="Another Uselss (2)"/>
      <sheetName val="Level 1 VS Level 0"/>
      <sheetName val="_REFERENCE888777888"/>
      <sheetName val="Offsite Comp"/>
      <sheetName val="Torrey Comparison"/>
      <sheetName val="What changed"/>
      <sheetName val="Park Options"/>
      <sheetName val="Torrey Premier"/>
      <sheetName val="Pebble"/>
      <sheetName val="Decatur"/>
      <sheetName val="Russell IV"/>
    </sheetNames>
    <sheetDataSet>
      <sheetData sheetId="0">
        <row r="327">
          <cell r="G327">
            <v>1.2999999999999999E-2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Insurance_Bonds"/>
      <sheetName val="Level 1.1"/>
      <sheetName val="Assumptions &amp; Takeoffs"/>
      <sheetName val="Comparison"/>
      <sheetName val="Comp to Previous"/>
      <sheetName val="Unit Cost Comparison"/>
      <sheetName val="Historical"/>
      <sheetName val="Level 1"/>
      <sheetName val="LEVE 0"/>
    </sheetNames>
    <sheetDataSet>
      <sheetData sheetId="0"/>
      <sheetData sheetId="1">
        <row r="17">
          <cell r="L17">
            <v>16000</v>
          </cell>
        </row>
        <row r="28">
          <cell r="L28">
            <v>1044739.2650000001</v>
          </cell>
        </row>
        <row r="34">
          <cell r="L34">
            <v>66535</v>
          </cell>
        </row>
        <row r="43">
          <cell r="L43">
            <v>436814</v>
          </cell>
        </row>
        <row r="57">
          <cell r="L57">
            <v>4198723.1812432641</v>
          </cell>
        </row>
        <row r="71">
          <cell r="L71">
            <v>911660.08383935865</v>
          </cell>
        </row>
        <row r="86">
          <cell r="L86">
            <v>432800</v>
          </cell>
        </row>
        <row r="125">
          <cell r="L125">
            <v>3125937.7880255161</v>
          </cell>
        </row>
        <row r="142">
          <cell r="L142">
            <v>281760.94400000002</v>
          </cell>
        </row>
        <row r="146">
          <cell r="L146">
            <v>786359.5</v>
          </cell>
        </row>
        <row r="155">
          <cell r="L155">
            <v>1069840.3152000001</v>
          </cell>
        </row>
        <row r="159">
          <cell r="L159">
            <v>555425</v>
          </cell>
        </row>
        <row r="162">
          <cell r="L162">
            <v>349000</v>
          </cell>
        </row>
        <row r="166">
          <cell r="L166">
            <v>707417.96</v>
          </cell>
        </row>
        <row r="172">
          <cell r="L172">
            <v>1946110</v>
          </cell>
        </row>
        <row r="175">
          <cell r="L175">
            <v>1891250</v>
          </cell>
        </row>
        <row r="192">
          <cell r="L192">
            <v>2383513.4400000004</v>
          </cell>
        </row>
        <row r="196">
          <cell r="L196">
            <v>87880.8</v>
          </cell>
        </row>
        <row r="201">
          <cell r="L201">
            <v>475001.45885714283</v>
          </cell>
        </row>
        <row r="211">
          <cell r="L211">
            <v>543871.79</v>
          </cell>
        </row>
        <row r="249">
          <cell r="L249">
            <v>2346997.088</v>
          </cell>
        </row>
        <row r="267">
          <cell r="L267">
            <v>2847538.66</v>
          </cell>
        </row>
        <row r="269">
          <cell r="L269">
            <v>7500</v>
          </cell>
        </row>
        <row r="273">
          <cell r="L273">
            <v>350000</v>
          </cell>
        </row>
        <row r="283">
          <cell r="L283">
            <v>177320</v>
          </cell>
        </row>
        <row r="286">
          <cell r="L286">
            <v>540799.92548330559</v>
          </cell>
        </row>
      </sheetData>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cenario 1 - Phase 1"/>
      <sheetName val="_REFERENCE888777888"/>
      <sheetName val="LEVEL 2 BUDGET"/>
      <sheetName val="Comparison to Other"/>
      <sheetName val="Sheet3"/>
      <sheetName val="Comparison to Previous"/>
      <sheetName val="LEVEL 2 (Match)"/>
      <sheetName val="Comparison to Previous (Match)"/>
      <sheetName val="Sheet1"/>
      <sheetName val="Combined Ph 1 &amp; 2"/>
      <sheetName val="Summary Combined Ph 1 &amp; 2 (2)"/>
      <sheetName val="Sheet2"/>
    </sheetNames>
    <sheetDataSet>
      <sheetData sheetId="0"/>
      <sheetData sheetId="1"/>
      <sheetData sheetId="2">
        <row r="35">
          <cell r="L35">
            <v>0</v>
          </cell>
        </row>
        <row r="36">
          <cell r="F36"/>
          <cell r="G36"/>
          <cell r="H36"/>
          <cell r="I36"/>
          <cell r="J36">
            <v>0</v>
          </cell>
          <cell r="K36">
            <v>0</v>
          </cell>
        </row>
        <row r="37">
          <cell r="F37"/>
          <cell r="G37"/>
          <cell r="H37"/>
          <cell r="I37"/>
          <cell r="J37">
            <v>0</v>
          </cell>
          <cell r="K37">
            <v>0</v>
          </cell>
        </row>
        <row r="38">
          <cell r="F38"/>
          <cell r="G38"/>
          <cell r="H38"/>
          <cell r="I38"/>
          <cell r="J38">
            <v>0</v>
          </cell>
          <cell r="K38">
            <v>0</v>
          </cell>
        </row>
        <row r="39">
          <cell r="F39"/>
          <cell r="G39"/>
          <cell r="H39"/>
          <cell r="I39"/>
          <cell r="J39">
            <v>0</v>
          </cell>
          <cell r="K39">
            <v>0</v>
          </cell>
        </row>
        <row r="40">
          <cell r="F40"/>
          <cell r="G40"/>
          <cell r="H40"/>
          <cell r="I40"/>
          <cell r="J40">
            <v>0</v>
          </cell>
          <cell r="K40">
            <v>0</v>
          </cell>
        </row>
        <row r="41">
          <cell r="F41"/>
          <cell r="G41"/>
          <cell r="H41"/>
          <cell r="I41"/>
          <cell r="J41">
            <v>0</v>
          </cell>
          <cell r="K41">
            <v>0</v>
          </cell>
        </row>
        <row r="42">
          <cell r="F42"/>
          <cell r="G42"/>
          <cell r="H42"/>
          <cell r="I42"/>
          <cell r="J42">
            <v>0</v>
          </cell>
          <cell r="K42">
            <v>0</v>
          </cell>
        </row>
        <row r="43">
          <cell r="F43"/>
          <cell r="G43"/>
          <cell r="H43"/>
          <cell r="I43"/>
          <cell r="J43">
            <v>0</v>
          </cell>
          <cell r="K43">
            <v>0</v>
          </cell>
        </row>
        <row r="292">
          <cell r="L292">
            <v>0</v>
          </cell>
        </row>
        <row r="293">
          <cell r="F293"/>
          <cell r="G293"/>
          <cell r="H293"/>
          <cell r="I293">
            <v>0</v>
          </cell>
          <cell r="J293">
            <v>0</v>
          </cell>
          <cell r="K293">
            <v>0</v>
          </cell>
        </row>
        <row r="294">
          <cell r="F294"/>
          <cell r="G294"/>
          <cell r="H294"/>
          <cell r="I294">
            <v>0</v>
          </cell>
          <cell r="J294">
            <v>0</v>
          </cell>
          <cell r="K294">
            <v>0</v>
          </cell>
        </row>
        <row r="295">
          <cell r="F295"/>
          <cell r="G295"/>
          <cell r="H295"/>
          <cell r="I295">
            <v>0</v>
          </cell>
          <cell r="J295">
            <v>0</v>
          </cell>
          <cell r="K295">
            <v>0</v>
          </cell>
        </row>
        <row r="296">
          <cell r="F296"/>
          <cell r="G296"/>
          <cell r="H296"/>
          <cell r="I296">
            <v>0</v>
          </cell>
          <cell r="J296">
            <v>0</v>
          </cell>
          <cell r="K296">
            <v>0</v>
          </cell>
        </row>
        <row r="297">
          <cell r="F297"/>
          <cell r="G297"/>
          <cell r="H297"/>
          <cell r="I297">
            <v>0</v>
          </cell>
          <cell r="J297">
            <v>0</v>
          </cell>
          <cell r="K297">
            <v>0</v>
          </cell>
        </row>
        <row r="298">
          <cell r="F298"/>
          <cell r="G298"/>
          <cell r="H298"/>
          <cell r="I298">
            <v>0</v>
          </cell>
          <cell r="J298">
            <v>0</v>
          </cell>
          <cell r="K298">
            <v>0</v>
          </cell>
        </row>
        <row r="299">
          <cell r="F299"/>
          <cell r="G299"/>
          <cell r="H299"/>
          <cell r="I299">
            <v>0</v>
          </cell>
          <cell r="J299">
            <v>0</v>
          </cell>
          <cell r="K299">
            <v>0</v>
          </cell>
        </row>
        <row r="300">
          <cell r="F300"/>
          <cell r="G300"/>
          <cell r="H300"/>
          <cell r="I300">
            <v>0</v>
          </cell>
          <cell r="J300">
            <v>0</v>
          </cell>
          <cell r="K300">
            <v>0</v>
          </cell>
        </row>
        <row r="302">
          <cell r="F302"/>
        </row>
        <row r="303">
          <cell r="F303"/>
        </row>
      </sheetData>
      <sheetData sheetId="3"/>
      <sheetData sheetId="4"/>
      <sheetData sheetId="5"/>
      <sheetData sheetId="6"/>
      <sheetData sheetId="7"/>
      <sheetData sheetId="8"/>
      <sheetData sheetId="9"/>
      <sheetData sheetId="10"/>
      <sheetData sheetId="1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update_checklist"/>
      <sheetName val="Source_Use_Comp"/>
      <sheetName val="Ovation_Fees_Comp"/>
      <sheetName val="Const_Comp"/>
      <sheetName val="HC_Comp"/>
      <sheetName val="IS_Comp"/>
      <sheetName val="Op_CF_Comp"/>
      <sheetName val="Capital_Comp"/>
      <sheetName val="For_Side-By-Side"/>
      <sheetName val="Praxis_Dev_Cost"/>
      <sheetName val="Praxis_Expenses"/>
      <sheetName val="Input"/>
      <sheetName val="Rates"/>
      <sheetName val="Ovation_Expenses"/>
      <sheetName val="Insurance_Bonds"/>
      <sheetName val="re_tax_backup"/>
      <sheetName val="Historical_Recap"/>
      <sheetName val="for_forward_planning"/>
      <sheetName val="Updates"/>
      <sheetName val="Land_Sale"/>
      <sheetName val="Draw_Sched"/>
      <sheetName val="Timing"/>
      <sheetName val="Financing"/>
      <sheetName val="SC_Comp_w_Master"/>
      <sheetName val="Hard_Cost_Detail"/>
      <sheetName val="Soft_Cost_Detail"/>
      <sheetName val="Cover"/>
      <sheetName val="Flow"/>
      <sheetName val="UW_Highlights"/>
      <sheetName val="Project_Sum"/>
      <sheetName val="Const_Cost_Summ"/>
      <sheetName val="Stab_Ops"/>
      <sheetName val="Income"/>
      <sheetName val="HUD_Max_Rents"/>
      <sheetName val="Expenses"/>
      <sheetName val="Construction_Interest"/>
      <sheetName val="Operating_Debt"/>
      <sheetName val="Operating"/>
      <sheetName val="TaxCredits"/>
      <sheetName val="Reserves"/>
      <sheetName val="Debt"/>
      <sheetName val="Interest_Sanity_Test"/>
      <sheetName val="Depreciation"/>
      <sheetName val="InvestorBenefits"/>
      <sheetName val="Quarterly IRR"/>
      <sheetName val="HOME_Units"/>
      <sheetName val="Lease Up"/>
      <sheetName val="Use of Cash"/>
      <sheetName val="GAHP"/>
      <sheetName val="CHF_Loan"/>
      <sheetName val="Sponsor_Loan"/>
      <sheetName val="Citi_Salary_Schedule"/>
      <sheetName val="Draw_Curve"/>
      <sheetName val="Sensitivities"/>
      <sheetName val="Cap_Draw_Comp"/>
      <sheetName val="Const_Int_Comp"/>
      <sheetName val="Draw_Curves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9">
          <cell r="B9" t="str">
            <v>Hard Cost</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825343-D118-458E-AC92-3A07B3ACDF12}">
  <we:reference id="WA200009404" version="1.0.0.8" store="Omex" storeType="OMEX"/>
  <we:alternateReferences>
    <we:reference id="WA200009404" version="1.0.0.8" store="WA200009404" storeType="OMEX"/>
  </we:alternateReferences>
  <we:properties>
    <we:property name="claude.fileId" value="&quot;ddb0367d-74d1-4039-840c-bb1a0429557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8932-9F09-4F84-8730-28AC414368EA}">
  <sheetPr>
    <pageSetUpPr fitToPage="1"/>
  </sheetPr>
  <dimension ref="A2:X69"/>
  <sheetViews>
    <sheetView workbookViewId="0">
      <selection activeCell="C21" sqref="C21"/>
    </sheetView>
  </sheetViews>
  <sheetFormatPr defaultRowHeight="14.45"/>
  <cols>
    <col min="1" max="1" width="26.85546875" bestFit="1" customWidth="1"/>
    <col min="2" max="2" width="19.85546875" customWidth="1"/>
    <col min="3" max="3" width="18.5703125" customWidth="1"/>
    <col min="4" max="4" width="12.7109375" bestFit="1" customWidth="1"/>
    <col min="5" max="5" width="11.85546875" customWidth="1"/>
    <col min="6" max="6" width="11.28515625" customWidth="1"/>
    <col min="7" max="7" width="11.140625" bestFit="1" customWidth="1"/>
    <col min="8" max="8" width="13.7109375" customWidth="1"/>
    <col min="9" max="10" width="12.5703125" bestFit="1" customWidth="1"/>
    <col min="11" max="11" width="11.5703125" bestFit="1" customWidth="1"/>
    <col min="12" max="12" width="12.5703125" bestFit="1" customWidth="1"/>
    <col min="14" max="14" width="10.5703125" bestFit="1" customWidth="1"/>
    <col min="15" max="15" width="10" bestFit="1" customWidth="1"/>
    <col min="19" max="19" width="11.5703125" bestFit="1" customWidth="1"/>
    <col min="22" max="24" width="11.7109375" customWidth="1"/>
  </cols>
  <sheetData>
    <row r="2" spans="1:20">
      <c r="A2" s="487" t="s">
        <v>0</v>
      </c>
      <c r="D2" s="530" t="s">
        <v>1</v>
      </c>
      <c r="E2" s="780">
        <f>'Level 3'!$G$32</f>
        <v>261305.65</v>
      </c>
    </row>
    <row r="3" spans="1:20">
      <c r="A3" s="523" t="s">
        <v>2</v>
      </c>
      <c r="B3" s="778" t="s">
        <v>3</v>
      </c>
      <c r="C3" s="778" t="s">
        <v>4</v>
      </c>
      <c r="D3" s="778" t="s">
        <v>5</v>
      </c>
      <c r="E3" s="778" t="s">
        <v>6</v>
      </c>
      <c r="F3" s="778" t="s">
        <v>7</v>
      </c>
    </row>
    <row r="4" spans="1:20">
      <c r="A4" s="14" t="s">
        <v>8</v>
      </c>
      <c r="B4" s="818" t="s">
        <v>9</v>
      </c>
      <c r="C4" s="22" t="s">
        <v>10</v>
      </c>
      <c r="D4" s="816">
        <v>1.4</v>
      </c>
      <c r="E4" s="392">
        <f>D4*$E$2</f>
        <v>365827.91</v>
      </c>
      <c r="F4" s="392">
        <f>E4-$E$4</f>
        <v>0</v>
      </c>
    </row>
    <row r="5" spans="1:20">
      <c r="A5" s="14" t="s">
        <v>11</v>
      </c>
      <c r="B5" s="818" t="s">
        <v>12</v>
      </c>
      <c r="C5" s="818" t="s">
        <v>13</v>
      </c>
      <c r="D5" s="816">
        <v>2</v>
      </c>
      <c r="E5" s="392">
        <f>D5*$E$2</f>
        <v>522611.3</v>
      </c>
      <c r="F5" s="392">
        <f>E5-$E$4</f>
        <v>156783.39000000001</v>
      </c>
    </row>
    <row r="6" spans="1:20">
      <c r="A6" s="14" t="s">
        <v>14</v>
      </c>
      <c r="B6" s="818" t="s">
        <v>15</v>
      </c>
      <c r="C6" s="818" t="s">
        <v>16</v>
      </c>
      <c r="D6" s="816">
        <v>2.6</v>
      </c>
      <c r="E6" s="392">
        <f t="shared" ref="E6" si="0">D6*$E$2</f>
        <v>679394.69000000006</v>
      </c>
      <c r="F6" s="392">
        <f>E6-$E$4</f>
        <v>313566.78000000009</v>
      </c>
    </row>
    <row r="8" spans="1:20" ht="15" thickBot="1"/>
    <row r="9" spans="1:20" ht="15" thickBot="1">
      <c r="A9" s="487" t="s">
        <v>17</v>
      </c>
      <c r="D9" s="530" t="s">
        <v>1</v>
      </c>
      <c r="E9" s="588">
        <f>SUM(L10:L13,P10:P13,T10:T11)</f>
        <v>8559</v>
      </c>
      <c r="G9">
        <v>390</v>
      </c>
      <c r="I9" s="810" t="s">
        <v>18</v>
      </c>
      <c r="J9" s="811" t="s">
        <v>19</v>
      </c>
      <c r="K9" s="812" t="s">
        <v>20</v>
      </c>
      <c r="L9" s="998" t="s">
        <v>21</v>
      </c>
      <c r="M9" s="810" t="s">
        <v>18</v>
      </c>
      <c r="N9" s="1002" t="s">
        <v>19</v>
      </c>
      <c r="O9" s="812" t="s">
        <v>20</v>
      </c>
      <c r="P9" s="998" t="s">
        <v>21</v>
      </c>
      <c r="Q9" s="810" t="s">
        <v>18</v>
      </c>
      <c r="R9" s="1002" t="s">
        <v>19</v>
      </c>
      <c r="S9" s="812" t="s">
        <v>20</v>
      </c>
      <c r="T9" s="813" t="s">
        <v>21</v>
      </c>
    </row>
    <row r="10" spans="1:20">
      <c r="A10" s="523" t="s">
        <v>2</v>
      </c>
      <c r="B10" s="778"/>
      <c r="C10" s="778"/>
      <c r="D10" s="778" t="s">
        <v>22</v>
      </c>
      <c r="E10" s="778" t="s">
        <v>6</v>
      </c>
      <c r="F10" s="778"/>
      <c r="G10" s="778" t="s">
        <v>23</v>
      </c>
      <c r="I10" s="787" t="s">
        <v>24</v>
      </c>
      <c r="J10" s="795">
        <v>9</v>
      </c>
      <c r="K10" s="796">
        <f>14+2</f>
        <v>16</v>
      </c>
      <c r="L10" s="999">
        <f>J10*K10</f>
        <v>144</v>
      </c>
      <c r="M10" s="787" t="s">
        <v>25</v>
      </c>
      <c r="N10" s="1003">
        <v>8</v>
      </c>
      <c r="O10" s="796">
        <f>10+3+3</f>
        <v>16</v>
      </c>
      <c r="P10" s="999">
        <f>N10*O10</f>
        <v>128</v>
      </c>
      <c r="Q10" s="787" t="s">
        <v>26</v>
      </c>
      <c r="R10" s="1003">
        <v>3</v>
      </c>
      <c r="S10" s="796">
        <f>18+1+3</f>
        <v>22</v>
      </c>
      <c r="T10" s="798">
        <f>R10*S10</f>
        <v>66</v>
      </c>
    </row>
    <row r="11" spans="1:20">
      <c r="A11" s="14" t="s">
        <v>27</v>
      </c>
      <c r="B11" s="22"/>
      <c r="C11" s="22"/>
      <c r="D11" s="816">
        <v>137.80000000000001</v>
      </c>
      <c r="E11" s="392">
        <f>D11*E9</f>
        <v>1179430.2000000002</v>
      </c>
      <c r="F11" s="486">
        <f>E11-E11</f>
        <v>0</v>
      </c>
      <c r="G11" s="486">
        <f>E11/G9</f>
        <v>3024.1800000000003</v>
      </c>
      <c r="I11" s="788" t="s">
        <v>28</v>
      </c>
      <c r="J11" s="799">
        <v>106</v>
      </c>
      <c r="K11" s="800">
        <f>20+2</f>
        <v>22</v>
      </c>
      <c r="L11" s="1000">
        <f>J11*K11</f>
        <v>2332</v>
      </c>
      <c r="M11" s="788" t="s">
        <v>29</v>
      </c>
      <c r="N11" s="1004">
        <v>6</v>
      </c>
      <c r="O11" s="800">
        <f>20+2</f>
        <v>22</v>
      </c>
      <c r="P11" s="1000">
        <f>N11*O11</f>
        <v>132</v>
      </c>
      <c r="Q11" s="788" t="s">
        <v>30</v>
      </c>
      <c r="R11" s="1004">
        <v>45</v>
      </c>
      <c r="S11" s="800">
        <f>20+3+1</f>
        <v>24</v>
      </c>
      <c r="T11" s="802">
        <f>R11*S11</f>
        <v>1080</v>
      </c>
    </row>
    <row r="12" spans="1:20">
      <c r="A12" s="14" t="s">
        <v>31</v>
      </c>
      <c r="B12" s="22"/>
      <c r="C12" s="22"/>
      <c r="D12" s="816">
        <v>159.80000000000001</v>
      </c>
      <c r="E12" s="392">
        <f>D12*E9</f>
        <v>1367728.2000000002</v>
      </c>
      <c r="F12" s="486">
        <f>E12-E11</f>
        <v>188298</v>
      </c>
      <c r="G12" s="486">
        <v>3507</v>
      </c>
      <c r="I12" s="788" t="s">
        <v>32</v>
      </c>
      <c r="J12" s="799">
        <v>3</v>
      </c>
      <c r="K12" s="800">
        <f>20+2</f>
        <v>22</v>
      </c>
      <c r="L12" s="1000">
        <f>J12*K12</f>
        <v>66</v>
      </c>
      <c r="M12" s="788" t="s">
        <v>33</v>
      </c>
      <c r="N12" s="1004">
        <v>107</v>
      </c>
      <c r="O12" s="800">
        <f>21+2+3</f>
        <v>26</v>
      </c>
      <c r="P12" s="1000">
        <f>N12*O12</f>
        <v>2782</v>
      </c>
      <c r="Q12" s="788"/>
      <c r="R12" s="1006"/>
      <c r="S12" s="803"/>
      <c r="T12" s="802"/>
    </row>
    <row r="13" spans="1:20" ht="15" thickBot="1">
      <c r="B13" s="486"/>
      <c r="C13" s="486"/>
      <c r="D13" s="486"/>
      <c r="E13" s="486"/>
      <c r="F13" s="486"/>
      <c r="G13" s="486"/>
      <c r="H13" s="486"/>
      <c r="I13" s="789" t="s">
        <v>34</v>
      </c>
      <c r="J13" s="804">
        <v>60</v>
      </c>
      <c r="K13" s="805">
        <f>13+1</f>
        <v>14</v>
      </c>
      <c r="L13" s="1001">
        <f>J13*K13</f>
        <v>840</v>
      </c>
      <c r="M13" s="789" t="s">
        <v>35</v>
      </c>
      <c r="N13" s="1005">
        <v>43</v>
      </c>
      <c r="O13" s="805">
        <f>21+2</f>
        <v>23</v>
      </c>
      <c r="P13" s="1001">
        <f>N13*O13</f>
        <v>989</v>
      </c>
      <c r="Q13" s="789"/>
      <c r="R13" s="1007"/>
      <c r="S13" s="807"/>
      <c r="T13" s="808"/>
    </row>
    <row r="14" spans="1:20" ht="15" thickBot="1"/>
    <row r="15" spans="1:20" ht="15" thickBot="1">
      <c r="A15" s="487" t="s">
        <v>36</v>
      </c>
      <c r="D15" s="530" t="s">
        <v>1</v>
      </c>
      <c r="E15" s="588">
        <f>SUM(M16:M19)</f>
        <v>98</v>
      </c>
      <c r="G15">
        <v>390</v>
      </c>
      <c r="I15" s="786"/>
      <c r="J15" s="793" t="s">
        <v>37</v>
      </c>
      <c r="K15" s="794" t="s">
        <v>38</v>
      </c>
      <c r="L15" s="794" t="s">
        <v>39</v>
      </c>
      <c r="M15" s="813" t="s">
        <v>21</v>
      </c>
    </row>
    <row r="16" spans="1:20">
      <c r="A16" s="523" t="s">
        <v>2</v>
      </c>
      <c r="B16" s="778"/>
      <c r="C16" s="778"/>
      <c r="D16" s="778" t="s">
        <v>22</v>
      </c>
      <c r="E16" s="778" t="s">
        <v>6</v>
      </c>
      <c r="F16" s="778"/>
      <c r="G16" s="778" t="s">
        <v>23</v>
      </c>
      <c r="I16" s="790" t="s">
        <v>40</v>
      </c>
      <c r="J16" s="795">
        <f>55+31</f>
        <v>86</v>
      </c>
      <c r="K16" s="796">
        <f>9</f>
        <v>9</v>
      </c>
      <c r="L16" s="796">
        <f>1</f>
        <v>1</v>
      </c>
      <c r="M16" s="822">
        <f>SUM(J16:L16)</f>
        <v>96</v>
      </c>
    </row>
    <row r="17" spans="1:22">
      <c r="A17" s="14" t="s">
        <v>27</v>
      </c>
      <c r="B17" s="818"/>
      <c r="C17" s="22"/>
      <c r="D17" s="816">
        <v>137.80000000000001</v>
      </c>
      <c r="E17" s="392">
        <f>D17*E15</f>
        <v>13504.400000000001</v>
      </c>
      <c r="F17" s="486">
        <f>E17-E17</f>
        <v>0</v>
      </c>
      <c r="G17" s="486">
        <f>E17/G15</f>
        <v>34.626666666666672</v>
      </c>
      <c r="I17" s="791" t="s">
        <v>41</v>
      </c>
      <c r="J17" s="799">
        <v>0</v>
      </c>
      <c r="K17" s="800">
        <v>0</v>
      </c>
      <c r="L17" s="800">
        <v>0</v>
      </c>
      <c r="M17" s="823">
        <f>SUM(J17:L17)</f>
        <v>0</v>
      </c>
    </row>
    <row r="18" spans="1:22">
      <c r="A18" t="s">
        <v>42</v>
      </c>
      <c r="B18" s="777"/>
      <c r="C18" s="777"/>
      <c r="D18" s="779">
        <v>159.80000000000001</v>
      </c>
      <c r="E18" s="486">
        <f>D18*E15</f>
        <v>15660.400000000001</v>
      </c>
      <c r="F18" s="486">
        <f>E18-E17</f>
        <v>2156</v>
      </c>
      <c r="G18" s="486">
        <f>E18/G15</f>
        <v>40.154871794871802</v>
      </c>
      <c r="I18" s="791" t="s">
        <v>43</v>
      </c>
      <c r="J18" s="799">
        <f>2</f>
        <v>2</v>
      </c>
      <c r="K18" s="800">
        <v>0</v>
      </c>
      <c r="L18" s="800">
        <v>0</v>
      </c>
      <c r="M18" s="823">
        <f>SUM(J18:L18)</f>
        <v>2</v>
      </c>
    </row>
    <row r="19" spans="1:22" ht="15" thickBot="1">
      <c r="A19" t="s">
        <v>44</v>
      </c>
      <c r="B19" s="486"/>
      <c r="C19" s="486"/>
      <c r="D19" s="816"/>
      <c r="E19" s="486">
        <f>85600*1.5</f>
        <v>128400</v>
      </c>
      <c r="F19" s="486">
        <f>E19-E17</f>
        <v>114895.6</v>
      </c>
      <c r="G19" s="486">
        <f>E19/G15</f>
        <v>329.23076923076923</v>
      </c>
      <c r="H19" s="486"/>
      <c r="I19" s="792" t="s">
        <v>45</v>
      </c>
      <c r="J19" s="804">
        <v>0</v>
      </c>
      <c r="K19" s="805">
        <v>0</v>
      </c>
      <c r="L19" s="805">
        <v>0</v>
      </c>
      <c r="M19" s="824">
        <f>SUM(J19:L19)</f>
        <v>0</v>
      </c>
    </row>
    <row r="20" spans="1:22" ht="15" thickBot="1"/>
    <row r="21" spans="1:22" ht="15" thickBot="1">
      <c r="A21" s="487" t="s">
        <v>46</v>
      </c>
      <c r="D21" s="530" t="s">
        <v>1</v>
      </c>
      <c r="E21" s="780">
        <f>SUM(L22:L25,P22:P25,T22:T23)</f>
        <v>32355.899999999998</v>
      </c>
      <c r="F21" s="785"/>
      <c r="G21">
        <v>390</v>
      </c>
      <c r="I21" s="810" t="s">
        <v>18</v>
      </c>
      <c r="J21" s="811" t="s">
        <v>19</v>
      </c>
      <c r="K21" s="812" t="s">
        <v>47</v>
      </c>
      <c r="L21" s="998" t="s">
        <v>21</v>
      </c>
      <c r="M21" s="810" t="s">
        <v>18</v>
      </c>
      <c r="N21" s="1002" t="s">
        <v>19</v>
      </c>
      <c r="O21" s="812" t="s">
        <v>47</v>
      </c>
      <c r="P21" s="998" t="s">
        <v>21</v>
      </c>
      <c r="Q21" s="810" t="s">
        <v>18</v>
      </c>
      <c r="R21" s="1002" t="s">
        <v>19</v>
      </c>
      <c r="S21" s="812" t="s">
        <v>47</v>
      </c>
      <c r="T21" s="813" t="s">
        <v>21</v>
      </c>
    </row>
    <row r="22" spans="1:22">
      <c r="A22" s="523" t="s">
        <v>2</v>
      </c>
      <c r="B22" s="778"/>
      <c r="C22" s="778" t="s">
        <v>4</v>
      </c>
      <c r="D22" s="778" t="s">
        <v>5</v>
      </c>
      <c r="E22" s="778" t="s">
        <v>6</v>
      </c>
      <c r="F22" s="778" t="s">
        <v>7</v>
      </c>
      <c r="G22" s="778" t="s">
        <v>23</v>
      </c>
      <c r="I22" s="787" t="s">
        <v>24</v>
      </c>
      <c r="J22" s="795">
        <v>9</v>
      </c>
      <c r="K22" s="796">
        <f>38.87+23.94</f>
        <v>62.81</v>
      </c>
      <c r="L22" s="999">
        <f>J22*K22</f>
        <v>565.29</v>
      </c>
      <c r="M22" s="787" t="s">
        <v>25</v>
      </c>
      <c r="N22" s="1003">
        <v>8</v>
      </c>
      <c r="O22" s="796">
        <f>39.2+19.93</f>
        <v>59.13</v>
      </c>
      <c r="P22" s="999">
        <f>N22*O22</f>
        <v>473.04</v>
      </c>
      <c r="Q22" s="787" t="s">
        <v>26</v>
      </c>
      <c r="R22" s="1003">
        <v>3</v>
      </c>
      <c r="S22" s="796">
        <f>77.84+24.25</f>
        <v>102.09</v>
      </c>
      <c r="T22" s="798">
        <f>R22*S22</f>
        <v>306.27</v>
      </c>
    </row>
    <row r="23" spans="1:22">
      <c r="A23" s="14" t="s">
        <v>48</v>
      </c>
      <c r="B23" s="818" t="s">
        <v>9</v>
      </c>
      <c r="C23" s="22" t="s">
        <v>10</v>
      </c>
      <c r="D23" s="816">
        <v>24.855498355498355</v>
      </c>
      <c r="E23" s="392">
        <f>D23*E21</f>
        <v>804222.01924066921</v>
      </c>
      <c r="F23" s="392">
        <f>E23-E23</f>
        <v>0</v>
      </c>
      <c r="G23" s="486">
        <f>E23/G21</f>
        <v>2062.1077416427415</v>
      </c>
      <c r="I23" s="788" t="s">
        <v>28</v>
      </c>
      <c r="J23" s="799">
        <v>106</v>
      </c>
      <c r="K23" s="800">
        <f>52.72+23.95</f>
        <v>76.67</v>
      </c>
      <c r="L23" s="1000">
        <f>J23*K23</f>
        <v>8127.02</v>
      </c>
      <c r="M23" s="788" t="s">
        <v>29</v>
      </c>
      <c r="N23" s="1004">
        <v>6</v>
      </c>
      <c r="O23" s="800">
        <f>64.8+28.49</f>
        <v>93.289999999999992</v>
      </c>
      <c r="P23" s="1000">
        <f>N23*O23</f>
        <v>559.74</v>
      </c>
      <c r="Q23" s="788" t="s">
        <v>30</v>
      </c>
      <c r="R23" s="1004">
        <v>45</v>
      </c>
      <c r="S23" s="800">
        <f>63.06+20.79</f>
        <v>83.85</v>
      </c>
      <c r="T23" s="802">
        <f>R23*S23</f>
        <v>3773.2499999999995</v>
      </c>
    </row>
    <row r="24" spans="1:22">
      <c r="A24" t="s">
        <v>49</v>
      </c>
      <c r="B24" s="777" t="s">
        <v>50</v>
      </c>
      <c r="C24" s="777" t="s">
        <v>16</v>
      </c>
      <c r="D24" s="814">
        <v>28.4</v>
      </c>
      <c r="E24" s="486">
        <f>D24*E21</f>
        <v>918907.55999999994</v>
      </c>
      <c r="F24" s="486">
        <f>E24-E23</f>
        <v>114685.54075933073</v>
      </c>
      <c r="G24" s="486">
        <f>E24/G21</f>
        <v>2356.1732307692305</v>
      </c>
      <c r="I24" s="788" t="s">
        <v>32</v>
      </c>
      <c r="J24" s="799">
        <v>3</v>
      </c>
      <c r="K24" s="800">
        <f>54.22+24.52</f>
        <v>78.739999999999995</v>
      </c>
      <c r="L24" s="1000">
        <f>J24*K24</f>
        <v>236.21999999999997</v>
      </c>
      <c r="M24" s="788" t="s">
        <v>33</v>
      </c>
      <c r="N24" s="1004">
        <v>107</v>
      </c>
      <c r="O24" s="800">
        <f>56.82+28.93</f>
        <v>85.75</v>
      </c>
      <c r="P24" s="1000">
        <f>N24*O24</f>
        <v>9175.25</v>
      </c>
      <c r="Q24" s="788"/>
      <c r="R24" s="1006"/>
      <c r="S24" s="803"/>
      <c r="T24" s="802"/>
    </row>
    <row r="25" spans="1:22" ht="15" thickBot="1">
      <c r="B25" s="478"/>
      <c r="C25" s="478"/>
      <c r="D25" s="816"/>
      <c r="E25" s="486"/>
      <c r="F25" s="486"/>
      <c r="G25" s="809"/>
      <c r="I25" s="789" t="s">
        <v>34</v>
      </c>
      <c r="J25" s="804">
        <v>60</v>
      </c>
      <c r="K25" s="805">
        <f>64.49+17.65</f>
        <v>82.139999999999986</v>
      </c>
      <c r="L25" s="1001">
        <f>J25*K25</f>
        <v>4928.3999999999996</v>
      </c>
      <c r="M25" s="789" t="s">
        <v>35</v>
      </c>
      <c r="N25" s="1005">
        <v>43</v>
      </c>
      <c r="O25" s="805">
        <f>67.2+30.74</f>
        <v>97.94</v>
      </c>
      <c r="P25" s="1001">
        <f>N25*O25</f>
        <v>4211.42</v>
      </c>
      <c r="Q25" s="789"/>
      <c r="R25" s="1007"/>
      <c r="S25" s="807"/>
      <c r="T25" s="808"/>
      <c r="V25" s="835"/>
    </row>
    <row r="26" spans="1:22" ht="15" thickBot="1"/>
    <row r="27" spans="1:22" ht="15" thickBot="1">
      <c r="A27" s="487" t="s">
        <v>51</v>
      </c>
      <c r="D27" s="530" t="s">
        <v>1</v>
      </c>
      <c r="E27" s="780">
        <f>SUM(M28:M31)</f>
        <v>645.30999999999983</v>
      </c>
      <c r="F27" s="785"/>
      <c r="G27">
        <v>390</v>
      </c>
      <c r="I27" s="810"/>
      <c r="J27" s="811" t="s">
        <v>37</v>
      </c>
      <c r="K27" s="812" t="s">
        <v>38</v>
      </c>
      <c r="L27" s="812" t="s">
        <v>39</v>
      </c>
      <c r="M27" s="813" t="s">
        <v>21</v>
      </c>
    </row>
    <row r="28" spans="1:22">
      <c r="A28" s="523" t="s">
        <v>2</v>
      </c>
      <c r="B28" s="778"/>
      <c r="C28" s="778" t="s">
        <v>4</v>
      </c>
      <c r="D28" s="778" t="s">
        <v>5</v>
      </c>
      <c r="E28" s="778" t="s">
        <v>6</v>
      </c>
      <c r="F28" s="778" t="s">
        <v>7</v>
      </c>
      <c r="G28" s="778" t="s">
        <v>23</v>
      </c>
      <c r="I28" s="790" t="s">
        <v>40</v>
      </c>
      <c r="J28" s="795">
        <f>510.59+50.75</f>
        <v>561.33999999999992</v>
      </c>
      <c r="K28" s="796">
        <f>39.69+7.86</f>
        <v>47.55</v>
      </c>
      <c r="L28" s="796">
        <f>10.04+2.2</f>
        <v>12.239999999999998</v>
      </c>
      <c r="M28" s="822">
        <f>SUM(J28:L28)</f>
        <v>621.12999999999988</v>
      </c>
    </row>
    <row r="29" spans="1:22">
      <c r="A29" s="14" t="s">
        <v>48</v>
      </c>
      <c r="B29" s="818" t="s">
        <v>9</v>
      </c>
      <c r="C29" s="22" t="s">
        <v>10</v>
      </c>
      <c r="D29" s="816">
        <v>24.86</v>
      </c>
      <c r="E29" s="392">
        <f>D29*E27</f>
        <v>16042.406599999995</v>
      </c>
      <c r="F29" s="392">
        <f>E29-E29</f>
        <v>0</v>
      </c>
      <c r="G29" s="486">
        <f>E29/G27</f>
        <v>41.134375897435881</v>
      </c>
      <c r="I29" s="791" t="s">
        <v>41</v>
      </c>
      <c r="J29" s="799">
        <v>0</v>
      </c>
      <c r="K29" s="800">
        <v>0</v>
      </c>
      <c r="L29" s="800">
        <v>0</v>
      </c>
      <c r="M29" s="823">
        <f>SUM(J29:L29)</f>
        <v>0</v>
      </c>
    </row>
    <row r="30" spans="1:22">
      <c r="A30" t="s">
        <v>52</v>
      </c>
      <c r="B30" s="777" t="s">
        <v>50</v>
      </c>
      <c r="C30" s="777" t="s">
        <v>16</v>
      </c>
      <c r="D30" s="814">
        <v>28.4</v>
      </c>
      <c r="E30" s="486">
        <f>D30*E27</f>
        <v>18326.803999999993</v>
      </c>
      <c r="F30" s="486">
        <f>E30-E29</f>
        <v>2284.397399999998</v>
      </c>
      <c r="G30" s="486">
        <f>E30/G27</f>
        <v>46.991805128205108</v>
      </c>
      <c r="I30" s="791" t="s">
        <v>43</v>
      </c>
      <c r="J30" s="799">
        <f>19.63+4.55</f>
        <v>24.18</v>
      </c>
      <c r="K30" s="800">
        <v>0</v>
      </c>
      <c r="L30" s="800">
        <v>0</v>
      </c>
      <c r="M30" s="823">
        <f>SUM(J30:L30)</f>
        <v>24.18</v>
      </c>
    </row>
    <row r="31" spans="1:22" ht="15" thickBot="1">
      <c r="A31" t="s">
        <v>44</v>
      </c>
      <c r="B31" s="777"/>
      <c r="C31" s="777"/>
      <c r="D31" s="816"/>
      <c r="E31" s="486">
        <f>E19*0.304579439</f>
        <v>39107.999967600001</v>
      </c>
      <c r="F31" s="486">
        <f>E31-E29</f>
        <v>23065.593367600006</v>
      </c>
      <c r="G31" s="486">
        <f>E31/G27</f>
        <v>100.27692299384616</v>
      </c>
      <c r="I31" s="792" t="s">
        <v>45</v>
      </c>
      <c r="J31" s="804">
        <v>0</v>
      </c>
      <c r="K31" s="805">
        <v>0</v>
      </c>
      <c r="L31" s="805">
        <v>0</v>
      </c>
      <c r="M31" s="824">
        <f>SUM(J31:L31)</f>
        <v>0</v>
      </c>
    </row>
    <row r="32" spans="1:22" ht="15" thickBot="1"/>
    <row r="33" spans="1:24" ht="15" thickBot="1">
      <c r="A33" s="487" t="s">
        <v>53</v>
      </c>
      <c r="D33" s="530" t="s">
        <v>1</v>
      </c>
      <c r="E33" s="780">
        <f>(SUM(L34:L37,P34:P37,T34:T35))/9</f>
        <v>29439.357777777775</v>
      </c>
      <c r="G33">
        <v>390</v>
      </c>
      <c r="I33" s="810" t="s">
        <v>18</v>
      </c>
      <c r="J33" s="811" t="s">
        <v>19</v>
      </c>
      <c r="K33" s="812" t="s">
        <v>47</v>
      </c>
      <c r="L33" s="812" t="s">
        <v>21</v>
      </c>
      <c r="M33" s="812" t="s">
        <v>18</v>
      </c>
      <c r="N33" s="812" t="s">
        <v>19</v>
      </c>
      <c r="O33" s="812" t="s">
        <v>47</v>
      </c>
      <c r="P33" s="812" t="s">
        <v>21</v>
      </c>
      <c r="Q33" s="812" t="s">
        <v>18</v>
      </c>
      <c r="R33" s="812" t="s">
        <v>19</v>
      </c>
      <c r="S33" s="812" t="s">
        <v>47</v>
      </c>
      <c r="T33" s="813" t="s">
        <v>21</v>
      </c>
      <c r="V33" s="1112" t="s">
        <v>54</v>
      </c>
      <c r="W33" s="1113"/>
      <c r="X33" s="1114"/>
    </row>
    <row r="34" spans="1:24">
      <c r="A34" s="523" t="s">
        <v>2</v>
      </c>
      <c r="B34" s="778" t="s">
        <v>55</v>
      </c>
      <c r="C34" s="778" t="s">
        <v>4</v>
      </c>
      <c r="D34" s="778" t="s">
        <v>56</v>
      </c>
      <c r="E34" s="778" t="s">
        <v>6</v>
      </c>
      <c r="F34" s="778" t="s">
        <v>7</v>
      </c>
      <c r="G34" s="778" t="s">
        <v>23</v>
      </c>
      <c r="I34" s="787" t="s">
        <v>24</v>
      </c>
      <c r="J34" s="795">
        <v>9</v>
      </c>
      <c r="K34" s="796">
        <v>551.27</v>
      </c>
      <c r="L34" s="796">
        <f>J34*K34</f>
        <v>4961.43</v>
      </c>
      <c r="M34" s="797" t="s">
        <v>25</v>
      </c>
      <c r="N34" s="796">
        <v>8</v>
      </c>
      <c r="O34" s="796">
        <v>738.02</v>
      </c>
      <c r="P34" s="796">
        <f>N34*O34</f>
        <v>5904.16</v>
      </c>
      <c r="Q34" s="797" t="s">
        <v>26</v>
      </c>
      <c r="R34" s="796">
        <v>3</v>
      </c>
      <c r="S34" s="796">
        <v>986.11</v>
      </c>
      <c r="T34" s="798">
        <f>R34*S34</f>
        <v>2958.33</v>
      </c>
      <c r="V34" s="825">
        <f>(676-605)*J34</f>
        <v>639</v>
      </c>
      <c r="W34" s="826">
        <f>(904-806)*N34</f>
        <v>784</v>
      </c>
      <c r="X34" s="798">
        <f>(1216-1097)*R34</f>
        <v>357</v>
      </c>
    </row>
    <row r="35" spans="1:24" ht="15" thickBot="1">
      <c r="A35" s="14" t="s">
        <v>57</v>
      </c>
      <c r="B35" s="22"/>
      <c r="C35" s="22"/>
      <c r="D35" s="816">
        <f>1.81*9</f>
        <v>16.29</v>
      </c>
      <c r="E35" s="392">
        <f>D35*E33</f>
        <v>479567.13819999993</v>
      </c>
      <c r="F35" s="392">
        <f>E35-E35</f>
        <v>0</v>
      </c>
      <c r="G35" s="486">
        <f>E35/G33</f>
        <v>1229.6593287179485</v>
      </c>
      <c r="I35" s="788" t="s">
        <v>28</v>
      </c>
      <c r="J35" s="799">
        <v>106</v>
      </c>
      <c r="K35" s="800">
        <v>535.09</v>
      </c>
      <c r="L35" s="800">
        <f>J35*K35</f>
        <v>56719.54</v>
      </c>
      <c r="M35" s="801" t="s">
        <v>29</v>
      </c>
      <c r="N35" s="800">
        <v>6</v>
      </c>
      <c r="O35" s="800">
        <v>743.09</v>
      </c>
      <c r="P35" s="800">
        <f>N35*O35</f>
        <v>4458.54</v>
      </c>
      <c r="Q35" s="801" t="s">
        <v>30</v>
      </c>
      <c r="R35" s="800">
        <v>45</v>
      </c>
      <c r="S35" s="800">
        <v>1008.6</v>
      </c>
      <c r="T35" s="802">
        <f>R35*S35</f>
        <v>45387</v>
      </c>
      <c r="V35" s="828">
        <f>(676-605)*J35</f>
        <v>7526</v>
      </c>
      <c r="W35" s="803">
        <f>(901-812)*N35</f>
        <v>534</v>
      </c>
      <c r="X35" s="808">
        <f>(1216-1103)*R35</f>
        <v>5085</v>
      </c>
    </row>
    <row r="36" spans="1:24">
      <c r="A36" t="s">
        <v>58</v>
      </c>
      <c r="B36" s="478"/>
      <c r="C36" s="478"/>
      <c r="D36" s="779">
        <f>2.18*9</f>
        <v>19.62</v>
      </c>
      <c r="E36" s="486">
        <f>D36*E33</f>
        <v>577600.19959999993</v>
      </c>
      <c r="F36" s="486">
        <f>E36-E35</f>
        <v>98033.061400000006</v>
      </c>
      <c r="G36" s="486">
        <f>E36/G33</f>
        <v>1481.0261528205126</v>
      </c>
      <c r="I36" s="788" t="s">
        <v>32</v>
      </c>
      <c r="J36" s="799">
        <v>3</v>
      </c>
      <c r="K36" s="800">
        <v>552.32000000000005</v>
      </c>
      <c r="L36" s="800">
        <f>J36*K36</f>
        <v>1656.96</v>
      </c>
      <c r="M36" s="801" t="s">
        <v>33</v>
      </c>
      <c r="N36" s="800">
        <v>107</v>
      </c>
      <c r="O36" s="800">
        <v>721.73</v>
      </c>
      <c r="P36" s="800">
        <f>N36*O36</f>
        <v>77225.11</v>
      </c>
      <c r="Q36" s="801"/>
      <c r="R36" s="803"/>
      <c r="S36" s="803"/>
      <c r="T36" s="802"/>
      <c r="V36" s="828">
        <f>(696-624)*J36</f>
        <v>216</v>
      </c>
      <c r="W36" s="802">
        <f>(904-806)*N36</f>
        <v>10486</v>
      </c>
    </row>
    <row r="37" spans="1:24" ht="15" thickBot="1">
      <c r="I37" s="789" t="s">
        <v>34</v>
      </c>
      <c r="J37" s="804">
        <v>60</v>
      </c>
      <c r="K37" s="805">
        <v>532.53</v>
      </c>
      <c r="L37" s="805">
        <f>J37*K37</f>
        <v>31951.8</v>
      </c>
      <c r="M37" s="806" t="s">
        <v>35</v>
      </c>
      <c r="N37" s="805">
        <v>43</v>
      </c>
      <c r="O37" s="805">
        <v>784.45</v>
      </c>
      <c r="P37" s="805">
        <f>N37*O37</f>
        <v>33731.35</v>
      </c>
      <c r="Q37" s="806"/>
      <c r="R37" s="807"/>
      <c r="S37" s="807"/>
      <c r="T37" s="808"/>
      <c r="V37" s="827">
        <f>(686-604)*J37</f>
        <v>4920</v>
      </c>
      <c r="W37" s="808">
        <f>(957-858)*N37</f>
        <v>4257</v>
      </c>
    </row>
    <row r="38" spans="1:24" ht="15" thickBot="1"/>
    <row r="39" spans="1:24" ht="15" thickBot="1">
      <c r="A39" s="487" t="s">
        <v>59</v>
      </c>
      <c r="D39" s="530" t="s">
        <v>1</v>
      </c>
      <c r="E39" s="780">
        <f>SUM(M40:M43)</f>
        <v>67747.260000000009</v>
      </c>
      <c r="G39">
        <v>390</v>
      </c>
      <c r="I39" s="810"/>
      <c r="J39" s="811" t="s">
        <v>37</v>
      </c>
      <c r="K39" s="812" t="s">
        <v>38</v>
      </c>
      <c r="L39" s="812" t="s">
        <v>39</v>
      </c>
      <c r="M39" s="813" t="s">
        <v>21</v>
      </c>
    </row>
    <row r="40" spans="1:24" ht="15" thickBot="1">
      <c r="A40" s="523" t="s">
        <v>2</v>
      </c>
      <c r="B40" s="778" t="s">
        <v>55</v>
      </c>
      <c r="C40" s="778" t="s">
        <v>4</v>
      </c>
      <c r="D40" s="778" t="s">
        <v>5</v>
      </c>
      <c r="E40" s="778" t="s">
        <v>6</v>
      </c>
      <c r="F40" s="778" t="s">
        <v>7</v>
      </c>
      <c r="G40" s="778" t="s">
        <v>23</v>
      </c>
      <c r="I40" s="787" t="s">
        <v>40</v>
      </c>
      <c r="J40" s="795">
        <f>14378.51</f>
        <v>14378.51</v>
      </c>
      <c r="K40" s="796">
        <f>8572.95+873.14</f>
        <v>9446.09</v>
      </c>
      <c r="L40" s="796">
        <v>8550.2000000000007</v>
      </c>
      <c r="M40" s="822">
        <f>SUM(J40:L40)</f>
        <v>32374.799999999999</v>
      </c>
    </row>
    <row r="41" spans="1:24" ht="15" thickBot="1">
      <c r="A41" s="14" t="s">
        <v>60</v>
      </c>
      <c r="B41" s="818"/>
      <c r="C41" s="22"/>
      <c r="D41" s="816">
        <v>3.05</v>
      </c>
      <c r="E41" s="392">
        <f>D41*E39</f>
        <v>206629.14300000001</v>
      </c>
      <c r="F41" s="392">
        <f>E41-E41</f>
        <v>0</v>
      </c>
      <c r="G41" s="486">
        <f>E41/G39</f>
        <v>529.8183153846154</v>
      </c>
      <c r="I41" s="788" t="s">
        <v>41</v>
      </c>
      <c r="J41" s="799">
        <f>1753.1</f>
        <v>1753.1</v>
      </c>
      <c r="K41" s="800">
        <v>1403.89</v>
      </c>
      <c r="L41" s="800">
        <v>0</v>
      </c>
      <c r="M41" s="823">
        <f>SUM(J41:L41)</f>
        <v>3156.99</v>
      </c>
      <c r="P41" s="833" t="s">
        <v>61</v>
      </c>
      <c r="Q41" s="834" t="s">
        <v>62</v>
      </c>
      <c r="R41" s="1117" t="s">
        <v>63</v>
      </c>
      <c r="S41" s="1117"/>
      <c r="T41" s="1118"/>
    </row>
    <row r="42" spans="1:24" ht="15" thickBot="1">
      <c r="A42" s="14" t="s">
        <v>64</v>
      </c>
      <c r="B42" s="818"/>
      <c r="C42" s="818"/>
      <c r="D42" s="816">
        <v>13.83</v>
      </c>
      <c r="E42" s="392">
        <f>D42*E39</f>
        <v>936944.60580000014</v>
      </c>
      <c r="F42" s="392">
        <f>E42-E41</f>
        <v>730315.4628000001</v>
      </c>
      <c r="G42" s="486">
        <f>E42/G39</f>
        <v>2402.4220661538466</v>
      </c>
      <c r="I42" s="788" t="s">
        <v>43</v>
      </c>
      <c r="J42" s="799">
        <f>10377.46</f>
        <v>10377.459999999999</v>
      </c>
      <c r="K42" s="800">
        <f>8755+1050.24</f>
        <v>9805.24</v>
      </c>
      <c r="L42" s="800">
        <v>8719.59</v>
      </c>
      <c r="M42" s="823">
        <f>SUM(J42:L42)</f>
        <v>28902.289999999997</v>
      </c>
      <c r="P42" s="831">
        <f>'Level 3'!B8-(SUM(L22:L25,P22:P25,T22:T23,M28:M31,L34:L37,P34:P37,T34:T35,M40:M43)+1152.99)-(SUM(V34:W37,X34,X35))</f>
        <v>20975.320000000065</v>
      </c>
      <c r="Q42" s="832">
        <f>P42/9</f>
        <v>2330.5911111111182</v>
      </c>
      <c r="R42" s="1115">
        <f>SUM(L34:L37,P34:P37,T34:T35)/SUM(L34:L37,P34:P37,T34:T35,V34:W37,X34:X35)</f>
        <v>0.88389309223947221</v>
      </c>
      <c r="S42" s="1115"/>
      <c r="T42" s="1116"/>
    </row>
    <row r="43" spans="1:24" ht="15" thickBot="1">
      <c r="I43" s="789" t="s">
        <v>45</v>
      </c>
      <c r="J43" s="804">
        <f>1756.85</f>
        <v>1756.85</v>
      </c>
      <c r="K43" s="805">
        <f>1407.15+149.18</f>
        <v>1556.3300000000002</v>
      </c>
      <c r="L43" s="805">
        <v>0</v>
      </c>
      <c r="M43" s="824">
        <f>SUM(J43:L43)</f>
        <v>3313.1800000000003</v>
      </c>
      <c r="P43" s="830">
        <f>P42/'Level 3'!B8</f>
        <v>4.9629869745761862E-2</v>
      </c>
      <c r="Q43" s="829"/>
    </row>
    <row r="44" spans="1:24">
      <c r="A44" s="487" t="s">
        <v>65</v>
      </c>
      <c r="D44" s="530" t="s">
        <v>1</v>
      </c>
    </row>
    <row r="45" spans="1:24">
      <c r="A45" s="523" t="s">
        <v>2</v>
      </c>
      <c r="B45" s="778"/>
      <c r="C45" s="778" t="s">
        <v>66</v>
      </c>
      <c r="D45" s="778" t="s">
        <v>5</v>
      </c>
    </row>
    <row r="46" spans="1:24">
      <c r="A46" s="14" t="s">
        <v>67</v>
      </c>
      <c r="B46" s="818"/>
      <c r="C46" s="22"/>
      <c r="D46" s="819">
        <v>1772233.58</v>
      </c>
    </row>
    <row r="47" spans="1:24">
      <c r="A47" t="s">
        <v>68</v>
      </c>
      <c r="B47" s="777"/>
      <c r="C47" s="820">
        <v>250000</v>
      </c>
      <c r="D47" s="820">
        <f>D46-C47</f>
        <v>1522233.58</v>
      </c>
    </row>
    <row r="48" spans="1:24">
      <c r="J48" s="520"/>
    </row>
    <row r="49" spans="1:17">
      <c r="I49" t="s">
        <v>69</v>
      </c>
      <c r="J49" s="589">
        <v>22140</v>
      </c>
      <c r="O49" s="589">
        <v>11700</v>
      </c>
    </row>
    <row r="50" spans="1:17">
      <c r="A50" s="487" t="s">
        <v>36</v>
      </c>
      <c r="I50" t="s">
        <v>70</v>
      </c>
      <c r="J50" s="589">
        <v>21640</v>
      </c>
      <c r="O50" s="589">
        <v>95375</v>
      </c>
    </row>
    <row r="51" spans="1:17">
      <c r="A51" s="523" t="s">
        <v>2</v>
      </c>
      <c r="B51" s="778"/>
      <c r="C51" s="778" t="s">
        <v>71</v>
      </c>
      <c r="I51" t="s">
        <v>72</v>
      </c>
      <c r="J51" s="589">
        <v>938891</v>
      </c>
      <c r="O51" s="589">
        <v>862025</v>
      </c>
      <c r="P51" s="521">
        <f>O51/'Level 3'!$B$8</f>
        <v>2.0396441373762229</v>
      </c>
      <c r="Q51" s="674">
        <f>O51/'Level 3'!$E$8</f>
        <v>2210.3205128205127</v>
      </c>
    </row>
    <row r="52" spans="1:17">
      <c r="A52" s="14" t="s">
        <v>73</v>
      </c>
      <c r="B52" s="837"/>
      <c r="C52" s="392">
        <v>30000</v>
      </c>
      <c r="I52" t="s">
        <v>74</v>
      </c>
      <c r="J52" s="589">
        <v>227360</v>
      </c>
      <c r="K52" s="674">
        <f>J52+J51</f>
        <v>1166251</v>
      </c>
      <c r="L52" s="521">
        <f>K52/'Level 3'!$B$8</f>
        <v>2.7594756704958181</v>
      </c>
      <c r="M52" s="674">
        <f>K52/'Level 3'!$E$8</f>
        <v>2990.3871794871793</v>
      </c>
    </row>
    <row r="53" spans="1:17">
      <c r="A53" t="s">
        <v>75</v>
      </c>
      <c r="B53" s="777"/>
      <c r="C53" s="486">
        <v>85600</v>
      </c>
      <c r="J53" s="589">
        <f>SUM(J49:J52)</f>
        <v>1210031</v>
      </c>
      <c r="O53" s="589">
        <f>SUM(O49:O52)</f>
        <v>969100</v>
      </c>
      <c r="P53" s="521">
        <f>O53/'Level 3'!$B$8</f>
        <v>2.2929951376483255</v>
      </c>
      <c r="Q53" s="674">
        <f>O53/'Level 3'!$E$8</f>
        <v>2484.8717948717949</v>
      </c>
    </row>
    <row r="54" spans="1:17">
      <c r="I54" t="s">
        <v>76</v>
      </c>
      <c r="J54" s="589">
        <v>118500</v>
      </c>
    </row>
    <row r="55" spans="1:17">
      <c r="J55" s="520"/>
    </row>
    <row r="63" spans="1:17">
      <c r="I63" s="669"/>
    </row>
    <row r="64" spans="1:17">
      <c r="I64" s="669"/>
    </row>
    <row r="65" spans="8:20">
      <c r="I65" s="669"/>
    </row>
    <row r="66" spans="8:20">
      <c r="H66" s="479"/>
      <c r="I66" s="525"/>
    </row>
    <row r="67" spans="8:20">
      <c r="I67" s="521"/>
      <c r="T67" s="521"/>
    </row>
    <row r="68" spans="8:20">
      <c r="S68" s="521"/>
    </row>
    <row r="69" spans="8:20">
      <c r="S69" s="521"/>
    </row>
  </sheetData>
  <mergeCells count="3">
    <mergeCell ref="V33:X33"/>
    <mergeCell ref="R42:T42"/>
    <mergeCell ref="R41:T41"/>
  </mergeCells>
  <phoneticPr fontId="7" type="noConversion"/>
  <conditionalFormatting sqref="C47:D47">
    <cfRule type="expression" dxfId="203" priority="5">
      <formula>MOD(ROW(),2)</formula>
    </cfRule>
  </conditionalFormatting>
  <conditionalFormatting sqref="D18">
    <cfRule type="expression" dxfId="202" priority="8">
      <formula>MOD(ROW(),2)</formula>
    </cfRule>
  </conditionalFormatting>
  <conditionalFormatting sqref="D36">
    <cfRule type="expression" dxfId="201" priority="4">
      <formula>MOD(ROW(),2)</formula>
    </cfRule>
  </conditionalFormatting>
  <pageMargins left="0.7" right="0.7" top="0.75" bottom="0.75" header="0.3" footer="0.3"/>
  <pageSetup scale="80" orientation="portrait" r:id="rId1"/>
  <ignoredErrors>
    <ignoredError sqref="W3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FF9A-7711-4B67-9AAF-2B3AE6E9200E}">
  <sheetPr>
    <tabColor theme="6"/>
    <pageSetUpPr fitToPage="1"/>
  </sheetPr>
  <dimension ref="A1:BL529"/>
  <sheetViews>
    <sheetView showGridLines="0" view="pageBreakPreview" zoomScale="70" zoomScaleNormal="100" zoomScaleSheetLayoutView="70" workbookViewId="0">
      <pane xSplit="1" ySplit="19" topLeftCell="B20" activePane="bottomRight" state="frozen"/>
      <selection pane="bottomRight" activeCell="L14" sqref="L14"/>
      <selection pane="bottomLeft" activeCell="A20" sqref="A20"/>
      <selection pane="topRight" activeCell="B1" sqref="B1"/>
    </sheetView>
  </sheetViews>
  <sheetFormatPr defaultColWidth="9.140625" defaultRowHeight="14.45"/>
  <cols>
    <col min="1" max="1" width="39" style="55" customWidth="1"/>
    <col min="2" max="2" width="17.85546875" style="56" customWidth="1"/>
    <col min="3" max="3" width="15.140625" style="56" customWidth="1"/>
    <col min="4" max="4" width="20" style="56" customWidth="1"/>
    <col min="5" max="5" width="17.4257812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3.140625" style="55" customWidth="1"/>
    <col min="12" max="12" width="28.140625" style="55" bestFit="1" customWidth="1"/>
    <col min="13" max="13" width="16.5703125" style="55" customWidth="1"/>
    <col min="14" max="14" width="17.85546875" style="55" customWidth="1"/>
    <col min="15"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26" width="9.140625" style="55" bestFit="1"/>
    <col min="27" max="27" width="12.85546875" style="55" bestFit="1" customWidth="1"/>
    <col min="28" max="28" width="13.5703125" style="55" customWidth="1"/>
    <col min="29" max="29" width="11.140625" style="55" customWidth="1"/>
    <col min="30" max="30" width="13" style="55" customWidth="1"/>
    <col min="31" max="31" width="10.5703125" style="55" customWidth="1"/>
    <col min="32" max="32" width="11.5703125" style="55" customWidth="1"/>
    <col min="33" max="33" width="10.28515625" style="55" bestFit="1" customWidth="1"/>
    <col min="34" max="34" width="14" style="55" bestFit="1" customWidth="1"/>
    <col min="35" max="35" width="11.5703125" style="55" bestFit="1" customWidth="1"/>
    <col min="36" max="36" width="12" style="55" customWidth="1"/>
    <col min="37" max="37" width="9.140625" style="55" bestFit="1"/>
    <col min="38" max="38" width="10.7109375" style="55" customWidth="1"/>
    <col min="39" max="41" width="9.140625" style="55" bestFit="1"/>
    <col min="42" max="42" width="21.85546875" style="55" customWidth="1"/>
    <col min="43" max="43" width="9.140625" style="55" bestFit="1"/>
    <col min="44" max="44" width="13.140625" style="55" customWidth="1"/>
    <col min="45" max="45" width="10.5703125" style="55" bestFit="1" customWidth="1"/>
    <col min="46" max="46" width="12.85546875" style="55" customWidth="1"/>
    <col min="47" max="48" width="9.140625" style="55" bestFit="1"/>
    <col min="49" max="49" width="13" style="55" customWidth="1"/>
    <col min="50" max="51" width="9.140625" style="55" bestFit="1"/>
    <col min="52" max="52" width="13" style="55" customWidth="1"/>
    <col min="53" max="53" width="10.5703125" style="55" bestFit="1" customWidth="1"/>
    <col min="54" max="54" width="13.140625" style="55" bestFit="1" customWidth="1"/>
    <col min="55" max="56" width="9.140625" style="55" bestFit="1"/>
    <col min="57" max="57" width="16.28515625" style="55" bestFit="1" customWidth="1"/>
    <col min="58" max="58" width="16.28515625" style="55" customWidth="1"/>
    <col min="59" max="60" width="16.42578125" style="56" customWidth="1"/>
    <col min="61" max="61" width="11.140625" style="55" bestFit="1" customWidth="1"/>
    <col min="62" max="62" width="19.140625" style="55" customWidth="1"/>
    <col min="63" max="16384" width="9.140625" style="55"/>
  </cols>
  <sheetData>
    <row r="1" spans="1:64" ht="15"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64" ht="15"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82">
        <v>145399.85</v>
      </c>
      <c r="R2" s="83" t="s">
        <v>95</v>
      </c>
      <c r="S2" s="84" t="s">
        <v>96</v>
      </c>
      <c r="T2" s="382">
        <v>9150.98</v>
      </c>
      <c r="U2" s="59" t="s">
        <v>61</v>
      </c>
      <c r="V2" s="84" t="s">
        <v>97</v>
      </c>
      <c r="W2" s="48">
        <v>59616.52</v>
      </c>
      <c r="X2" s="59"/>
      <c r="AJ2" s="138"/>
      <c r="AP2" s="55" t="s">
        <v>98</v>
      </c>
      <c r="AW2" s="55" t="s">
        <v>99</v>
      </c>
      <c r="BE2" s="55" t="s">
        <v>78</v>
      </c>
      <c r="BF2" s="55" t="s">
        <v>100</v>
      </c>
      <c r="BG2" s="56" t="s">
        <v>101</v>
      </c>
      <c r="BH2" s="56" t="s">
        <v>102</v>
      </c>
      <c r="BI2" s="55" t="s">
        <v>103</v>
      </c>
      <c r="BJ2" s="56" t="s">
        <v>104</v>
      </c>
    </row>
    <row r="3" spans="1:64">
      <c r="A3" s="85" t="s">
        <v>105</v>
      </c>
      <c r="B3" s="86" t="s">
        <v>38</v>
      </c>
      <c r="D3" s="87" t="s">
        <v>106</v>
      </c>
      <c r="E3" s="88">
        <v>0</v>
      </c>
      <c r="F3" s="89">
        <v>0</v>
      </c>
      <c r="H3" s="86">
        <v>1</v>
      </c>
      <c r="I3" s="86">
        <v>3</v>
      </c>
      <c r="J3" s="86">
        <v>169</v>
      </c>
      <c r="K3" s="86">
        <v>87</v>
      </c>
      <c r="L3" s="86">
        <v>17</v>
      </c>
      <c r="M3" s="86">
        <v>48</v>
      </c>
      <c r="N3" s="86">
        <v>17</v>
      </c>
      <c r="O3" s="48">
        <v>185300</v>
      </c>
      <c r="P3" s="84" t="s">
        <v>107</v>
      </c>
      <c r="Q3" s="48">
        <v>4</v>
      </c>
      <c r="R3" s="59" t="s">
        <v>108</v>
      </c>
      <c r="S3" s="84" t="s">
        <v>109</v>
      </c>
      <c r="T3" s="382">
        <v>2673.44</v>
      </c>
      <c r="U3" s="59" t="s">
        <v>61</v>
      </c>
      <c r="V3" s="84"/>
      <c r="W3" s="48"/>
      <c r="X3" s="59"/>
      <c r="AA3" s="90" t="s">
        <v>110</v>
      </c>
      <c r="AB3" s="91"/>
      <c r="AC3" s="91"/>
      <c r="AD3" s="91"/>
      <c r="AE3" s="91" t="s">
        <v>111</v>
      </c>
      <c r="AF3" s="92">
        <f>21*7</f>
        <v>147</v>
      </c>
      <c r="AH3" s="90" t="s">
        <v>112</v>
      </c>
      <c r="AI3" s="91"/>
      <c r="AJ3" s="55">
        <v>1.1000000000000001</v>
      </c>
      <c r="AK3" s="91"/>
      <c r="AL3" s="91"/>
      <c r="AM3" s="92"/>
      <c r="AP3" s="78" t="s">
        <v>83</v>
      </c>
      <c r="AQ3" s="79" t="s">
        <v>84</v>
      </c>
      <c r="AR3" s="79" t="s">
        <v>113</v>
      </c>
      <c r="AS3" s="79" t="s">
        <v>85</v>
      </c>
      <c r="AT3" s="79" t="s">
        <v>85</v>
      </c>
      <c r="AW3" s="55" t="s">
        <v>114</v>
      </c>
      <c r="AX3" s="55" t="s">
        <v>115</v>
      </c>
      <c r="AY3" s="55" t="s">
        <v>116</v>
      </c>
      <c r="AZ3" s="55" t="s">
        <v>117</v>
      </c>
      <c r="BA3" s="55" t="s">
        <v>118</v>
      </c>
      <c r="BB3" s="55" t="s">
        <v>119</v>
      </c>
      <c r="BE3" s="55" t="s">
        <v>24</v>
      </c>
      <c r="BF3" s="55">
        <v>41</v>
      </c>
      <c r="BG3" s="56">
        <v>1</v>
      </c>
      <c r="BH3" s="56">
        <v>1</v>
      </c>
      <c r="BI3" s="55">
        <v>9</v>
      </c>
      <c r="BJ3" s="55">
        <v>3</v>
      </c>
      <c r="BK3" s="55">
        <f t="shared" ref="BK3:BK12" si="0">BJ3*BI3</f>
        <v>27</v>
      </c>
    </row>
    <row r="4" spans="1:64">
      <c r="A4" s="85" t="s">
        <v>2</v>
      </c>
      <c r="B4" s="86" t="s">
        <v>120</v>
      </c>
      <c r="D4" s="93" t="s">
        <v>89</v>
      </c>
      <c r="E4" s="86">
        <v>178</v>
      </c>
      <c r="F4" s="94">
        <v>0.4564102564102564</v>
      </c>
      <c r="H4" s="86">
        <v>2</v>
      </c>
      <c r="I4" s="86">
        <v>2</v>
      </c>
      <c r="J4" s="86">
        <v>24</v>
      </c>
      <c r="K4" s="86">
        <v>9</v>
      </c>
      <c r="L4" s="86">
        <v>7</v>
      </c>
      <c r="M4" s="86">
        <v>8</v>
      </c>
      <c r="N4" s="86">
        <v>0</v>
      </c>
      <c r="O4" s="48">
        <v>24353</v>
      </c>
      <c r="P4" s="95" t="s">
        <v>121</v>
      </c>
      <c r="Q4" s="56">
        <v>12</v>
      </c>
      <c r="R4" s="96" t="s">
        <v>108</v>
      </c>
      <c r="S4" s="84" t="s">
        <v>122</v>
      </c>
      <c r="T4" s="382">
        <v>2893.8</v>
      </c>
      <c r="U4" s="59" t="s">
        <v>61</v>
      </c>
      <c r="V4" s="84"/>
      <c r="W4" s="48"/>
      <c r="X4" s="59"/>
      <c r="AA4" s="95" t="s">
        <v>123</v>
      </c>
      <c r="AF4" s="96">
        <f>14*7</f>
        <v>98</v>
      </c>
      <c r="AH4" s="95" t="s">
        <v>123</v>
      </c>
      <c r="AI4" s="784">
        <f>88591.52+6310.7+12391.66+5996.96</f>
        <v>113290.84000000001</v>
      </c>
      <c r="AJ4" s="784">
        <f>AI4*$AJ$3</f>
        <v>124619.92400000003</v>
      </c>
      <c r="AM4" s="96"/>
      <c r="AP4" s="87" t="s">
        <v>106</v>
      </c>
      <c r="AQ4" s="88">
        <v>0</v>
      </c>
      <c r="AR4" s="348">
        <v>3192.5</v>
      </c>
      <c r="AS4" s="89">
        <v>0</v>
      </c>
      <c r="AT4" s="348">
        <f>AR4*(1+AS4)</f>
        <v>3192.5</v>
      </c>
      <c r="AW4" s="55" t="s">
        <v>123</v>
      </c>
      <c r="AX4" s="55">
        <v>3</v>
      </c>
      <c r="AY4" s="55">
        <v>9</v>
      </c>
      <c r="AZ4" s="55">
        <f>AY4*AX4</f>
        <v>27</v>
      </c>
      <c r="BA4" s="358">
        <f>275</f>
        <v>275</v>
      </c>
      <c r="BB4" s="358">
        <f>BA4*AZ4</f>
        <v>7425</v>
      </c>
      <c r="BE4" s="55" t="s">
        <v>28</v>
      </c>
      <c r="BF4" s="55">
        <v>31</v>
      </c>
      <c r="BG4" s="56">
        <v>1</v>
      </c>
      <c r="BH4" s="56">
        <v>1</v>
      </c>
      <c r="BI4" s="55">
        <v>106</v>
      </c>
      <c r="BJ4" s="55">
        <v>3</v>
      </c>
      <c r="BK4" s="55">
        <f t="shared" si="0"/>
        <v>318</v>
      </c>
    </row>
    <row r="5" spans="1:64">
      <c r="A5" s="85" t="s">
        <v>124</v>
      </c>
      <c r="B5" s="878">
        <v>45884</v>
      </c>
      <c r="D5" s="93" t="s">
        <v>90</v>
      </c>
      <c r="E5" s="86">
        <v>49</v>
      </c>
      <c r="F5" s="94">
        <v>0.12564102564102564</v>
      </c>
      <c r="H5" s="86">
        <v>3</v>
      </c>
      <c r="I5" s="86">
        <v>3</v>
      </c>
      <c r="J5" s="86">
        <v>173</v>
      </c>
      <c r="K5" s="86">
        <v>73</v>
      </c>
      <c r="L5" s="86">
        <v>18</v>
      </c>
      <c r="M5" s="86">
        <v>51</v>
      </c>
      <c r="N5" s="86">
        <v>31</v>
      </c>
      <c r="O5" s="48">
        <v>192543</v>
      </c>
      <c r="P5" s="84" t="s">
        <v>125</v>
      </c>
      <c r="Q5" s="98">
        <v>13</v>
      </c>
      <c r="R5" s="59" t="s">
        <v>126</v>
      </c>
      <c r="S5" s="84" t="s">
        <v>127</v>
      </c>
      <c r="T5" s="382">
        <v>3543.3599999999997</v>
      </c>
      <c r="U5" s="59" t="s">
        <v>61</v>
      </c>
      <c r="V5" s="84"/>
      <c r="W5" s="48"/>
      <c r="X5" s="59"/>
      <c r="AA5" s="95" t="s">
        <v>128</v>
      </c>
      <c r="AB5" s="55">
        <f>21*4+8*8+7*6</f>
        <v>190</v>
      </c>
      <c r="AF5" s="96">
        <f>8*22</f>
        <v>176</v>
      </c>
      <c r="AH5" s="95" t="s">
        <v>129</v>
      </c>
      <c r="AI5" s="784">
        <f>31183.77/2</f>
        <v>15591.885</v>
      </c>
      <c r="AJ5" s="784">
        <f>AI5*$AJ$3</f>
        <v>17151.073500000002</v>
      </c>
      <c r="AM5" s="96"/>
      <c r="AP5" s="93" t="s">
        <v>89</v>
      </c>
      <c r="AQ5" s="86">
        <v>171</v>
      </c>
      <c r="AR5" s="349">
        <v>3192.5</v>
      </c>
      <c r="AS5" s="94">
        <v>0</v>
      </c>
      <c r="AT5" s="349">
        <f>AR5*(1+AS5)</f>
        <v>3192.5</v>
      </c>
      <c r="AW5" s="55" t="s">
        <v>129</v>
      </c>
      <c r="AX5" s="55">
        <v>2</v>
      </c>
      <c r="AY5" s="55">
        <v>2</v>
      </c>
      <c r="AZ5" s="55">
        <f>AY5*AX5</f>
        <v>4</v>
      </c>
      <c r="BA5" s="358">
        <f>275</f>
        <v>275</v>
      </c>
      <c r="BB5" s="358">
        <f>BA5*AZ5</f>
        <v>1100</v>
      </c>
      <c r="BE5" s="55" t="s">
        <v>32</v>
      </c>
      <c r="BF5" s="55">
        <v>31</v>
      </c>
      <c r="BG5" s="56">
        <v>1</v>
      </c>
      <c r="BH5" s="56">
        <v>1</v>
      </c>
      <c r="BI5" s="55">
        <v>3</v>
      </c>
      <c r="BJ5" s="55">
        <v>3</v>
      </c>
      <c r="BK5" s="55">
        <f t="shared" si="0"/>
        <v>9</v>
      </c>
    </row>
    <row r="6" spans="1:64">
      <c r="A6" s="85" t="s">
        <v>130</v>
      </c>
      <c r="B6" s="86">
        <v>26</v>
      </c>
      <c r="D6" s="93" t="s">
        <v>91</v>
      </c>
      <c r="E6" s="86">
        <v>115</v>
      </c>
      <c r="F6" s="94">
        <v>0.29487179487179488</v>
      </c>
      <c r="H6" s="86">
        <v>4</v>
      </c>
      <c r="I6" s="86">
        <v>2</v>
      </c>
      <c r="J6" s="86">
        <v>24</v>
      </c>
      <c r="K6" s="86">
        <v>9</v>
      </c>
      <c r="L6" s="86">
        <v>7</v>
      </c>
      <c r="M6" s="86">
        <v>8</v>
      </c>
      <c r="N6" s="86">
        <v>0</v>
      </c>
      <c r="O6" s="48">
        <v>24353</v>
      </c>
      <c r="P6" s="84" t="s">
        <v>131</v>
      </c>
      <c r="Q6" s="48">
        <v>17</v>
      </c>
      <c r="R6" s="59" t="s">
        <v>108</v>
      </c>
      <c r="S6" s="84" t="s">
        <v>132</v>
      </c>
      <c r="T6" s="766">
        <v>3440</v>
      </c>
      <c r="U6" s="59" t="s">
        <v>61</v>
      </c>
      <c r="V6" s="58"/>
      <c r="W6" s="68"/>
      <c r="X6" s="99"/>
      <c r="AA6" s="95" t="s">
        <v>133</v>
      </c>
      <c r="AB6" s="55">
        <f>14*4+21*2+8*6</f>
        <v>146</v>
      </c>
      <c r="AF6" s="96">
        <f>7*10</f>
        <v>70</v>
      </c>
      <c r="AH6" s="95" t="s">
        <v>111</v>
      </c>
      <c r="AI6" s="784">
        <f>65053.99+12730.03+12624.72</f>
        <v>90408.74</v>
      </c>
      <c r="AJ6" s="784">
        <f>AI6*$AJ$3</f>
        <v>99449.614000000016</v>
      </c>
      <c r="AM6" s="96"/>
      <c r="AP6" s="93" t="s">
        <v>90</v>
      </c>
      <c r="AQ6" s="86">
        <v>52</v>
      </c>
      <c r="AR6" s="349">
        <v>3192.5</v>
      </c>
      <c r="AS6" s="94">
        <v>0</v>
      </c>
      <c r="AT6" s="349">
        <f>AR6*(1+AS6)</f>
        <v>3192.5</v>
      </c>
      <c r="AW6" s="55" t="s">
        <v>111</v>
      </c>
      <c r="AX6" s="55">
        <v>2</v>
      </c>
      <c r="AY6" s="55">
        <v>9</v>
      </c>
      <c r="AZ6" s="55">
        <f>AY6*AX6</f>
        <v>18</v>
      </c>
      <c r="BA6" s="358">
        <f>275</f>
        <v>275</v>
      </c>
      <c r="BB6" s="358">
        <f>BA6*AZ6</f>
        <v>4950</v>
      </c>
      <c r="BE6" s="55" t="s">
        <v>34</v>
      </c>
      <c r="BF6" s="55">
        <v>19</v>
      </c>
      <c r="BG6" s="56">
        <v>1</v>
      </c>
      <c r="BH6" s="56">
        <v>1</v>
      </c>
      <c r="BI6" s="55">
        <v>60</v>
      </c>
      <c r="BJ6" s="55">
        <v>2</v>
      </c>
      <c r="BK6" s="55">
        <f t="shared" si="0"/>
        <v>120</v>
      </c>
    </row>
    <row r="7" spans="1:64">
      <c r="A7" s="85" t="s">
        <v>115</v>
      </c>
      <c r="B7" s="86" t="s">
        <v>134</v>
      </c>
      <c r="D7" s="100" t="s">
        <v>92</v>
      </c>
      <c r="E7" s="101">
        <v>48</v>
      </c>
      <c r="F7" s="102">
        <v>0.12307692307692308</v>
      </c>
      <c r="H7" s="86"/>
      <c r="I7" s="86"/>
      <c r="J7" s="86"/>
      <c r="K7" s="86"/>
      <c r="L7" s="86"/>
      <c r="M7" s="86"/>
      <c r="N7" s="86"/>
      <c r="O7" s="48"/>
      <c r="P7" s="103" t="s">
        <v>135</v>
      </c>
      <c r="Q7" s="104">
        <v>1</v>
      </c>
      <c r="R7" s="105"/>
      <c r="S7" s="84" t="s">
        <v>136</v>
      </c>
      <c r="T7" s="382"/>
      <c r="U7" s="59" t="s">
        <v>61</v>
      </c>
      <c r="V7" s="58"/>
      <c r="W7" s="68"/>
      <c r="X7" s="99"/>
      <c r="AA7" s="95" t="s">
        <v>137</v>
      </c>
      <c r="AB7" s="55">
        <f>21*2+14*2+8*6</f>
        <v>118</v>
      </c>
      <c r="AF7" s="96">
        <f>SUM(AF3:AF6)</f>
        <v>491</v>
      </c>
      <c r="AH7" s="95" t="s">
        <v>138</v>
      </c>
      <c r="AI7" s="784">
        <f>31183.77/2</f>
        <v>15591.885</v>
      </c>
      <c r="AJ7" s="784">
        <f>AI7*$AJ$3</f>
        <v>17151.073500000002</v>
      </c>
      <c r="AM7" s="96"/>
      <c r="AP7" s="93" t="s">
        <v>91</v>
      </c>
      <c r="AQ7" s="86">
        <v>118</v>
      </c>
      <c r="AR7" s="349">
        <v>3192.5</v>
      </c>
      <c r="AS7" s="94">
        <v>0.1</v>
      </c>
      <c r="AT7" s="349">
        <f>AR7*(1+AS7)</f>
        <v>3511.7500000000005</v>
      </c>
      <c r="AW7" s="55" t="s">
        <v>138</v>
      </c>
      <c r="AX7" s="55">
        <v>3</v>
      </c>
      <c r="AY7" s="55">
        <v>3</v>
      </c>
      <c r="AZ7" s="55">
        <f>AY7*AX7</f>
        <v>9</v>
      </c>
      <c r="BA7" s="358">
        <f>275</f>
        <v>275</v>
      </c>
      <c r="BB7" s="358">
        <f>BA7*AZ7</f>
        <v>2475</v>
      </c>
      <c r="BE7" s="55" t="s">
        <v>25</v>
      </c>
      <c r="BF7" s="55">
        <v>66</v>
      </c>
      <c r="BG7" s="56">
        <v>2</v>
      </c>
      <c r="BH7" s="56">
        <v>2</v>
      </c>
      <c r="BI7" s="55">
        <v>8</v>
      </c>
      <c r="BJ7" s="55">
        <v>3</v>
      </c>
      <c r="BK7" s="55">
        <f t="shared" si="0"/>
        <v>24</v>
      </c>
    </row>
    <row r="8" spans="1:64" ht="15" thickBot="1">
      <c r="A8" s="85" t="s">
        <v>139</v>
      </c>
      <c r="B8" s="48">
        <v>422635</v>
      </c>
      <c r="D8" s="106" t="s">
        <v>140</v>
      </c>
      <c r="E8" s="107">
        <v>390</v>
      </c>
      <c r="F8" s="108">
        <v>1</v>
      </c>
      <c r="H8" s="109" t="s">
        <v>140</v>
      </c>
      <c r="I8" s="80">
        <v>10</v>
      </c>
      <c r="J8" s="80">
        <v>390</v>
      </c>
      <c r="K8" s="80">
        <v>178</v>
      </c>
      <c r="L8" s="80">
        <v>49</v>
      </c>
      <c r="M8" s="80">
        <v>115</v>
      </c>
      <c r="N8" s="80">
        <v>48</v>
      </c>
      <c r="O8" s="110">
        <v>426549</v>
      </c>
      <c r="P8" s="84" t="s">
        <v>141</v>
      </c>
      <c r="Q8" s="48">
        <v>2</v>
      </c>
      <c r="R8" s="59"/>
      <c r="S8" s="58" t="s">
        <v>0</v>
      </c>
      <c r="T8" s="68">
        <v>261305.65</v>
      </c>
      <c r="U8" s="99" t="s">
        <v>61</v>
      </c>
      <c r="V8" s="58"/>
      <c r="W8" s="68"/>
      <c r="X8" s="99"/>
      <c r="AA8" s="95" t="s">
        <v>142</v>
      </c>
      <c r="AB8" s="55">
        <f>21*2+14*8+8*12+7*8</f>
        <v>306</v>
      </c>
      <c r="AF8" s="96"/>
      <c r="AH8" s="95"/>
      <c r="AI8" s="784"/>
      <c r="AJ8" s="784">
        <f>SUM(AJ4:AJ7)</f>
        <v>258371.68500000006</v>
      </c>
      <c r="AK8" s="55" t="s">
        <v>143</v>
      </c>
      <c r="AM8" s="96"/>
      <c r="AP8" s="100" t="s">
        <v>92</v>
      </c>
      <c r="AQ8" s="101">
        <v>49</v>
      </c>
      <c r="AR8" s="350">
        <v>3192.5</v>
      </c>
      <c r="AS8" s="102">
        <v>0.2</v>
      </c>
      <c r="AT8" s="350">
        <f>AR8*(1+AS8)</f>
        <v>3831</v>
      </c>
      <c r="AW8" s="55" t="s">
        <v>144</v>
      </c>
      <c r="AX8" s="55">
        <v>2</v>
      </c>
      <c r="AY8" s="55">
        <v>2</v>
      </c>
      <c r="AZ8" s="55">
        <f>AY8*AX8</f>
        <v>4</v>
      </c>
      <c r="BA8" s="358">
        <v>275</v>
      </c>
      <c r="BB8" s="358">
        <f>BA8*AZ8</f>
        <v>1100</v>
      </c>
      <c r="BE8" s="55" t="s">
        <v>29</v>
      </c>
      <c r="BF8" s="55">
        <v>45</v>
      </c>
      <c r="BG8" s="56">
        <v>2</v>
      </c>
      <c r="BH8" s="56">
        <v>1</v>
      </c>
      <c r="BI8" s="55">
        <v>6</v>
      </c>
      <c r="BJ8" s="55">
        <v>3</v>
      </c>
      <c r="BK8" s="55">
        <f t="shared" si="0"/>
        <v>18</v>
      </c>
    </row>
    <row r="9" spans="1:64" ht="15" thickBot="1">
      <c r="A9" s="85" t="s">
        <v>145</v>
      </c>
      <c r="B9" s="111">
        <v>15.826000000000001</v>
      </c>
      <c r="D9" s="72" t="s">
        <v>146</v>
      </c>
      <c r="E9" s="72"/>
      <c r="F9" s="72"/>
      <c r="K9" s="57"/>
      <c r="L9" s="112"/>
      <c r="M9" s="112"/>
      <c r="P9" s="84" t="s">
        <v>147</v>
      </c>
      <c r="Q9" s="48">
        <v>3074.7</v>
      </c>
      <c r="R9" s="59" t="s">
        <v>148</v>
      </c>
      <c r="S9" s="58" t="s">
        <v>149</v>
      </c>
      <c r="T9" s="766">
        <v>900</v>
      </c>
      <c r="U9" s="99" t="s">
        <v>61</v>
      </c>
      <c r="V9" s="58"/>
      <c r="W9" s="68"/>
      <c r="X9" s="99"/>
      <c r="AA9" s="95" t="s">
        <v>150</v>
      </c>
      <c r="AB9" s="55">
        <f>21*4+8*6</f>
        <v>132</v>
      </c>
      <c r="AC9" s="55">
        <f>SUM(AB5:AB9)</f>
        <v>892</v>
      </c>
      <c r="AF9" s="96"/>
      <c r="AH9" s="95"/>
      <c r="AI9" s="784"/>
      <c r="AJ9" s="784">
        <f>AJ8/9</f>
        <v>28707.965000000007</v>
      </c>
      <c r="AK9" s="55" t="s">
        <v>151</v>
      </c>
      <c r="AM9" s="96"/>
      <c r="AP9" s="106" t="s">
        <v>140</v>
      </c>
      <c r="AQ9" s="107">
        <f>SUM(AQ4:AQ8)</f>
        <v>390</v>
      </c>
      <c r="AR9" s="107"/>
      <c r="AS9" s="108"/>
      <c r="AT9" s="107">
        <f>SUMPRODUCT(AQ4:AQ8,AT4:AT8)/AQ9</f>
        <v>3369.3153846153846</v>
      </c>
      <c r="BA9" s="358"/>
      <c r="BB9" s="358">
        <f>SUM(BB4:BB8)</f>
        <v>17050</v>
      </c>
      <c r="BE9" s="55" t="s">
        <v>33</v>
      </c>
      <c r="BF9" s="55">
        <v>68</v>
      </c>
      <c r="BG9" s="56">
        <v>2</v>
      </c>
      <c r="BH9" s="56">
        <v>2</v>
      </c>
      <c r="BI9" s="55">
        <v>107</v>
      </c>
      <c r="BJ9" s="55">
        <v>3</v>
      </c>
      <c r="BK9" s="55">
        <f t="shared" si="0"/>
        <v>321</v>
      </c>
    </row>
    <row r="10" spans="1:64">
      <c r="A10" s="85" t="s">
        <v>152</v>
      </c>
      <c r="B10" s="48">
        <v>689380.56</v>
      </c>
      <c r="D10" s="113" t="s">
        <v>153</v>
      </c>
      <c r="E10" s="114"/>
      <c r="F10" s="115">
        <v>0</v>
      </c>
      <c r="K10" s="1"/>
      <c r="P10" s="84" t="s">
        <v>154</v>
      </c>
      <c r="Q10" s="48">
        <v>1734.0110999999999</v>
      </c>
      <c r="R10" s="59" t="s">
        <v>155</v>
      </c>
      <c r="S10" s="58" t="s">
        <v>156</v>
      </c>
      <c r="T10" s="766">
        <v>7964</v>
      </c>
      <c r="U10" s="99" t="s">
        <v>61</v>
      </c>
      <c r="V10" s="58"/>
      <c r="W10" s="68"/>
      <c r="X10" s="99"/>
      <c r="AA10" s="95"/>
      <c r="AF10" s="96"/>
      <c r="AH10" s="95"/>
      <c r="AM10" s="96"/>
      <c r="AT10" s="351">
        <f>AT9-AR8</f>
        <v>176.81538461538457</v>
      </c>
      <c r="BE10" s="55" t="s">
        <v>35</v>
      </c>
      <c r="BF10" s="55">
        <v>44</v>
      </c>
      <c r="BG10" s="56">
        <v>2</v>
      </c>
      <c r="BH10" s="56">
        <v>1</v>
      </c>
      <c r="BI10" s="55">
        <v>43</v>
      </c>
      <c r="BJ10" s="55">
        <v>6</v>
      </c>
      <c r="BK10" s="55">
        <f t="shared" si="0"/>
        <v>258</v>
      </c>
    </row>
    <row r="11" spans="1:64" ht="15" thickBot="1">
      <c r="A11" s="85" t="s">
        <v>157</v>
      </c>
      <c r="B11" s="48">
        <v>4</v>
      </c>
      <c r="D11" s="85" t="s">
        <v>158</v>
      </c>
      <c r="E11" s="45"/>
      <c r="F11" s="86">
        <v>375</v>
      </c>
      <c r="H11" s="763"/>
      <c r="K11" s="354"/>
      <c r="M11" s="762"/>
      <c r="N11" s="358"/>
      <c r="P11" s="84" t="s">
        <v>159</v>
      </c>
      <c r="Q11" s="48">
        <v>28186.002</v>
      </c>
      <c r="R11" s="59" t="s">
        <v>160</v>
      </c>
      <c r="S11" s="58" t="s">
        <v>161</v>
      </c>
      <c r="T11" s="766">
        <v>372</v>
      </c>
      <c r="U11" s="99" t="s">
        <v>148</v>
      </c>
      <c r="V11" s="58" t="s">
        <v>162</v>
      </c>
      <c r="W11" s="68">
        <v>19288</v>
      </c>
      <c r="X11" s="99" t="s">
        <v>61</v>
      </c>
      <c r="AA11" s="95" t="s">
        <v>163</v>
      </c>
      <c r="AE11" s="55" t="s">
        <v>138</v>
      </c>
      <c r="AF11" s="96">
        <f>14*8</f>
        <v>112</v>
      </c>
      <c r="AH11" s="95"/>
      <c r="AM11" s="96"/>
      <c r="AT11" s="352">
        <f>AT10/AR8</f>
        <v>5.5384615384615372E-2</v>
      </c>
      <c r="BE11" s="55" t="s">
        <v>26</v>
      </c>
      <c r="BF11" s="55">
        <v>48</v>
      </c>
      <c r="BG11" s="56">
        <v>3</v>
      </c>
      <c r="BH11" s="56">
        <v>2</v>
      </c>
      <c r="BI11" s="55">
        <v>3</v>
      </c>
      <c r="BJ11" s="55">
        <v>4</v>
      </c>
      <c r="BK11" s="55">
        <f t="shared" si="0"/>
        <v>12</v>
      </c>
    </row>
    <row r="12" spans="1:64">
      <c r="A12" s="116" t="s">
        <v>164</v>
      </c>
      <c r="B12" s="117"/>
      <c r="D12" s="85" t="s">
        <v>165</v>
      </c>
      <c r="E12" s="45"/>
      <c r="F12" s="86">
        <v>320</v>
      </c>
      <c r="H12" s="763"/>
      <c r="K12" s="1"/>
      <c r="M12" s="761"/>
      <c r="N12" s="358"/>
      <c r="O12" s="194"/>
      <c r="P12" s="84" t="s">
        <v>166</v>
      </c>
      <c r="Q12" s="48">
        <v>329873</v>
      </c>
      <c r="R12" s="59" t="s">
        <v>167</v>
      </c>
      <c r="S12" s="118" t="s">
        <v>168</v>
      </c>
      <c r="T12" s="767">
        <v>400</v>
      </c>
      <c r="U12" s="119" t="s">
        <v>148</v>
      </c>
      <c r="V12" s="58" t="s">
        <v>169</v>
      </c>
      <c r="W12" s="68">
        <v>2159</v>
      </c>
      <c r="X12" s="99" t="s">
        <v>61</v>
      </c>
      <c r="AA12" s="95" t="s">
        <v>128</v>
      </c>
      <c r="AF12" s="96">
        <f>20*8</f>
        <v>160</v>
      </c>
      <c r="AH12" s="95"/>
      <c r="AM12" s="96"/>
      <c r="BE12" s="55" t="s">
        <v>30</v>
      </c>
      <c r="BF12" s="55">
        <v>55</v>
      </c>
      <c r="BG12" s="56">
        <v>3</v>
      </c>
      <c r="BH12" s="56">
        <v>2</v>
      </c>
      <c r="BI12" s="55">
        <v>45</v>
      </c>
      <c r="BJ12" s="55">
        <v>4</v>
      </c>
      <c r="BK12" s="55">
        <f t="shared" si="0"/>
        <v>180</v>
      </c>
    </row>
    <row r="13" spans="1:64" ht="15" thickBot="1">
      <c r="A13" s="120" t="s">
        <v>170</v>
      </c>
      <c r="B13" s="202">
        <v>45062</v>
      </c>
      <c r="D13" s="85" t="s">
        <v>171</v>
      </c>
      <c r="E13" s="45"/>
      <c r="F13" s="86">
        <v>16</v>
      </c>
      <c r="H13" s="763"/>
      <c r="K13" s="1"/>
      <c r="M13" s="358"/>
      <c r="N13" s="358"/>
      <c r="O13" s="194"/>
      <c r="P13" s="84" t="s">
        <v>172</v>
      </c>
      <c r="Q13" s="46">
        <v>375</v>
      </c>
      <c r="R13" s="59" t="s">
        <v>108</v>
      </c>
      <c r="S13" s="58" t="s">
        <v>173</v>
      </c>
      <c r="T13" s="766">
        <v>7476</v>
      </c>
      <c r="U13" s="99" t="s">
        <v>61</v>
      </c>
      <c r="V13" s="58" t="s">
        <v>174</v>
      </c>
      <c r="W13" s="68">
        <v>20355</v>
      </c>
      <c r="X13" s="99" t="s">
        <v>61</v>
      </c>
      <c r="AA13" s="95" t="s">
        <v>133</v>
      </c>
      <c r="AF13" s="96">
        <f>8*18</f>
        <v>144</v>
      </c>
      <c r="AH13" s="95"/>
      <c r="AM13" s="96"/>
      <c r="BF13" s="55">
        <f>SUMPRODUCT(BF3:BF12,BI3:BI12)</f>
        <v>17473</v>
      </c>
      <c r="BI13" s="55">
        <f>SUM(BI3:BI12)</f>
        <v>390</v>
      </c>
      <c r="BK13" s="55">
        <f>SUM(BK3:BK12)</f>
        <v>1287</v>
      </c>
    </row>
    <row r="14" spans="1:64">
      <c r="A14" s="121" t="s">
        <v>175</v>
      </c>
      <c r="B14" s="776">
        <v>45848</v>
      </c>
      <c r="D14" s="85" t="s">
        <v>176</v>
      </c>
      <c r="E14" s="45"/>
      <c r="F14" s="86">
        <v>0</v>
      </c>
      <c r="H14" s="763"/>
      <c r="J14" s="122" t="s">
        <v>177</v>
      </c>
      <c r="K14" s="123"/>
      <c r="L14" s="124">
        <v>79847909.010550961</v>
      </c>
      <c r="M14" s="358"/>
      <c r="N14" s="358"/>
      <c r="O14" s="194"/>
      <c r="P14" s="84" t="s">
        <v>178</v>
      </c>
      <c r="Q14" s="48">
        <v>47</v>
      </c>
      <c r="R14" s="59" t="s">
        <v>179</v>
      </c>
      <c r="S14" s="58" t="s">
        <v>180</v>
      </c>
      <c r="T14" s="766">
        <v>0</v>
      </c>
      <c r="U14" s="99" t="s">
        <v>61</v>
      </c>
      <c r="V14" s="58" t="s">
        <v>181</v>
      </c>
      <c r="W14" s="68">
        <v>2159</v>
      </c>
      <c r="X14" s="99" t="s">
        <v>61</v>
      </c>
      <c r="AA14" s="95" t="s">
        <v>137</v>
      </c>
      <c r="AF14" s="96">
        <f>7*12</f>
        <v>84</v>
      </c>
      <c r="AH14" s="95"/>
      <c r="AM14" s="96"/>
      <c r="BK14" s="55">
        <f>(6+7)*2+4</f>
        <v>30</v>
      </c>
    </row>
    <row r="15" spans="1:64">
      <c r="A15" s="121" t="s">
        <v>182</v>
      </c>
      <c r="B15" s="776">
        <v>45583</v>
      </c>
      <c r="D15" s="85" t="s">
        <v>183</v>
      </c>
      <c r="E15" s="45"/>
      <c r="F15" s="86">
        <v>711</v>
      </c>
      <c r="H15" s="358"/>
      <c r="J15" s="125" t="s">
        <v>184</v>
      </c>
      <c r="K15" s="126"/>
      <c r="L15" s="127">
        <v>204738.22823218195</v>
      </c>
      <c r="M15" s="882"/>
      <c r="N15" s="358"/>
      <c r="P15" s="84" t="s">
        <v>185</v>
      </c>
      <c r="Q15" s="48">
        <v>1</v>
      </c>
      <c r="R15" s="59" t="s">
        <v>186</v>
      </c>
      <c r="S15" s="58" t="s">
        <v>187</v>
      </c>
      <c r="T15" s="766">
        <v>1888</v>
      </c>
      <c r="U15" s="99" t="s">
        <v>61</v>
      </c>
      <c r="V15" s="58" t="s">
        <v>21</v>
      </c>
      <c r="W15" s="68">
        <v>43961</v>
      </c>
      <c r="X15" s="99" t="s">
        <v>61</v>
      </c>
      <c r="AA15" s="95" t="s">
        <v>142</v>
      </c>
      <c r="AB15" s="55">
        <f>21*2+14*2+8*6+7*6</f>
        <v>160</v>
      </c>
      <c r="AC15" s="55">
        <f>AB15*2</f>
        <v>320</v>
      </c>
      <c r="AF15" s="96">
        <f>SUM(AF11:AF14)</f>
        <v>500</v>
      </c>
      <c r="AH15" s="95"/>
      <c r="AM15" s="96"/>
      <c r="BK15" s="55">
        <v>7</v>
      </c>
      <c r="BL15" s="55">
        <v>10</v>
      </c>
    </row>
    <row r="16" spans="1:64" ht="15" thickBot="1">
      <c r="A16" s="121" t="s">
        <v>188</v>
      </c>
      <c r="B16" s="776">
        <v>45825</v>
      </c>
      <c r="D16" s="129" t="s">
        <v>189</v>
      </c>
      <c r="E16" s="130"/>
      <c r="F16" s="131">
        <v>1.823076923076923</v>
      </c>
      <c r="H16" s="351"/>
      <c r="J16" s="132" t="s">
        <v>190</v>
      </c>
      <c r="K16" s="133"/>
      <c r="L16" s="134">
        <v>188.92876598140467</v>
      </c>
      <c r="N16" s="351"/>
      <c r="P16" s="84" t="s">
        <v>191</v>
      </c>
      <c r="Q16" s="48">
        <v>10</v>
      </c>
      <c r="R16" s="59" t="s">
        <v>186</v>
      </c>
      <c r="S16" s="58" t="s">
        <v>192</v>
      </c>
      <c r="T16" s="766">
        <v>1557</v>
      </c>
      <c r="U16" s="99" t="s">
        <v>61</v>
      </c>
      <c r="V16" s="58" t="s">
        <v>193</v>
      </c>
      <c r="W16" s="68">
        <v>8</v>
      </c>
      <c r="X16" s="99" t="s">
        <v>108</v>
      </c>
      <c r="AA16" s="95"/>
      <c r="AF16" s="96"/>
      <c r="AH16" s="95"/>
      <c r="AM16" s="96"/>
      <c r="BK16" s="55">
        <v>13</v>
      </c>
      <c r="BL16" s="55">
        <v>6</v>
      </c>
    </row>
    <row r="17" spans="1:64" ht="15" thickBot="1">
      <c r="A17" s="128" t="s">
        <v>194</v>
      </c>
      <c r="B17" s="203">
        <v>45043</v>
      </c>
      <c r="C17" s="136"/>
      <c r="D17" s="136"/>
      <c r="J17" s="1"/>
      <c r="N17" s="351"/>
      <c r="P17" s="84" t="s">
        <v>195</v>
      </c>
      <c r="Q17" s="48">
        <v>58</v>
      </c>
      <c r="R17" s="59" t="s">
        <v>186</v>
      </c>
      <c r="S17" s="58" t="s">
        <v>196</v>
      </c>
      <c r="T17" s="766">
        <v>0</v>
      </c>
      <c r="U17" s="99" t="s">
        <v>61</v>
      </c>
      <c r="V17" s="58" t="s">
        <v>197</v>
      </c>
      <c r="W17" s="766">
        <v>1</v>
      </c>
      <c r="X17" s="99" t="s">
        <v>108</v>
      </c>
      <c r="AA17" s="137" t="s">
        <v>198</v>
      </c>
      <c r="AB17" s="138">
        <f>12.5*62</f>
        <v>775</v>
      </c>
      <c r="AC17" s="138"/>
      <c r="AD17" s="138"/>
      <c r="AE17" s="138"/>
      <c r="AF17" s="139"/>
      <c r="AH17" s="137"/>
      <c r="AI17" s="138"/>
      <c r="AJ17" s="138"/>
      <c r="AK17" s="138"/>
      <c r="AL17" s="138"/>
      <c r="AM17" s="139"/>
      <c r="BK17" s="55">
        <v>22</v>
      </c>
      <c r="BL17" s="55">
        <v>3</v>
      </c>
    </row>
    <row r="18" spans="1:64" ht="15" thickBot="1">
      <c r="A18" s="135"/>
      <c r="B18" s="136"/>
      <c r="C18" s="136"/>
      <c r="D18" s="136"/>
      <c r="J18" s="1"/>
      <c r="N18" s="351"/>
      <c r="P18" s="140" t="s">
        <v>199</v>
      </c>
      <c r="Q18" s="141">
        <v>10</v>
      </c>
      <c r="R18" s="142" t="s">
        <v>186</v>
      </c>
      <c r="S18" s="140" t="s">
        <v>200</v>
      </c>
      <c r="T18" s="765">
        <v>135.25641025641025</v>
      </c>
      <c r="U18" s="142"/>
      <c r="V18" s="140" t="s">
        <v>201</v>
      </c>
      <c r="W18" s="141">
        <v>256408.47</v>
      </c>
      <c r="X18" s="142"/>
      <c r="BL18" s="55">
        <f>BK13+BK14+BK15+BK16+BK17+BL15+BL16+BL17</f>
        <v>1378</v>
      </c>
    </row>
    <row r="19" spans="1:64" ht="30.75" customHeight="1" thickBot="1">
      <c r="A19" s="33" t="s">
        <v>202</v>
      </c>
      <c r="B19" s="34" t="s">
        <v>203</v>
      </c>
      <c r="C19" s="35" t="s">
        <v>204</v>
      </c>
      <c r="D19" s="34" t="s">
        <v>205</v>
      </c>
      <c r="E19" s="34" t="s">
        <v>206</v>
      </c>
      <c r="F19" s="34" t="s">
        <v>207</v>
      </c>
      <c r="G19" s="34" t="s">
        <v>208</v>
      </c>
      <c r="H19" s="34" t="s">
        <v>209</v>
      </c>
      <c r="I19" s="35" t="s">
        <v>210</v>
      </c>
      <c r="J19" s="35" t="s">
        <v>211</v>
      </c>
      <c r="K19" s="34" t="s">
        <v>212</v>
      </c>
      <c r="L19" s="33" t="s">
        <v>119</v>
      </c>
      <c r="M19" s="36" t="s">
        <v>213</v>
      </c>
      <c r="N19" s="37"/>
      <c r="O19" s="37"/>
      <c r="P19" s="37"/>
      <c r="Q19" s="37"/>
      <c r="R19" s="37"/>
      <c r="S19" s="37"/>
      <c r="T19" s="37"/>
      <c r="U19" s="37"/>
      <c r="V19" s="37"/>
      <c r="W19" s="37"/>
      <c r="X19" s="37"/>
      <c r="Y19" s="37"/>
      <c r="BL19" s="55">
        <f>BL18*368</f>
        <v>507104</v>
      </c>
    </row>
    <row r="20" spans="1:64">
      <c r="A20" s="2" t="s">
        <v>214</v>
      </c>
      <c r="B20" s="143" t="s">
        <v>215</v>
      </c>
      <c r="C20" s="143"/>
      <c r="D20" s="143"/>
      <c r="E20" s="143"/>
      <c r="F20" s="143"/>
      <c r="G20" s="143"/>
      <c r="H20" s="144"/>
      <c r="I20" s="145"/>
      <c r="J20" s="146"/>
      <c r="K20" s="146"/>
      <c r="L20" s="69">
        <v>3849810.3029161878</v>
      </c>
      <c r="M20" s="45"/>
      <c r="N20" s="114"/>
      <c r="O20" s="114"/>
      <c r="P20" s="114"/>
      <c r="Q20" s="114"/>
      <c r="R20" s="114"/>
      <c r="S20" s="114"/>
      <c r="T20" s="114"/>
      <c r="U20" s="114"/>
      <c r="V20" s="114"/>
      <c r="W20" s="114"/>
      <c r="X20" s="114"/>
      <c r="Y20" s="114"/>
    </row>
    <row r="21" spans="1:64">
      <c r="A21" s="3" t="s">
        <v>214</v>
      </c>
      <c r="B21" s="60" t="s">
        <v>215</v>
      </c>
      <c r="C21" s="60" t="s">
        <v>216</v>
      </c>
      <c r="D21" s="60"/>
      <c r="E21" s="60"/>
      <c r="F21" s="60" t="s">
        <v>217</v>
      </c>
      <c r="G21" s="62">
        <v>26</v>
      </c>
      <c r="H21" s="768">
        <v>148069.62703523799</v>
      </c>
      <c r="I21" s="148">
        <v>0</v>
      </c>
      <c r="J21" s="150">
        <v>148069.62703523799</v>
      </c>
      <c r="K21" s="150">
        <v>3849810.3029161878</v>
      </c>
      <c r="M21" s="45"/>
      <c r="N21" s="45"/>
      <c r="O21" s="45"/>
      <c r="P21" s="45"/>
      <c r="Q21" s="45"/>
      <c r="R21" s="45"/>
      <c r="S21" s="45"/>
      <c r="T21" s="45"/>
      <c r="U21" s="45"/>
      <c r="V21" s="45"/>
      <c r="W21" s="45"/>
      <c r="X21" s="45"/>
      <c r="Y21" s="45"/>
      <c r="AX21" s="56" t="s">
        <v>218</v>
      </c>
      <c r="AY21" s="769" t="s">
        <v>0</v>
      </c>
      <c r="AZ21" s="55" t="s">
        <v>154</v>
      </c>
    </row>
    <row r="22" spans="1:64">
      <c r="A22" s="4" t="s">
        <v>219</v>
      </c>
      <c r="B22" s="151" t="s">
        <v>220</v>
      </c>
      <c r="C22" s="151"/>
      <c r="D22" s="151"/>
      <c r="E22" s="151"/>
      <c r="F22" s="151"/>
      <c r="G22" s="152"/>
      <c r="H22" s="153"/>
      <c r="I22" s="154"/>
      <c r="J22" s="156"/>
      <c r="K22" s="156"/>
      <c r="L22" s="70">
        <v>12000</v>
      </c>
      <c r="M22" s="45"/>
      <c r="N22" s="45"/>
      <c r="O22" s="45"/>
      <c r="P22" s="45"/>
      <c r="Q22" s="45"/>
      <c r="R22" s="45"/>
      <c r="S22" s="45"/>
      <c r="T22" s="45"/>
      <c r="U22" s="45"/>
      <c r="V22" s="45"/>
      <c r="W22" s="45"/>
      <c r="X22" s="45"/>
      <c r="Y22" s="45"/>
      <c r="AW22" s="55" t="s">
        <v>123</v>
      </c>
      <c r="AX22" s="770">
        <v>59487.01</v>
      </c>
      <c r="AY22" s="770">
        <f>58247.42+58464.84</f>
        <v>116712.26</v>
      </c>
      <c r="AZ22" s="770">
        <f>62310.84+10234.24</f>
        <v>72545.08</v>
      </c>
      <c r="BE22" s="55">
        <v>15</v>
      </c>
      <c r="BG22" s="56">
        <v>2</v>
      </c>
    </row>
    <row r="23" spans="1:64">
      <c r="A23" s="5" t="s">
        <v>221</v>
      </c>
      <c r="B23" s="65" t="s">
        <v>222</v>
      </c>
      <c r="C23" s="65" t="s">
        <v>216</v>
      </c>
      <c r="D23" s="65" t="s">
        <v>223</v>
      </c>
      <c r="E23" s="65" t="s">
        <v>73</v>
      </c>
      <c r="F23" s="65"/>
      <c r="G23" s="43">
        <v>1</v>
      </c>
      <c r="H23" s="463">
        <v>12000</v>
      </c>
      <c r="I23" s="157">
        <v>0</v>
      </c>
      <c r="J23" s="159">
        <v>12000</v>
      </c>
      <c r="K23" s="159">
        <v>12000</v>
      </c>
      <c r="M23" s="45"/>
      <c r="N23" s="45"/>
      <c r="O23" s="45"/>
      <c r="P23" s="45"/>
      <c r="Q23" s="45"/>
      <c r="R23" s="45"/>
      <c r="S23" s="45"/>
      <c r="T23" s="45"/>
      <c r="U23" s="45"/>
      <c r="V23" s="45"/>
      <c r="W23" s="45"/>
      <c r="X23" s="45"/>
      <c r="Y23" s="45"/>
      <c r="AW23" s="55" t="s">
        <v>129</v>
      </c>
      <c r="AX23" s="770">
        <v>11996.7</v>
      </c>
      <c r="AY23" s="770">
        <v>11552.49</v>
      </c>
      <c r="AZ23" s="770">
        <f>12091.16+2030.7</f>
        <v>14121.86</v>
      </c>
      <c r="BE23" s="55">
        <v>5</v>
      </c>
      <c r="BG23" s="56">
        <v>2</v>
      </c>
    </row>
    <row r="24" spans="1:64">
      <c r="A24" s="4" t="s">
        <v>224</v>
      </c>
      <c r="B24" s="151" t="s">
        <v>225</v>
      </c>
      <c r="C24" s="151"/>
      <c r="D24" s="151"/>
      <c r="E24" s="151"/>
      <c r="F24" s="151"/>
      <c r="G24" s="152"/>
      <c r="H24" s="153"/>
      <c r="I24" s="154"/>
      <c r="J24" s="155"/>
      <c r="K24" s="156"/>
      <c r="L24" s="70">
        <v>2546599.198062331</v>
      </c>
      <c r="M24" s="45"/>
      <c r="N24" s="45"/>
      <c r="O24" s="45"/>
      <c r="P24" s="45"/>
      <c r="Q24" s="45"/>
      <c r="R24" s="45"/>
      <c r="S24" s="45"/>
      <c r="T24" s="45"/>
      <c r="U24" s="45"/>
      <c r="V24" s="45"/>
      <c r="W24" s="45"/>
      <c r="X24" s="45"/>
      <c r="Y24" s="45"/>
      <c r="Z24" s="56"/>
      <c r="AW24" s="55" t="s">
        <v>111</v>
      </c>
      <c r="AX24" s="770">
        <v>61844.959999999999</v>
      </c>
      <c r="AY24" s="770">
        <f>60632.4+60507.06</f>
        <v>121139.45999999999</v>
      </c>
      <c r="AZ24" s="770">
        <f>62164.89+10362.59</f>
        <v>72527.48</v>
      </c>
      <c r="BE24" s="55">
        <v>8</v>
      </c>
      <c r="BG24" s="56">
        <v>3</v>
      </c>
    </row>
    <row r="25" spans="1:64">
      <c r="A25" s="6" t="s">
        <v>226</v>
      </c>
      <c r="B25" s="47" t="s">
        <v>227</v>
      </c>
      <c r="C25" s="47" t="s">
        <v>216</v>
      </c>
      <c r="D25" s="47" t="s">
        <v>228</v>
      </c>
      <c r="E25" s="47" t="s">
        <v>44</v>
      </c>
      <c r="F25" s="47" t="s">
        <v>61</v>
      </c>
      <c r="G25" s="42">
        <v>145399.85</v>
      </c>
      <c r="H25" s="61">
        <v>11.5</v>
      </c>
      <c r="I25" s="63">
        <v>0</v>
      </c>
      <c r="J25" s="66">
        <v>11.5</v>
      </c>
      <c r="K25" s="594">
        <v>1672098.2750000001</v>
      </c>
      <c r="M25" s="45" t="s">
        <v>229</v>
      </c>
      <c r="N25" s="45"/>
      <c r="O25" s="45"/>
      <c r="P25" s="45"/>
      <c r="Q25" s="45"/>
      <c r="R25" s="45"/>
      <c r="S25" s="45"/>
      <c r="T25" s="45"/>
      <c r="U25" s="45"/>
      <c r="V25" s="45"/>
      <c r="W25" s="45"/>
      <c r="X25" s="45"/>
      <c r="Y25" s="45"/>
      <c r="Z25" s="56"/>
      <c r="AW25" s="55" t="s">
        <v>138</v>
      </c>
      <c r="AX25" s="770">
        <v>12071.18</v>
      </c>
      <c r="AY25" s="770">
        <v>11901.44</v>
      </c>
      <c r="AZ25" s="770">
        <f>12174.39+2032.3</f>
        <v>14206.689999999999</v>
      </c>
      <c r="BE25" s="55">
        <v>22</v>
      </c>
      <c r="BG25" s="56">
        <v>1</v>
      </c>
    </row>
    <row r="26" spans="1:64">
      <c r="A26" s="7" t="s">
        <v>230</v>
      </c>
      <c r="B26" s="40" t="s">
        <v>227</v>
      </c>
      <c r="C26" s="40" t="s">
        <v>216</v>
      </c>
      <c r="D26" s="40" t="s">
        <v>228</v>
      </c>
      <c r="E26" s="40" t="s">
        <v>231</v>
      </c>
      <c r="F26" s="40"/>
      <c r="G26" s="38"/>
      <c r="H26" s="51"/>
      <c r="I26" s="53"/>
      <c r="J26" s="462">
        <v>0</v>
      </c>
      <c r="K26" s="594">
        <v>0</v>
      </c>
      <c r="M26" s="45"/>
      <c r="N26" s="45"/>
      <c r="O26" s="45"/>
      <c r="P26" s="45"/>
      <c r="Q26" s="45"/>
      <c r="R26" s="45"/>
      <c r="S26" s="45"/>
      <c r="T26" s="45"/>
      <c r="U26" s="45"/>
      <c r="V26" s="45"/>
      <c r="W26" s="45"/>
      <c r="X26" s="45"/>
      <c r="Y26" s="45"/>
      <c r="Z26" s="56"/>
      <c r="AW26" s="55" t="s">
        <v>119</v>
      </c>
      <c r="AX26" s="770">
        <f>SUM(AX22:AX25)</f>
        <v>145399.85</v>
      </c>
      <c r="AY26" s="770">
        <f>SUM(AY22:AY25)</f>
        <v>261305.65</v>
      </c>
      <c r="AZ26" s="770">
        <f>SUM(AZ22:AZ25)</f>
        <v>173401.11</v>
      </c>
      <c r="BE26" s="55">
        <v>8</v>
      </c>
      <c r="BG26" s="56">
        <v>1</v>
      </c>
    </row>
    <row r="27" spans="1:64">
      <c r="A27" s="7" t="s">
        <v>232</v>
      </c>
      <c r="B27" s="40" t="s">
        <v>227</v>
      </c>
      <c r="C27" s="40" t="s">
        <v>233</v>
      </c>
      <c r="D27" s="40" t="s">
        <v>228</v>
      </c>
      <c r="E27" s="60" t="s">
        <v>73</v>
      </c>
      <c r="F27" s="40" t="s">
        <v>71</v>
      </c>
      <c r="G27" s="38">
        <v>1</v>
      </c>
      <c r="H27" s="54">
        <v>7500</v>
      </c>
      <c r="I27" s="53">
        <v>0</v>
      </c>
      <c r="J27" s="462">
        <v>7500</v>
      </c>
      <c r="K27" s="594">
        <v>7500</v>
      </c>
      <c r="M27" s="45"/>
      <c r="N27" s="45"/>
      <c r="O27" s="45"/>
      <c r="P27" s="45"/>
      <c r="Q27" s="45"/>
      <c r="R27" s="45"/>
      <c r="S27" s="45"/>
      <c r="T27" s="45"/>
      <c r="U27" s="45"/>
      <c r="V27" s="45"/>
      <c r="W27" s="45"/>
      <c r="X27" s="45"/>
      <c r="Y27" s="45"/>
      <c r="Z27" s="56"/>
      <c r="AF27" s="55">
        <f>1800+1350+1350+360+900+360+900+1080+360+450</f>
        <v>8910</v>
      </c>
      <c r="AX27" s="194"/>
      <c r="AY27" s="194"/>
      <c r="AZ27" s="194"/>
    </row>
    <row r="28" spans="1:64">
      <c r="A28" s="7" t="s">
        <v>234</v>
      </c>
      <c r="B28" s="40" t="s">
        <v>227</v>
      </c>
      <c r="C28" s="40" t="s">
        <v>216</v>
      </c>
      <c r="D28" s="40" t="s">
        <v>235</v>
      </c>
      <c r="E28" s="40" t="s">
        <v>73</v>
      </c>
      <c r="F28" s="60" t="s">
        <v>71</v>
      </c>
      <c r="G28" s="62">
        <v>1</v>
      </c>
      <c r="H28" s="54">
        <v>10000</v>
      </c>
      <c r="I28" s="53">
        <v>0</v>
      </c>
      <c r="J28" s="462">
        <v>10000</v>
      </c>
      <c r="K28" s="594">
        <v>10000</v>
      </c>
      <c r="M28" s="45"/>
      <c r="N28" s="45"/>
      <c r="O28" s="45"/>
      <c r="P28" s="45"/>
      <c r="Q28" s="45"/>
      <c r="R28" s="45"/>
      <c r="S28" s="45"/>
      <c r="T28" s="45"/>
      <c r="U28" s="45"/>
      <c r="V28" s="45"/>
      <c r="W28" s="45"/>
      <c r="X28" s="45"/>
      <c r="Y28" s="45"/>
      <c r="Z28" s="56"/>
      <c r="AX28" s="194"/>
      <c r="AY28" s="194"/>
      <c r="AZ28" s="194"/>
    </row>
    <row r="29" spans="1:64">
      <c r="A29" s="7" t="s">
        <v>236</v>
      </c>
      <c r="B29" s="40" t="s">
        <v>237</v>
      </c>
      <c r="C29" s="40" t="s">
        <v>216</v>
      </c>
      <c r="D29" s="40" t="s">
        <v>238</v>
      </c>
      <c r="E29" s="40" t="s">
        <v>239</v>
      </c>
      <c r="F29" s="40" t="s">
        <v>108</v>
      </c>
      <c r="G29" s="38">
        <v>14</v>
      </c>
      <c r="H29" s="54">
        <v>5500</v>
      </c>
      <c r="I29" s="53">
        <v>0</v>
      </c>
      <c r="J29" s="462">
        <v>5500</v>
      </c>
      <c r="K29" s="594">
        <v>77000</v>
      </c>
      <c r="L29" s="194"/>
      <c r="M29" s="45"/>
      <c r="N29" s="45"/>
      <c r="O29" s="45"/>
      <c r="P29" s="45"/>
      <c r="Q29" s="45"/>
      <c r="R29" s="45"/>
      <c r="S29" s="45"/>
      <c r="T29" s="45"/>
      <c r="U29" s="45"/>
      <c r="V29" s="45"/>
      <c r="W29" s="45"/>
      <c r="X29" s="45"/>
      <c r="Y29" s="45"/>
      <c r="Z29" s="56"/>
      <c r="AX29" s="194"/>
      <c r="AY29" s="194"/>
    </row>
    <row r="30" spans="1:64" ht="15" thickBot="1">
      <c r="A30" s="7" t="s">
        <v>240</v>
      </c>
      <c r="B30" s="40" t="s">
        <v>241</v>
      </c>
      <c r="C30" s="40" t="s">
        <v>216</v>
      </c>
      <c r="D30" s="40" t="s">
        <v>242</v>
      </c>
      <c r="E30" s="40" t="s">
        <v>73</v>
      </c>
      <c r="F30" s="40" t="s">
        <v>71</v>
      </c>
      <c r="G30" s="38">
        <v>1</v>
      </c>
      <c r="H30" s="54">
        <v>2500</v>
      </c>
      <c r="I30" s="53">
        <v>0</v>
      </c>
      <c r="J30" s="462">
        <v>2500</v>
      </c>
      <c r="K30" s="594">
        <v>2500</v>
      </c>
      <c r="M30" s="45"/>
      <c r="N30" s="45"/>
      <c r="O30" s="45"/>
      <c r="P30" s="45"/>
      <c r="Q30" s="45"/>
      <c r="R30" s="45"/>
      <c r="S30" s="45"/>
      <c r="T30" s="45"/>
      <c r="U30" s="45"/>
      <c r="V30" s="45"/>
      <c r="W30" s="45"/>
      <c r="X30" s="45"/>
      <c r="Y30" s="45"/>
      <c r="Z30" s="56"/>
      <c r="AE30" s="56"/>
      <c r="AF30" s="56"/>
      <c r="AG30" s="56"/>
      <c r="AH30" s="56"/>
      <c r="AI30" s="56"/>
      <c r="AX30" s="194"/>
      <c r="AY30" s="194"/>
    </row>
    <row r="31" spans="1:64">
      <c r="A31" s="7" t="s">
        <v>243</v>
      </c>
      <c r="B31" s="40" t="s">
        <v>244</v>
      </c>
      <c r="C31" s="40" t="s">
        <v>216</v>
      </c>
      <c r="D31" s="40" t="s">
        <v>242</v>
      </c>
      <c r="E31" s="40" t="s">
        <v>73</v>
      </c>
      <c r="F31" s="40" t="s">
        <v>71</v>
      </c>
      <c r="G31" s="38">
        <v>1</v>
      </c>
      <c r="H31" s="54">
        <v>23500</v>
      </c>
      <c r="I31" s="53">
        <v>0</v>
      </c>
      <c r="J31" s="462">
        <v>23500</v>
      </c>
      <c r="K31" s="594">
        <v>23500</v>
      </c>
      <c r="M31" s="45"/>
      <c r="N31" s="45"/>
      <c r="O31" s="45"/>
      <c r="P31" s="45"/>
      <c r="Q31" s="45"/>
      <c r="R31" s="45"/>
      <c r="S31" s="45"/>
      <c r="T31" s="45"/>
      <c r="U31" s="45"/>
      <c r="V31" s="45"/>
      <c r="W31" s="45"/>
      <c r="X31" s="45"/>
      <c r="Y31" s="45"/>
      <c r="Z31" s="56"/>
      <c r="AA31" s="161" t="s">
        <v>245</v>
      </c>
      <c r="AB31" s="91"/>
      <c r="AC31" s="91"/>
      <c r="AD31" s="162" t="s">
        <v>246</v>
      </c>
      <c r="AE31" s="163" t="s">
        <v>40</v>
      </c>
      <c r="AF31" s="163" t="s">
        <v>41</v>
      </c>
      <c r="AG31" s="163" t="s">
        <v>43</v>
      </c>
      <c r="AH31" s="163" t="s">
        <v>45</v>
      </c>
      <c r="AI31" s="163" t="s">
        <v>247</v>
      </c>
      <c r="AJ31" s="164"/>
    </row>
    <row r="32" spans="1:64">
      <c r="A32" s="7" t="s">
        <v>248</v>
      </c>
      <c r="B32" s="40" t="s">
        <v>249</v>
      </c>
      <c r="C32" s="40" t="s">
        <v>216</v>
      </c>
      <c r="D32" s="40" t="s">
        <v>250</v>
      </c>
      <c r="E32" s="40" t="s">
        <v>73</v>
      </c>
      <c r="F32" s="40" t="s">
        <v>71</v>
      </c>
      <c r="G32" s="38">
        <v>1</v>
      </c>
      <c r="H32" s="54">
        <v>4000</v>
      </c>
      <c r="I32" s="53">
        <v>0</v>
      </c>
      <c r="J32" s="462">
        <v>4000</v>
      </c>
      <c r="K32" s="594">
        <v>4000</v>
      </c>
      <c r="M32" s="45"/>
      <c r="N32" s="45"/>
      <c r="O32" s="45"/>
      <c r="P32" s="45"/>
      <c r="Q32" s="45"/>
      <c r="R32" s="45"/>
      <c r="S32" s="45"/>
      <c r="T32" s="45"/>
      <c r="U32" s="45"/>
      <c r="V32" s="45"/>
      <c r="W32" s="45"/>
      <c r="X32" s="45"/>
      <c r="Y32" s="45"/>
      <c r="Z32" s="56"/>
      <c r="AA32" s="95"/>
      <c r="AB32" s="55" t="s">
        <v>251</v>
      </c>
      <c r="AD32" s="55">
        <f>(21+15)</f>
        <v>36</v>
      </c>
      <c r="AE32" s="55">
        <f>AD32*7*2</f>
        <v>504</v>
      </c>
      <c r="AF32" s="55">
        <f>AD32*2</f>
        <v>72</v>
      </c>
      <c r="AG32" s="55">
        <f>AD32*7</f>
        <v>252</v>
      </c>
      <c r="AH32" s="55">
        <f>AD32*8</f>
        <v>288</v>
      </c>
      <c r="AI32" s="55">
        <v>0</v>
      </c>
      <c r="AJ32" s="96"/>
    </row>
    <row r="33" spans="1:61">
      <c r="A33" s="7" t="s">
        <v>252</v>
      </c>
      <c r="B33" s="40" t="s">
        <v>253</v>
      </c>
      <c r="C33" s="40" t="s">
        <v>216</v>
      </c>
      <c r="D33" s="40" t="s">
        <v>228</v>
      </c>
      <c r="E33" s="40" t="s">
        <v>239</v>
      </c>
      <c r="F33" s="40" t="s">
        <v>61</v>
      </c>
      <c r="G33" s="38">
        <v>261305.65</v>
      </c>
      <c r="H33" s="51">
        <v>2.6</v>
      </c>
      <c r="I33" s="53">
        <v>0</v>
      </c>
      <c r="J33" s="160">
        <v>2.6</v>
      </c>
      <c r="K33" s="594">
        <v>679394.69000000006</v>
      </c>
      <c r="M33" s="596" t="s">
        <v>254</v>
      </c>
      <c r="N33" s="45"/>
      <c r="O33" s="45"/>
      <c r="P33" s="45"/>
      <c r="Q33" s="45"/>
      <c r="R33" s="45"/>
      <c r="S33" s="45"/>
      <c r="T33" s="45"/>
      <c r="U33" s="45"/>
      <c r="V33" s="45"/>
      <c r="W33" s="45"/>
      <c r="X33" s="45"/>
      <c r="Y33" s="45"/>
      <c r="Z33" s="56"/>
      <c r="AA33" s="95"/>
      <c r="AB33" s="55" t="s">
        <v>255</v>
      </c>
      <c r="AD33" s="55">
        <v>13</v>
      </c>
      <c r="AE33" s="55">
        <f>AD33*10*2</f>
        <v>260</v>
      </c>
      <c r="AF33" s="165" t="s">
        <v>231</v>
      </c>
      <c r="AG33" s="55">
        <v>260</v>
      </c>
      <c r="AH33" s="165" t="s">
        <v>231</v>
      </c>
      <c r="AI33" s="165" t="s">
        <v>231</v>
      </c>
      <c r="AJ33" s="96"/>
      <c r="AL33" s="55">
        <f>AG33+AE33</f>
        <v>520</v>
      </c>
    </row>
    <row r="34" spans="1:61">
      <c r="A34" s="8" t="s">
        <v>256</v>
      </c>
      <c r="B34" s="166" t="s">
        <v>257</v>
      </c>
      <c r="C34" s="166" t="s">
        <v>216</v>
      </c>
      <c r="D34" s="166" t="s">
        <v>228</v>
      </c>
      <c r="E34" s="166" t="s">
        <v>239</v>
      </c>
      <c r="F34" s="166" t="s">
        <v>61</v>
      </c>
      <c r="G34" s="39">
        <v>3440</v>
      </c>
      <c r="H34" s="167">
        <v>20.525067750677508</v>
      </c>
      <c r="I34" s="168">
        <v>0</v>
      </c>
      <c r="J34" s="169">
        <v>20.525067750677508</v>
      </c>
      <c r="K34" s="774">
        <v>70606.233062330633</v>
      </c>
      <c r="L34" s="71"/>
      <c r="M34" s="45"/>
      <c r="N34" s="45"/>
      <c r="O34" s="45"/>
      <c r="P34" s="45"/>
      <c r="Q34" s="45"/>
      <c r="R34" s="45"/>
      <c r="S34" s="45"/>
      <c r="T34" s="45"/>
      <c r="U34" s="45"/>
      <c r="V34" s="45"/>
      <c r="W34" s="45"/>
      <c r="X34" s="45"/>
      <c r="Y34" s="45"/>
      <c r="Z34" s="56"/>
      <c r="AA34" s="95"/>
      <c r="AB34" s="55" t="s">
        <v>258</v>
      </c>
      <c r="AD34" s="55">
        <v>8</v>
      </c>
      <c r="AE34" s="55">
        <f>AD34*52</f>
        <v>416</v>
      </c>
      <c r="AF34" s="55">
        <f>AD34*12</f>
        <v>96</v>
      </c>
      <c r="AG34" s="55">
        <f>AD34*28</f>
        <v>224</v>
      </c>
      <c r="AH34" s="55">
        <f>AD34*30</f>
        <v>240</v>
      </c>
      <c r="AI34" s="55">
        <v>0</v>
      </c>
      <c r="AJ34" s="96"/>
      <c r="AL34" s="55">
        <f>AL33/AJ35</f>
        <v>0.19908116385911179</v>
      </c>
    </row>
    <row r="35" spans="1:61" ht="15" hidden="1" thickBot="1">
      <c r="A35" s="4" t="s">
        <v>259</v>
      </c>
      <c r="B35" s="151" t="s">
        <v>260</v>
      </c>
      <c r="C35" s="151"/>
      <c r="D35" s="151"/>
      <c r="E35" s="151"/>
      <c r="F35" s="151"/>
      <c r="G35" s="152"/>
      <c r="H35" s="153"/>
      <c r="I35" s="154"/>
      <c r="J35" s="155"/>
      <c r="K35" s="156"/>
      <c r="L35" s="70">
        <v>0</v>
      </c>
      <c r="M35" s="45"/>
      <c r="N35" s="45"/>
      <c r="O35" s="45"/>
      <c r="P35" s="45"/>
      <c r="Q35" s="45"/>
      <c r="R35" s="45"/>
      <c r="S35" s="45"/>
      <c r="T35" s="45"/>
      <c r="U35" s="45"/>
      <c r="V35" s="45"/>
      <c r="W35" s="45"/>
      <c r="X35" s="45"/>
      <c r="Y35" s="45"/>
      <c r="Z35" s="56"/>
      <c r="AA35" s="137"/>
      <c r="AB35" s="138"/>
      <c r="AC35" s="138"/>
      <c r="AD35" s="138"/>
      <c r="AE35" s="170">
        <f>SUM(AE32:AE34)</f>
        <v>1180</v>
      </c>
      <c r="AF35" s="170">
        <f>SUM(AF32:AF34)</f>
        <v>168</v>
      </c>
      <c r="AG35" s="170">
        <f>SUM(AG32:AG34)</f>
        <v>736</v>
      </c>
      <c r="AH35" s="170">
        <f>SUM(AH32:AH34)</f>
        <v>528</v>
      </c>
      <c r="AI35" s="170">
        <f>SUM(AI32:AI34)</f>
        <v>0</v>
      </c>
      <c r="AJ35" s="171">
        <f>SUM(AE35:AI35)</f>
        <v>2612</v>
      </c>
    </row>
    <row r="36" spans="1:61" hidden="1">
      <c r="A36" s="6" t="s">
        <v>261</v>
      </c>
      <c r="B36" s="47"/>
      <c r="C36" s="47" t="s">
        <v>216</v>
      </c>
      <c r="D36" s="47"/>
      <c r="E36" s="47" t="s">
        <v>231</v>
      </c>
      <c r="F36" s="47"/>
      <c r="G36" s="42">
        <v>0</v>
      </c>
      <c r="H36" s="61"/>
      <c r="I36" s="63"/>
      <c r="J36" s="66">
        <v>0</v>
      </c>
      <c r="K36" s="67">
        <v>0</v>
      </c>
      <c r="M36" s="45"/>
      <c r="N36" s="45"/>
      <c r="O36" s="45"/>
      <c r="P36" s="45"/>
      <c r="Q36" s="45"/>
      <c r="R36" s="45"/>
      <c r="S36" s="45"/>
      <c r="T36" s="45"/>
      <c r="U36" s="45"/>
      <c r="V36" s="45"/>
      <c r="W36" s="45"/>
      <c r="X36" s="45"/>
      <c r="Y36" s="45"/>
      <c r="Z36" s="56"/>
    </row>
    <row r="37" spans="1:61" hidden="1">
      <c r="A37" s="7" t="s">
        <v>262</v>
      </c>
      <c r="B37" s="40"/>
      <c r="C37" s="40" t="s">
        <v>216</v>
      </c>
      <c r="D37" s="40"/>
      <c r="E37" s="40" t="s">
        <v>231</v>
      </c>
      <c r="F37" s="40"/>
      <c r="G37" s="38"/>
      <c r="H37" s="51"/>
      <c r="I37" s="53"/>
      <c r="J37" s="160">
        <v>0</v>
      </c>
      <c r="K37" s="67">
        <v>0</v>
      </c>
      <c r="M37" s="45"/>
      <c r="N37" s="45"/>
      <c r="O37" s="45"/>
      <c r="P37" s="45"/>
      <c r="Q37" s="45"/>
      <c r="R37" s="45"/>
      <c r="S37" s="45"/>
      <c r="T37" s="45"/>
      <c r="U37" s="45"/>
      <c r="V37" s="45"/>
      <c r="W37" s="45"/>
      <c r="X37" s="45"/>
      <c r="Y37" s="45"/>
      <c r="Z37" s="56"/>
      <c r="AA37" s="161" t="s">
        <v>0</v>
      </c>
      <c r="AB37" s="91"/>
      <c r="AC37" s="91"/>
      <c r="AD37" s="162"/>
      <c r="AE37" s="163" t="s">
        <v>40</v>
      </c>
      <c r="AF37" s="163" t="s">
        <v>41</v>
      </c>
      <c r="AG37" s="163" t="s">
        <v>43</v>
      </c>
      <c r="AH37" s="163" t="s">
        <v>45</v>
      </c>
      <c r="AI37" s="163" t="s">
        <v>247</v>
      </c>
      <c r="AJ37" s="92"/>
    </row>
    <row r="38" spans="1:61" hidden="1">
      <c r="A38" s="7" t="s">
        <v>263</v>
      </c>
      <c r="B38" s="40"/>
      <c r="C38" s="40" t="s">
        <v>216</v>
      </c>
      <c r="D38" s="40"/>
      <c r="E38" s="40" t="s">
        <v>231</v>
      </c>
      <c r="F38" s="40"/>
      <c r="G38" s="38"/>
      <c r="H38" s="51"/>
      <c r="I38" s="53"/>
      <c r="J38" s="160">
        <v>0</v>
      </c>
      <c r="K38" s="67">
        <v>0</v>
      </c>
      <c r="M38" s="45"/>
      <c r="N38" s="45"/>
      <c r="O38" s="45"/>
      <c r="P38" s="45"/>
      <c r="Q38" s="45"/>
      <c r="R38" s="45"/>
      <c r="S38" s="45"/>
      <c r="T38" s="45"/>
      <c r="U38" s="45"/>
      <c r="V38" s="45"/>
      <c r="W38" s="45"/>
      <c r="X38" s="45"/>
      <c r="Y38" s="45"/>
      <c r="Z38" s="56"/>
      <c r="AA38" s="95"/>
      <c r="AB38" s="55" t="s">
        <v>38</v>
      </c>
      <c r="AD38" s="55" t="s">
        <v>61</v>
      </c>
      <c r="AE38" s="55">
        <f>62029-860-2726</f>
        <v>58443</v>
      </c>
      <c r="AF38" s="55">
        <f>12359-669</f>
        <v>11690</v>
      </c>
      <c r="AG38" s="55">
        <f>64481-860-2888</f>
        <v>60733</v>
      </c>
      <c r="AH38" s="55">
        <f>12359-669</f>
        <v>11690</v>
      </c>
      <c r="AI38" s="55">
        <v>0</v>
      </c>
      <c r="AJ38" s="96"/>
    </row>
    <row r="39" spans="1:61" hidden="1">
      <c r="A39" s="7" t="s">
        <v>264</v>
      </c>
      <c r="B39" s="40"/>
      <c r="C39" s="40" t="s">
        <v>216</v>
      </c>
      <c r="D39" s="40"/>
      <c r="E39" s="40" t="s">
        <v>231</v>
      </c>
      <c r="F39" s="40"/>
      <c r="G39" s="38"/>
      <c r="H39" s="51"/>
      <c r="I39" s="53"/>
      <c r="J39" s="160">
        <v>0</v>
      </c>
      <c r="K39" s="67">
        <v>0</v>
      </c>
      <c r="M39" s="45"/>
      <c r="N39" s="45"/>
      <c r="O39" s="45"/>
      <c r="P39" s="45"/>
      <c r="Q39" s="45"/>
      <c r="R39" s="45"/>
      <c r="S39" s="45"/>
      <c r="T39" s="45"/>
      <c r="U39" s="45"/>
      <c r="V39" s="45"/>
      <c r="W39" s="45"/>
      <c r="X39" s="45"/>
      <c r="Y39" s="45"/>
      <c r="Z39" s="56"/>
      <c r="AA39" s="95"/>
      <c r="AB39" s="55" t="s">
        <v>39</v>
      </c>
      <c r="AD39" s="55" t="s">
        <v>61</v>
      </c>
      <c r="AE39" s="55">
        <f>62109-860-2827</f>
        <v>58422</v>
      </c>
      <c r="AF39" s="165" t="s">
        <v>231</v>
      </c>
      <c r="AG39" s="165">
        <v>60733</v>
      </c>
      <c r="AH39" s="165" t="s">
        <v>231</v>
      </c>
      <c r="AI39" s="165">
        <v>0</v>
      </c>
      <c r="AJ39" s="96"/>
    </row>
    <row r="40" spans="1:61" ht="15" hidden="1" thickBot="1">
      <c r="A40" s="7" t="s">
        <v>265</v>
      </c>
      <c r="B40" s="40"/>
      <c r="C40" s="40" t="s">
        <v>216</v>
      </c>
      <c r="D40" s="40"/>
      <c r="E40" s="40" t="s">
        <v>231</v>
      </c>
      <c r="F40" s="40"/>
      <c r="G40" s="38"/>
      <c r="H40" s="51"/>
      <c r="I40" s="53"/>
      <c r="J40" s="160">
        <v>0</v>
      </c>
      <c r="K40" s="67">
        <v>0</v>
      </c>
      <c r="M40" s="45"/>
      <c r="N40" s="45"/>
      <c r="O40" s="45"/>
      <c r="P40" s="45"/>
      <c r="Q40" s="45"/>
      <c r="R40" s="45"/>
      <c r="S40" s="45"/>
      <c r="T40" s="45"/>
      <c r="U40" s="45"/>
      <c r="V40" s="45"/>
      <c r="W40" s="45"/>
      <c r="X40" s="45"/>
      <c r="Y40" s="45"/>
      <c r="Z40" s="56"/>
      <c r="AA40" s="137"/>
      <c r="AB40" s="138" t="s">
        <v>119</v>
      </c>
      <c r="AC40" s="138"/>
      <c r="AD40" s="138" t="s">
        <v>61</v>
      </c>
      <c r="AE40" s="170">
        <f>SUM(AE38:AE39)</f>
        <v>116865</v>
      </c>
      <c r="AF40" s="170">
        <f>SUM(AF38:AF39)</f>
        <v>11690</v>
      </c>
      <c r="AG40" s="170">
        <f>SUM(AG38:AG39)</f>
        <v>121466</v>
      </c>
      <c r="AH40" s="170">
        <f>SUM(AH38:AH39)</f>
        <v>11690</v>
      </c>
      <c r="AI40" s="170">
        <f>SUM(AI38:AI39)</f>
        <v>0</v>
      </c>
      <c r="AJ40" s="171">
        <f>SUM(AE40:AI40)</f>
        <v>261711</v>
      </c>
    </row>
    <row r="41" spans="1:61" hidden="1">
      <c r="A41" s="7" t="s">
        <v>266</v>
      </c>
      <c r="B41" s="40"/>
      <c r="C41" s="40" t="s">
        <v>216</v>
      </c>
      <c r="D41" s="40"/>
      <c r="E41" s="40" t="s">
        <v>231</v>
      </c>
      <c r="F41" s="40"/>
      <c r="G41" s="38"/>
      <c r="H41" s="51"/>
      <c r="I41" s="53"/>
      <c r="J41" s="160">
        <v>0</v>
      </c>
      <c r="K41" s="67">
        <v>0</v>
      </c>
      <c r="M41" s="45"/>
      <c r="N41" s="45"/>
      <c r="O41" s="45"/>
      <c r="P41" s="45"/>
      <c r="Q41" s="45"/>
      <c r="R41" s="45"/>
      <c r="S41" s="45"/>
      <c r="T41" s="45"/>
      <c r="U41" s="45"/>
      <c r="V41" s="45"/>
      <c r="W41" s="45"/>
      <c r="X41" s="45"/>
      <c r="Y41" s="45"/>
      <c r="Z41" s="56"/>
    </row>
    <row r="42" spans="1:61" hidden="1">
      <c r="A42" s="7" t="s">
        <v>267</v>
      </c>
      <c r="B42" s="40"/>
      <c r="C42" s="40" t="s">
        <v>216</v>
      </c>
      <c r="D42" s="40"/>
      <c r="E42" s="40" t="s">
        <v>231</v>
      </c>
      <c r="F42" s="40"/>
      <c r="G42" s="38"/>
      <c r="H42" s="51"/>
      <c r="I42" s="53"/>
      <c r="J42" s="160">
        <v>0</v>
      </c>
      <c r="K42" s="67">
        <v>0</v>
      </c>
      <c r="M42" s="45"/>
      <c r="N42" s="45"/>
      <c r="O42" s="45"/>
      <c r="P42" s="45"/>
      <c r="Q42" s="45"/>
      <c r="R42" s="45"/>
      <c r="S42" s="45"/>
      <c r="T42" s="45"/>
      <c r="U42" s="45"/>
      <c r="V42" s="45"/>
      <c r="W42" s="45"/>
      <c r="X42" s="45"/>
      <c r="Y42" s="45"/>
      <c r="Z42" s="56"/>
    </row>
    <row r="43" spans="1:61" hidden="1">
      <c r="A43" s="8" t="s">
        <v>268</v>
      </c>
      <c r="B43" s="166"/>
      <c r="C43" s="166" t="s">
        <v>216</v>
      </c>
      <c r="D43" s="166"/>
      <c r="E43" s="166" t="s">
        <v>231</v>
      </c>
      <c r="F43" s="166"/>
      <c r="G43" s="39"/>
      <c r="H43" s="167"/>
      <c r="I43" s="168"/>
      <c r="J43" s="169">
        <v>0</v>
      </c>
      <c r="K43" s="159">
        <v>0</v>
      </c>
      <c r="M43" s="45"/>
      <c r="N43" s="45"/>
      <c r="O43" s="45"/>
      <c r="P43" s="45"/>
      <c r="Q43" s="45"/>
      <c r="R43" s="45"/>
      <c r="S43" s="45"/>
      <c r="T43" s="45"/>
      <c r="U43" s="45"/>
      <c r="V43" s="45"/>
      <c r="W43" s="45"/>
      <c r="X43" s="45"/>
      <c r="Y43" s="45"/>
      <c r="Z43" s="56"/>
    </row>
    <row r="44" spans="1:61">
      <c r="A44" s="4" t="s">
        <v>269</v>
      </c>
      <c r="B44" s="151" t="s">
        <v>270</v>
      </c>
      <c r="C44" s="151"/>
      <c r="D44" s="151"/>
      <c r="E44" s="151"/>
      <c r="F44" s="151"/>
      <c r="G44" s="152"/>
      <c r="H44" s="153"/>
      <c r="I44" s="154"/>
      <c r="J44" s="153"/>
      <c r="K44" s="172"/>
      <c r="L44" s="70">
        <v>275600</v>
      </c>
      <c r="M44" s="45"/>
      <c r="N44" s="45"/>
      <c r="O44" s="45"/>
      <c r="P44" s="45"/>
      <c r="Q44" s="45"/>
      <c r="R44" s="45"/>
      <c r="S44" s="45"/>
      <c r="T44" s="45"/>
      <c r="U44" s="45"/>
      <c r="V44" s="45"/>
      <c r="W44" s="45"/>
      <c r="X44" s="45"/>
      <c r="Y44" s="45"/>
      <c r="Z44" s="56"/>
    </row>
    <row r="45" spans="1:61">
      <c r="A45" s="6" t="s">
        <v>271</v>
      </c>
      <c r="B45" s="47" t="s">
        <v>272</v>
      </c>
      <c r="C45" s="47" t="s">
        <v>216</v>
      </c>
      <c r="D45" s="47" t="s">
        <v>228</v>
      </c>
      <c r="E45" s="47" t="s">
        <v>239</v>
      </c>
      <c r="F45" s="47" t="s">
        <v>273</v>
      </c>
      <c r="G45" s="42">
        <v>12</v>
      </c>
      <c r="H45" s="461">
        <v>10800</v>
      </c>
      <c r="I45" s="63">
        <v>0</v>
      </c>
      <c r="J45" s="67">
        <v>10800</v>
      </c>
      <c r="K45" s="67">
        <v>129600</v>
      </c>
      <c r="M45" s="45" t="s">
        <v>274</v>
      </c>
      <c r="N45" s="45"/>
      <c r="O45" s="45"/>
      <c r="P45" s="45"/>
      <c r="Q45" s="45"/>
      <c r="R45" s="45"/>
      <c r="S45" s="45"/>
      <c r="T45" s="45"/>
      <c r="U45" s="45"/>
      <c r="V45" s="45"/>
      <c r="W45" s="45"/>
      <c r="X45" s="45"/>
      <c r="Y45" s="45"/>
      <c r="Z45" s="56"/>
      <c r="AY45" s="55">
        <v>145637</v>
      </c>
      <c r="BE45" s="56" t="s">
        <v>123</v>
      </c>
      <c r="BF45" s="56"/>
      <c r="BG45" s="56" t="s">
        <v>129</v>
      </c>
      <c r="BH45" s="56" t="s">
        <v>111</v>
      </c>
      <c r="BI45" s="56" t="s">
        <v>138</v>
      </c>
    </row>
    <row r="46" spans="1:61">
      <c r="A46" s="7" t="s">
        <v>275</v>
      </c>
      <c r="B46" s="40" t="s">
        <v>276</v>
      </c>
      <c r="C46" s="40" t="s">
        <v>216</v>
      </c>
      <c r="D46" s="40" t="s">
        <v>238</v>
      </c>
      <c r="E46" s="40" t="s">
        <v>239</v>
      </c>
      <c r="F46" s="40" t="s">
        <v>108</v>
      </c>
      <c r="G46" s="38">
        <v>14</v>
      </c>
      <c r="H46" s="54">
        <v>6500</v>
      </c>
      <c r="I46" s="53">
        <v>0</v>
      </c>
      <c r="J46" s="462">
        <v>6500</v>
      </c>
      <c r="K46" s="67">
        <v>91000</v>
      </c>
      <c r="L46" s="112"/>
      <c r="M46" s="45"/>
      <c r="N46" s="45"/>
      <c r="O46" s="45"/>
      <c r="P46" s="45"/>
      <c r="Q46" s="45"/>
      <c r="R46" s="45"/>
      <c r="S46" s="45"/>
      <c r="T46" s="45"/>
      <c r="U46" s="45"/>
      <c r="V46" s="45"/>
      <c r="W46" s="45"/>
      <c r="X46" s="45"/>
      <c r="Y46" s="45"/>
      <c r="Z46" s="56"/>
      <c r="AY46" s="55">
        <v>505788</v>
      </c>
      <c r="BE46" s="770">
        <f>26738+14573</f>
        <v>41311</v>
      </c>
      <c r="BF46" s="770"/>
      <c r="BG46" s="770">
        <v>9811</v>
      </c>
      <c r="BH46" s="770">
        <f>28098+20414</f>
        <v>48512</v>
      </c>
      <c r="BI46" s="770">
        <v>9811</v>
      </c>
    </row>
    <row r="47" spans="1:61">
      <c r="A47" s="7" t="s">
        <v>277</v>
      </c>
      <c r="B47" s="40" t="s">
        <v>278</v>
      </c>
      <c r="C47" s="40" t="s">
        <v>216</v>
      </c>
      <c r="D47" s="40" t="s">
        <v>223</v>
      </c>
      <c r="E47" s="40" t="s">
        <v>73</v>
      </c>
      <c r="F47" s="40" t="s">
        <v>71</v>
      </c>
      <c r="G47" s="38">
        <v>1</v>
      </c>
      <c r="H47" s="54"/>
      <c r="I47" s="53"/>
      <c r="J47" s="462">
        <v>0</v>
      </c>
      <c r="K47" s="67">
        <v>0</v>
      </c>
      <c r="L47" s="194"/>
      <c r="M47" s="45"/>
      <c r="N47" s="45"/>
      <c r="O47" s="45"/>
      <c r="P47" s="45"/>
      <c r="Q47" s="45"/>
      <c r="R47" s="45"/>
      <c r="S47" s="45"/>
      <c r="T47" s="45"/>
      <c r="U47" s="45"/>
      <c r="V47" s="45"/>
      <c r="W47" s="45"/>
      <c r="X47" s="45"/>
      <c r="Y47" s="45"/>
      <c r="Z47" s="56"/>
      <c r="AY47" s="55">
        <f>AY46/AY45</f>
        <v>3.4729361357347379</v>
      </c>
      <c r="BE47" s="770">
        <f>28744+20323</f>
        <v>49067</v>
      </c>
      <c r="BF47" s="770"/>
      <c r="BG47" s="770">
        <v>10036</v>
      </c>
      <c r="BH47" s="770">
        <f>28888+22223</f>
        <v>51111</v>
      </c>
      <c r="BI47" s="770">
        <v>10036</v>
      </c>
    </row>
    <row r="48" spans="1:61">
      <c r="A48" s="7" t="s">
        <v>279</v>
      </c>
      <c r="B48" s="40" t="s">
        <v>280</v>
      </c>
      <c r="C48" s="40" t="s">
        <v>216</v>
      </c>
      <c r="D48" s="40" t="s">
        <v>242</v>
      </c>
      <c r="E48" s="40" t="s">
        <v>73</v>
      </c>
      <c r="F48" s="40" t="s">
        <v>71</v>
      </c>
      <c r="G48" s="38">
        <v>4</v>
      </c>
      <c r="H48" s="54">
        <v>10000</v>
      </c>
      <c r="I48" s="53">
        <v>0</v>
      </c>
      <c r="J48" s="462">
        <v>10000</v>
      </c>
      <c r="K48" s="67">
        <v>40000</v>
      </c>
      <c r="M48" s="45"/>
      <c r="N48" s="45"/>
      <c r="O48" s="45"/>
      <c r="P48" s="45"/>
      <c r="Q48" s="45"/>
      <c r="R48" s="45"/>
      <c r="S48" s="45"/>
      <c r="T48" s="45"/>
      <c r="U48" s="45"/>
      <c r="V48" s="45"/>
      <c r="W48" s="45"/>
      <c r="X48" s="45"/>
      <c r="Y48" s="45"/>
      <c r="Z48" s="56"/>
      <c r="BE48" s="770">
        <f>28744+20323</f>
        <v>49067</v>
      </c>
      <c r="BF48" s="770"/>
      <c r="BG48" s="770"/>
      <c r="BH48" s="770">
        <f>28888+22223</f>
        <v>51111</v>
      </c>
      <c r="BI48" s="770"/>
    </row>
    <row r="49" spans="1:62">
      <c r="A49" s="7" t="s">
        <v>281</v>
      </c>
      <c r="B49" s="40" t="s">
        <v>282</v>
      </c>
      <c r="C49" s="40" t="s">
        <v>283</v>
      </c>
      <c r="D49" s="40" t="s">
        <v>250</v>
      </c>
      <c r="E49" s="40" t="s">
        <v>73</v>
      </c>
      <c r="F49" s="40" t="s">
        <v>71</v>
      </c>
      <c r="G49" s="38">
        <v>1</v>
      </c>
      <c r="H49" s="54">
        <v>15000</v>
      </c>
      <c r="I49" s="53">
        <v>0</v>
      </c>
      <c r="J49" s="462">
        <v>15000</v>
      </c>
      <c r="K49" s="67">
        <v>15000</v>
      </c>
      <c r="M49" s="45"/>
      <c r="N49" s="45"/>
      <c r="O49" s="45"/>
      <c r="P49" s="45"/>
      <c r="Q49" s="45"/>
      <c r="R49" s="45"/>
      <c r="S49" s="45"/>
      <c r="T49" s="45"/>
      <c r="U49" s="45"/>
      <c r="V49" s="45"/>
      <c r="W49" s="45"/>
      <c r="X49" s="45"/>
      <c r="Y49" s="45"/>
      <c r="Z49" s="56"/>
      <c r="BE49" s="770">
        <f>SUM(BE46:BE48)</f>
        <v>139445</v>
      </c>
      <c r="BF49" s="770"/>
      <c r="BG49" s="770">
        <f>SUM(BG46:BG48)</f>
        <v>19847</v>
      </c>
      <c r="BH49" s="770">
        <f>SUM(BH46:BH48)</f>
        <v>150734</v>
      </c>
      <c r="BI49" s="770">
        <f>SUM(BI46:BI48)</f>
        <v>19847</v>
      </c>
      <c r="BJ49" s="194">
        <f>SUM(BE49:BI49)</f>
        <v>329873</v>
      </c>
    </row>
    <row r="50" spans="1:62">
      <c r="A50" s="4" t="s">
        <v>284</v>
      </c>
      <c r="B50" s="151" t="s">
        <v>285</v>
      </c>
      <c r="C50" s="151"/>
      <c r="D50" s="151"/>
      <c r="E50" s="151"/>
      <c r="F50" s="151"/>
      <c r="G50" s="152"/>
      <c r="H50" s="153"/>
      <c r="I50" s="154"/>
      <c r="J50" s="153"/>
      <c r="K50" s="172"/>
      <c r="L50" s="70">
        <v>609026.97560000001</v>
      </c>
      <c r="M50" s="45"/>
      <c r="N50" s="45"/>
      <c r="O50" s="45"/>
      <c r="P50" s="45"/>
      <c r="Q50" s="45"/>
      <c r="R50" s="45"/>
      <c r="S50" s="45"/>
      <c r="T50" s="45"/>
      <c r="U50" s="45"/>
      <c r="V50" s="45"/>
      <c r="W50" s="45"/>
      <c r="X50" s="45"/>
      <c r="Y50" s="45"/>
      <c r="Z50" s="56"/>
      <c r="BE50" s="770"/>
      <c r="BF50" s="770"/>
      <c r="BG50" s="770"/>
      <c r="BH50" s="770"/>
      <c r="BI50" s="770"/>
    </row>
    <row r="51" spans="1:62">
      <c r="A51" s="6" t="s">
        <v>286</v>
      </c>
      <c r="B51" s="47" t="s">
        <v>287</v>
      </c>
      <c r="C51" s="47" t="s">
        <v>216</v>
      </c>
      <c r="D51" s="47" t="s">
        <v>228</v>
      </c>
      <c r="E51" s="47" t="s">
        <v>73</v>
      </c>
      <c r="F51" s="47" t="s">
        <v>288</v>
      </c>
      <c r="G51" s="42">
        <v>59616.52</v>
      </c>
      <c r="H51" s="61">
        <v>4.03</v>
      </c>
      <c r="I51" s="63">
        <v>0</v>
      </c>
      <c r="J51" s="66">
        <v>4.03</v>
      </c>
      <c r="K51" s="67">
        <v>240254.57560000001</v>
      </c>
      <c r="M51" s="45"/>
      <c r="N51" s="45"/>
      <c r="O51" s="45"/>
      <c r="P51" s="45"/>
      <c r="Q51" s="45"/>
      <c r="R51" s="45"/>
      <c r="S51" s="45"/>
      <c r="T51" s="45"/>
      <c r="U51" s="45"/>
      <c r="V51" s="45"/>
      <c r="W51" s="45"/>
      <c r="X51" s="45"/>
      <c r="Y51" s="45"/>
      <c r="Z51" s="56"/>
      <c r="BE51" s="770"/>
      <c r="BF51" s="770"/>
      <c r="BG51" s="770"/>
      <c r="BH51" s="770"/>
      <c r="BI51" s="770"/>
    </row>
    <row r="52" spans="1:62">
      <c r="A52" s="7" t="s">
        <v>289</v>
      </c>
      <c r="B52" s="40" t="s">
        <v>290</v>
      </c>
      <c r="C52" s="40" t="s">
        <v>216</v>
      </c>
      <c r="D52" s="40" t="s">
        <v>228</v>
      </c>
      <c r="E52" s="40" t="s">
        <v>6</v>
      </c>
      <c r="F52" s="40" t="s">
        <v>107</v>
      </c>
      <c r="G52" s="38">
        <v>4</v>
      </c>
      <c r="H52" s="54">
        <v>4100</v>
      </c>
      <c r="I52" s="53">
        <v>0</v>
      </c>
      <c r="J52" s="67">
        <v>4100</v>
      </c>
      <c r="K52" s="67">
        <v>16400</v>
      </c>
      <c r="M52" s="45"/>
      <c r="N52" s="45"/>
      <c r="O52" s="45"/>
      <c r="P52" s="45"/>
      <c r="Q52" s="45"/>
      <c r="R52" s="45"/>
      <c r="S52" s="45"/>
      <c r="T52" s="45"/>
      <c r="U52" s="45"/>
      <c r="V52" s="45"/>
      <c r="W52" s="45"/>
      <c r="X52" s="45"/>
      <c r="Y52" s="45"/>
      <c r="Z52" s="56"/>
    </row>
    <row r="53" spans="1:62">
      <c r="A53" s="7" t="s">
        <v>291</v>
      </c>
      <c r="B53" s="40" t="s">
        <v>292</v>
      </c>
      <c r="C53" s="40" t="s">
        <v>216</v>
      </c>
      <c r="D53" s="40" t="s">
        <v>228</v>
      </c>
      <c r="E53" s="40" t="s">
        <v>239</v>
      </c>
      <c r="F53" s="40" t="s">
        <v>186</v>
      </c>
      <c r="G53" s="38">
        <v>30</v>
      </c>
      <c r="H53" s="54">
        <v>2250</v>
      </c>
      <c r="I53" s="53">
        <v>0</v>
      </c>
      <c r="J53" s="67">
        <v>2250</v>
      </c>
      <c r="K53" s="67">
        <v>67500</v>
      </c>
      <c r="L53" s="194"/>
      <c r="M53" s="45"/>
      <c r="N53" s="45"/>
      <c r="O53" s="45"/>
      <c r="P53" s="45"/>
      <c r="Q53" s="45"/>
      <c r="R53" s="45"/>
      <c r="S53" s="45"/>
      <c r="T53" s="45"/>
      <c r="U53" s="45"/>
      <c r="V53" s="45"/>
      <c r="W53" s="45"/>
      <c r="X53" s="45"/>
      <c r="Y53" s="45"/>
      <c r="Z53" s="56"/>
    </row>
    <row r="54" spans="1:62">
      <c r="A54" s="7" t="s">
        <v>293</v>
      </c>
      <c r="B54" s="40" t="s">
        <v>292</v>
      </c>
      <c r="C54" s="40" t="s">
        <v>216</v>
      </c>
      <c r="D54" s="40" t="s">
        <v>228</v>
      </c>
      <c r="E54" s="40" t="s">
        <v>231</v>
      </c>
      <c r="F54" s="40"/>
      <c r="G54" s="38"/>
      <c r="H54" s="54">
        <v>0</v>
      </c>
      <c r="I54" s="53">
        <v>0</v>
      </c>
      <c r="J54" s="67">
        <v>0</v>
      </c>
      <c r="K54" s="67">
        <v>0</v>
      </c>
      <c r="L54" s="194"/>
      <c r="M54" s="45"/>
      <c r="N54" s="45"/>
      <c r="O54" s="45"/>
      <c r="P54" s="45"/>
      <c r="Q54" s="45"/>
      <c r="R54" s="45"/>
      <c r="S54" s="45"/>
      <c r="T54" s="45"/>
      <c r="U54" s="45"/>
      <c r="V54" s="45"/>
      <c r="W54" s="45"/>
      <c r="X54" s="45"/>
      <c r="Y54" s="45"/>
      <c r="Z54" s="56"/>
    </row>
    <row r="55" spans="1:62">
      <c r="A55" s="7" t="s">
        <v>294</v>
      </c>
      <c r="B55" s="40" t="s">
        <v>295</v>
      </c>
      <c r="C55" s="40" t="s">
        <v>216</v>
      </c>
      <c r="D55" s="40" t="s">
        <v>242</v>
      </c>
      <c r="E55" s="40" t="s">
        <v>231</v>
      </c>
      <c r="F55" s="40"/>
      <c r="G55" s="38"/>
      <c r="H55" s="54">
        <v>0</v>
      </c>
      <c r="I55" s="53">
        <v>0</v>
      </c>
      <c r="J55" s="67">
        <v>0</v>
      </c>
      <c r="K55" s="67">
        <v>0</v>
      </c>
      <c r="M55" s="45"/>
      <c r="N55" s="45"/>
      <c r="O55" s="45"/>
      <c r="P55" s="45"/>
      <c r="Q55" s="45"/>
      <c r="R55" s="45"/>
      <c r="S55" s="45"/>
      <c r="T55" s="45"/>
      <c r="U55" s="45"/>
      <c r="V55" s="45"/>
      <c r="W55" s="45"/>
      <c r="X55" s="45"/>
      <c r="Y55" s="45"/>
      <c r="Z55" s="56"/>
    </row>
    <row r="56" spans="1:62">
      <c r="A56" s="7" t="s">
        <v>296</v>
      </c>
      <c r="B56" s="40" t="s">
        <v>297</v>
      </c>
      <c r="C56" s="40" t="s">
        <v>216</v>
      </c>
      <c r="D56" s="40" t="s">
        <v>250</v>
      </c>
      <c r="E56" s="40" t="s">
        <v>239</v>
      </c>
      <c r="F56" s="40" t="s">
        <v>108</v>
      </c>
      <c r="G56" s="38">
        <v>1</v>
      </c>
      <c r="H56" s="54">
        <v>2000</v>
      </c>
      <c r="I56" s="53">
        <v>0</v>
      </c>
      <c r="J56" s="67">
        <v>2000</v>
      </c>
      <c r="K56" s="67">
        <v>2000</v>
      </c>
      <c r="M56" s="45"/>
      <c r="N56" s="45"/>
      <c r="O56" s="45"/>
      <c r="P56" s="45"/>
      <c r="Q56" s="45"/>
      <c r="R56" s="45"/>
      <c r="S56" s="45"/>
      <c r="T56" s="45"/>
      <c r="U56" s="45"/>
      <c r="V56" s="45"/>
      <c r="W56" s="45"/>
      <c r="X56" s="45"/>
      <c r="Y56" s="45"/>
      <c r="Z56" s="56"/>
    </row>
    <row r="57" spans="1:62">
      <c r="A57" s="7" t="s">
        <v>298</v>
      </c>
      <c r="B57" s="40" t="s">
        <v>299</v>
      </c>
      <c r="C57" s="40" t="s">
        <v>216</v>
      </c>
      <c r="D57" s="40" t="s">
        <v>228</v>
      </c>
      <c r="E57" s="40" t="s">
        <v>239</v>
      </c>
      <c r="F57" s="40" t="s">
        <v>148</v>
      </c>
      <c r="G57" s="38">
        <v>3074.7</v>
      </c>
      <c r="H57" s="54">
        <v>92</v>
      </c>
      <c r="I57" s="53">
        <v>0</v>
      </c>
      <c r="J57" s="67">
        <v>92</v>
      </c>
      <c r="K57" s="67">
        <v>282872.39999999997</v>
      </c>
      <c r="M57" s="45" t="s">
        <v>300</v>
      </c>
      <c r="N57" s="45"/>
      <c r="O57" s="45"/>
      <c r="P57" s="45"/>
      <c r="Q57" s="45"/>
      <c r="R57" s="45"/>
      <c r="S57" s="45"/>
      <c r="T57" s="45"/>
      <c r="U57" s="45"/>
      <c r="V57" s="45"/>
      <c r="W57" s="45"/>
      <c r="X57" s="45"/>
      <c r="Y57" s="45"/>
      <c r="Z57" s="56"/>
    </row>
    <row r="58" spans="1:62">
      <c r="A58" s="7" t="s">
        <v>301</v>
      </c>
      <c r="B58" s="40" t="s">
        <v>302</v>
      </c>
      <c r="C58" s="40" t="s">
        <v>216</v>
      </c>
      <c r="D58" s="40" t="s">
        <v>303</v>
      </c>
      <c r="E58" s="40" t="s">
        <v>231</v>
      </c>
      <c r="F58" s="40"/>
      <c r="G58" s="38"/>
      <c r="H58" s="54">
        <v>0</v>
      </c>
      <c r="I58" s="53">
        <v>0</v>
      </c>
      <c r="J58" s="67">
        <v>0</v>
      </c>
      <c r="K58" s="67">
        <v>0</v>
      </c>
      <c r="M58" s="45"/>
      <c r="N58" s="45"/>
      <c r="O58" s="45"/>
      <c r="P58" s="45"/>
      <c r="Q58" s="45"/>
      <c r="R58" s="45"/>
      <c r="S58" s="45"/>
      <c r="T58" s="45"/>
      <c r="U58" s="45"/>
      <c r="V58" s="45"/>
      <c r="W58" s="45"/>
      <c r="X58" s="45"/>
      <c r="Y58" s="45"/>
      <c r="Z58" s="56"/>
      <c r="BE58" s="55" t="s">
        <v>304</v>
      </c>
    </row>
    <row r="59" spans="1:62">
      <c r="A59" s="4" t="s">
        <v>305</v>
      </c>
      <c r="B59" s="151" t="s">
        <v>306</v>
      </c>
      <c r="C59" s="151"/>
      <c r="D59" s="151"/>
      <c r="E59" s="151"/>
      <c r="F59" s="151"/>
      <c r="G59" s="152"/>
      <c r="H59" s="153"/>
      <c r="I59" s="154"/>
      <c r="J59" s="153"/>
      <c r="K59" s="172"/>
      <c r="L59" s="70">
        <v>9324491</v>
      </c>
      <c r="M59" s="45"/>
      <c r="N59" s="45"/>
      <c r="O59" s="45"/>
      <c r="P59" s="45"/>
      <c r="Q59" s="45"/>
      <c r="R59" s="45"/>
      <c r="S59" s="45"/>
      <c r="T59" s="45"/>
      <c r="U59" s="45"/>
      <c r="V59" s="45"/>
      <c r="W59" s="45"/>
      <c r="X59" s="45"/>
      <c r="Y59" s="45"/>
      <c r="Z59" s="56"/>
      <c r="BE59" s="55" t="s">
        <v>123</v>
      </c>
      <c r="BG59" s="56" t="s">
        <v>129</v>
      </c>
      <c r="BH59" s="55" t="s">
        <v>111</v>
      </c>
      <c r="BI59" s="56" t="s">
        <v>138</v>
      </c>
    </row>
    <row r="60" spans="1:62">
      <c r="A60" s="6" t="s">
        <v>307</v>
      </c>
      <c r="B60" s="47" t="s">
        <v>308</v>
      </c>
      <c r="C60" s="47" t="s">
        <v>216</v>
      </c>
      <c r="D60" s="47" t="s">
        <v>309</v>
      </c>
      <c r="E60" s="47"/>
      <c r="F60" s="47"/>
      <c r="G60" s="42"/>
      <c r="H60" s="61">
        <v>0</v>
      </c>
      <c r="I60" s="63">
        <v>0</v>
      </c>
      <c r="J60" s="67">
        <v>0</v>
      </c>
      <c r="K60" s="67">
        <v>0</v>
      </c>
      <c r="M60" s="45"/>
      <c r="N60" s="45"/>
      <c r="O60" s="45"/>
      <c r="P60" s="45"/>
      <c r="Q60" s="45"/>
      <c r="R60" s="45"/>
      <c r="S60" s="45"/>
      <c r="T60" s="45"/>
      <c r="U60" s="45"/>
      <c r="V60" s="45"/>
      <c r="W60" s="45"/>
      <c r="X60" s="45"/>
      <c r="Y60" s="45"/>
      <c r="Z60" s="56"/>
      <c r="BE60" s="770">
        <f>34267-26738</f>
        <v>7529</v>
      </c>
      <c r="BF60" s="770"/>
      <c r="BG60" s="770">
        <f>24339-9711-10036</f>
        <v>4592</v>
      </c>
      <c r="BH60" s="770">
        <f>108549-28098-28888-28888</f>
        <v>22675</v>
      </c>
      <c r="BI60" s="770">
        <f>24339-9711-10036</f>
        <v>4592</v>
      </c>
    </row>
    <row r="61" spans="1:62">
      <c r="A61" s="7" t="s">
        <v>310</v>
      </c>
      <c r="B61" s="40" t="s">
        <v>311</v>
      </c>
      <c r="C61" s="40" t="s">
        <v>216</v>
      </c>
      <c r="D61" s="40" t="s">
        <v>228</v>
      </c>
      <c r="E61" s="206" t="s">
        <v>312</v>
      </c>
      <c r="F61" s="40" t="s">
        <v>61</v>
      </c>
      <c r="G61" s="38">
        <v>422635</v>
      </c>
      <c r="H61" s="51">
        <v>18</v>
      </c>
      <c r="I61" s="53">
        <v>0</v>
      </c>
      <c r="J61" s="66">
        <v>18</v>
      </c>
      <c r="K61" s="594">
        <v>7607430</v>
      </c>
      <c r="M61" s="596" t="s">
        <v>313</v>
      </c>
      <c r="N61" s="45"/>
      <c r="O61" s="45"/>
      <c r="P61" s="45"/>
      <c r="Q61" s="45"/>
      <c r="R61" s="45"/>
      <c r="S61" s="45"/>
      <c r="T61" s="45"/>
      <c r="U61" s="45"/>
      <c r="V61" s="45"/>
      <c r="W61" s="45"/>
      <c r="X61" s="45"/>
      <c r="Y61" s="45"/>
      <c r="Z61" s="56"/>
      <c r="BE61" s="770">
        <f>35267-28744</f>
        <v>6523</v>
      </c>
      <c r="BF61" s="770"/>
      <c r="BG61" s="770"/>
      <c r="BH61" s="770">
        <f>26740-20414+27152-22223+27170-22223</f>
        <v>16202</v>
      </c>
    </row>
    <row r="62" spans="1:62">
      <c r="A62" s="7" t="s">
        <v>314</v>
      </c>
      <c r="B62" s="40" t="s">
        <v>311</v>
      </c>
      <c r="C62" s="40" t="s">
        <v>216</v>
      </c>
      <c r="D62" s="40" t="s">
        <v>228</v>
      </c>
      <c r="E62" s="40" t="s">
        <v>231</v>
      </c>
      <c r="F62" s="40"/>
      <c r="G62" s="38"/>
      <c r="H62" s="51"/>
      <c r="I62" s="53">
        <v>0</v>
      </c>
      <c r="J62" s="67">
        <v>0</v>
      </c>
      <c r="K62" s="67">
        <v>0</v>
      </c>
      <c r="M62" s="45"/>
      <c r="N62" s="45"/>
      <c r="O62" s="45"/>
      <c r="P62" s="45"/>
      <c r="Q62" s="45"/>
      <c r="R62" s="45"/>
      <c r="S62" s="45"/>
      <c r="T62" s="45"/>
      <c r="U62" s="45"/>
      <c r="V62" s="45"/>
      <c r="W62" s="45"/>
      <c r="X62" s="45"/>
      <c r="Y62" s="45"/>
      <c r="Z62" s="56"/>
      <c r="BE62" s="770">
        <f>35321-28744</f>
        <v>6577</v>
      </c>
      <c r="BF62" s="770"/>
      <c r="BG62" s="770"/>
      <c r="BH62" s="770"/>
      <c r="BI62" s="770"/>
    </row>
    <row r="63" spans="1:62">
      <c r="A63" s="7" t="s">
        <v>315</v>
      </c>
      <c r="B63" s="40" t="s">
        <v>316</v>
      </c>
      <c r="C63" s="40" t="s">
        <v>216</v>
      </c>
      <c r="D63" s="40" t="s">
        <v>303</v>
      </c>
      <c r="E63" s="40" t="s">
        <v>73</v>
      </c>
      <c r="F63" s="40" t="s">
        <v>71</v>
      </c>
      <c r="G63" s="38">
        <v>1</v>
      </c>
      <c r="H63" s="54">
        <v>15000</v>
      </c>
      <c r="I63" s="53">
        <v>0</v>
      </c>
      <c r="J63" s="67">
        <v>15000</v>
      </c>
      <c r="K63" s="67">
        <v>15000</v>
      </c>
      <c r="M63" s="45"/>
      <c r="N63" s="45"/>
      <c r="O63" s="45"/>
      <c r="P63" s="45"/>
      <c r="Q63" s="45"/>
      <c r="R63" s="45"/>
      <c r="S63" s="45"/>
      <c r="T63" s="45"/>
      <c r="U63" s="45"/>
      <c r="V63" s="45"/>
      <c r="W63" s="45"/>
      <c r="X63" s="45"/>
      <c r="Y63" s="45"/>
      <c r="Z63" s="56"/>
      <c r="BE63" s="770">
        <f>25934-14573</f>
        <v>11361</v>
      </c>
      <c r="BF63" s="770"/>
      <c r="BG63" s="770"/>
      <c r="BH63" s="770"/>
      <c r="BI63" s="770"/>
    </row>
    <row r="64" spans="1:62">
      <c r="A64" s="7" t="s">
        <v>317</v>
      </c>
      <c r="B64" s="40" t="s">
        <v>318</v>
      </c>
      <c r="C64" s="40" t="s">
        <v>216</v>
      </c>
      <c r="D64" s="40" t="s">
        <v>303</v>
      </c>
      <c r="E64" s="40" t="s">
        <v>73</v>
      </c>
      <c r="F64" s="40" t="s">
        <v>71</v>
      </c>
      <c r="G64" s="38">
        <v>8</v>
      </c>
      <c r="H64" s="54">
        <v>2500</v>
      </c>
      <c r="I64" s="53">
        <v>0</v>
      </c>
      <c r="J64" s="67">
        <v>2500</v>
      </c>
      <c r="K64" s="67">
        <v>20000</v>
      </c>
      <c r="M64" s="45"/>
      <c r="N64" s="45"/>
      <c r="O64" s="45"/>
      <c r="P64" s="45"/>
      <c r="Q64" s="45"/>
      <c r="R64" s="45"/>
      <c r="S64" s="45"/>
      <c r="T64" s="45"/>
      <c r="U64" s="45"/>
      <c r="V64" s="45"/>
      <c r="W64" s="45"/>
      <c r="X64" s="45"/>
      <c r="Y64" s="45"/>
      <c r="Z64" s="56"/>
      <c r="BE64" s="770">
        <f>26745-20323</f>
        <v>6422</v>
      </c>
      <c r="BF64" s="770"/>
      <c r="BG64" s="770"/>
      <c r="BH64" s="770"/>
      <c r="BI64" s="770"/>
    </row>
    <row r="65" spans="1:62" hidden="1">
      <c r="A65" s="7" t="s">
        <v>319</v>
      </c>
      <c r="B65" s="40" t="s">
        <v>320</v>
      </c>
      <c r="C65" s="40" t="s">
        <v>216</v>
      </c>
      <c r="D65" s="40" t="s">
        <v>303</v>
      </c>
      <c r="E65" s="40" t="s">
        <v>231</v>
      </c>
      <c r="F65" s="40"/>
      <c r="G65" s="38"/>
      <c r="H65" s="54"/>
      <c r="I65" s="53">
        <v>0</v>
      </c>
      <c r="J65" s="67">
        <v>0</v>
      </c>
      <c r="K65" s="67">
        <v>0</v>
      </c>
      <c r="M65" s="45"/>
      <c r="N65" s="45"/>
      <c r="O65" s="45"/>
      <c r="P65" s="45"/>
      <c r="Q65" s="45"/>
      <c r="R65" s="45"/>
      <c r="S65" s="45"/>
      <c r="T65" s="45"/>
      <c r="U65" s="45"/>
      <c r="V65" s="45"/>
      <c r="W65" s="45"/>
      <c r="X65" s="45"/>
      <c r="Y65" s="45"/>
      <c r="Z65" s="56"/>
      <c r="BE65" s="770"/>
      <c r="BF65" s="770"/>
      <c r="BG65" s="770"/>
      <c r="BH65" s="770"/>
      <c r="BI65" s="770"/>
    </row>
    <row r="66" spans="1:62" hidden="1">
      <c r="A66" s="7" t="s">
        <v>321</v>
      </c>
      <c r="B66" s="40" t="s">
        <v>322</v>
      </c>
      <c r="C66" s="40" t="s">
        <v>216</v>
      </c>
      <c r="D66" s="40" t="s">
        <v>228</v>
      </c>
      <c r="E66" s="40" t="s">
        <v>231</v>
      </c>
      <c r="F66" s="40"/>
      <c r="G66" s="38"/>
      <c r="H66" s="54"/>
      <c r="I66" s="53">
        <v>0</v>
      </c>
      <c r="J66" s="67">
        <v>0</v>
      </c>
      <c r="K66" s="67">
        <v>0</v>
      </c>
      <c r="M66" s="45"/>
      <c r="N66" s="45"/>
      <c r="O66" s="45"/>
      <c r="P66" s="45"/>
      <c r="Q66" s="45"/>
      <c r="R66" s="45"/>
      <c r="S66" s="45"/>
      <c r="T66" s="45"/>
      <c r="U66" s="45"/>
      <c r="V66" s="45"/>
      <c r="W66" s="45"/>
      <c r="X66" s="45"/>
      <c r="Y66" s="45"/>
      <c r="Z66" s="56"/>
      <c r="BE66" s="770"/>
      <c r="BF66" s="770"/>
      <c r="BG66" s="770"/>
      <c r="BH66" s="770"/>
      <c r="BI66" s="770"/>
    </row>
    <row r="67" spans="1:62" hidden="1">
      <c r="A67" s="7" t="s">
        <v>323</v>
      </c>
      <c r="B67" s="40" t="s">
        <v>322</v>
      </c>
      <c r="C67" s="40" t="s">
        <v>216</v>
      </c>
      <c r="D67" s="40" t="s">
        <v>250</v>
      </c>
      <c r="E67" s="40" t="s">
        <v>231</v>
      </c>
      <c r="F67" s="40"/>
      <c r="G67" s="38"/>
      <c r="H67" s="54"/>
      <c r="I67" s="53">
        <v>0</v>
      </c>
      <c r="J67" s="67">
        <v>0</v>
      </c>
      <c r="K67" s="67">
        <v>0</v>
      </c>
      <c r="M67" s="45"/>
      <c r="N67" s="45"/>
      <c r="O67" s="45"/>
      <c r="P67" s="45"/>
      <c r="Q67" s="45"/>
      <c r="R67" s="45"/>
      <c r="S67" s="45"/>
      <c r="T67" s="45"/>
      <c r="U67" s="45"/>
      <c r="V67" s="45"/>
      <c r="W67" s="45"/>
      <c r="X67" s="45"/>
      <c r="Y67" s="45"/>
      <c r="Z67" s="56"/>
      <c r="BE67" s="770"/>
      <c r="BF67" s="770"/>
      <c r="BG67" s="770"/>
      <c r="BH67" s="770"/>
      <c r="BI67" s="770"/>
    </row>
    <row r="68" spans="1:62">
      <c r="A68" s="52" t="s">
        <v>324</v>
      </c>
      <c r="B68" s="40" t="s">
        <v>325</v>
      </c>
      <c r="C68" s="40" t="s">
        <v>216</v>
      </c>
      <c r="D68" s="40" t="s">
        <v>228</v>
      </c>
      <c r="E68" s="40" t="s">
        <v>326</v>
      </c>
      <c r="F68" s="40" t="s">
        <v>166</v>
      </c>
      <c r="G68" s="38">
        <v>329873</v>
      </c>
      <c r="H68" s="51">
        <v>3.5481958208158897</v>
      </c>
      <c r="I68" s="53">
        <v>0</v>
      </c>
      <c r="J68" s="66">
        <v>3.5481958208158897</v>
      </c>
      <c r="K68" s="67">
        <v>1170454</v>
      </c>
      <c r="L68" s="194"/>
      <c r="M68" s="45" t="s">
        <v>327</v>
      </c>
      <c r="N68" s="45"/>
      <c r="O68" s="45"/>
      <c r="P68" s="45"/>
      <c r="Q68" s="45"/>
      <c r="R68" s="45"/>
      <c r="S68" s="45"/>
      <c r="T68" s="45"/>
      <c r="U68" s="45"/>
      <c r="V68" s="45"/>
      <c r="W68" s="45"/>
      <c r="X68" s="45"/>
      <c r="Y68" s="45"/>
      <c r="Z68" s="56"/>
      <c r="BE68" s="770">
        <f>26781-20323</f>
        <v>6458</v>
      </c>
      <c r="BF68" s="770"/>
      <c r="BG68" s="770"/>
      <c r="BH68" s="770"/>
      <c r="BI68" s="770"/>
    </row>
    <row r="69" spans="1:62">
      <c r="A69" s="7" t="s">
        <v>328</v>
      </c>
      <c r="B69" s="40" t="s">
        <v>325</v>
      </c>
      <c r="C69" s="40" t="s">
        <v>216</v>
      </c>
      <c r="D69" s="40" t="s">
        <v>303</v>
      </c>
      <c r="E69" s="40" t="s">
        <v>326</v>
      </c>
      <c r="F69" s="40" t="s">
        <v>329</v>
      </c>
      <c r="G69" s="38">
        <v>87842</v>
      </c>
      <c r="H69" s="51">
        <v>5.7148858177181756</v>
      </c>
      <c r="I69" s="53">
        <v>0</v>
      </c>
      <c r="J69" s="66">
        <v>5.7148858177181756</v>
      </c>
      <c r="K69" s="67">
        <v>502007</v>
      </c>
      <c r="M69" s="45" t="s">
        <v>330</v>
      </c>
      <c r="N69" s="45"/>
      <c r="O69" s="45"/>
      <c r="P69" s="45"/>
      <c r="Q69" s="45"/>
      <c r="R69" s="45"/>
      <c r="S69" s="45"/>
      <c r="T69" s="45"/>
      <c r="U69" s="45"/>
      <c r="V69" s="45"/>
      <c r="W69" s="45"/>
      <c r="X69" s="45"/>
      <c r="Y69" s="45"/>
      <c r="Z69" s="56"/>
      <c r="BE69" s="770">
        <f>SUM(BE60:BE68)</f>
        <v>44870</v>
      </c>
      <c r="BF69" s="770"/>
      <c r="BG69" s="770">
        <f>SUM(BG60:BG68)</f>
        <v>4592</v>
      </c>
      <c r="BH69" s="770">
        <f>SUM(BH60:BH68)</f>
        <v>38877</v>
      </c>
      <c r="BI69" s="770">
        <f>SUM(BI60:BI68)</f>
        <v>4592</v>
      </c>
      <c r="BJ69" s="194">
        <f>SUM(BE69:BI69)</f>
        <v>92931</v>
      </c>
    </row>
    <row r="70" spans="1:62">
      <c r="A70" s="7" t="s">
        <v>331</v>
      </c>
      <c r="B70" s="40" t="s">
        <v>332</v>
      </c>
      <c r="C70" s="40" t="s">
        <v>216</v>
      </c>
      <c r="D70" s="40" t="s">
        <v>303</v>
      </c>
      <c r="E70" s="40" t="s">
        <v>73</v>
      </c>
      <c r="F70" s="40" t="s">
        <v>71</v>
      </c>
      <c r="G70" s="38">
        <v>8</v>
      </c>
      <c r="H70" s="54">
        <v>1200</v>
      </c>
      <c r="I70" s="53">
        <v>0</v>
      </c>
      <c r="J70" s="67">
        <v>1200</v>
      </c>
      <c r="K70" s="67">
        <v>9600</v>
      </c>
      <c r="M70" s="45"/>
      <c r="N70" s="45"/>
      <c r="O70" s="45"/>
      <c r="P70" s="45"/>
      <c r="Q70" s="45"/>
      <c r="R70" s="45"/>
      <c r="S70" s="45"/>
      <c r="T70" s="45"/>
      <c r="U70" s="45"/>
      <c r="V70" s="45"/>
      <c r="W70" s="45"/>
      <c r="X70" s="45"/>
      <c r="Y70" s="45"/>
      <c r="Z70" s="56"/>
      <c r="BE70" s="770"/>
      <c r="BF70" s="770"/>
      <c r="BG70" s="770"/>
      <c r="BH70" s="770"/>
      <c r="BI70" s="770"/>
    </row>
    <row r="71" spans="1:62">
      <c r="A71" s="7" t="s">
        <v>333</v>
      </c>
      <c r="B71" s="40" t="s">
        <v>334</v>
      </c>
      <c r="C71" s="40" t="s">
        <v>216</v>
      </c>
      <c r="D71" s="40" t="s">
        <v>228</v>
      </c>
      <c r="E71" s="40" t="s">
        <v>231</v>
      </c>
      <c r="F71" s="40"/>
      <c r="G71" s="38"/>
      <c r="H71" s="51"/>
      <c r="I71" s="53">
        <v>0</v>
      </c>
      <c r="J71" s="67">
        <v>0</v>
      </c>
      <c r="K71" s="67">
        <v>0</v>
      </c>
      <c r="M71" s="45"/>
      <c r="N71" s="45"/>
      <c r="O71" s="45"/>
      <c r="P71" s="45"/>
      <c r="Q71" s="45"/>
      <c r="R71" s="45"/>
      <c r="S71" s="45"/>
      <c r="T71" s="45"/>
      <c r="U71" s="45"/>
      <c r="V71" s="45"/>
      <c r="W71" s="45"/>
      <c r="X71" s="45"/>
      <c r="Y71" s="45"/>
      <c r="Z71" s="56"/>
      <c r="BE71" s="770"/>
      <c r="BF71" s="770"/>
      <c r="BG71" s="770"/>
      <c r="BH71" s="770"/>
      <c r="BI71" s="770"/>
    </row>
    <row r="72" spans="1:62">
      <c r="A72" s="4" t="s">
        <v>335</v>
      </c>
      <c r="B72" s="151" t="s">
        <v>336</v>
      </c>
      <c r="C72" s="760" t="s">
        <v>337</v>
      </c>
      <c r="D72" s="151"/>
      <c r="E72" s="151"/>
      <c r="F72" s="151"/>
      <c r="G72" s="152"/>
      <c r="H72" s="153"/>
      <c r="I72" s="154"/>
      <c r="J72" s="153"/>
      <c r="K72" s="172"/>
      <c r="L72" s="70">
        <v>2237303.7714999998</v>
      </c>
      <c r="M72" s="45"/>
      <c r="N72" s="45"/>
      <c r="O72" s="45"/>
      <c r="P72" s="45"/>
      <c r="Q72" s="45"/>
      <c r="R72" s="45"/>
      <c r="S72" s="45"/>
      <c r="T72" s="45"/>
      <c r="U72" s="45"/>
      <c r="V72" s="45"/>
      <c r="W72" s="45"/>
      <c r="X72" s="45"/>
      <c r="Y72" s="45"/>
      <c r="Z72" s="56"/>
      <c r="BE72" s="770"/>
      <c r="BF72" s="770"/>
      <c r="BG72" s="770"/>
      <c r="BH72" s="770"/>
      <c r="BI72" s="770"/>
    </row>
    <row r="73" spans="1:62">
      <c r="A73" s="6" t="s">
        <v>338</v>
      </c>
      <c r="B73" s="47" t="s">
        <v>339</v>
      </c>
      <c r="C73" s="47" t="s">
        <v>216</v>
      </c>
      <c r="D73" s="47" t="s">
        <v>228</v>
      </c>
      <c r="E73" s="595" t="s">
        <v>239</v>
      </c>
      <c r="F73" s="47" t="s">
        <v>61</v>
      </c>
      <c r="G73" s="42">
        <v>422635</v>
      </c>
      <c r="H73" s="61">
        <v>2.5</v>
      </c>
      <c r="I73" s="63">
        <v>0</v>
      </c>
      <c r="J73" s="66">
        <v>2.5</v>
      </c>
      <c r="K73" s="594">
        <v>1056587.5</v>
      </c>
      <c r="M73" s="596" t="s">
        <v>340</v>
      </c>
      <c r="N73" s="596"/>
      <c r="O73" s="596"/>
      <c r="P73" s="596"/>
      <c r="Q73" s="596"/>
      <c r="R73" s="596"/>
      <c r="S73" s="596"/>
      <c r="T73" s="596"/>
      <c r="U73" s="596"/>
      <c r="V73" s="596"/>
      <c r="W73" s="596"/>
      <c r="X73" s="596"/>
      <c r="Y73" s="596"/>
      <c r="Z73" s="56"/>
      <c r="BE73" s="770"/>
      <c r="BF73" s="770"/>
      <c r="BG73" s="770"/>
      <c r="BH73" s="770"/>
      <c r="BI73" s="770"/>
    </row>
    <row r="74" spans="1:62">
      <c r="A74" s="7" t="s">
        <v>154</v>
      </c>
      <c r="B74" s="40" t="s">
        <v>341</v>
      </c>
      <c r="C74" s="40" t="s">
        <v>216</v>
      </c>
      <c r="D74" s="40" t="s">
        <v>228</v>
      </c>
      <c r="E74" s="40" t="s">
        <v>312</v>
      </c>
      <c r="F74" s="40" t="s">
        <v>342</v>
      </c>
      <c r="G74" s="38">
        <v>1734.0110999999999</v>
      </c>
      <c r="H74" s="54">
        <v>565</v>
      </c>
      <c r="I74" s="53">
        <v>0</v>
      </c>
      <c r="J74" s="54">
        <v>565</v>
      </c>
      <c r="K74" s="54">
        <v>979716.27149999992</v>
      </c>
      <c r="M74" s="596" t="s">
        <v>343</v>
      </c>
      <c r="N74" s="45"/>
      <c r="O74" s="45"/>
      <c r="P74" s="45"/>
      <c r="Q74" s="45"/>
      <c r="R74" s="45"/>
      <c r="S74" s="45"/>
      <c r="T74" s="45"/>
      <c r="U74" s="45"/>
      <c r="V74" s="45"/>
      <c r="W74" s="45"/>
      <c r="X74" s="45"/>
      <c r="Y74" s="45"/>
      <c r="Z74" s="56"/>
    </row>
    <row r="75" spans="1:62">
      <c r="A75" s="7" t="s">
        <v>344</v>
      </c>
      <c r="B75" s="40" t="s">
        <v>345</v>
      </c>
      <c r="C75" s="40" t="s">
        <v>216</v>
      </c>
      <c r="D75" s="40" t="s">
        <v>303</v>
      </c>
      <c r="E75" s="40" t="s">
        <v>73</v>
      </c>
      <c r="F75" s="40" t="s">
        <v>71</v>
      </c>
      <c r="G75" s="38">
        <v>1</v>
      </c>
      <c r="H75" s="54">
        <v>5500</v>
      </c>
      <c r="I75" s="53">
        <v>0</v>
      </c>
      <c r="J75" s="54">
        <v>5500</v>
      </c>
      <c r="K75" s="54">
        <v>5500</v>
      </c>
      <c r="M75" s="45"/>
      <c r="N75" s="45"/>
      <c r="O75" s="45"/>
      <c r="P75" s="45"/>
      <c r="Q75" s="45"/>
      <c r="R75" s="45"/>
      <c r="S75" s="45"/>
      <c r="T75" s="45"/>
      <c r="U75" s="45"/>
      <c r="V75" s="45"/>
      <c r="W75" s="45"/>
      <c r="X75" s="45"/>
      <c r="Y75" s="45"/>
      <c r="Z75" s="56"/>
    </row>
    <row r="76" spans="1:62">
      <c r="A76" s="7" t="s">
        <v>346</v>
      </c>
      <c r="B76" s="40" t="s">
        <v>345</v>
      </c>
      <c r="C76" s="40" t="s">
        <v>216</v>
      </c>
      <c r="D76" s="40" t="s">
        <v>235</v>
      </c>
      <c r="E76" s="40" t="s">
        <v>73</v>
      </c>
      <c r="F76" s="40" t="s">
        <v>71</v>
      </c>
      <c r="G76" s="38">
        <v>1</v>
      </c>
      <c r="H76" s="54">
        <v>9500</v>
      </c>
      <c r="I76" s="53">
        <v>0</v>
      </c>
      <c r="J76" s="54">
        <v>9500</v>
      </c>
      <c r="K76" s="54">
        <v>9500</v>
      </c>
      <c r="M76" s="45"/>
      <c r="N76" s="45"/>
      <c r="O76" s="45"/>
      <c r="P76" s="45"/>
      <c r="Q76" s="45"/>
      <c r="R76" s="45"/>
      <c r="S76" s="45"/>
      <c r="T76" s="45"/>
      <c r="U76" s="45"/>
      <c r="V76" s="45"/>
      <c r="W76" s="45"/>
      <c r="X76" s="45"/>
      <c r="Y76" s="45"/>
      <c r="Z76" s="56"/>
    </row>
    <row r="77" spans="1:62">
      <c r="A77" s="7" t="s">
        <v>347</v>
      </c>
      <c r="B77" s="40" t="s">
        <v>348</v>
      </c>
      <c r="C77" s="40" t="s">
        <v>216</v>
      </c>
      <c r="D77" s="40" t="s">
        <v>250</v>
      </c>
      <c r="E77" s="40" t="s">
        <v>73</v>
      </c>
      <c r="F77" s="40" t="s">
        <v>71</v>
      </c>
      <c r="G77" s="38">
        <v>0</v>
      </c>
      <c r="H77" s="54">
        <v>7500</v>
      </c>
      <c r="I77" s="53">
        <v>0</v>
      </c>
      <c r="J77" s="54">
        <v>7500</v>
      </c>
      <c r="K77" s="54">
        <v>0</v>
      </c>
      <c r="M77" s="45"/>
      <c r="N77" s="45"/>
      <c r="O77" s="45"/>
      <c r="P77" s="45"/>
      <c r="Q77" s="45"/>
      <c r="R77" s="45"/>
      <c r="S77" s="45"/>
      <c r="T77" s="45"/>
      <c r="U77" s="45"/>
      <c r="V77" s="45"/>
      <c r="W77" s="45"/>
      <c r="X77" s="45"/>
      <c r="Y77" s="45"/>
      <c r="Z77" s="56"/>
    </row>
    <row r="78" spans="1:62">
      <c r="A78" s="7" t="s">
        <v>349</v>
      </c>
      <c r="B78" s="40" t="s">
        <v>350</v>
      </c>
      <c r="C78" s="40" t="s">
        <v>216</v>
      </c>
      <c r="D78" s="40" t="s">
        <v>238</v>
      </c>
      <c r="E78" s="40" t="s">
        <v>239</v>
      </c>
      <c r="F78" s="40" t="s">
        <v>108</v>
      </c>
      <c r="G78" s="38">
        <v>14</v>
      </c>
      <c r="H78" s="54">
        <v>6500</v>
      </c>
      <c r="I78" s="53">
        <v>0</v>
      </c>
      <c r="J78" s="54">
        <v>6500</v>
      </c>
      <c r="K78" s="54">
        <v>91000</v>
      </c>
      <c r="L78" s="194"/>
      <c r="M78" s="45"/>
      <c r="N78" s="45"/>
      <c r="O78" s="45"/>
      <c r="P78" s="45"/>
      <c r="Q78" s="45"/>
      <c r="R78" s="45"/>
      <c r="S78" s="45"/>
      <c r="T78" s="45"/>
      <c r="U78" s="45"/>
      <c r="V78" s="45"/>
      <c r="W78" s="45"/>
      <c r="X78" s="45"/>
      <c r="Y78" s="45"/>
      <c r="Z78" s="56"/>
    </row>
    <row r="79" spans="1:62">
      <c r="A79" s="7" t="s">
        <v>351</v>
      </c>
      <c r="B79" s="40" t="s">
        <v>352</v>
      </c>
      <c r="C79" s="40" t="s">
        <v>216</v>
      </c>
      <c r="D79" s="40" t="s">
        <v>228</v>
      </c>
      <c r="E79" s="40" t="s">
        <v>73</v>
      </c>
      <c r="F79" s="40" t="s">
        <v>71</v>
      </c>
      <c r="G79" s="38">
        <v>1</v>
      </c>
      <c r="H79" s="54">
        <v>25000</v>
      </c>
      <c r="I79" s="53">
        <v>0</v>
      </c>
      <c r="J79" s="54">
        <v>25000</v>
      </c>
      <c r="K79" s="54">
        <v>25000</v>
      </c>
      <c r="M79" s="1120"/>
      <c r="N79" s="1120"/>
      <c r="O79" s="1120"/>
      <c r="P79" s="1120"/>
      <c r="Q79" s="1120"/>
      <c r="R79" s="1120"/>
      <c r="S79" s="1120"/>
      <c r="T79" s="1120"/>
      <c r="U79" s="1120"/>
      <c r="V79" s="1120"/>
      <c r="W79" s="1120"/>
      <c r="X79" s="1120"/>
      <c r="Y79" s="1120"/>
      <c r="Z79" s="56"/>
    </row>
    <row r="80" spans="1:62">
      <c r="A80" s="7" t="s">
        <v>353</v>
      </c>
      <c r="B80" s="40" t="s">
        <v>354</v>
      </c>
      <c r="C80" s="40" t="s">
        <v>216</v>
      </c>
      <c r="D80" s="40" t="s">
        <v>228</v>
      </c>
      <c r="E80" s="40" t="s">
        <v>73</v>
      </c>
      <c r="F80" s="40" t="s">
        <v>71</v>
      </c>
      <c r="G80" s="38">
        <v>1</v>
      </c>
      <c r="H80" s="54">
        <v>25000</v>
      </c>
      <c r="I80" s="53">
        <v>0</v>
      </c>
      <c r="J80" s="54">
        <v>25000</v>
      </c>
      <c r="K80" s="54">
        <v>25000</v>
      </c>
      <c r="M80" s="1120"/>
      <c r="N80" s="1120"/>
      <c r="O80" s="1120"/>
      <c r="P80" s="1120"/>
      <c r="Q80" s="1120"/>
      <c r="R80" s="1120"/>
      <c r="S80" s="1120"/>
      <c r="T80" s="1120"/>
      <c r="U80" s="1120"/>
      <c r="V80" s="1120"/>
      <c r="W80" s="1120"/>
      <c r="X80" s="1120"/>
      <c r="Y80" s="1120"/>
      <c r="Z80" s="56"/>
    </row>
    <row r="81" spans="1:26">
      <c r="A81" s="7" t="s">
        <v>355</v>
      </c>
      <c r="B81" s="40" t="s">
        <v>356</v>
      </c>
      <c r="C81" s="40" t="s">
        <v>216</v>
      </c>
      <c r="D81" s="40" t="s">
        <v>228</v>
      </c>
      <c r="E81" s="40" t="s">
        <v>239</v>
      </c>
      <c r="F81" s="40" t="s">
        <v>108</v>
      </c>
      <c r="G81" s="38">
        <v>10</v>
      </c>
      <c r="H81" s="54">
        <v>1750</v>
      </c>
      <c r="I81" s="53">
        <v>0</v>
      </c>
      <c r="J81" s="54">
        <v>1750</v>
      </c>
      <c r="K81" s="54">
        <v>17500</v>
      </c>
      <c r="M81" s="45" t="s">
        <v>357</v>
      </c>
      <c r="N81" s="45"/>
      <c r="O81" s="45"/>
      <c r="P81" s="45"/>
      <c r="Q81" s="45"/>
      <c r="R81" s="45"/>
      <c r="S81" s="45"/>
      <c r="T81" s="45"/>
      <c r="U81" s="45"/>
      <c r="V81" s="45"/>
      <c r="W81" s="45"/>
      <c r="X81" s="45"/>
      <c r="Y81" s="45"/>
      <c r="Z81" s="56"/>
    </row>
    <row r="82" spans="1:26">
      <c r="A82" s="7" t="s">
        <v>358</v>
      </c>
      <c r="B82" s="40" t="s">
        <v>359</v>
      </c>
      <c r="C82" s="40" t="s">
        <v>216</v>
      </c>
      <c r="D82" s="40" t="s">
        <v>228</v>
      </c>
      <c r="E82" s="40" t="s">
        <v>239</v>
      </c>
      <c r="F82" s="40" t="s">
        <v>108</v>
      </c>
      <c r="G82" s="38">
        <v>10</v>
      </c>
      <c r="H82" s="54">
        <v>2750</v>
      </c>
      <c r="I82" s="53">
        <v>0</v>
      </c>
      <c r="J82" s="54">
        <v>2750</v>
      </c>
      <c r="K82" s="54">
        <v>27500</v>
      </c>
      <c r="M82" s="45" t="s">
        <v>357</v>
      </c>
      <c r="N82" s="45"/>
      <c r="O82" s="45"/>
      <c r="P82" s="45"/>
      <c r="Q82" s="45"/>
      <c r="R82" s="45"/>
      <c r="S82" s="45"/>
      <c r="T82" s="45"/>
      <c r="U82" s="45"/>
      <c r="V82" s="45"/>
      <c r="W82" s="45"/>
      <c r="X82" s="45"/>
      <c r="Y82" s="45"/>
      <c r="Z82" s="56"/>
    </row>
    <row r="83" spans="1:26">
      <c r="A83" s="7" t="s">
        <v>360</v>
      </c>
      <c r="B83" s="40" t="s">
        <v>361</v>
      </c>
      <c r="C83" s="40" t="s">
        <v>216</v>
      </c>
      <c r="D83" s="40" t="s">
        <v>228</v>
      </c>
      <c r="E83" s="40" t="s">
        <v>231</v>
      </c>
      <c r="F83" s="40"/>
      <c r="G83" s="38"/>
      <c r="H83" s="51"/>
      <c r="I83" s="53">
        <v>0</v>
      </c>
      <c r="J83" s="54">
        <v>0</v>
      </c>
      <c r="K83" s="54">
        <v>0</v>
      </c>
      <c r="L83" s="14"/>
      <c r="M83" s="45"/>
      <c r="N83" s="45"/>
      <c r="O83" s="45"/>
      <c r="P83" s="45"/>
      <c r="Q83" s="45"/>
      <c r="R83" s="45"/>
      <c r="S83" s="45"/>
      <c r="T83" s="45"/>
      <c r="U83" s="45"/>
      <c r="V83" s="45"/>
      <c r="W83" s="45"/>
      <c r="X83" s="45"/>
      <c r="Y83" s="45"/>
      <c r="Z83" s="56"/>
    </row>
    <row r="84" spans="1:26">
      <c r="A84" s="4" t="s">
        <v>362</v>
      </c>
      <c r="B84" s="151" t="s">
        <v>363</v>
      </c>
      <c r="C84" s="760" t="s">
        <v>337</v>
      </c>
      <c r="D84" s="151"/>
      <c r="E84" s="151"/>
      <c r="F84" s="151"/>
      <c r="G84" s="152"/>
      <c r="H84" s="153"/>
      <c r="I84" s="154"/>
      <c r="J84" s="153"/>
      <c r="K84" s="172"/>
      <c r="L84" s="70">
        <v>690619</v>
      </c>
      <c r="M84" s="45"/>
      <c r="N84" s="45"/>
      <c r="O84" s="45"/>
      <c r="P84" s="45"/>
      <c r="Q84" s="45"/>
      <c r="R84" s="45"/>
      <c r="S84" s="45"/>
      <c r="T84" s="45"/>
      <c r="U84" s="45"/>
      <c r="V84" s="45"/>
      <c r="W84" s="45"/>
      <c r="X84" s="45"/>
      <c r="Y84" s="45"/>
      <c r="Z84" s="56"/>
    </row>
    <row r="85" spans="1:26">
      <c r="A85" s="6" t="s">
        <v>307</v>
      </c>
      <c r="B85" s="47" t="s">
        <v>364</v>
      </c>
      <c r="C85" s="47" t="s">
        <v>216</v>
      </c>
      <c r="D85" s="47" t="s">
        <v>309</v>
      </c>
      <c r="E85" s="47"/>
      <c r="F85" s="47"/>
      <c r="G85" s="42"/>
      <c r="H85" s="461">
        <v>79</v>
      </c>
      <c r="I85" s="63">
        <v>0</v>
      </c>
      <c r="J85" s="67">
        <v>79</v>
      </c>
      <c r="K85" s="67">
        <v>0</v>
      </c>
      <c r="M85" s="45"/>
      <c r="N85" s="45"/>
      <c r="O85" s="45"/>
      <c r="P85" s="45"/>
      <c r="Q85" s="45"/>
      <c r="R85" s="45"/>
      <c r="S85" s="45"/>
      <c r="T85" s="45"/>
      <c r="U85" s="45"/>
      <c r="V85" s="45"/>
      <c r="W85" s="45"/>
      <c r="X85" s="45"/>
      <c r="Y85" s="45"/>
      <c r="Z85" s="56"/>
    </row>
    <row r="86" spans="1:26" hidden="1">
      <c r="A86" s="7" t="s">
        <v>365</v>
      </c>
      <c r="B86" s="40" t="s">
        <v>366</v>
      </c>
      <c r="C86" s="40" t="s">
        <v>216</v>
      </c>
      <c r="D86" s="40" t="s">
        <v>303</v>
      </c>
      <c r="E86" s="40" t="s">
        <v>231</v>
      </c>
      <c r="F86" s="40"/>
      <c r="G86" s="38"/>
      <c r="H86" s="54"/>
      <c r="I86" s="53">
        <v>0</v>
      </c>
      <c r="J86" s="54">
        <v>0</v>
      </c>
      <c r="K86" s="54">
        <v>0</v>
      </c>
      <c r="M86" s="45"/>
      <c r="N86" s="45"/>
      <c r="O86" s="45"/>
      <c r="P86" s="45"/>
      <c r="Q86" s="45"/>
      <c r="R86" s="45"/>
      <c r="S86" s="45"/>
      <c r="T86" s="45"/>
      <c r="U86" s="45"/>
      <c r="V86" s="45"/>
      <c r="W86" s="45"/>
      <c r="X86" s="45"/>
      <c r="Y86" s="45"/>
      <c r="Z86" s="56"/>
    </row>
    <row r="87" spans="1:26" hidden="1">
      <c r="A87" s="7" t="s">
        <v>367</v>
      </c>
      <c r="B87" s="40" t="s">
        <v>368</v>
      </c>
      <c r="C87" s="40" t="s">
        <v>216</v>
      </c>
      <c r="D87" s="40" t="s">
        <v>303</v>
      </c>
      <c r="E87" s="40" t="s">
        <v>369</v>
      </c>
      <c r="F87" s="40"/>
      <c r="G87" s="38"/>
      <c r="H87" s="54"/>
      <c r="I87" s="53">
        <v>0</v>
      </c>
      <c r="J87" s="54">
        <v>0</v>
      </c>
      <c r="K87" s="54">
        <v>0</v>
      </c>
      <c r="M87" s="45"/>
      <c r="N87" s="45"/>
      <c r="O87" s="45"/>
      <c r="P87" s="45"/>
      <c r="Q87" s="45"/>
      <c r="R87" s="45"/>
      <c r="S87" s="45"/>
      <c r="T87" s="45"/>
      <c r="U87" s="45"/>
      <c r="V87" s="45"/>
      <c r="W87" s="45"/>
      <c r="X87" s="45"/>
      <c r="Y87" s="45"/>
      <c r="Z87" s="56"/>
    </row>
    <row r="88" spans="1:26" hidden="1">
      <c r="A88" s="7" t="s">
        <v>370</v>
      </c>
      <c r="B88" s="40" t="s">
        <v>368</v>
      </c>
      <c r="C88" s="40" t="s">
        <v>216</v>
      </c>
      <c r="D88" s="40" t="s">
        <v>228</v>
      </c>
      <c r="E88" s="40" t="s">
        <v>231</v>
      </c>
      <c r="F88" s="40"/>
      <c r="G88" s="38"/>
      <c r="H88" s="54"/>
      <c r="I88" s="53">
        <v>0</v>
      </c>
      <c r="J88" s="54">
        <v>0</v>
      </c>
      <c r="K88" s="54">
        <v>0</v>
      </c>
      <c r="M88" s="45"/>
      <c r="N88" s="45"/>
      <c r="O88" s="45"/>
      <c r="P88" s="45"/>
      <c r="Q88" s="45"/>
      <c r="R88" s="45"/>
      <c r="S88" s="45"/>
      <c r="T88" s="45"/>
      <c r="U88" s="45"/>
      <c r="V88" s="45"/>
      <c r="W88" s="45"/>
      <c r="X88" s="45"/>
      <c r="Y88" s="45"/>
      <c r="Z88" s="56"/>
    </row>
    <row r="89" spans="1:26" hidden="1">
      <c r="A89" s="7" t="s">
        <v>371</v>
      </c>
      <c r="B89" s="40" t="s">
        <v>372</v>
      </c>
      <c r="C89" s="40" t="s">
        <v>216</v>
      </c>
      <c r="D89" s="40" t="s">
        <v>228</v>
      </c>
      <c r="E89" s="40" t="s">
        <v>231</v>
      </c>
      <c r="F89" s="40"/>
      <c r="G89" s="38"/>
      <c r="H89" s="54"/>
      <c r="I89" s="53">
        <v>0</v>
      </c>
      <c r="J89" s="54">
        <v>0</v>
      </c>
      <c r="K89" s="54">
        <v>0</v>
      </c>
      <c r="M89" s="45"/>
      <c r="N89" s="45"/>
      <c r="O89" s="45"/>
      <c r="P89" s="45"/>
      <c r="Q89" s="45"/>
      <c r="R89" s="45"/>
      <c r="S89" s="45"/>
      <c r="T89" s="45"/>
      <c r="U89" s="45"/>
      <c r="V89" s="45"/>
      <c r="W89" s="45"/>
      <c r="X89" s="45"/>
      <c r="Y89" s="45"/>
      <c r="Z89" s="56"/>
    </row>
    <row r="90" spans="1:26">
      <c r="A90" s="7" t="s">
        <v>373</v>
      </c>
      <c r="B90" s="40" t="s">
        <v>374</v>
      </c>
      <c r="C90" s="40" t="s">
        <v>216</v>
      </c>
      <c r="D90" s="40" t="s">
        <v>228</v>
      </c>
      <c r="E90" s="40" t="s">
        <v>239</v>
      </c>
      <c r="F90" s="40" t="s">
        <v>375</v>
      </c>
      <c r="G90" s="42">
        <v>390</v>
      </c>
      <c r="H90" s="54">
        <v>1336</v>
      </c>
      <c r="I90" s="53">
        <v>0.1</v>
      </c>
      <c r="J90" s="54">
        <v>1469.6000000000001</v>
      </c>
      <c r="K90" s="54">
        <v>573144</v>
      </c>
      <c r="L90" s="112"/>
      <c r="M90" s="45" t="s">
        <v>376</v>
      </c>
      <c r="N90" s="45"/>
      <c r="O90" s="45"/>
      <c r="P90" s="45"/>
      <c r="Q90" s="45"/>
      <c r="R90" s="45"/>
      <c r="S90" s="45"/>
      <c r="T90" s="45"/>
      <c r="U90" s="45"/>
      <c r="V90" s="45"/>
      <c r="W90" s="45"/>
      <c r="X90" s="45"/>
      <c r="Y90" s="45"/>
      <c r="Z90" s="56"/>
    </row>
    <row r="91" spans="1:26">
      <c r="A91" s="7" t="s">
        <v>377</v>
      </c>
      <c r="B91" s="40" t="s">
        <v>374</v>
      </c>
      <c r="C91" s="40" t="s">
        <v>233</v>
      </c>
      <c r="D91" s="40" t="s">
        <v>228</v>
      </c>
      <c r="E91" s="40" t="s">
        <v>73</v>
      </c>
      <c r="F91" s="40" t="s">
        <v>375</v>
      </c>
      <c r="G91" s="42">
        <v>390</v>
      </c>
      <c r="H91" s="54">
        <v>50</v>
      </c>
      <c r="I91" s="53">
        <v>0</v>
      </c>
      <c r="J91" s="54">
        <v>50</v>
      </c>
      <c r="K91" s="54">
        <v>19500</v>
      </c>
      <c r="M91" s="45"/>
      <c r="N91" s="45"/>
      <c r="O91" s="45"/>
      <c r="P91" s="45"/>
      <c r="Q91" s="45"/>
      <c r="R91" s="45"/>
      <c r="S91" s="45"/>
      <c r="T91" s="45"/>
      <c r="U91" s="45"/>
      <c r="V91" s="45"/>
      <c r="W91" s="45"/>
      <c r="X91" s="45"/>
      <c r="Y91" s="45"/>
      <c r="Z91" s="56"/>
    </row>
    <row r="92" spans="1:26" hidden="1">
      <c r="A92" s="7" t="s">
        <v>378</v>
      </c>
      <c r="B92" s="40" t="s">
        <v>379</v>
      </c>
      <c r="C92" s="40" t="s">
        <v>216</v>
      </c>
      <c r="D92" s="40" t="s">
        <v>250</v>
      </c>
      <c r="E92" s="40" t="s">
        <v>231</v>
      </c>
      <c r="F92" s="40"/>
      <c r="G92" s="38"/>
      <c r="H92" s="54"/>
      <c r="I92" s="53">
        <v>0</v>
      </c>
      <c r="J92" s="54">
        <v>0</v>
      </c>
      <c r="K92" s="54">
        <v>0</v>
      </c>
      <c r="M92" s="45"/>
      <c r="N92" s="45"/>
      <c r="O92" s="45"/>
      <c r="P92" s="45"/>
      <c r="Q92" s="45"/>
      <c r="R92" s="45"/>
      <c r="S92" s="45"/>
      <c r="T92" s="45"/>
      <c r="U92" s="45"/>
      <c r="V92" s="45"/>
      <c r="W92" s="45"/>
      <c r="X92" s="45"/>
      <c r="Y92" s="45"/>
      <c r="Z92" s="56"/>
    </row>
    <row r="93" spans="1:26" hidden="1">
      <c r="A93" s="7" t="s">
        <v>380</v>
      </c>
      <c r="B93" s="40" t="s">
        <v>381</v>
      </c>
      <c r="C93" s="40" t="s">
        <v>216</v>
      </c>
      <c r="D93" s="40" t="s">
        <v>242</v>
      </c>
      <c r="E93" s="40" t="s">
        <v>231</v>
      </c>
      <c r="F93" s="40"/>
      <c r="G93" s="38"/>
      <c r="H93" s="54"/>
      <c r="I93" s="53">
        <v>0</v>
      </c>
      <c r="J93" s="54">
        <v>0</v>
      </c>
      <c r="K93" s="54">
        <v>0</v>
      </c>
      <c r="M93" s="45"/>
      <c r="N93" s="45"/>
      <c r="O93" s="45"/>
      <c r="P93" s="45"/>
      <c r="Q93" s="45"/>
      <c r="R93" s="45"/>
      <c r="S93" s="45"/>
      <c r="T93" s="45"/>
      <c r="U93" s="45"/>
      <c r="V93" s="45"/>
      <c r="W93" s="45"/>
      <c r="X93" s="45"/>
      <c r="Y93" s="45"/>
      <c r="Z93" s="56"/>
    </row>
    <row r="94" spans="1:26" hidden="1">
      <c r="A94" s="7" t="s">
        <v>382</v>
      </c>
      <c r="B94" s="40" t="s">
        <v>383</v>
      </c>
      <c r="C94" s="40" t="s">
        <v>216</v>
      </c>
      <c r="D94" s="40" t="s">
        <v>228</v>
      </c>
      <c r="E94" s="40" t="s">
        <v>231</v>
      </c>
      <c r="F94" s="40"/>
      <c r="G94" s="38"/>
      <c r="H94" s="54"/>
      <c r="I94" s="53">
        <v>0</v>
      </c>
      <c r="J94" s="54">
        <v>0</v>
      </c>
      <c r="K94" s="54">
        <v>0</v>
      </c>
      <c r="M94" s="45"/>
      <c r="N94" s="45"/>
      <c r="O94" s="45"/>
      <c r="P94" s="45"/>
      <c r="Q94" s="45"/>
      <c r="R94" s="45"/>
      <c r="S94" s="45"/>
      <c r="T94" s="45"/>
      <c r="U94" s="45"/>
      <c r="V94" s="45"/>
      <c r="W94" s="45"/>
      <c r="X94" s="45"/>
      <c r="Y94" s="45"/>
      <c r="Z94" s="56"/>
    </row>
    <row r="95" spans="1:26" hidden="1">
      <c r="A95" s="7" t="s">
        <v>384</v>
      </c>
      <c r="B95" s="40" t="s">
        <v>385</v>
      </c>
      <c r="C95" s="40" t="s">
        <v>216</v>
      </c>
      <c r="D95" s="40" t="s">
        <v>228</v>
      </c>
      <c r="E95" s="40" t="s">
        <v>231</v>
      </c>
      <c r="F95" s="40"/>
      <c r="G95" s="38"/>
      <c r="H95" s="54"/>
      <c r="I95" s="53">
        <v>0</v>
      </c>
      <c r="J95" s="54">
        <v>0</v>
      </c>
      <c r="K95" s="54">
        <v>0</v>
      </c>
      <c r="M95" s="45"/>
      <c r="N95" s="45"/>
      <c r="O95" s="45"/>
      <c r="P95" s="45"/>
      <c r="Q95" s="45"/>
      <c r="R95" s="45"/>
      <c r="S95" s="45"/>
      <c r="T95" s="45"/>
      <c r="U95" s="45"/>
      <c r="V95" s="45"/>
      <c r="W95" s="45"/>
      <c r="X95" s="45"/>
      <c r="Y95" s="45"/>
      <c r="Z95" s="56"/>
    </row>
    <row r="96" spans="1:26" hidden="1">
      <c r="A96" s="7" t="s">
        <v>386</v>
      </c>
      <c r="B96" s="40" t="s">
        <v>387</v>
      </c>
      <c r="C96" s="40" t="s">
        <v>216</v>
      </c>
      <c r="D96" s="40" t="s">
        <v>228</v>
      </c>
      <c r="E96" s="40" t="s">
        <v>231</v>
      </c>
      <c r="F96" s="40"/>
      <c r="G96" s="38"/>
      <c r="H96" s="54"/>
      <c r="I96" s="53">
        <v>0</v>
      </c>
      <c r="J96" s="54">
        <v>0</v>
      </c>
      <c r="K96" s="54">
        <v>0</v>
      </c>
      <c r="M96" s="45"/>
      <c r="N96" s="45"/>
      <c r="O96" s="45"/>
      <c r="P96" s="45"/>
      <c r="Q96" s="45"/>
      <c r="R96" s="45"/>
      <c r="S96" s="45"/>
      <c r="T96" s="45"/>
      <c r="U96" s="45"/>
      <c r="V96" s="45"/>
      <c r="W96" s="45"/>
      <c r="X96" s="45"/>
      <c r="Y96" s="45"/>
      <c r="Z96" s="56"/>
    </row>
    <row r="97" spans="1:26" hidden="1">
      <c r="A97" s="7" t="s">
        <v>388</v>
      </c>
      <c r="B97" s="40" t="s">
        <v>385</v>
      </c>
      <c r="C97" s="40" t="s">
        <v>216</v>
      </c>
      <c r="D97" s="40" t="s">
        <v>228</v>
      </c>
      <c r="E97" s="40" t="s">
        <v>231</v>
      </c>
      <c r="F97" s="40"/>
      <c r="G97" s="38"/>
      <c r="H97" s="54"/>
      <c r="I97" s="53">
        <v>0</v>
      </c>
      <c r="J97" s="54">
        <v>0</v>
      </c>
      <c r="K97" s="54">
        <v>0</v>
      </c>
      <c r="M97" s="45"/>
      <c r="N97" s="45"/>
      <c r="O97" s="45"/>
      <c r="P97" s="45"/>
      <c r="Q97" s="45"/>
      <c r="R97" s="45"/>
      <c r="S97" s="45"/>
      <c r="T97" s="45"/>
      <c r="U97" s="45"/>
      <c r="V97" s="45"/>
      <c r="W97" s="45"/>
      <c r="X97" s="45"/>
      <c r="Y97" s="45"/>
      <c r="Z97" s="56"/>
    </row>
    <row r="98" spans="1:26">
      <c r="A98" s="7" t="s">
        <v>389</v>
      </c>
      <c r="B98" s="40" t="s">
        <v>385</v>
      </c>
      <c r="C98" s="40" t="s">
        <v>216</v>
      </c>
      <c r="D98" s="40" t="s">
        <v>228</v>
      </c>
      <c r="E98" s="40" t="s">
        <v>239</v>
      </c>
      <c r="F98" s="40" t="s">
        <v>102</v>
      </c>
      <c r="G98" s="42">
        <v>553</v>
      </c>
      <c r="H98" s="54">
        <v>175</v>
      </c>
      <c r="I98" s="53">
        <v>0</v>
      </c>
      <c r="J98" s="54">
        <v>175</v>
      </c>
      <c r="K98" s="54">
        <v>96775</v>
      </c>
      <c r="M98" s="45"/>
      <c r="N98" s="45"/>
      <c r="O98" s="45"/>
      <c r="P98" s="45"/>
      <c r="Q98" s="45"/>
      <c r="R98" s="45"/>
      <c r="S98" s="45"/>
      <c r="T98" s="45"/>
      <c r="U98" s="45"/>
      <c r="V98" s="45"/>
      <c r="W98" s="45"/>
      <c r="X98" s="45"/>
      <c r="Y98" s="45"/>
      <c r="Z98" s="56"/>
    </row>
    <row r="99" spans="1:26">
      <c r="A99" s="7" t="s">
        <v>390</v>
      </c>
      <c r="B99" s="40" t="s">
        <v>385</v>
      </c>
      <c r="C99" s="40" t="s">
        <v>216</v>
      </c>
      <c r="D99" s="40" t="s">
        <v>228</v>
      </c>
      <c r="E99" s="40" t="s">
        <v>73</v>
      </c>
      <c r="F99" s="40" t="s">
        <v>108</v>
      </c>
      <c r="G99" s="38">
        <v>4</v>
      </c>
      <c r="H99" s="54">
        <v>300</v>
      </c>
      <c r="I99" s="53">
        <v>0</v>
      </c>
      <c r="J99" s="54">
        <v>300</v>
      </c>
      <c r="K99" s="54">
        <v>1200</v>
      </c>
      <c r="M99" s="45"/>
      <c r="N99" s="45"/>
      <c r="O99" s="45"/>
      <c r="P99" s="45"/>
      <c r="Q99" s="45"/>
      <c r="R99" s="45"/>
      <c r="S99" s="45"/>
      <c r="T99" s="45"/>
      <c r="U99" s="45"/>
      <c r="V99" s="45"/>
      <c r="W99" s="45"/>
      <c r="X99" s="45"/>
      <c r="Y99" s="45"/>
      <c r="Z99" s="56"/>
    </row>
    <row r="100" spans="1:26">
      <c r="A100" s="4" t="s">
        <v>391</v>
      </c>
      <c r="B100" s="151" t="s">
        <v>392</v>
      </c>
      <c r="C100" s="760" t="s">
        <v>337</v>
      </c>
      <c r="D100" s="151"/>
      <c r="E100" s="151"/>
      <c r="F100" s="151"/>
      <c r="G100" s="152"/>
      <c r="H100" s="153"/>
      <c r="I100" s="154"/>
      <c r="J100" s="153"/>
      <c r="K100" s="172"/>
      <c r="L100" s="70">
        <v>6934652.5816400005</v>
      </c>
      <c r="M100" s="45"/>
      <c r="N100" s="45"/>
      <c r="O100" s="45"/>
      <c r="P100" s="45"/>
      <c r="Q100" s="45"/>
      <c r="R100" s="45"/>
      <c r="S100" s="45"/>
      <c r="T100" s="45"/>
      <c r="U100" s="45"/>
      <c r="V100" s="45"/>
      <c r="W100" s="45"/>
      <c r="X100" s="45"/>
      <c r="Y100" s="45"/>
      <c r="Z100" s="56"/>
    </row>
    <row r="101" spans="1:26">
      <c r="A101" s="6" t="s">
        <v>393</v>
      </c>
      <c r="B101" s="47" t="s">
        <v>394</v>
      </c>
      <c r="C101" s="47" t="s">
        <v>216</v>
      </c>
      <c r="D101" s="47" t="s">
        <v>228</v>
      </c>
      <c r="E101" s="47"/>
      <c r="F101" s="47"/>
      <c r="G101" s="42"/>
      <c r="H101" s="61">
        <v>0.05</v>
      </c>
      <c r="I101" s="63">
        <v>0</v>
      </c>
      <c r="J101" s="66">
        <v>0.05</v>
      </c>
      <c r="K101" s="67">
        <v>0</v>
      </c>
      <c r="M101" s="45"/>
      <c r="N101" s="45"/>
      <c r="O101" s="45"/>
      <c r="P101" s="45"/>
      <c r="Q101" s="45"/>
      <c r="R101" s="45"/>
      <c r="S101" s="45"/>
      <c r="T101" s="45"/>
      <c r="U101" s="45"/>
      <c r="V101" s="45"/>
      <c r="W101" s="45"/>
      <c r="X101" s="45"/>
      <c r="Y101" s="45"/>
      <c r="Z101" s="56"/>
    </row>
    <row r="102" spans="1:26">
      <c r="A102" s="7" t="s">
        <v>395</v>
      </c>
      <c r="B102" s="40" t="s">
        <v>396</v>
      </c>
      <c r="C102" s="40" t="s">
        <v>216</v>
      </c>
      <c r="D102" s="40" t="s">
        <v>228</v>
      </c>
      <c r="E102" s="40" t="s">
        <v>73</v>
      </c>
      <c r="F102" s="40" t="s">
        <v>71</v>
      </c>
      <c r="G102" s="38">
        <v>1</v>
      </c>
      <c r="H102" s="54">
        <v>25000</v>
      </c>
      <c r="I102" s="53">
        <v>0</v>
      </c>
      <c r="J102" s="54">
        <v>25000</v>
      </c>
      <c r="K102" s="54">
        <v>25000</v>
      </c>
      <c r="M102" s="45"/>
      <c r="N102" s="45"/>
      <c r="O102" s="45"/>
      <c r="P102" s="45"/>
      <c r="Q102" s="45"/>
      <c r="R102" s="45"/>
      <c r="S102" s="45"/>
      <c r="T102" s="45"/>
      <c r="U102" s="45"/>
      <c r="V102" s="45"/>
      <c r="W102" s="45"/>
      <c r="X102" s="45"/>
      <c r="Y102" s="45"/>
      <c r="Z102" s="56"/>
    </row>
    <row r="103" spans="1:26">
      <c r="A103" s="7" t="s">
        <v>397</v>
      </c>
      <c r="B103" s="40" t="s">
        <v>398</v>
      </c>
      <c r="C103" s="40" t="s">
        <v>216</v>
      </c>
      <c r="D103" s="40" t="s">
        <v>228</v>
      </c>
      <c r="E103" s="40" t="s">
        <v>239</v>
      </c>
      <c r="F103" s="40" t="s">
        <v>61</v>
      </c>
      <c r="G103" s="38">
        <v>422635</v>
      </c>
      <c r="H103" s="51">
        <v>0.85</v>
      </c>
      <c r="I103" s="53">
        <v>0</v>
      </c>
      <c r="J103" s="51">
        <v>0.85</v>
      </c>
      <c r="K103" s="54">
        <v>359239.75</v>
      </c>
      <c r="M103" s="45"/>
      <c r="N103" s="45"/>
      <c r="O103" s="45"/>
      <c r="P103" s="45"/>
      <c r="Q103" s="45"/>
      <c r="R103" s="45"/>
      <c r="S103" s="45"/>
      <c r="T103" s="45"/>
      <c r="U103" s="45"/>
      <c r="V103" s="45"/>
      <c r="W103" s="45"/>
      <c r="X103" s="45"/>
      <c r="Y103" s="45"/>
      <c r="Z103" s="56"/>
    </row>
    <row r="104" spans="1:26">
      <c r="A104" s="7" t="s">
        <v>399</v>
      </c>
      <c r="B104" s="40" t="s">
        <v>400</v>
      </c>
      <c r="C104" s="40" t="s">
        <v>216</v>
      </c>
      <c r="D104" s="40" t="s">
        <v>228</v>
      </c>
      <c r="E104" s="40" t="s">
        <v>73</v>
      </c>
      <c r="F104" s="40" t="s">
        <v>71</v>
      </c>
      <c r="G104" s="38">
        <v>1</v>
      </c>
      <c r="H104" s="54">
        <v>50000</v>
      </c>
      <c r="I104" s="53">
        <v>0</v>
      </c>
      <c r="J104" s="54">
        <v>50000</v>
      </c>
      <c r="K104" s="54">
        <v>50000</v>
      </c>
      <c r="M104" s="45"/>
      <c r="N104" s="45"/>
      <c r="O104" s="45"/>
      <c r="P104" s="45"/>
      <c r="Q104" s="45"/>
      <c r="R104" s="45"/>
      <c r="S104" s="45"/>
      <c r="T104" s="45"/>
      <c r="U104" s="45"/>
      <c r="V104" s="45"/>
      <c r="W104" s="45"/>
      <c r="X104" s="45"/>
      <c r="Y104" s="45"/>
      <c r="Z104" s="56"/>
    </row>
    <row r="105" spans="1:26">
      <c r="A105" s="7" t="s">
        <v>307</v>
      </c>
      <c r="B105" s="40" t="s">
        <v>401</v>
      </c>
      <c r="C105" s="40" t="s">
        <v>216</v>
      </c>
      <c r="D105" s="40" t="s">
        <v>309</v>
      </c>
      <c r="E105" s="40" t="s">
        <v>402</v>
      </c>
      <c r="F105" s="40" t="s">
        <v>403</v>
      </c>
      <c r="G105" s="42">
        <v>390</v>
      </c>
      <c r="H105" s="54">
        <v>79</v>
      </c>
      <c r="I105" s="53">
        <v>0</v>
      </c>
      <c r="J105" s="54">
        <v>79</v>
      </c>
      <c r="K105" s="54">
        <v>30810</v>
      </c>
      <c r="M105" s="45"/>
      <c r="N105" s="45"/>
      <c r="O105" s="45"/>
      <c r="P105" s="45"/>
      <c r="Q105" s="45"/>
      <c r="R105" s="45"/>
      <c r="S105" s="45"/>
      <c r="T105" s="45"/>
      <c r="U105" s="45"/>
      <c r="V105" s="45"/>
      <c r="W105" s="45"/>
      <c r="X105" s="45"/>
      <c r="Y105" s="45"/>
      <c r="Z105" s="56"/>
    </row>
    <row r="106" spans="1:26">
      <c r="A106" s="7" t="s">
        <v>404</v>
      </c>
      <c r="B106" s="40" t="s">
        <v>405</v>
      </c>
      <c r="C106" s="40" t="s">
        <v>216</v>
      </c>
      <c r="D106" s="40" t="s">
        <v>223</v>
      </c>
      <c r="E106" s="40" t="s">
        <v>73</v>
      </c>
      <c r="F106" s="40" t="s">
        <v>71</v>
      </c>
      <c r="G106" s="38">
        <v>1</v>
      </c>
      <c r="H106" s="54">
        <v>10000</v>
      </c>
      <c r="I106" s="53">
        <v>0</v>
      </c>
      <c r="J106" s="54">
        <v>10000</v>
      </c>
      <c r="K106" s="54">
        <v>10000</v>
      </c>
      <c r="M106" s="45"/>
      <c r="N106" s="45"/>
      <c r="O106" s="45"/>
      <c r="P106" s="45"/>
      <c r="Q106" s="45"/>
      <c r="R106" s="45"/>
      <c r="S106" s="45"/>
      <c r="T106" s="45"/>
      <c r="U106" s="45"/>
      <c r="V106" s="45"/>
      <c r="W106" s="45"/>
      <c r="X106" s="45"/>
      <c r="Y106" s="45"/>
      <c r="Z106" s="56"/>
    </row>
    <row r="107" spans="1:26">
      <c r="A107" s="7" t="s">
        <v>159</v>
      </c>
      <c r="B107" s="40" t="s">
        <v>406</v>
      </c>
      <c r="C107" s="40" t="s">
        <v>216</v>
      </c>
      <c r="D107" s="40" t="s">
        <v>228</v>
      </c>
      <c r="E107" s="40" t="s">
        <v>239</v>
      </c>
      <c r="F107" s="40" t="s">
        <v>62</v>
      </c>
      <c r="G107" s="38">
        <v>28186.002</v>
      </c>
      <c r="H107" s="51">
        <v>40.82</v>
      </c>
      <c r="I107" s="53">
        <v>0</v>
      </c>
      <c r="J107" s="51">
        <v>40.82</v>
      </c>
      <c r="K107" s="54">
        <v>1150552.60164</v>
      </c>
      <c r="M107" s="45"/>
      <c r="N107" s="45"/>
      <c r="O107" s="45"/>
      <c r="P107" s="45"/>
      <c r="Q107" s="45"/>
      <c r="R107" s="45"/>
      <c r="S107" s="45"/>
      <c r="T107" s="45"/>
      <c r="U107" s="45"/>
      <c r="V107" s="45"/>
      <c r="W107" s="45"/>
      <c r="X107" s="45"/>
      <c r="Y107" s="45"/>
      <c r="Z107" s="56"/>
    </row>
    <row r="108" spans="1:26">
      <c r="A108" s="7" t="s">
        <v>407</v>
      </c>
      <c r="B108" s="40" t="s">
        <v>406</v>
      </c>
      <c r="C108" s="40" t="s">
        <v>283</v>
      </c>
      <c r="D108" s="40" t="s">
        <v>235</v>
      </c>
      <c r="E108" s="40" t="s">
        <v>73</v>
      </c>
      <c r="F108" s="40" t="s">
        <v>71</v>
      </c>
      <c r="G108" s="38">
        <v>1</v>
      </c>
      <c r="H108" s="54">
        <v>6000</v>
      </c>
      <c r="I108" s="53">
        <v>0</v>
      </c>
      <c r="J108" s="54">
        <v>6000</v>
      </c>
      <c r="K108" s="54">
        <v>6000</v>
      </c>
      <c r="M108" s="45"/>
      <c r="N108" s="45"/>
      <c r="O108" s="45"/>
      <c r="P108" s="45"/>
      <c r="Q108" s="45"/>
      <c r="R108" s="45"/>
      <c r="S108" s="45"/>
      <c r="T108" s="45"/>
      <c r="U108" s="45"/>
      <c r="V108" s="45"/>
      <c r="W108" s="45"/>
      <c r="X108" s="45"/>
      <c r="Y108" s="45"/>
      <c r="Z108" s="56"/>
    </row>
    <row r="109" spans="1:26">
      <c r="A109" s="7" t="s">
        <v>408</v>
      </c>
      <c r="B109" s="40" t="s">
        <v>409</v>
      </c>
      <c r="C109" s="40" t="s">
        <v>216</v>
      </c>
      <c r="D109" s="40" t="s">
        <v>242</v>
      </c>
      <c r="E109" s="40" t="s">
        <v>231</v>
      </c>
      <c r="F109" s="40"/>
      <c r="G109" s="38"/>
      <c r="H109" s="51"/>
      <c r="I109" s="53">
        <v>0</v>
      </c>
      <c r="J109" s="54">
        <v>0</v>
      </c>
      <c r="K109" s="54">
        <v>0</v>
      </c>
      <c r="M109" s="45"/>
      <c r="N109" s="45"/>
      <c r="O109" s="45"/>
      <c r="P109" s="45"/>
      <c r="Q109" s="45"/>
      <c r="R109" s="45"/>
      <c r="S109" s="45"/>
      <c r="T109" s="45"/>
      <c r="U109" s="45"/>
      <c r="V109" s="45"/>
      <c r="W109" s="45"/>
      <c r="X109" s="45"/>
      <c r="Y109" s="45"/>
      <c r="Z109" s="56"/>
    </row>
    <row r="110" spans="1:26">
      <c r="A110" s="7" t="s">
        <v>410</v>
      </c>
      <c r="B110" s="40" t="s">
        <v>411</v>
      </c>
      <c r="C110" s="40" t="s">
        <v>283</v>
      </c>
      <c r="D110" s="40" t="s">
        <v>242</v>
      </c>
      <c r="E110" s="40" t="s">
        <v>73</v>
      </c>
      <c r="F110" s="40" t="s">
        <v>71</v>
      </c>
      <c r="G110" s="38">
        <v>1</v>
      </c>
      <c r="H110" s="54">
        <v>5000</v>
      </c>
      <c r="I110" s="53">
        <v>0</v>
      </c>
      <c r="J110" s="54">
        <v>5000</v>
      </c>
      <c r="K110" s="54">
        <v>5000</v>
      </c>
      <c r="M110" s="45"/>
      <c r="N110" s="45"/>
      <c r="O110" s="45"/>
      <c r="P110" s="45"/>
      <c r="Q110" s="45"/>
      <c r="R110" s="45"/>
      <c r="S110" s="45"/>
      <c r="T110" s="45"/>
      <c r="U110" s="45"/>
      <c r="V110" s="45"/>
      <c r="W110" s="45"/>
      <c r="X110" s="45"/>
      <c r="Y110" s="45"/>
      <c r="Z110" s="56"/>
    </row>
    <row r="111" spans="1:26">
      <c r="A111" s="7" t="s">
        <v>412</v>
      </c>
      <c r="B111" s="40" t="s">
        <v>413</v>
      </c>
      <c r="C111" s="40" t="s">
        <v>216</v>
      </c>
      <c r="D111" s="40" t="s">
        <v>242</v>
      </c>
      <c r="E111" s="40" t="s">
        <v>231</v>
      </c>
      <c r="F111" s="40" t="s">
        <v>71</v>
      </c>
      <c r="G111" s="38">
        <v>1</v>
      </c>
      <c r="H111" s="54">
        <v>7500</v>
      </c>
      <c r="I111" s="53">
        <v>0</v>
      </c>
      <c r="J111" s="54">
        <v>7500</v>
      </c>
      <c r="K111" s="54">
        <v>7500</v>
      </c>
      <c r="M111" s="45"/>
      <c r="N111" s="45"/>
      <c r="O111" s="45"/>
      <c r="P111" s="45"/>
      <c r="Q111" s="45"/>
      <c r="R111" s="45"/>
      <c r="S111" s="45"/>
      <c r="T111" s="45"/>
      <c r="U111" s="45"/>
      <c r="V111" s="45"/>
      <c r="W111" s="45"/>
      <c r="X111" s="45"/>
      <c r="Y111" s="45"/>
      <c r="Z111" s="56"/>
    </row>
    <row r="112" spans="1:26">
      <c r="A112" s="7" t="s">
        <v>414</v>
      </c>
      <c r="B112" s="40" t="s">
        <v>415</v>
      </c>
      <c r="C112" s="40" t="s">
        <v>216</v>
      </c>
      <c r="D112" s="40" t="s">
        <v>250</v>
      </c>
      <c r="E112" s="40" t="s">
        <v>231</v>
      </c>
      <c r="F112" s="40"/>
      <c r="G112" s="38"/>
      <c r="H112" s="51"/>
      <c r="I112" s="53">
        <v>0</v>
      </c>
      <c r="J112" s="54">
        <v>0</v>
      </c>
      <c r="K112" s="54">
        <v>0</v>
      </c>
      <c r="M112" s="45"/>
      <c r="N112" s="45"/>
      <c r="O112" s="45"/>
      <c r="P112" s="45"/>
      <c r="Q112" s="45"/>
      <c r="R112" s="45"/>
      <c r="S112" s="45"/>
      <c r="T112" s="45"/>
      <c r="U112" s="45"/>
      <c r="V112" s="45"/>
      <c r="W112" s="45"/>
      <c r="X112" s="45"/>
      <c r="Y112" s="45"/>
      <c r="Z112" s="56"/>
    </row>
    <row r="113" spans="1:60">
      <c r="A113" s="7" t="s">
        <v>416</v>
      </c>
      <c r="B113" s="201" t="s">
        <v>406</v>
      </c>
      <c r="C113" s="40" t="s">
        <v>283</v>
      </c>
      <c r="D113" s="40" t="s">
        <v>228</v>
      </c>
      <c r="E113" s="40" t="s">
        <v>73</v>
      </c>
      <c r="F113" s="40" t="s">
        <v>71</v>
      </c>
      <c r="G113" s="38">
        <v>1</v>
      </c>
      <c r="H113" s="54">
        <v>7500</v>
      </c>
      <c r="I113" s="53">
        <v>0</v>
      </c>
      <c r="J113" s="54">
        <v>7500</v>
      </c>
      <c r="K113" s="54">
        <v>7500</v>
      </c>
      <c r="M113" s="45"/>
      <c r="N113" s="45"/>
      <c r="O113" s="45"/>
      <c r="P113" s="45"/>
      <c r="Q113" s="45"/>
      <c r="R113" s="45"/>
      <c r="S113" s="45"/>
      <c r="T113" s="45"/>
      <c r="U113" s="45"/>
      <c r="V113" s="45"/>
      <c r="W113" s="45"/>
      <c r="X113" s="45"/>
      <c r="Y113" s="45"/>
      <c r="Z113" s="56"/>
    </row>
    <row r="114" spans="1:60">
      <c r="A114" s="7" t="s">
        <v>417</v>
      </c>
      <c r="B114" s="40" t="s">
        <v>418</v>
      </c>
      <c r="C114" s="40" t="s">
        <v>216</v>
      </c>
      <c r="D114" s="40" t="s">
        <v>228</v>
      </c>
      <c r="E114" s="206" t="s">
        <v>326</v>
      </c>
      <c r="F114" s="40" t="s">
        <v>61</v>
      </c>
      <c r="G114" s="38">
        <v>422635</v>
      </c>
      <c r="H114" s="51">
        <v>7.65</v>
      </c>
      <c r="I114" s="53">
        <v>0</v>
      </c>
      <c r="J114" s="51">
        <v>7.65</v>
      </c>
      <c r="K114" s="210">
        <v>3233157.75</v>
      </c>
      <c r="M114" s="1121" t="s">
        <v>419</v>
      </c>
      <c r="N114" s="1121"/>
      <c r="O114" s="1121"/>
      <c r="P114" s="1121"/>
      <c r="Q114" s="1121"/>
      <c r="R114" s="1121"/>
      <c r="S114" s="1121"/>
      <c r="T114" s="1121"/>
      <c r="U114" s="1121"/>
      <c r="V114" s="1121"/>
      <c r="W114" s="1121"/>
      <c r="X114" s="1121"/>
      <c r="Y114" s="1121"/>
      <c r="Z114" s="56"/>
    </row>
    <row r="115" spans="1:60">
      <c r="A115" s="7" t="s">
        <v>420</v>
      </c>
      <c r="B115" s="40" t="s">
        <v>418</v>
      </c>
      <c r="C115" s="40" t="s">
        <v>216</v>
      </c>
      <c r="D115" s="40" t="s">
        <v>235</v>
      </c>
      <c r="E115" s="206" t="s">
        <v>73</v>
      </c>
      <c r="F115" s="40" t="s">
        <v>71</v>
      </c>
      <c r="G115" s="38">
        <v>1</v>
      </c>
      <c r="H115" s="54">
        <v>2000</v>
      </c>
      <c r="I115" s="53">
        <v>0</v>
      </c>
      <c r="J115" s="54">
        <v>2000</v>
      </c>
      <c r="K115" s="210">
        <v>2000</v>
      </c>
      <c r="M115" s="596"/>
      <c r="N115" s="45"/>
      <c r="O115" s="45"/>
      <c r="P115" s="45"/>
      <c r="Q115" s="45"/>
      <c r="R115" s="45"/>
      <c r="S115" s="45"/>
      <c r="T115" s="45"/>
      <c r="U115" s="45"/>
      <c r="V115" s="45"/>
      <c r="W115" s="45"/>
      <c r="X115" s="45"/>
      <c r="Y115" s="45"/>
      <c r="Z115" s="56"/>
    </row>
    <row r="116" spans="1:60">
      <c r="A116" s="7" t="s">
        <v>421</v>
      </c>
      <c r="B116" s="201" t="s">
        <v>418</v>
      </c>
      <c r="C116" s="40" t="s">
        <v>283</v>
      </c>
      <c r="D116" s="40" t="s">
        <v>228</v>
      </c>
      <c r="E116" s="40" t="s">
        <v>73</v>
      </c>
      <c r="F116" s="40" t="s">
        <v>403</v>
      </c>
      <c r="G116" s="42">
        <v>390</v>
      </c>
      <c r="H116" s="51">
        <v>85</v>
      </c>
      <c r="I116" s="53">
        <v>0</v>
      </c>
      <c r="J116" s="54">
        <v>85</v>
      </c>
      <c r="K116" s="54">
        <v>33150</v>
      </c>
      <c r="M116" s="45"/>
      <c r="N116" s="45"/>
      <c r="O116" s="45"/>
      <c r="P116" s="45"/>
      <c r="Q116" s="45"/>
      <c r="R116" s="45"/>
      <c r="S116" s="45"/>
      <c r="T116" s="45"/>
      <c r="U116" s="45"/>
      <c r="V116" s="45"/>
      <c r="W116" s="45"/>
      <c r="X116" s="45"/>
      <c r="Y116" s="45"/>
      <c r="Z116" s="56"/>
    </row>
    <row r="117" spans="1:60">
      <c r="A117" s="7" t="s">
        <v>422</v>
      </c>
      <c r="B117" s="40" t="s">
        <v>423</v>
      </c>
      <c r="C117" s="40" t="s">
        <v>216</v>
      </c>
      <c r="D117" s="40" t="s">
        <v>228</v>
      </c>
      <c r="E117" s="40" t="s">
        <v>231</v>
      </c>
      <c r="F117" s="40"/>
      <c r="G117" s="38"/>
      <c r="H117" s="51"/>
      <c r="I117" s="53">
        <v>0</v>
      </c>
      <c r="J117" s="54">
        <v>0</v>
      </c>
      <c r="K117" s="54">
        <v>0</v>
      </c>
      <c r="M117" s="45"/>
      <c r="N117" s="45"/>
      <c r="O117" s="45"/>
      <c r="P117" s="45"/>
      <c r="Q117" s="45"/>
      <c r="R117" s="45"/>
      <c r="S117" s="45"/>
      <c r="T117" s="45"/>
      <c r="U117" s="45"/>
      <c r="V117" s="45"/>
      <c r="W117" s="45"/>
      <c r="X117" s="45"/>
      <c r="Y117" s="45"/>
      <c r="Z117" s="56"/>
    </row>
    <row r="118" spans="1:60">
      <c r="A118" s="7" t="s">
        <v>424</v>
      </c>
      <c r="B118" s="40" t="s">
        <v>425</v>
      </c>
      <c r="C118" s="40" t="s">
        <v>216</v>
      </c>
      <c r="D118" s="40" t="s">
        <v>303</v>
      </c>
      <c r="E118" s="40" t="s">
        <v>426</v>
      </c>
      <c r="F118" s="40" t="s">
        <v>403</v>
      </c>
      <c r="G118" s="42">
        <v>390</v>
      </c>
      <c r="H118" s="54">
        <v>346.95897435897433</v>
      </c>
      <c r="I118" s="53">
        <v>0</v>
      </c>
      <c r="J118" s="54">
        <v>346.95897435897433</v>
      </c>
      <c r="K118" s="54">
        <v>135314</v>
      </c>
      <c r="L118" s="194"/>
      <c r="M118" s="45"/>
      <c r="N118" s="45"/>
      <c r="O118" s="45"/>
      <c r="P118" s="45"/>
      <c r="Q118" s="45"/>
      <c r="R118" s="45"/>
      <c r="S118" s="45"/>
      <c r="T118" s="45"/>
      <c r="U118" s="45"/>
      <c r="V118" s="45"/>
      <c r="W118" s="45"/>
      <c r="X118" s="45"/>
      <c r="Y118" s="45"/>
      <c r="Z118" s="56"/>
    </row>
    <row r="119" spans="1:60">
      <c r="A119" s="7" t="s">
        <v>427</v>
      </c>
      <c r="B119" s="40" t="s">
        <v>428</v>
      </c>
      <c r="C119" s="40" t="s">
        <v>216</v>
      </c>
      <c r="D119" s="40" t="s">
        <v>228</v>
      </c>
      <c r="E119" s="40" t="s">
        <v>231</v>
      </c>
      <c r="F119" s="40"/>
      <c r="G119" s="38"/>
      <c r="H119" s="51"/>
      <c r="I119" s="53">
        <v>0</v>
      </c>
      <c r="J119" s="54">
        <v>0</v>
      </c>
      <c r="K119" s="54">
        <v>0</v>
      </c>
      <c r="M119" s="45"/>
      <c r="N119" s="45"/>
      <c r="O119" s="45"/>
      <c r="P119" s="45"/>
      <c r="Q119" s="45"/>
      <c r="R119" s="45"/>
      <c r="S119" s="45"/>
      <c r="T119" s="45"/>
      <c r="U119" s="45"/>
      <c r="V119" s="45"/>
      <c r="W119" s="45"/>
      <c r="X119" s="45"/>
      <c r="Y119" s="45"/>
      <c r="Z119" s="56"/>
    </row>
    <row r="120" spans="1:60">
      <c r="A120" s="7" t="s">
        <v>429</v>
      </c>
      <c r="B120" s="40" t="s">
        <v>430</v>
      </c>
      <c r="C120" s="40" t="s">
        <v>216</v>
      </c>
      <c r="D120" s="40" t="s">
        <v>242</v>
      </c>
      <c r="E120" s="40" t="s">
        <v>231</v>
      </c>
      <c r="F120" s="40"/>
      <c r="G120" s="38"/>
      <c r="H120" s="51"/>
      <c r="I120" s="53">
        <v>0</v>
      </c>
      <c r="J120" s="54">
        <v>0</v>
      </c>
      <c r="K120" s="54">
        <v>0</v>
      </c>
      <c r="M120" s="45"/>
      <c r="N120" s="45"/>
      <c r="O120" s="45"/>
      <c r="P120" s="45"/>
      <c r="Q120" s="45"/>
      <c r="R120" s="45"/>
      <c r="S120" s="45"/>
      <c r="T120" s="45"/>
      <c r="U120" s="45"/>
      <c r="V120" s="45"/>
      <c r="W120" s="45"/>
      <c r="X120" s="45"/>
      <c r="Y120" s="45"/>
      <c r="Z120" s="56"/>
    </row>
    <row r="121" spans="1:60" s="781" customFormat="1">
      <c r="A121" s="7" t="s">
        <v>431</v>
      </c>
      <c r="B121" s="40" t="s">
        <v>432</v>
      </c>
      <c r="C121" s="40" t="s">
        <v>216</v>
      </c>
      <c r="D121" s="40" t="s">
        <v>228</v>
      </c>
      <c r="E121" s="40" t="s">
        <v>433</v>
      </c>
      <c r="F121" s="40" t="s">
        <v>62</v>
      </c>
      <c r="G121" s="38">
        <v>36652.555555555555</v>
      </c>
      <c r="H121" s="51">
        <v>16.29</v>
      </c>
      <c r="I121" s="53">
        <v>0</v>
      </c>
      <c r="J121" s="51">
        <v>16.29</v>
      </c>
      <c r="K121" s="54">
        <v>597070.13</v>
      </c>
      <c r="M121" s="1119" t="s">
        <v>434</v>
      </c>
      <c r="N121" s="1119"/>
      <c r="O121" s="1119"/>
      <c r="P121" s="1119"/>
      <c r="Q121" s="1119"/>
      <c r="R121" s="1119"/>
      <c r="S121" s="1119"/>
      <c r="T121" s="1119"/>
      <c r="U121" s="1119"/>
      <c r="V121" s="1119"/>
      <c r="W121" s="1119"/>
      <c r="X121" s="1119"/>
      <c r="Y121" s="1119"/>
      <c r="Z121" s="783"/>
      <c r="BG121" s="783"/>
      <c r="BH121" s="783"/>
    </row>
    <row r="122" spans="1:60">
      <c r="A122" s="7" t="s">
        <v>435</v>
      </c>
      <c r="B122" s="40" t="s">
        <v>436</v>
      </c>
      <c r="C122" s="40" t="s">
        <v>216</v>
      </c>
      <c r="D122" s="40" t="s">
        <v>303</v>
      </c>
      <c r="E122" s="40"/>
      <c r="F122" s="40"/>
      <c r="G122" s="38">
        <v>0</v>
      </c>
      <c r="H122" s="54">
        <v>30184</v>
      </c>
      <c r="I122" s="53">
        <v>0</v>
      </c>
      <c r="J122" s="54">
        <v>30184</v>
      </c>
      <c r="K122" s="54">
        <v>0</v>
      </c>
      <c r="M122" s="45"/>
      <c r="N122" s="45"/>
      <c r="O122" s="45"/>
      <c r="P122" s="45"/>
      <c r="Q122" s="45"/>
      <c r="R122" s="45"/>
      <c r="S122" s="45"/>
      <c r="T122" s="45"/>
      <c r="U122" s="45"/>
      <c r="V122" s="45"/>
      <c r="W122" s="45"/>
      <c r="X122" s="45"/>
      <c r="Y122" s="45"/>
      <c r="Z122" s="56"/>
    </row>
    <row r="123" spans="1:60">
      <c r="A123" s="7" t="s">
        <v>437</v>
      </c>
      <c r="B123" s="40" t="s">
        <v>438</v>
      </c>
      <c r="C123" s="40" t="s">
        <v>216</v>
      </c>
      <c r="D123" s="40" t="s">
        <v>303</v>
      </c>
      <c r="E123" s="40"/>
      <c r="F123" s="40"/>
      <c r="G123" s="38">
        <v>0</v>
      </c>
      <c r="H123" s="54">
        <v>1994</v>
      </c>
      <c r="I123" s="53">
        <v>0</v>
      </c>
      <c r="J123" s="54">
        <v>1994</v>
      </c>
      <c r="K123" s="54">
        <v>0</v>
      </c>
      <c r="M123" s="45"/>
      <c r="N123" s="45"/>
      <c r="O123" s="45"/>
      <c r="P123" s="45"/>
      <c r="Q123" s="45"/>
      <c r="R123" s="45"/>
      <c r="S123" s="45"/>
      <c r="T123" s="45"/>
      <c r="U123" s="45"/>
      <c r="V123" s="45"/>
      <c r="W123" s="45"/>
      <c r="X123" s="45"/>
      <c r="Y123" s="45"/>
      <c r="Z123" s="56"/>
    </row>
    <row r="124" spans="1:60">
      <c r="A124" s="7" t="s">
        <v>439</v>
      </c>
      <c r="B124" s="40" t="s">
        <v>440</v>
      </c>
      <c r="C124" s="40" t="s">
        <v>216</v>
      </c>
      <c r="D124" s="40" t="s">
        <v>303</v>
      </c>
      <c r="E124" s="40" t="s">
        <v>44</v>
      </c>
      <c r="F124" s="40" t="s">
        <v>61</v>
      </c>
      <c r="G124" s="38">
        <v>48357.100000000006</v>
      </c>
      <c r="H124" s="51">
        <v>4.5</v>
      </c>
      <c r="I124" s="53">
        <v>0</v>
      </c>
      <c r="J124" s="51">
        <v>4.5</v>
      </c>
      <c r="K124" s="54">
        <v>217606.95</v>
      </c>
      <c r="L124" s="781"/>
      <c r="M124" s="1119"/>
      <c r="N124" s="1119"/>
      <c r="O124" s="1119"/>
      <c r="P124" s="1119"/>
      <c r="Q124" s="1119"/>
      <c r="R124" s="1119"/>
      <c r="S124" s="1119"/>
      <c r="T124" s="1119"/>
      <c r="U124" s="1119"/>
      <c r="V124" s="1119"/>
      <c r="W124" s="1119"/>
      <c r="X124" s="1119"/>
      <c r="Y124" s="1119"/>
      <c r="Z124" s="56"/>
    </row>
    <row r="125" spans="1:60">
      <c r="A125" s="7" t="s">
        <v>441</v>
      </c>
      <c r="B125" s="201" t="s">
        <v>440</v>
      </c>
      <c r="C125" s="40" t="s">
        <v>283</v>
      </c>
      <c r="D125" s="40" t="s">
        <v>303</v>
      </c>
      <c r="E125" s="40" t="s">
        <v>73</v>
      </c>
      <c r="F125" s="40" t="s">
        <v>108</v>
      </c>
      <c r="G125" s="38">
        <v>4</v>
      </c>
      <c r="H125" s="54">
        <v>1000</v>
      </c>
      <c r="I125" s="53">
        <v>0</v>
      </c>
      <c r="J125" s="54">
        <v>1000</v>
      </c>
      <c r="K125" s="54">
        <v>4000</v>
      </c>
      <c r="M125" s="45"/>
      <c r="N125" s="45"/>
      <c r="O125" s="45"/>
      <c r="P125" s="45"/>
      <c r="Q125" s="45"/>
      <c r="R125" s="45"/>
      <c r="S125" s="45"/>
      <c r="T125" s="45"/>
      <c r="U125" s="45"/>
      <c r="V125" s="45"/>
      <c r="W125" s="45"/>
      <c r="X125" s="45"/>
      <c r="Y125" s="45"/>
      <c r="Z125" s="56"/>
    </row>
    <row r="126" spans="1:60">
      <c r="A126" s="7" t="s">
        <v>442</v>
      </c>
      <c r="B126" s="40" t="s">
        <v>443</v>
      </c>
      <c r="C126" s="40" t="s">
        <v>216</v>
      </c>
      <c r="D126" s="40" t="s">
        <v>303</v>
      </c>
      <c r="E126" s="40"/>
      <c r="F126" s="40" t="s">
        <v>61</v>
      </c>
      <c r="G126" s="38">
        <v>0</v>
      </c>
      <c r="H126" s="51">
        <v>9.0909000000000004E-2</v>
      </c>
      <c r="I126" s="53">
        <v>0</v>
      </c>
      <c r="J126" s="51">
        <v>9.0909000000000004E-2</v>
      </c>
      <c r="K126" s="54">
        <v>0</v>
      </c>
      <c r="M126" s="45"/>
      <c r="N126" s="45"/>
      <c r="O126" s="45"/>
      <c r="P126" s="45"/>
      <c r="Q126" s="45"/>
      <c r="R126" s="45"/>
      <c r="S126" s="45"/>
      <c r="T126" s="45"/>
      <c r="U126" s="45"/>
      <c r="V126" s="45"/>
      <c r="W126" s="45"/>
      <c r="X126" s="45"/>
      <c r="Y126" s="45"/>
      <c r="Z126" s="56"/>
    </row>
    <row r="127" spans="1:60">
      <c r="A127" s="7" t="s">
        <v>444</v>
      </c>
      <c r="B127" s="40" t="s">
        <v>445</v>
      </c>
      <c r="C127" s="40" t="s">
        <v>216</v>
      </c>
      <c r="D127" s="40" t="s">
        <v>303</v>
      </c>
      <c r="E127" s="40"/>
      <c r="F127" s="40" t="s">
        <v>61</v>
      </c>
      <c r="G127" s="38">
        <v>0</v>
      </c>
      <c r="H127" s="51">
        <v>0.182</v>
      </c>
      <c r="I127" s="53">
        <v>0</v>
      </c>
      <c r="J127" s="51">
        <v>0.182</v>
      </c>
      <c r="K127" s="54">
        <v>0</v>
      </c>
      <c r="M127" s="45"/>
      <c r="N127" s="45"/>
      <c r="O127" s="45"/>
      <c r="P127" s="45"/>
      <c r="Q127" s="45"/>
      <c r="R127" s="45"/>
      <c r="S127" s="45"/>
      <c r="T127" s="45"/>
      <c r="U127" s="45"/>
      <c r="V127" s="45"/>
      <c r="W127" s="45"/>
      <c r="X127" s="45"/>
      <c r="Y127" s="45"/>
      <c r="Z127" s="56"/>
    </row>
    <row r="128" spans="1:60">
      <c r="A128" s="7" t="s">
        <v>446</v>
      </c>
      <c r="B128" s="40" t="s">
        <v>447</v>
      </c>
      <c r="C128" s="40" t="s">
        <v>216</v>
      </c>
      <c r="D128" s="40" t="s">
        <v>303</v>
      </c>
      <c r="E128" s="40" t="s">
        <v>239</v>
      </c>
      <c r="F128" s="40" t="s">
        <v>61</v>
      </c>
      <c r="G128" s="38">
        <v>2280</v>
      </c>
      <c r="H128" s="51">
        <v>19.54</v>
      </c>
      <c r="I128" s="53">
        <v>0</v>
      </c>
      <c r="J128" s="51">
        <v>19.54</v>
      </c>
      <c r="K128" s="54">
        <v>44551.199999999997</v>
      </c>
      <c r="M128" s="45"/>
      <c r="N128" s="45"/>
      <c r="O128" s="45"/>
      <c r="P128" s="45"/>
      <c r="Q128" s="45"/>
      <c r="R128" s="45"/>
      <c r="S128" s="45"/>
      <c r="T128" s="45"/>
      <c r="U128" s="45"/>
      <c r="V128" s="45"/>
      <c r="W128" s="45"/>
      <c r="X128" s="45"/>
      <c r="Y128" s="45"/>
      <c r="Z128" s="56"/>
    </row>
    <row r="129" spans="1:60">
      <c r="A129" s="7" t="s">
        <v>448</v>
      </c>
      <c r="B129" s="40" t="s">
        <v>449</v>
      </c>
      <c r="C129" s="40" t="s">
        <v>216</v>
      </c>
      <c r="D129" s="40" t="s">
        <v>303</v>
      </c>
      <c r="E129" s="40" t="s">
        <v>44</v>
      </c>
      <c r="F129" s="40" t="s">
        <v>450</v>
      </c>
      <c r="G129" s="38">
        <v>30</v>
      </c>
      <c r="H129" s="54">
        <v>1379.1666666666667</v>
      </c>
      <c r="I129" s="53">
        <v>0</v>
      </c>
      <c r="J129" s="54">
        <v>1379.1666666666667</v>
      </c>
      <c r="K129" s="54">
        <v>41375</v>
      </c>
      <c r="M129" s="45"/>
      <c r="N129" s="45"/>
      <c r="O129" s="45"/>
      <c r="P129" s="45"/>
      <c r="Q129" s="45"/>
      <c r="R129" s="45"/>
      <c r="S129" s="45"/>
      <c r="T129" s="45"/>
      <c r="U129" s="45"/>
      <c r="V129" s="45"/>
      <c r="W129" s="45"/>
      <c r="X129" s="45"/>
      <c r="Y129" s="45"/>
      <c r="Z129" s="56"/>
    </row>
    <row r="130" spans="1:60" s="764" customFormat="1">
      <c r="A130" s="7" t="s">
        <v>451</v>
      </c>
      <c r="B130" s="40" t="s">
        <v>452</v>
      </c>
      <c r="C130" s="40" t="s">
        <v>216</v>
      </c>
      <c r="D130" s="40" t="s">
        <v>303</v>
      </c>
      <c r="E130" s="40" t="s">
        <v>426</v>
      </c>
      <c r="F130" s="40" t="s">
        <v>88</v>
      </c>
      <c r="G130" s="42">
        <v>390</v>
      </c>
      <c r="H130" s="54">
        <v>48.348717948717947</v>
      </c>
      <c r="I130" s="53">
        <v>0</v>
      </c>
      <c r="J130" s="54">
        <v>48.348717948717947</v>
      </c>
      <c r="K130" s="54">
        <v>18856</v>
      </c>
      <c r="M130" s="597"/>
      <c r="N130" s="597"/>
      <c r="O130" s="597"/>
      <c r="P130" s="597"/>
      <c r="Q130" s="597"/>
      <c r="R130" s="597"/>
      <c r="S130" s="597"/>
      <c r="T130" s="597"/>
      <c r="U130" s="597"/>
      <c r="V130" s="597"/>
      <c r="W130" s="597"/>
      <c r="X130" s="597"/>
      <c r="Y130" s="597"/>
      <c r="Z130" s="836"/>
      <c r="BG130" s="836"/>
      <c r="BH130" s="836"/>
    </row>
    <row r="131" spans="1:60" s="764" customFormat="1">
      <c r="A131" s="7" t="s">
        <v>453</v>
      </c>
      <c r="B131" s="40" t="s">
        <v>454</v>
      </c>
      <c r="C131" s="40" t="s">
        <v>216</v>
      </c>
      <c r="D131" s="40" t="s">
        <v>303</v>
      </c>
      <c r="E131" s="40" t="s">
        <v>426</v>
      </c>
      <c r="F131" s="40" t="s">
        <v>88</v>
      </c>
      <c r="G131" s="42">
        <v>390</v>
      </c>
      <c r="H131" s="54">
        <v>280.41025641025641</v>
      </c>
      <c r="I131" s="53">
        <v>0</v>
      </c>
      <c r="J131" s="54">
        <v>280.41025641025641</v>
      </c>
      <c r="K131" s="54">
        <v>109360</v>
      </c>
      <c r="M131" s="597"/>
      <c r="N131" s="597"/>
      <c r="O131" s="597"/>
      <c r="P131" s="597"/>
      <c r="Q131" s="597"/>
      <c r="R131" s="597"/>
      <c r="S131" s="597"/>
      <c r="T131" s="597"/>
      <c r="U131" s="597"/>
      <c r="V131" s="597"/>
      <c r="W131" s="597"/>
      <c r="X131" s="597"/>
      <c r="Y131" s="597"/>
      <c r="Z131" s="836"/>
      <c r="BG131" s="836"/>
      <c r="BH131" s="836"/>
    </row>
    <row r="132" spans="1:60">
      <c r="A132" s="7" t="s">
        <v>455</v>
      </c>
      <c r="B132" s="201" t="s">
        <v>456</v>
      </c>
      <c r="C132" s="40" t="s">
        <v>283</v>
      </c>
      <c r="D132" s="40" t="s">
        <v>228</v>
      </c>
      <c r="E132" s="40" t="s">
        <v>73</v>
      </c>
      <c r="F132" s="40" t="s">
        <v>403</v>
      </c>
      <c r="G132" s="42">
        <v>390</v>
      </c>
      <c r="H132" s="54">
        <v>85</v>
      </c>
      <c r="I132" s="53">
        <v>0</v>
      </c>
      <c r="J132" s="54">
        <v>85</v>
      </c>
      <c r="K132" s="54">
        <v>33150</v>
      </c>
      <c r="M132" s="45"/>
      <c r="N132" s="45"/>
      <c r="O132" s="45"/>
      <c r="P132" s="45"/>
      <c r="Q132" s="45"/>
      <c r="R132" s="45"/>
      <c r="S132" s="45"/>
      <c r="T132" s="45"/>
      <c r="U132" s="45"/>
      <c r="V132" s="45"/>
      <c r="W132" s="45"/>
      <c r="X132" s="45"/>
      <c r="Y132" s="45"/>
      <c r="Z132" s="56"/>
    </row>
    <row r="133" spans="1:60">
      <c r="A133" s="7" t="s">
        <v>457</v>
      </c>
      <c r="B133" s="40" t="s">
        <v>456</v>
      </c>
      <c r="C133" s="40" t="s">
        <v>216</v>
      </c>
      <c r="D133" s="40" t="s">
        <v>228</v>
      </c>
      <c r="E133" s="40" t="s">
        <v>239</v>
      </c>
      <c r="F133" s="40" t="s">
        <v>61</v>
      </c>
      <c r="G133" s="38">
        <v>422635</v>
      </c>
      <c r="H133" s="51">
        <v>1.92</v>
      </c>
      <c r="I133" s="53">
        <v>0</v>
      </c>
      <c r="J133" s="51">
        <v>1.92</v>
      </c>
      <c r="K133" s="54">
        <v>811459.2</v>
      </c>
      <c r="M133" s="782" t="s">
        <v>458</v>
      </c>
      <c r="N133" s="45"/>
      <c r="O133" s="45"/>
      <c r="P133" s="45"/>
      <c r="Q133" s="45"/>
      <c r="R133" s="45"/>
      <c r="S133" s="45"/>
      <c r="T133" s="45"/>
      <c r="U133" s="45"/>
      <c r="V133" s="45"/>
      <c r="W133" s="45"/>
      <c r="X133" s="45"/>
      <c r="Y133" s="45"/>
      <c r="Z133" s="56"/>
    </row>
    <row r="134" spans="1:60">
      <c r="A134" s="7" t="s">
        <v>459</v>
      </c>
      <c r="B134" s="40" t="s">
        <v>456</v>
      </c>
      <c r="C134" s="40" t="s">
        <v>216</v>
      </c>
      <c r="D134" s="40" t="s">
        <v>235</v>
      </c>
      <c r="E134" s="40" t="s">
        <v>73</v>
      </c>
      <c r="F134" s="40" t="s">
        <v>71</v>
      </c>
      <c r="G134" s="38">
        <v>1</v>
      </c>
      <c r="H134" s="54">
        <v>2000</v>
      </c>
      <c r="I134" s="53">
        <v>0</v>
      </c>
      <c r="J134" s="54">
        <v>2000</v>
      </c>
      <c r="K134" s="54">
        <v>2000</v>
      </c>
      <c r="M134" s="596"/>
      <c r="N134" s="45"/>
      <c r="O134" s="45"/>
      <c r="P134" s="45"/>
      <c r="Q134" s="45"/>
      <c r="R134" s="45"/>
      <c r="S134" s="45"/>
      <c r="T134" s="45"/>
      <c r="U134" s="45"/>
      <c r="V134" s="45"/>
      <c r="W134" s="45"/>
      <c r="X134" s="45"/>
      <c r="Y134" s="45"/>
      <c r="Z134" s="56"/>
    </row>
    <row r="135" spans="1:60">
      <c r="A135" s="7" t="s">
        <v>460</v>
      </c>
      <c r="B135" s="40" t="s">
        <v>461</v>
      </c>
      <c r="C135" s="40" t="s">
        <v>216</v>
      </c>
      <c r="D135" s="40" t="s">
        <v>228</v>
      </c>
      <c r="E135" s="40" t="s">
        <v>231</v>
      </c>
      <c r="F135" s="40"/>
      <c r="G135" s="38"/>
      <c r="H135" s="54">
        <v>0</v>
      </c>
      <c r="I135" s="53">
        <v>0</v>
      </c>
      <c r="J135" s="54">
        <v>0</v>
      </c>
      <c r="K135" s="54">
        <v>0</v>
      </c>
      <c r="M135" s="45"/>
      <c r="N135" s="45"/>
      <c r="O135" s="45"/>
      <c r="P135" s="45"/>
      <c r="Q135" s="45"/>
      <c r="R135" s="45"/>
      <c r="S135" s="45"/>
      <c r="T135" s="45"/>
      <c r="U135" s="45"/>
      <c r="V135" s="45"/>
      <c r="W135" s="45"/>
      <c r="X135" s="45"/>
      <c r="Y135" s="45"/>
      <c r="Z135" s="56"/>
    </row>
    <row r="136" spans="1:60">
      <c r="A136" s="7" t="s">
        <v>462</v>
      </c>
      <c r="B136" s="40" t="s">
        <v>463</v>
      </c>
      <c r="C136" s="40" t="s">
        <v>216</v>
      </c>
      <c r="D136" s="40" t="s">
        <v>242</v>
      </c>
      <c r="E136" s="40" t="s">
        <v>231</v>
      </c>
      <c r="F136" s="40"/>
      <c r="G136" s="38"/>
      <c r="H136" s="54">
        <v>0</v>
      </c>
      <c r="I136" s="53">
        <v>0</v>
      </c>
      <c r="J136" s="54">
        <v>0</v>
      </c>
      <c r="K136" s="54">
        <v>0</v>
      </c>
      <c r="M136" s="45"/>
      <c r="N136" s="45"/>
      <c r="O136" s="45"/>
      <c r="P136" s="45"/>
      <c r="Q136" s="45"/>
      <c r="R136" s="45"/>
      <c r="S136" s="45"/>
      <c r="T136" s="45"/>
      <c r="U136" s="45"/>
      <c r="V136" s="45"/>
      <c r="W136" s="45"/>
      <c r="X136" s="45"/>
      <c r="Y136" s="45"/>
      <c r="Z136" s="56"/>
    </row>
    <row r="137" spans="1:60">
      <c r="A137" s="7" t="s">
        <v>464</v>
      </c>
      <c r="B137" s="40" t="s">
        <v>465</v>
      </c>
      <c r="C137" s="40" t="s">
        <v>216</v>
      </c>
      <c r="D137" s="40" t="s">
        <v>303</v>
      </c>
      <c r="E137" s="40" t="s">
        <v>73</v>
      </c>
      <c r="F137" s="40" t="s">
        <v>71</v>
      </c>
      <c r="G137" s="38">
        <v>1</v>
      </c>
      <c r="H137" s="54">
        <v>0</v>
      </c>
      <c r="I137" s="53">
        <v>0</v>
      </c>
      <c r="J137" s="54">
        <v>0</v>
      </c>
      <c r="K137" s="54">
        <v>0</v>
      </c>
      <c r="M137" s="45"/>
      <c r="N137" s="45"/>
      <c r="O137" s="45"/>
      <c r="P137" s="45"/>
      <c r="Q137" s="45"/>
      <c r="R137" s="45"/>
      <c r="S137" s="45"/>
      <c r="T137" s="45"/>
      <c r="U137" s="45"/>
      <c r="V137" s="45"/>
      <c r="W137" s="45"/>
      <c r="X137" s="45"/>
      <c r="Y137" s="45"/>
      <c r="Z137" s="56"/>
    </row>
    <row r="138" spans="1:60">
      <c r="A138" s="7" t="s">
        <v>466</v>
      </c>
      <c r="B138" s="40" t="s">
        <v>465</v>
      </c>
      <c r="C138" s="40" t="s">
        <v>216</v>
      </c>
      <c r="D138" s="40" t="s">
        <v>303</v>
      </c>
      <c r="E138" s="40" t="s">
        <v>73</v>
      </c>
      <c r="F138" s="40" t="s">
        <v>71</v>
      </c>
      <c r="G138" s="38">
        <v>1</v>
      </c>
      <c r="H138" s="54">
        <v>0</v>
      </c>
      <c r="I138" s="53">
        <v>0</v>
      </c>
      <c r="J138" s="54">
        <v>0</v>
      </c>
      <c r="K138" s="54">
        <v>0</v>
      </c>
      <c r="M138" s="45"/>
      <c r="N138" s="45"/>
      <c r="O138" s="45"/>
      <c r="P138" s="45"/>
      <c r="Q138" s="45"/>
      <c r="R138" s="45"/>
      <c r="S138" s="45"/>
      <c r="T138" s="45"/>
      <c r="U138" s="45"/>
      <c r="V138" s="45"/>
      <c r="W138" s="45"/>
      <c r="X138" s="45"/>
      <c r="Y138" s="45"/>
      <c r="Z138" s="56"/>
    </row>
    <row r="139" spans="1:60">
      <c r="A139" s="4" t="s">
        <v>467</v>
      </c>
      <c r="B139" s="151" t="s">
        <v>468</v>
      </c>
      <c r="C139" s="760" t="s">
        <v>337</v>
      </c>
      <c r="D139" s="151"/>
      <c r="E139" s="151"/>
      <c r="F139" s="151"/>
      <c r="G139" s="152"/>
      <c r="H139" s="153"/>
      <c r="I139" s="154"/>
      <c r="J139" s="153"/>
      <c r="K139" s="172"/>
      <c r="L139" s="70">
        <v>700376.28717948718</v>
      </c>
      <c r="M139" s="45"/>
      <c r="N139" s="45"/>
      <c r="O139" s="45"/>
      <c r="P139" s="45"/>
      <c r="Q139" s="45"/>
      <c r="R139" s="45"/>
      <c r="S139" s="45"/>
      <c r="T139" s="45"/>
      <c r="U139" s="45"/>
      <c r="V139" s="45"/>
      <c r="W139" s="45"/>
      <c r="X139" s="45"/>
      <c r="Y139" s="45"/>
      <c r="Z139" s="56"/>
    </row>
    <row r="140" spans="1:60">
      <c r="A140" s="6" t="s">
        <v>469</v>
      </c>
      <c r="B140" s="47" t="s">
        <v>470</v>
      </c>
      <c r="C140" s="47" t="s">
        <v>216</v>
      </c>
      <c r="D140" s="47" t="s">
        <v>223</v>
      </c>
      <c r="E140" s="47" t="s">
        <v>231</v>
      </c>
      <c r="F140" s="47"/>
      <c r="G140" s="42"/>
      <c r="H140" s="61"/>
      <c r="I140" s="63">
        <v>0</v>
      </c>
      <c r="J140" s="67">
        <v>0</v>
      </c>
      <c r="K140" s="67">
        <v>0</v>
      </c>
      <c r="L140" s="112"/>
      <c r="M140" s="45"/>
      <c r="N140" s="45"/>
      <c r="O140" s="45"/>
      <c r="P140" s="45"/>
      <c r="Q140" s="45"/>
      <c r="R140" s="45"/>
      <c r="S140" s="45"/>
      <c r="T140" s="45"/>
      <c r="U140" s="45"/>
      <c r="V140" s="45"/>
      <c r="W140" s="45"/>
      <c r="X140" s="45"/>
      <c r="Y140" s="45"/>
      <c r="Z140" s="56"/>
    </row>
    <row r="141" spans="1:60">
      <c r="A141" s="7" t="s">
        <v>471</v>
      </c>
      <c r="B141" s="40" t="s">
        <v>472</v>
      </c>
      <c r="C141" s="40" t="s">
        <v>216</v>
      </c>
      <c r="D141" s="40" t="s">
        <v>473</v>
      </c>
      <c r="E141" s="40" t="s">
        <v>426</v>
      </c>
      <c r="F141" s="40" t="s">
        <v>88</v>
      </c>
      <c r="G141" s="42">
        <v>390</v>
      </c>
      <c r="H141" s="54">
        <v>212</v>
      </c>
      <c r="I141" s="53">
        <v>0</v>
      </c>
      <c r="J141" s="54">
        <v>212</v>
      </c>
      <c r="K141" s="54">
        <v>82680</v>
      </c>
      <c r="M141" s="45"/>
      <c r="N141" s="45"/>
      <c r="O141" s="45"/>
      <c r="P141" s="45"/>
      <c r="Q141" s="45"/>
      <c r="R141" s="45"/>
      <c r="S141" s="45"/>
      <c r="T141" s="45"/>
      <c r="U141" s="45"/>
      <c r="V141" s="45"/>
      <c r="W141" s="45"/>
      <c r="X141" s="45"/>
      <c r="Y141" s="45"/>
      <c r="Z141" s="56"/>
    </row>
    <row r="142" spans="1:60">
      <c r="A142" s="7" t="s">
        <v>474</v>
      </c>
      <c r="B142" s="40" t="s">
        <v>475</v>
      </c>
      <c r="C142" s="40" t="s">
        <v>216</v>
      </c>
      <c r="D142" s="40" t="s">
        <v>223</v>
      </c>
      <c r="E142" s="60" t="s">
        <v>73</v>
      </c>
      <c r="F142" s="40" t="s">
        <v>71</v>
      </c>
      <c r="G142" s="38">
        <v>1</v>
      </c>
      <c r="H142" s="54">
        <v>20000</v>
      </c>
      <c r="I142" s="53">
        <v>0</v>
      </c>
      <c r="J142" s="54">
        <v>20000</v>
      </c>
      <c r="K142" s="54">
        <v>20000</v>
      </c>
      <c r="M142" s="45" t="s">
        <v>476</v>
      </c>
      <c r="N142" s="45"/>
      <c r="O142" s="45"/>
      <c r="P142" s="45"/>
      <c r="Q142" s="45"/>
      <c r="R142" s="45"/>
      <c r="S142" s="45"/>
      <c r="T142" s="45"/>
      <c r="U142" s="45"/>
      <c r="V142" s="45"/>
      <c r="W142" s="45"/>
      <c r="X142" s="45"/>
      <c r="Y142" s="45"/>
      <c r="Z142" s="56"/>
    </row>
    <row r="143" spans="1:60">
      <c r="A143" s="7" t="s">
        <v>477</v>
      </c>
      <c r="B143" s="40" t="s">
        <v>478</v>
      </c>
      <c r="C143" s="40" t="s">
        <v>216</v>
      </c>
      <c r="D143" s="40" t="s">
        <v>223</v>
      </c>
      <c r="E143" s="40" t="s">
        <v>73</v>
      </c>
      <c r="F143" s="40" t="s">
        <v>71</v>
      </c>
      <c r="G143" s="38">
        <v>1</v>
      </c>
      <c r="H143" s="54">
        <v>5000</v>
      </c>
      <c r="I143" s="53">
        <v>0</v>
      </c>
      <c r="J143" s="54">
        <v>5000</v>
      </c>
      <c r="K143" s="54">
        <v>5000</v>
      </c>
      <c r="M143" s="45"/>
      <c r="N143" s="45"/>
      <c r="O143" s="45"/>
      <c r="P143" s="45"/>
      <c r="Q143" s="45"/>
      <c r="R143" s="45"/>
      <c r="S143" s="45"/>
      <c r="T143" s="45"/>
      <c r="U143" s="45"/>
      <c r="V143" s="45"/>
      <c r="W143" s="45"/>
      <c r="X143" s="45"/>
      <c r="Y143" s="45"/>
      <c r="Z143" s="56"/>
    </row>
    <row r="144" spans="1:60">
      <c r="A144" s="7" t="s">
        <v>479</v>
      </c>
      <c r="B144" s="40" t="s">
        <v>480</v>
      </c>
      <c r="C144" s="40" t="s">
        <v>216</v>
      </c>
      <c r="D144" s="40" t="s">
        <v>481</v>
      </c>
      <c r="E144" s="40" t="s">
        <v>73</v>
      </c>
      <c r="F144" s="40" t="s">
        <v>71</v>
      </c>
      <c r="G144" s="38">
        <v>1</v>
      </c>
      <c r="H144" s="54">
        <v>7000</v>
      </c>
      <c r="I144" s="53">
        <v>0</v>
      </c>
      <c r="J144" s="54">
        <v>7000</v>
      </c>
      <c r="K144" s="54">
        <v>7000</v>
      </c>
      <c r="M144" s="45"/>
      <c r="N144" s="45"/>
      <c r="O144" s="45"/>
      <c r="P144" s="45"/>
      <c r="Q144" s="45"/>
      <c r="R144" s="45"/>
      <c r="S144" s="45"/>
      <c r="T144" s="45"/>
      <c r="U144" s="45"/>
      <c r="V144" s="45"/>
      <c r="W144" s="45"/>
      <c r="X144" s="45"/>
      <c r="Y144" s="45"/>
      <c r="Z144" s="56"/>
    </row>
    <row r="145" spans="1:30">
      <c r="A145" s="7" t="s">
        <v>482</v>
      </c>
      <c r="B145" s="40" t="s">
        <v>483</v>
      </c>
      <c r="C145" s="40" t="s">
        <v>216</v>
      </c>
      <c r="D145" s="40" t="s">
        <v>228</v>
      </c>
      <c r="E145" s="40" t="s">
        <v>426</v>
      </c>
      <c r="F145" s="40" t="s">
        <v>484</v>
      </c>
      <c r="G145" s="42">
        <v>553</v>
      </c>
      <c r="H145" s="54">
        <v>41.241025641025644</v>
      </c>
      <c r="I145" s="53">
        <v>0</v>
      </c>
      <c r="J145" s="54">
        <v>41.241025641025644</v>
      </c>
      <c r="K145" s="54">
        <v>22806.287179487183</v>
      </c>
      <c r="M145" s="45"/>
      <c r="N145" s="45"/>
      <c r="O145" s="45"/>
      <c r="P145" s="45"/>
      <c r="Q145" s="45"/>
      <c r="R145" s="45"/>
      <c r="S145" s="45"/>
      <c r="T145" s="45"/>
      <c r="U145" s="45"/>
      <c r="V145" s="45"/>
      <c r="W145" s="45"/>
      <c r="X145" s="45"/>
      <c r="Y145" s="45"/>
      <c r="Z145" s="56"/>
    </row>
    <row r="146" spans="1:30">
      <c r="A146" s="7" t="s">
        <v>485</v>
      </c>
      <c r="B146" s="40" t="s">
        <v>486</v>
      </c>
      <c r="C146" s="40" t="s">
        <v>216</v>
      </c>
      <c r="D146" s="40" t="s">
        <v>228</v>
      </c>
      <c r="E146" s="40" t="s">
        <v>231</v>
      </c>
      <c r="F146" s="40"/>
      <c r="G146" s="38"/>
      <c r="H146" s="51"/>
      <c r="I146" s="53">
        <v>0</v>
      </c>
      <c r="J146" s="54">
        <v>0</v>
      </c>
      <c r="K146" s="54">
        <v>0</v>
      </c>
      <c r="M146" s="45"/>
      <c r="N146" s="45"/>
      <c r="O146" s="45"/>
      <c r="P146" s="45"/>
      <c r="Q146" s="45"/>
      <c r="R146" s="45"/>
      <c r="S146" s="45"/>
      <c r="T146" s="45"/>
      <c r="U146" s="45"/>
      <c r="V146" s="45"/>
      <c r="W146" s="45"/>
      <c r="X146" s="45"/>
      <c r="Y146" s="45"/>
      <c r="Z146" s="56"/>
    </row>
    <row r="147" spans="1:30">
      <c r="A147" s="7" t="s">
        <v>487</v>
      </c>
      <c r="B147" s="40" t="s">
        <v>488</v>
      </c>
      <c r="C147" s="40" t="s">
        <v>216</v>
      </c>
      <c r="D147" s="40" t="s">
        <v>228</v>
      </c>
      <c r="E147" s="40" t="s">
        <v>73</v>
      </c>
      <c r="F147" s="40" t="s">
        <v>71</v>
      </c>
      <c r="G147" s="38">
        <v>2</v>
      </c>
      <c r="H147" s="54">
        <v>3500</v>
      </c>
      <c r="I147" s="53">
        <v>0</v>
      </c>
      <c r="J147" s="54">
        <v>3500</v>
      </c>
      <c r="K147" s="54">
        <v>7000</v>
      </c>
      <c r="M147" s="45"/>
      <c r="N147" s="45"/>
      <c r="O147" s="45"/>
      <c r="P147" s="45"/>
      <c r="Q147" s="45"/>
      <c r="R147" s="45"/>
      <c r="S147" s="45"/>
      <c r="T147" s="45"/>
      <c r="U147" s="45"/>
      <c r="V147" s="45"/>
      <c r="W147" s="45"/>
      <c r="X147" s="45"/>
      <c r="Y147" s="45"/>
      <c r="Z147" s="56"/>
    </row>
    <row r="148" spans="1:30">
      <c r="A148" s="7" t="s">
        <v>489</v>
      </c>
      <c r="B148" s="40" t="s">
        <v>490</v>
      </c>
      <c r="C148" s="40" t="s">
        <v>216</v>
      </c>
      <c r="D148" s="40" t="s">
        <v>242</v>
      </c>
      <c r="E148" s="40" t="s">
        <v>73</v>
      </c>
      <c r="F148" s="40" t="s">
        <v>71</v>
      </c>
      <c r="G148" s="38">
        <v>1</v>
      </c>
      <c r="H148" s="54">
        <v>3500</v>
      </c>
      <c r="I148" s="53">
        <v>0</v>
      </c>
      <c r="J148" s="54">
        <v>3500</v>
      </c>
      <c r="K148" s="54">
        <v>3500</v>
      </c>
      <c r="M148" s="45"/>
      <c r="N148" s="45"/>
      <c r="O148" s="45"/>
      <c r="P148" s="45"/>
      <c r="Q148" s="45"/>
      <c r="R148" s="45"/>
      <c r="S148" s="45"/>
      <c r="T148" s="45"/>
      <c r="U148" s="45"/>
      <c r="V148" s="45"/>
      <c r="W148" s="45"/>
      <c r="X148" s="45"/>
      <c r="Y148" s="45"/>
      <c r="Z148" s="56"/>
    </row>
    <row r="149" spans="1:30">
      <c r="A149" s="7" t="s">
        <v>491</v>
      </c>
      <c r="B149" s="40" t="s">
        <v>492</v>
      </c>
      <c r="C149" s="40" t="s">
        <v>216</v>
      </c>
      <c r="D149" s="40" t="s">
        <v>242</v>
      </c>
      <c r="E149" s="40" t="s">
        <v>493</v>
      </c>
      <c r="F149" s="40" t="s">
        <v>71</v>
      </c>
      <c r="G149" s="38">
        <v>8</v>
      </c>
      <c r="H149" s="54">
        <v>3360</v>
      </c>
      <c r="I149" s="53">
        <v>0</v>
      </c>
      <c r="J149" s="54">
        <v>3360</v>
      </c>
      <c r="K149" s="54">
        <v>26880</v>
      </c>
      <c r="M149" s="45"/>
      <c r="N149" s="45"/>
      <c r="O149" s="45"/>
      <c r="P149" s="45"/>
      <c r="Q149" s="45"/>
      <c r="R149" s="45"/>
      <c r="S149" s="45"/>
      <c r="T149" s="45"/>
      <c r="U149" s="45"/>
      <c r="V149" s="45"/>
      <c r="W149" s="45"/>
      <c r="X149" s="45"/>
      <c r="Y149" s="45"/>
      <c r="Z149" s="56"/>
    </row>
    <row r="150" spans="1:30">
      <c r="A150" s="7" t="s">
        <v>191</v>
      </c>
      <c r="B150" s="40" t="s">
        <v>494</v>
      </c>
      <c r="C150" s="40" t="s">
        <v>216</v>
      </c>
      <c r="D150" s="40" t="s">
        <v>223</v>
      </c>
      <c r="E150" s="40" t="s">
        <v>73</v>
      </c>
      <c r="F150" s="40" t="s">
        <v>108</v>
      </c>
      <c r="G150" s="38">
        <v>10</v>
      </c>
      <c r="H150" s="54">
        <v>600</v>
      </c>
      <c r="I150" s="53">
        <v>0</v>
      </c>
      <c r="J150" s="54">
        <v>600</v>
      </c>
      <c r="K150" s="54">
        <v>6000</v>
      </c>
      <c r="M150" s="45"/>
      <c r="N150" s="45"/>
      <c r="O150" s="45"/>
      <c r="P150" s="45"/>
      <c r="Q150" s="45"/>
      <c r="R150" s="45"/>
      <c r="S150" s="45"/>
      <c r="T150" s="45"/>
      <c r="U150" s="45"/>
      <c r="V150" s="45"/>
      <c r="W150" s="45"/>
      <c r="X150" s="45"/>
      <c r="Y150" s="45"/>
      <c r="Z150" s="56"/>
    </row>
    <row r="151" spans="1:30">
      <c r="A151" s="7" t="s">
        <v>495</v>
      </c>
      <c r="B151" s="40" t="s">
        <v>496</v>
      </c>
      <c r="C151" s="40" t="s">
        <v>216</v>
      </c>
      <c r="D151" s="40" t="s">
        <v>228</v>
      </c>
      <c r="E151" s="40" t="s">
        <v>73</v>
      </c>
      <c r="F151" s="40" t="s">
        <v>88</v>
      </c>
      <c r="G151" s="42">
        <v>390</v>
      </c>
      <c r="H151" s="54">
        <v>80</v>
      </c>
      <c r="I151" s="53">
        <v>0</v>
      </c>
      <c r="J151" s="54">
        <v>80</v>
      </c>
      <c r="K151" s="54">
        <v>31200</v>
      </c>
      <c r="M151" s="45"/>
      <c r="N151" s="45"/>
      <c r="O151" s="45"/>
      <c r="P151" s="45"/>
      <c r="Q151" s="45"/>
      <c r="R151" s="45"/>
      <c r="S151" s="45"/>
      <c r="T151" s="45"/>
      <c r="U151" s="45"/>
      <c r="V151" s="45"/>
      <c r="W151" s="45"/>
      <c r="X151" s="45"/>
      <c r="Y151" s="45"/>
      <c r="Z151" s="56"/>
    </row>
    <row r="152" spans="1:30">
      <c r="A152" s="7" t="s">
        <v>497</v>
      </c>
      <c r="B152" s="40" t="s">
        <v>498</v>
      </c>
      <c r="C152" s="40" t="s">
        <v>216</v>
      </c>
      <c r="D152" s="40" t="s">
        <v>228</v>
      </c>
      <c r="E152" s="40" t="s">
        <v>426</v>
      </c>
      <c r="F152" s="40" t="s">
        <v>88</v>
      </c>
      <c r="G152" s="42">
        <v>390</v>
      </c>
      <c r="H152" s="54">
        <v>230.28205128205127</v>
      </c>
      <c r="I152" s="53">
        <v>0</v>
      </c>
      <c r="J152" s="54">
        <v>230.28205128205127</v>
      </c>
      <c r="K152" s="210">
        <v>89810</v>
      </c>
      <c r="M152" s="597"/>
      <c r="N152" s="45"/>
      <c r="O152" s="45"/>
      <c r="P152" s="45"/>
      <c r="Q152" s="45"/>
      <c r="R152" s="45"/>
      <c r="S152" s="45"/>
      <c r="T152" s="45"/>
      <c r="U152" s="45"/>
      <c r="V152" s="45"/>
      <c r="W152" s="45"/>
      <c r="X152" s="45"/>
      <c r="Y152" s="45"/>
      <c r="Z152" s="56"/>
    </row>
    <row r="153" spans="1:30">
      <c r="A153" s="7" t="s">
        <v>499</v>
      </c>
      <c r="B153" s="40" t="s">
        <v>500</v>
      </c>
      <c r="C153" s="40" t="s">
        <v>216</v>
      </c>
      <c r="D153" s="40" t="s">
        <v>228</v>
      </c>
      <c r="E153" s="40" t="s">
        <v>326</v>
      </c>
      <c r="F153" s="40" t="s">
        <v>88</v>
      </c>
      <c r="G153" s="42">
        <v>390</v>
      </c>
      <c r="H153" s="54">
        <v>425.64102564102564</v>
      </c>
      <c r="I153" s="53">
        <v>0</v>
      </c>
      <c r="J153" s="54">
        <v>425.64102564102564</v>
      </c>
      <c r="K153" s="54">
        <v>166000</v>
      </c>
      <c r="M153" s="45" t="s">
        <v>501</v>
      </c>
      <c r="N153" s="45"/>
      <c r="O153" s="45"/>
      <c r="P153" s="45"/>
      <c r="Q153" s="45"/>
      <c r="R153" s="45"/>
      <c r="S153" s="45"/>
      <c r="T153" s="45"/>
      <c r="U153" s="45"/>
      <c r="V153" s="45"/>
      <c r="W153" s="45"/>
      <c r="X153" s="45"/>
      <c r="Y153" s="45"/>
      <c r="Z153" s="56"/>
    </row>
    <row r="154" spans="1:30">
      <c r="A154" s="7" t="s">
        <v>502</v>
      </c>
      <c r="B154" s="40" t="s">
        <v>503</v>
      </c>
      <c r="C154" s="40" t="s">
        <v>216</v>
      </c>
      <c r="D154" s="40" t="s">
        <v>228</v>
      </c>
      <c r="E154" s="40" t="s">
        <v>44</v>
      </c>
      <c r="F154" s="40" t="s">
        <v>186</v>
      </c>
      <c r="G154" s="38">
        <v>58</v>
      </c>
      <c r="H154" s="54">
        <v>2500</v>
      </c>
      <c r="I154" s="53">
        <v>0</v>
      </c>
      <c r="J154" s="54">
        <v>2500</v>
      </c>
      <c r="K154" s="54">
        <v>145000</v>
      </c>
      <c r="M154" s="45"/>
      <c r="N154" s="45"/>
      <c r="O154" s="45"/>
      <c r="P154" s="45"/>
      <c r="Q154" s="45"/>
      <c r="R154" s="45"/>
      <c r="S154" s="45"/>
      <c r="T154" s="45"/>
      <c r="U154" s="45"/>
      <c r="V154" s="45"/>
      <c r="W154" s="45"/>
      <c r="X154" s="45"/>
      <c r="Y154" s="45"/>
      <c r="Z154" s="56"/>
      <c r="AB154" s="55">
        <f>2*3</f>
        <v>6</v>
      </c>
      <c r="AC154" s="55">
        <v>35546.666666666664</v>
      </c>
      <c r="AD154" s="55">
        <f>AC154*AB154</f>
        <v>213280</v>
      </c>
    </row>
    <row r="155" spans="1:30">
      <c r="A155" s="7" t="s">
        <v>504</v>
      </c>
      <c r="B155" s="40" t="s">
        <v>503</v>
      </c>
      <c r="C155" s="40" t="s">
        <v>216</v>
      </c>
      <c r="D155" s="40" t="s">
        <v>228</v>
      </c>
      <c r="E155" s="40" t="s">
        <v>44</v>
      </c>
      <c r="F155" s="40" t="s">
        <v>186</v>
      </c>
      <c r="G155" s="38">
        <v>10</v>
      </c>
      <c r="H155" s="54">
        <v>8750</v>
      </c>
      <c r="I155" s="53">
        <v>0</v>
      </c>
      <c r="J155" s="54">
        <v>8750</v>
      </c>
      <c r="K155" s="54">
        <v>87500</v>
      </c>
      <c r="M155" s="45"/>
      <c r="N155" s="45"/>
      <c r="O155" s="45"/>
      <c r="P155" s="45"/>
      <c r="Q155" s="45"/>
      <c r="R155" s="45"/>
      <c r="S155" s="45"/>
      <c r="T155" s="45"/>
      <c r="U155" s="45"/>
      <c r="V155" s="45"/>
      <c r="W155" s="45"/>
      <c r="X155" s="45"/>
      <c r="Y155" s="45"/>
      <c r="Z155" s="56"/>
      <c r="AB155" s="55">
        <f>2*3</f>
        <v>6</v>
      </c>
      <c r="AC155" s="55">
        <v>35546.666666666664</v>
      </c>
      <c r="AD155" s="55">
        <f>AC155*AB155</f>
        <v>213280</v>
      </c>
    </row>
    <row r="156" spans="1:30">
      <c r="A156" s="4" t="s">
        <v>505</v>
      </c>
      <c r="B156" s="151" t="s">
        <v>506</v>
      </c>
      <c r="C156" s="760" t="s">
        <v>337</v>
      </c>
      <c r="D156" s="151"/>
      <c r="E156" s="151"/>
      <c r="F156" s="151"/>
      <c r="G156" s="152"/>
      <c r="H156" s="153"/>
      <c r="I156" s="154"/>
      <c r="J156" s="153"/>
      <c r="K156" s="172"/>
      <c r="L156" s="70">
        <v>1385515</v>
      </c>
      <c r="M156" s="45"/>
      <c r="N156" s="45"/>
      <c r="O156" s="45"/>
      <c r="P156" s="45"/>
      <c r="Q156" s="45"/>
      <c r="R156" s="45"/>
      <c r="S156" s="45"/>
      <c r="T156" s="45"/>
      <c r="U156" s="45"/>
      <c r="V156" s="45"/>
      <c r="W156" s="45"/>
      <c r="X156" s="45"/>
      <c r="Y156" s="45"/>
      <c r="Z156" s="56"/>
      <c r="AB156" s="55">
        <f>2*2</f>
        <v>4</v>
      </c>
      <c r="AC156" s="55">
        <v>35546.666666666664</v>
      </c>
      <c r="AD156" s="55">
        <f>AC156*AB156</f>
        <v>142186.66666666666</v>
      </c>
    </row>
    <row r="157" spans="1:30">
      <c r="A157" s="7" t="s">
        <v>507</v>
      </c>
      <c r="B157" s="40" t="s">
        <v>508</v>
      </c>
      <c r="C157" s="40" t="s">
        <v>216</v>
      </c>
      <c r="D157" s="40" t="s">
        <v>228</v>
      </c>
      <c r="E157" s="40" t="s">
        <v>44</v>
      </c>
      <c r="F157" s="40" t="s">
        <v>88</v>
      </c>
      <c r="G157" s="38">
        <v>390</v>
      </c>
      <c r="H157" s="54">
        <v>3488.5</v>
      </c>
      <c r="I157" s="53">
        <v>0</v>
      </c>
      <c r="J157" s="54">
        <v>3488.5</v>
      </c>
      <c r="K157" s="54">
        <v>1360515</v>
      </c>
      <c r="L157" s="112"/>
      <c r="M157" s="45"/>
      <c r="N157" s="45"/>
      <c r="O157" s="45"/>
      <c r="P157" s="45"/>
      <c r="Q157" s="45"/>
      <c r="R157" s="45"/>
      <c r="S157" s="45"/>
      <c r="T157" s="45"/>
      <c r="U157" s="45"/>
      <c r="V157" s="45"/>
      <c r="W157" s="45"/>
      <c r="X157" s="45"/>
      <c r="Y157" s="45"/>
      <c r="Z157" s="56"/>
      <c r="AD157" s="55">
        <f>SUM(AD154:AD156)</f>
        <v>568746.66666666663</v>
      </c>
    </row>
    <row r="158" spans="1:30">
      <c r="A158" s="7" t="s">
        <v>509</v>
      </c>
      <c r="B158" s="40" t="s">
        <v>508</v>
      </c>
      <c r="C158" s="40" t="s">
        <v>216</v>
      </c>
      <c r="D158" s="40" t="s">
        <v>228</v>
      </c>
      <c r="E158" s="40" t="s">
        <v>73</v>
      </c>
      <c r="F158" s="40" t="s">
        <v>71</v>
      </c>
      <c r="G158" s="38">
        <v>1</v>
      </c>
      <c r="H158" s="54">
        <v>25000</v>
      </c>
      <c r="I158" s="53">
        <v>0</v>
      </c>
      <c r="J158" s="54">
        <v>25000</v>
      </c>
      <c r="K158" s="54">
        <v>25000</v>
      </c>
      <c r="M158" s="45"/>
      <c r="N158" s="45"/>
      <c r="O158" s="45"/>
      <c r="P158" s="45"/>
      <c r="Q158" s="45"/>
      <c r="R158" s="45"/>
      <c r="S158" s="45"/>
      <c r="T158" s="45"/>
      <c r="U158" s="45"/>
      <c r="V158" s="45"/>
      <c r="W158" s="45"/>
      <c r="X158" s="45"/>
      <c r="Y158" s="45"/>
      <c r="Z158" s="56"/>
    </row>
    <row r="159" spans="1:30">
      <c r="A159" s="4" t="s">
        <v>510</v>
      </c>
      <c r="B159" s="151" t="s">
        <v>511</v>
      </c>
      <c r="C159" s="760" t="s">
        <v>337</v>
      </c>
      <c r="D159" s="151"/>
      <c r="E159" s="151"/>
      <c r="F159" s="151"/>
      <c r="G159" s="152"/>
      <c r="H159" s="172"/>
      <c r="I159" s="154"/>
      <c r="J159" s="153"/>
      <c r="K159" s="172"/>
      <c r="L159" s="70">
        <v>2369433.4150845585</v>
      </c>
      <c r="M159" s="45"/>
      <c r="N159" s="45"/>
      <c r="O159" s="45"/>
      <c r="P159" s="45"/>
      <c r="Q159" s="45"/>
      <c r="R159" s="45"/>
      <c r="S159" s="45"/>
      <c r="T159" s="45"/>
      <c r="U159" s="45"/>
      <c r="V159" s="45"/>
      <c r="W159" s="45"/>
      <c r="X159" s="45"/>
      <c r="Y159" s="45"/>
      <c r="Z159" s="56"/>
      <c r="AD159" s="55">
        <f>AD157/16</f>
        <v>35546.666666666664</v>
      </c>
    </row>
    <row r="160" spans="1:30">
      <c r="A160" s="6" t="s">
        <v>307</v>
      </c>
      <c r="B160" s="47" t="s">
        <v>512</v>
      </c>
      <c r="C160" s="47" t="s">
        <v>216</v>
      </c>
      <c r="D160" s="47" t="s">
        <v>309</v>
      </c>
      <c r="E160" s="47"/>
      <c r="F160" s="47" t="s">
        <v>88</v>
      </c>
      <c r="G160" s="42">
        <v>0</v>
      </c>
      <c r="H160" s="461">
        <v>79</v>
      </c>
      <c r="I160" s="63">
        <v>0</v>
      </c>
      <c r="J160" s="67">
        <v>79</v>
      </c>
      <c r="K160" s="67">
        <v>0</v>
      </c>
      <c r="M160" s="45"/>
      <c r="N160" s="45"/>
      <c r="O160" s="45"/>
      <c r="P160" s="45"/>
      <c r="Q160" s="45"/>
      <c r="R160" s="45"/>
      <c r="S160" s="45"/>
      <c r="T160" s="45"/>
      <c r="U160" s="45"/>
      <c r="V160" s="45"/>
      <c r="W160" s="45"/>
      <c r="X160" s="45"/>
      <c r="Y160" s="45"/>
      <c r="Z160" s="56"/>
    </row>
    <row r="161" spans="1:60">
      <c r="A161" s="7" t="s">
        <v>513</v>
      </c>
      <c r="B161" s="40" t="s">
        <v>514</v>
      </c>
      <c r="C161" s="40" t="s">
        <v>216</v>
      </c>
      <c r="D161" s="40" t="s">
        <v>228</v>
      </c>
      <c r="E161" s="40" t="s">
        <v>239</v>
      </c>
      <c r="F161" s="40" t="s">
        <v>375</v>
      </c>
      <c r="G161" s="38">
        <v>390</v>
      </c>
      <c r="H161" s="54">
        <v>396.90721649484539</v>
      </c>
      <c r="I161" s="53">
        <v>0.1</v>
      </c>
      <c r="J161" s="54">
        <v>436.59793814432999</v>
      </c>
      <c r="K161" s="54">
        <v>170273.19587628869</v>
      </c>
      <c r="M161" s="45" t="s">
        <v>515</v>
      </c>
      <c r="N161" s="45"/>
      <c r="O161" s="45"/>
      <c r="P161" s="45"/>
      <c r="Q161" s="45"/>
      <c r="R161" s="45"/>
      <c r="S161" s="45"/>
      <c r="T161" s="45"/>
      <c r="U161" s="45"/>
      <c r="V161" s="45"/>
      <c r="W161" s="45"/>
      <c r="X161" s="45"/>
      <c r="Y161" s="45"/>
      <c r="Z161" s="56"/>
    </row>
    <row r="162" spans="1:60" s="781" customFormat="1">
      <c r="A162" s="7" t="s">
        <v>516</v>
      </c>
      <c r="B162" s="40" t="s">
        <v>517</v>
      </c>
      <c r="C162" s="40" t="s">
        <v>216</v>
      </c>
      <c r="D162" s="40" t="s">
        <v>228</v>
      </c>
      <c r="E162" s="40" t="s">
        <v>239</v>
      </c>
      <c r="F162" s="40" t="s">
        <v>518</v>
      </c>
      <c r="G162" s="42">
        <v>8559</v>
      </c>
      <c r="H162" s="54">
        <v>137.80000000000001</v>
      </c>
      <c r="I162" s="53">
        <v>0</v>
      </c>
      <c r="J162" s="54">
        <v>137.80000000000001</v>
      </c>
      <c r="K162" s="54">
        <v>1179430.2000000002</v>
      </c>
      <c r="M162" s="1119" t="s">
        <v>519</v>
      </c>
      <c r="N162" s="1119"/>
      <c r="O162" s="1119"/>
      <c r="P162" s="1119"/>
      <c r="Q162" s="1119"/>
      <c r="R162" s="1119"/>
      <c r="S162" s="1119"/>
      <c r="T162" s="1119"/>
      <c r="U162" s="1119"/>
      <c r="V162" s="1119"/>
      <c r="W162" s="1119"/>
      <c r="X162" s="815"/>
      <c r="Y162" s="815"/>
      <c r="Z162" s="783"/>
      <c r="BG162" s="783"/>
      <c r="BH162" s="783"/>
    </row>
    <row r="163" spans="1:60">
      <c r="A163" s="7" t="s">
        <v>520</v>
      </c>
      <c r="B163" s="40" t="s">
        <v>521</v>
      </c>
      <c r="C163" s="40" t="s">
        <v>216</v>
      </c>
      <c r="D163" s="40" t="s">
        <v>228</v>
      </c>
      <c r="E163" s="40" t="s">
        <v>73</v>
      </c>
      <c r="F163" s="40" t="s">
        <v>71</v>
      </c>
      <c r="G163" s="183">
        <v>1</v>
      </c>
      <c r="H163" s="54">
        <v>128400</v>
      </c>
      <c r="I163" s="53">
        <v>0</v>
      </c>
      <c r="J163" s="54">
        <v>128400</v>
      </c>
      <c r="K163" s="54">
        <v>128400</v>
      </c>
      <c r="M163" s="45" t="s">
        <v>522</v>
      </c>
      <c r="N163" s="45"/>
      <c r="O163" s="45"/>
      <c r="P163" s="45"/>
      <c r="Q163" s="45"/>
      <c r="R163" s="45"/>
      <c r="S163" s="45"/>
      <c r="T163" s="45"/>
      <c r="U163" s="45"/>
      <c r="V163" s="45"/>
      <c r="W163" s="45"/>
      <c r="X163" s="45"/>
      <c r="Y163" s="45"/>
      <c r="Z163" s="56"/>
    </row>
    <row r="164" spans="1:60" s="781" customFormat="1">
      <c r="A164" s="7" t="s">
        <v>523</v>
      </c>
      <c r="B164" s="40" t="s">
        <v>524</v>
      </c>
      <c r="C164" s="40" t="s">
        <v>216</v>
      </c>
      <c r="D164" s="40" t="s">
        <v>228</v>
      </c>
      <c r="E164" s="40" t="s">
        <v>239</v>
      </c>
      <c r="F164" s="40" t="s">
        <v>61</v>
      </c>
      <c r="G164" s="42">
        <v>32355.899999999998</v>
      </c>
      <c r="H164" s="843">
        <v>24.855498355498355</v>
      </c>
      <c r="I164" s="53">
        <v>0</v>
      </c>
      <c r="J164" s="843">
        <v>24.855498355498355</v>
      </c>
      <c r="K164" s="54">
        <v>804222.01924066921</v>
      </c>
      <c r="M164" s="1119" t="s">
        <v>525</v>
      </c>
      <c r="N164" s="1119"/>
      <c r="O164" s="1119"/>
      <c r="P164" s="1119"/>
      <c r="Q164" s="1119"/>
      <c r="R164" s="1119"/>
      <c r="S164" s="1119"/>
      <c r="T164" s="1119"/>
      <c r="U164" s="1119"/>
      <c r="V164" s="1119"/>
      <c r="W164" s="1119"/>
      <c r="X164" s="1119"/>
      <c r="Y164" s="1119"/>
      <c r="Z164" s="783"/>
      <c r="BG164" s="783"/>
      <c r="BH164" s="783"/>
    </row>
    <row r="165" spans="1:60">
      <c r="A165" s="7" t="s">
        <v>526</v>
      </c>
      <c r="B165" s="40" t="s">
        <v>527</v>
      </c>
      <c r="C165" s="40" t="s">
        <v>283</v>
      </c>
      <c r="D165" s="40" t="s">
        <v>228</v>
      </c>
      <c r="E165" s="40" t="s">
        <v>44</v>
      </c>
      <c r="F165" s="40" t="s">
        <v>71</v>
      </c>
      <c r="G165" s="183">
        <v>1</v>
      </c>
      <c r="H165" s="54">
        <v>39107.999967600001</v>
      </c>
      <c r="I165" s="53">
        <v>0</v>
      </c>
      <c r="J165" s="54">
        <v>39107.999967600001</v>
      </c>
      <c r="K165" s="54">
        <v>39107.999967600001</v>
      </c>
      <c r="M165" s="45" t="s">
        <v>528</v>
      </c>
      <c r="N165" s="45"/>
      <c r="O165" s="45"/>
      <c r="P165" s="45"/>
      <c r="Q165" s="45"/>
      <c r="R165" s="45"/>
      <c r="S165" s="45"/>
      <c r="T165" s="45"/>
      <c r="U165" s="45"/>
      <c r="V165" s="45"/>
      <c r="W165" s="45"/>
      <c r="X165" s="45"/>
      <c r="Y165" s="45"/>
      <c r="Z165" s="56"/>
    </row>
    <row r="166" spans="1:60">
      <c r="A166" s="7" t="s">
        <v>529</v>
      </c>
      <c r="B166" s="40" t="s">
        <v>530</v>
      </c>
      <c r="C166" s="40" t="s">
        <v>216</v>
      </c>
      <c r="D166" s="40" t="s">
        <v>242</v>
      </c>
      <c r="E166" s="40" t="s">
        <v>73</v>
      </c>
      <c r="F166" s="40" t="s">
        <v>71</v>
      </c>
      <c r="G166" s="38">
        <v>0</v>
      </c>
      <c r="H166" s="54">
        <v>2500</v>
      </c>
      <c r="I166" s="53">
        <v>0</v>
      </c>
      <c r="J166" s="54">
        <v>2500</v>
      </c>
      <c r="K166" s="54">
        <v>0</v>
      </c>
      <c r="M166" s="45"/>
      <c r="N166" s="45"/>
      <c r="O166" s="45"/>
      <c r="P166" s="45"/>
      <c r="Q166" s="45"/>
      <c r="R166" s="45"/>
      <c r="S166" s="45"/>
      <c r="T166" s="45"/>
      <c r="U166" s="45"/>
      <c r="V166" s="45"/>
      <c r="W166" s="45"/>
      <c r="X166" s="45"/>
      <c r="Y166" s="45"/>
      <c r="Z166" s="56"/>
    </row>
    <row r="167" spans="1:60">
      <c r="A167" s="7" t="s">
        <v>531</v>
      </c>
      <c r="B167" s="40" t="s">
        <v>532</v>
      </c>
      <c r="C167" s="40" t="s">
        <v>216</v>
      </c>
      <c r="D167" s="40" t="s">
        <v>242</v>
      </c>
      <c r="E167" s="40" t="s">
        <v>73</v>
      </c>
      <c r="F167" s="40" t="s">
        <v>71</v>
      </c>
      <c r="G167" s="38">
        <v>8</v>
      </c>
      <c r="H167" s="54">
        <v>6000</v>
      </c>
      <c r="I167" s="53">
        <v>0</v>
      </c>
      <c r="J167" s="54">
        <v>6000</v>
      </c>
      <c r="K167" s="54">
        <v>48000</v>
      </c>
      <c r="M167" s="45" t="s">
        <v>533</v>
      </c>
      <c r="N167" s="45"/>
      <c r="O167" s="45"/>
      <c r="P167" s="45"/>
      <c r="Q167" s="45"/>
      <c r="R167" s="45"/>
      <c r="S167" s="45"/>
      <c r="T167" s="45"/>
      <c r="U167" s="45"/>
      <c r="V167" s="45"/>
      <c r="W167" s="45"/>
      <c r="X167" s="45"/>
      <c r="Y167" s="45"/>
      <c r="Z167" s="56"/>
    </row>
    <row r="168" spans="1:60">
      <c r="A168" s="4" t="s">
        <v>534</v>
      </c>
      <c r="B168" s="151" t="s">
        <v>535</v>
      </c>
      <c r="C168" s="760" t="s">
        <v>337</v>
      </c>
      <c r="D168" s="151"/>
      <c r="E168" s="151"/>
      <c r="F168" s="151"/>
      <c r="G168" s="152"/>
      <c r="H168" s="172"/>
      <c r="I168" s="154"/>
      <c r="J168" s="172"/>
      <c r="K168" s="172"/>
      <c r="L168" s="70">
        <v>1134489</v>
      </c>
      <c r="M168" s="45"/>
      <c r="N168" s="45"/>
      <c r="O168" s="45"/>
      <c r="P168" s="45"/>
      <c r="Q168" s="45"/>
      <c r="R168" s="45"/>
      <c r="S168" s="45"/>
      <c r="T168" s="45"/>
      <c r="U168" s="45"/>
      <c r="V168" s="45"/>
      <c r="W168" s="45"/>
      <c r="X168" s="45"/>
      <c r="Y168" s="45"/>
      <c r="Z168" s="56"/>
    </row>
    <row r="169" spans="1:60">
      <c r="A169" s="6" t="s">
        <v>536</v>
      </c>
      <c r="B169" s="47" t="s">
        <v>537</v>
      </c>
      <c r="C169" s="47" t="s">
        <v>216</v>
      </c>
      <c r="D169" s="47" t="s">
        <v>242</v>
      </c>
      <c r="E169" s="47" t="s">
        <v>326</v>
      </c>
      <c r="F169" s="47" t="s">
        <v>71</v>
      </c>
      <c r="G169" s="42">
        <v>1</v>
      </c>
      <c r="H169" s="461">
        <v>267940</v>
      </c>
      <c r="I169" s="63">
        <v>0</v>
      </c>
      <c r="J169" s="67">
        <v>267940</v>
      </c>
      <c r="K169" s="67">
        <v>267940</v>
      </c>
      <c r="M169" s="45" t="s">
        <v>538</v>
      </c>
      <c r="N169" s="45"/>
      <c r="O169" s="45"/>
      <c r="P169" s="45"/>
      <c r="Q169" s="45"/>
      <c r="R169" s="45"/>
      <c r="S169" s="45"/>
      <c r="T169" s="45"/>
      <c r="U169" s="45"/>
      <c r="V169" s="45"/>
      <c r="W169" s="45"/>
      <c r="X169" s="45"/>
      <c r="Y169" s="45"/>
      <c r="Z169" s="56"/>
    </row>
    <row r="170" spans="1:60">
      <c r="A170" s="7" t="s">
        <v>172</v>
      </c>
      <c r="B170" s="40" t="s">
        <v>539</v>
      </c>
      <c r="C170" s="40" t="s">
        <v>216</v>
      </c>
      <c r="D170" s="40" t="s">
        <v>473</v>
      </c>
      <c r="E170" s="40" t="s">
        <v>44</v>
      </c>
      <c r="F170" s="40" t="s">
        <v>108</v>
      </c>
      <c r="G170" s="38">
        <v>375</v>
      </c>
      <c r="H170" s="54">
        <v>2292</v>
      </c>
      <c r="I170" s="53">
        <v>0</v>
      </c>
      <c r="J170" s="54">
        <v>2292</v>
      </c>
      <c r="K170" s="54">
        <v>859500</v>
      </c>
      <c r="M170" s="45" t="s">
        <v>540</v>
      </c>
      <c r="N170" s="45"/>
      <c r="O170" s="45"/>
      <c r="P170" s="45"/>
      <c r="Q170" s="45"/>
      <c r="R170" s="45"/>
      <c r="S170" s="45"/>
      <c r="T170" s="45"/>
      <c r="U170" s="45"/>
      <c r="V170" s="45"/>
      <c r="W170" s="45"/>
      <c r="X170" s="45"/>
      <c r="Y170" s="45"/>
      <c r="Z170" s="56"/>
    </row>
    <row r="171" spans="1:60">
      <c r="A171" s="7" t="s">
        <v>541</v>
      </c>
      <c r="B171" s="40" t="s">
        <v>542</v>
      </c>
      <c r="C171" s="40" t="s">
        <v>216</v>
      </c>
      <c r="D171" s="40" t="s">
        <v>250</v>
      </c>
      <c r="E171" s="40" t="s">
        <v>543</v>
      </c>
      <c r="F171" s="40" t="s">
        <v>108</v>
      </c>
      <c r="G171" s="38">
        <v>1</v>
      </c>
      <c r="H171" s="54">
        <v>7049</v>
      </c>
      <c r="I171" s="53">
        <v>0</v>
      </c>
      <c r="J171" s="54">
        <v>7049</v>
      </c>
      <c r="K171" s="54">
        <v>7049</v>
      </c>
      <c r="M171" s="45"/>
      <c r="N171" s="45"/>
      <c r="O171" s="45"/>
      <c r="P171" s="45"/>
      <c r="Q171" s="45"/>
      <c r="R171" s="45"/>
      <c r="S171" s="45"/>
      <c r="T171" s="45"/>
      <c r="U171" s="45"/>
      <c r="V171" s="45"/>
      <c r="W171" s="45"/>
      <c r="X171" s="45"/>
      <c r="Y171" s="45"/>
      <c r="Z171" s="56"/>
    </row>
    <row r="172" spans="1:60" hidden="1">
      <c r="A172" s="4" t="s">
        <v>544</v>
      </c>
      <c r="B172" s="151" t="s">
        <v>545</v>
      </c>
      <c r="C172" s="151"/>
      <c r="D172" s="151"/>
      <c r="E172" s="151"/>
      <c r="F172" s="151"/>
      <c r="G172" s="152"/>
      <c r="H172" s="153"/>
      <c r="I172" s="154"/>
      <c r="J172" s="153"/>
      <c r="K172" s="172"/>
      <c r="L172" s="70">
        <v>0</v>
      </c>
      <c r="M172" s="45"/>
      <c r="N172" s="45"/>
      <c r="O172" s="45"/>
      <c r="P172" s="45"/>
      <c r="Q172" s="45"/>
      <c r="R172" s="45"/>
      <c r="S172" s="45"/>
      <c r="T172" s="45"/>
      <c r="U172" s="45"/>
      <c r="V172" s="45"/>
      <c r="W172" s="45"/>
      <c r="X172" s="45"/>
      <c r="Y172" s="45"/>
      <c r="Z172" s="56"/>
    </row>
    <row r="173" spans="1:60" hidden="1">
      <c r="A173" s="5" t="s">
        <v>546</v>
      </c>
      <c r="B173" s="65" t="s">
        <v>545</v>
      </c>
      <c r="C173" s="65" t="s">
        <v>216</v>
      </c>
      <c r="D173" s="65" t="s">
        <v>228</v>
      </c>
      <c r="E173" s="65" t="s">
        <v>231</v>
      </c>
      <c r="F173" s="65"/>
      <c r="G173" s="43"/>
      <c r="H173" s="64"/>
      <c r="I173" s="157">
        <v>0</v>
      </c>
      <c r="J173" s="158">
        <v>0</v>
      </c>
      <c r="K173" s="159">
        <v>0</v>
      </c>
      <c r="M173" s="45"/>
      <c r="N173" s="45"/>
      <c r="O173" s="45"/>
      <c r="P173" s="45"/>
      <c r="Q173" s="45"/>
      <c r="R173" s="45"/>
      <c r="S173" s="45"/>
      <c r="T173" s="45"/>
      <c r="U173" s="45"/>
      <c r="V173" s="45"/>
      <c r="W173" s="45"/>
      <c r="X173" s="45"/>
      <c r="Y173" s="45"/>
      <c r="Z173" s="56"/>
    </row>
    <row r="174" spans="1:60">
      <c r="A174" s="4" t="s">
        <v>547</v>
      </c>
      <c r="B174" s="151" t="s">
        <v>548</v>
      </c>
      <c r="C174" s="760" t="s">
        <v>337</v>
      </c>
      <c r="D174" s="151"/>
      <c r="E174" s="151"/>
      <c r="F174" s="151"/>
      <c r="G174" s="152"/>
      <c r="H174" s="153"/>
      <c r="I174" s="154"/>
      <c r="J174" s="153"/>
      <c r="K174" s="172"/>
      <c r="L174" s="70">
        <v>508000</v>
      </c>
      <c r="M174" s="45"/>
      <c r="N174" s="45"/>
      <c r="O174" s="45"/>
      <c r="P174" s="45"/>
      <c r="Q174" s="45"/>
      <c r="R174" s="45"/>
      <c r="S174" s="45"/>
      <c r="T174" s="45"/>
      <c r="U174" s="45"/>
      <c r="V174" s="45"/>
      <c r="W174" s="45"/>
      <c r="X174" s="45"/>
      <c r="Y174" s="45"/>
      <c r="Z174" s="56"/>
    </row>
    <row r="175" spans="1:60">
      <c r="A175" s="6" t="s">
        <v>549</v>
      </c>
      <c r="B175" s="47" t="s">
        <v>550</v>
      </c>
      <c r="C175" s="47" t="s">
        <v>216</v>
      </c>
      <c r="D175" s="47" t="s">
        <v>228</v>
      </c>
      <c r="E175" s="47" t="s">
        <v>326</v>
      </c>
      <c r="F175" s="47" t="s">
        <v>551</v>
      </c>
      <c r="G175" s="42">
        <v>12</v>
      </c>
      <c r="H175" s="461">
        <v>41250</v>
      </c>
      <c r="I175" s="63">
        <v>0</v>
      </c>
      <c r="J175" s="67">
        <v>41250</v>
      </c>
      <c r="K175" s="67">
        <v>495000</v>
      </c>
      <c r="M175" s="45" t="s">
        <v>552</v>
      </c>
      <c r="N175" s="45"/>
      <c r="O175" s="45"/>
      <c r="P175" s="45"/>
      <c r="Q175" s="45"/>
      <c r="R175" s="45"/>
      <c r="S175" s="45"/>
      <c r="T175" s="45"/>
      <c r="U175" s="45"/>
      <c r="V175" s="45"/>
      <c r="W175" s="45"/>
      <c r="X175" s="45"/>
      <c r="Y175" s="45"/>
      <c r="Z175" s="56"/>
    </row>
    <row r="176" spans="1:60">
      <c r="A176" s="7" t="s">
        <v>553</v>
      </c>
      <c r="B176" s="40" t="s">
        <v>554</v>
      </c>
      <c r="C176" s="40" t="s">
        <v>216</v>
      </c>
      <c r="D176" s="40" t="s">
        <v>242</v>
      </c>
      <c r="E176" s="40" t="s">
        <v>555</v>
      </c>
      <c r="F176" s="40" t="s">
        <v>108</v>
      </c>
      <c r="G176" s="38">
        <v>2</v>
      </c>
      <c r="H176" s="54">
        <v>6500</v>
      </c>
      <c r="I176" s="53">
        <v>0</v>
      </c>
      <c r="J176" s="54">
        <v>6500</v>
      </c>
      <c r="K176" s="54">
        <v>13000</v>
      </c>
      <c r="M176" s="45"/>
      <c r="N176" s="45"/>
      <c r="O176" s="45"/>
      <c r="P176" s="45"/>
      <c r="Q176" s="45"/>
      <c r="R176" s="45"/>
      <c r="S176" s="45"/>
      <c r="T176" s="45"/>
      <c r="U176" s="45"/>
      <c r="V176" s="45"/>
      <c r="W176" s="45"/>
      <c r="X176" s="45"/>
      <c r="Y176" s="45"/>
      <c r="Z176" s="56"/>
    </row>
    <row r="177" spans="1:30">
      <c r="A177" s="4" t="s">
        <v>556</v>
      </c>
      <c r="B177" s="151" t="s">
        <v>557</v>
      </c>
      <c r="C177" s="151"/>
      <c r="D177" s="151"/>
      <c r="E177" s="151"/>
      <c r="F177" s="151"/>
      <c r="G177" s="152"/>
      <c r="H177" s="172"/>
      <c r="I177" s="154"/>
      <c r="J177" s="172"/>
      <c r="K177" s="172"/>
      <c r="L177" s="70">
        <v>1322806.25</v>
      </c>
      <c r="M177" s="45"/>
      <c r="N177" s="45"/>
      <c r="O177" s="45"/>
      <c r="P177" s="45"/>
      <c r="Q177" s="45"/>
      <c r="R177" s="45"/>
      <c r="S177" s="45"/>
      <c r="T177" s="45"/>
      <c r="U177" s="45"/>
      <c r="V177" s="45"/>
      <c r="W177" s="45"/>
      <c r="X177" s="45"/>
      <c r="Y177" s="45"/>
      <c r="Z177" s="56"/>
    </row>
    <row r="178" spans="1:30">
      <c r="A178" s="6" t="s">
        <v>558</v>
      </c>
      <c r="B178" s="47" t="s">
        <v>559</v>
      </c>
      <c r="C178" s="47" t="s">
        <v>216</v>
      </c>
      <c r="D178" s="47" t="s">
        <v>228</v>
      </c>
      <c r="E178" s="47" t="s">
        <v>73</v>
      </c>
      <c r="F178" s="47" t="s">
        <v>61</v>
      </c>
      <c r="G178" s="42">
        <v>422635</v>
      </c>
      <c r="H178" s="61">
        <v>0.1</v>
      </c>
      <c r="I178" s="63">
        <v>0</v>
      </c>
      <c r="J178" s="66">
        <v>0.1</v>
      </c>
      <c r="K178" s="67">
        <v>42263.5</v>
      </c>
      <c r="M178" s="45"/>
      <c r="N178" s="45"/>
      <c r="O178" s="45"/>
      <c r="P178" s="45"/>
      <c r="Q178" s="45"/>
      <c r="R178" s="45"/>
      <c r="S178" s="45"/>
      <c r="T178" s="45"/>
      <c r="U178" s="45"/>
      <c r="V178" s="45"/>
      <c r="W178" s="45"/>
      <c r="X178" s="45"/>
      <c r="Y178" s="45"/>
      <c r="Z178" s="56"/>
    </row>
    <row r="179" spans="1:30">
      <c r="A179" s="7" t="s">
        <v>560</v>
      </c>
      <c r="B179" s="40" t="s">
        <v>561</v>
      </c>
      <c r="C179" s="40" t="s">
        <v>216</v>
      </c>
      <c r="D179" s="40" t="s">
        <v>228</v>
      </c>
      <c r="E179" s="40" t="s">
        <v>239</v>
      </c>
      <c r="F179" s="40" t="s">
        <v>61</v>
      </c>
      <c r="G179" s="38">
        <v>422635</v>
      </c>
      <c r="H179" s="51">
        <v>2.65</v>
      </c>
      <c r="I179" s="53">
        <v>0</v>
      </c>
      <c r="J179" s="51">
        <v>2.65</v>
      </c>
      <c r="K179" s="54">
        <v>1119982.75</v>
      </c>
      <c r="M179" s="45"/>
      <c r="N179" s="45"/>
      <c r="O179" s="45"/>
      <c r="P179" s="45"/>
      <c r="Q179" s="45"/>
      <c r="R179" s="45"/>
      <c r="S179" s="45"/>
      <c r="T179" s="45"/>
      <c r="U179" s="45"/>
      <c r="V179" s="45"/>
      <c r="W179" s="45"/>
      <c r="X179" s="45"/>
      <c r="Y179" s="45"/>
      <c r="Z179" s="56"/>
    </row>
    <row r="180" spans="1:30">
      <c r="A180" s="7" t="s">
        <v>562</v>
      </c>
      <c r="B180" s="40" t="s">
        <v>563</v>
      </c>
      <c r="C180" s="40" t="s">
        <v>216</v>
      </c>
      <c r="D180" s="40" t="s">
        <v>235</v>
      </c>
      <c r="E180" s="40" t="s">
        <v>543</v>
      </c>
      <c r="F180" s="40" t="s">
        <v>108</v>
      </c>
      <c r="G180" s="38">
        <v>1</v>
      </c>
      <c r="H180" s="54">
        <v>160560</v>
      </c>
      <c r="I180" s="53">
        <v>0</v>
      </c>
      <c r="J180" s="54">
        <v>160560</v>
      </c>
      <c r="K180" s="54">
        <v>160560</v>
      </c>
      <c r="M180" s="45"/>
      <c r="N180" s="45"/>
      <c r="O180" s="45"/>
      <c r="P180" s="45"/>
      <c r="Q180" s="45"/>
      <c r="R180" s="45"/>
      <c r="S180" s="45"/>
      <c r="T180" s="45"/>
      <c r="U180" s="45"/>
      <c r="V180" s="45"/>
      <c r="W180" s="45"/>
      <c r="X180" s="45"/>
      <c r="Y180" s="45"/>
      <c r="Z180" s="56"/>
    </row>
    <row r="181" spans="1:30">
      <c r="A181" s="4" t="s">
        <v>564</v>
      </c>
      <c r="B181" s="151" t="s">
        <v>565</v>
      </c>
      <c r="C181" s="151"/>
      <c r="D181" s="151"/>
      <c r="E181" s="151"/>
      <c r="F181" s="151"/>
      <c r="G181" s="152"/>
      <c r="H181" s="172"/>
      <c r="I181" s="154"/>
      <c r="J181" s="172"/>
      <c r="K181" s="172"/>
      <c r="L181" s="70">
        <v>4783145.5</v>
      </c>
      <c r="M181" s="45"/>
      <c r="N181" s="45"/>
      <c r="O181" s="45"/>
      <c r="P181" s="45"/>
      <c r="Q181" s="45"/>
      <c r="R181" s="45"/>
      <c r="S181" s="45"/>
      <c r="T181" s="45"/>
      <c r="U181" s="45"/>
      <c r="V181" s="45"/>
      <c r="W181" s="45"/>
      <c r="X181" s="45"/>
      <c r="Y181" s="45"/>
      <c r="Z181" s="56"/>
    </row>
    <row r="182" spans="1:30">
      <c r="A182" s="6" t="s">
        <v>566</v>
      </c>
      <c r="B182" s="47" t="s">
        <v>567</v>
      </c>
      <c r="C182" s="47" t="s">
        <v>216</v>
      </c>
      <c r="D182" s="47" t="s">
        <v>228</v>
      </c>
      <c r="E182" s="47" t="s">
        <v>239</v>
      </c>
      <c r="F182" s="47" t="s">
        <v>108</v>
      </c>
      <c r="G182" s="42">
        <v>227</v>
      </c>
      <c r="H182" s="461">
        <v>10069</v>
      </c>
      <c r="I182" s="63">
        <v>0</v>
      </c>
      <c r="J182" s="67">
        <v>10069</v>
      </c>
      <c r="K182" s="67">
        <v>2285663</v>
      </c>
      <c r="L182" s="194"/>
      <c r="M182" s="45" t="s">
        <v>568</v>
      </c>
      <c r="N182" s="45"/>
      <c r="O182" s="45"/>
      <c r="P182" s="45"/>
      <c r="Q182" s="45"/>
      <c r="R182" s="45"/>
      <c r="S182" s="45"/>
      <c r="T182" s="45"/>
      <c r="U182" s="45"/>
      <c r="V182" s="45"/>
      <c r="W182" s="45"/>
      <c r="X182" s="45"/>
      <c r="Y182" s="45"/>
      <c r="Z182" s="56"/>
    </row>
    <row r="183" spans="1:30">
      <c r="A183" s="7" t="s">
        <v>569</v>
      </c>
      <c r="B183" s="40" t="s">
        <v>567</v>
      </c>
      <c r="C183" s="40" t="s">
        <v>216</v>
      </c>
      <c r="D183" s="40" t="s">
        <v>228</v>
      </c>
      <c r="E183" s="47" t="s">
        <v>570</v>
      </c>
      <c r="F183" s="40" t="s">
        <v>108</v>
      </c>
      <c r="G183" s="38">
        <v>163</v>
      </c>
      <c r="H183" s="54">
        <v>15103.5</v>
      </c>
      <c r="I183" s="53">
        <v>0</v>
      </c>
      <c r="J183" s="54">
        <v>15103.5</v>
      </c>
      <c r="K183" s="54">
        <v>2461870.5</v>
      </c>
      <c r="M183" s="45"/>
      <c r="N183" s="45"/>
      <c r="O183" s="45"/>
      <c r="P183" s="45"/>
      <c r="Q183" s="45"/>
      <c r="R183" s="45"/>
      <c r="S183" s="45"/>
      <c r="T183" s="45"/>
      <c r="U183" s="45"/>
      <c r="V183" s="45"/>
      <c r="W183" s="45"/>
      <c r="X183" s="45"/>
      <c r="Y183" s="45"/>
      <c r="Z183" s="56"/>
    </row>
    <row r="184" spans="1:30">
      <c r="A184" s="7" t="s">
        <v>571</v>
      </c>
      <c r="B184" s="40" t="s">
        <v>567</v>
      </c>
      <c r="C184" s="40" t="s">
        <v>216</v>
      </c>
      <c r="D184" s="40" t="s">
        <v>235</v>
      </c>
      <c r="E184" s="40" t="s">
        <v>73</v>
      </c>
      <c r="F184" s="40" t="s">
        <v>71</v>
      </c>
      <c r="G184" s="38">
        <v>1</v>
      </c>
      <c r="H184" s="54">
        <v>5000</v>
      </c>
      <c r="I184" s="53">
        <v>0</v>
      </c>
      <c r="J184" s="54">
        <v>5000</v>
      </c>
      <c r="K184" s="54">
        <v>5000</v>
      </c>
      <c r="M184" s="45"/>
      <c r="N184" s="45"/>
      <c r="O184" s="45"/>
      <c r="P184" s="45"/>
      <c r="Q184" s="45"/>
      <c r="R184" s="45"/>
      <c r="S184" s="45"/>
      <c r="T184" s="45"/>
      <c r="U184" s="45"/>
      <c r="V184" s="45"/>
      <c r="W184" s="45"/>
      <c r="X184" s="45"/>
      <c r="Y184" s="45"/>
      <c r="Z184" s="56"/>
    </row>
    <row r="185" spans="1:30">
      <c r="A185" s="7" t="s">
        <v>572</v>
      </c>
      <c r="B185" s="40" t="s">
        <v>573</v>
      </c>
      <c r="C185" s="40" t="s">
        <v>216</v>
      </c>
      <c r="D185" s="40" t="s">
        <v>242</v>
      </c>
      <c r="E185" s="40" t="s">
        <v>44</v>
      </c>
      <c r="F185" s="40" t="s">
        <v>71</v>
      </c>
      <c r="G185" s="38">
        <v>1</v>
      </c>
      <c r="H185" s="54">
        <v>24612</v>
      </c>
      <c r="I185" s="53">
        <v>0</v>
      </c>
      <c r="J185" s="54">
        <v>24612</v>
      </c>
      <c r="K185" s="54">
        <v>24612</v>
      </c>
      <c r="M185" s="45" t="s">
        <v>574</v>
      </c>
      <c r="N185" s="45"/>
      <c r="O185" s="45"/>
      <c r="P185" s="45"/>
      <c r="Q185" s="45"/>
      <c r="R185" s="45"/>
      <c r="S185" s="45"/>
      <c r="T185" s="45"/>
      <c r="U185" s="45"/>
      <c r="V185" s="45"/>
      <c r="W185" s="45"/>
      <c r="X185" s="45"/>
      <c r="Y185" s="45"/>
      <c r="Z185" s="56"/>
    </row>
    <row r="186" spans="1:30" ht="15" thickBot="1">
      <c r="A186" s="7" t="s">
        <v>575</v>
      </c>
      <c r="B186" s="40" t="s">
        <v>576</v>
      </c>
      <c r="C186" s="40" t="s">
        <v>216</v>
      </c>
      <c r="D186" s="40" t="s">
        <v>250</v>
      </c>
      <c r="E186" s="40" t="s">
        <v>73</v>
      </c>
      <c r="F186" s="40" t="s">
        <v>71</v>
      </c>
      <c r="G186" s="38">
        <v>1</v>
      </c>
      <c r="H186" s="54">
        <v>6000</v>
      </c>
      <c r="I186" s="53">
        <v>0</v>
      </c>
      <c r="J186" s="54">
        <v>6000</v>
      </c>
      <c r="K186" s="54">
        <v>6000</v>
      </c>
      <c r="M186" s="45" t="s">
        <v>574</v>
      </c>
      <c r="N186" s="45"/>
      <c r="O186" s="45"/>
      <c r="P186" s="45"/>
      <c r="Q186" s="45"/>
      <c r="R186" s="45"/>
      <c r="S186" s="45"/>
      <c r="T186" s="45"/>
      <c r="U186" s="45"/>
      <c r="V186" s="45"/>
      <c r="W186" s="45"/>
      <c r="X186" s="45"/>
      <c r="Y186" s="45"/>
      <c r="Z186" s="56"/>
    </row>
    <row r="187" spans="1:30">
      <c r="A187" s="4" t="s">
        <v>577</v>
      </c>
      <c r="B187" s="151" t="s">
        <v>578</v>
      </c>
      <c r="C187" s="151"/>
      <c r="D187" s="151"/>
      <c r="E187" s="151"/>
      <c r="F187" s="151"/>
      <c r="G187" s="152"/>
      <c r="H187" s="172"/>
      <c r="I187" s="154"/>
      <c r="J187" s="172"/>
      <c r="K187" s="172"/>
      <c r="L187" s="70">
        <v>3866250</v>
      </c>
      <c r="M187" s="45"/>
      <c r="N187" s="45"/>
      <c r="O187" s="45"/>
      <c r="P187" s="45"/>
      <c r="Q187" s="45"/>
      <c r="R187" s="45"/>
      <c r="S187" s="45"/>
      <c r="T187" s="45"/>
      <c r="U187" s="45"/>
      <c r="V187" s="45"/>
      <c r="W187" s="45"/>
      <c r="X187" s="45"/>
      <c r="Y187" s="45"/>
      <c r="Z187" s="56"/>
      <c r="AA187" s="173" t="s">
        <v>579</v>
      </c>
      <c r="AB187" s="163" t="s">
        <v>580</v>
      </c>
      <c r="AC187" s="163" t="s">
        <v>209</v>
      </c>
      <c r="AD187" s="174" t="s">
        <v>581</v>
      </c>
    </row>
    <row r="188" spans="1:30" ht="15.6">
      <c r="A188" s="6" t="s">
        <v>582</v>
      </c>
      <c r="B188" s="47" t="s">
        <v>583</v>
      </c>
      <c r="C188" s="47" t="s">
        <v>216</v>
      </c>
      <c r="D188" s="47" t="s">
        <v>228</v>
      </c>
      <c r="E188" s="47" t="s">
        <v>239</v>
      </c>
      <c r="F188" s="47" t="s">
        <v>88</v>
      </c>
      <c r="G188" s="42">
        <v>390</v>
      </c>
      <c r="H188" s="461">
        <v>9875</v>
      </c>
      <c r="I188" s="63">
        <v>0</v>
      </c>
      <c r="J188" s="67">
        <v>9875</v>
      </c>
      <c r="K188" s="67">
        <v>3851250</v>
      </c>
      <c r="L188" s="112"/>
      <c r="M188" s="45" t="s">
        <v>584</v>
      </c>
      <c r="N188" s="45"/>
      <c r="O188" s="45"/>
      <c r="P188" s="45"/>
      <c r="Q188" s="45"/>
      <c r="R188" s="45"/>
      <c r="S188" s="45"/>
      <c r="T188" s="45"/>
      <c r="U188" s="45"/>
      <c r="V188" s="45"/>
      <c r="W188" s="45"/>
      <c r="X188" s="45"/>
      <c r="Y188" s="45"/>
      <c r="Z188" s="56"/>
      <c r="AA188" s="175" t="s">
        <v>585</v>
      </c>
      <c r="AB188" s="176">
        <v>52</v>
      </c>
      <c r="AC188" s="176">
        <v>250</v>
      </c>
      <c r="AD188" s="177">
        <f>AB188*AC188</f>
        <v>13000</v>
      </c>
    </row>
    <row r="189" spans="1:30" ht="15.6">
      <c r="A189" s="7" t="s">
        <v>586</v>
      </c>
      <c r="B189" s="40" t="s">
        <v>583</v>
      </c>
      <c r="C189" s="40" t="s">
        <v>216</v>
      </c>
      <c r="D189" s="40" t="s">
        <v>235</v>
      </c>
      <c r="E189" s="47" t="s">
        <v>73</v>
      </c>
      <c r="F189" s="40" t="s">
        <v>71</v>
      </c>
      <c r="G189" s="38">
        <v>1</v>
      </c>
      <c r="H189" s="54">
        <v>15000</v>
      </c>
      <c r="I189" s="53">
        <v>0</v>
      </c>
      <c r="J189" s="54">
        <v>15000</v>
      </c>
      <c r="K189" s="54">
        <v>15000</v>
      </c>
      <c r="M189" s="45"/>
      <c r="N189" s="45"/>
      <c r="O189" s="45"/>
      <c r="P189" s="45"/>
      <c r="Q189" s="45"/>
      <c r="R189" s="45"/>
      <c r="S189" s="45"/>
      <c r="T189" s="45"/>
      <c r="U189" s="45"/>
      <c r="V189" s="45"/>
      <c r="W189" s="45"/>
      <c r="X189" s="45"/>
      <c r="Y189" s="45"/>
      <c r="Z189" s="56"/>
      <c r="AA189" s="175"/>
      <c r="AB189" s="176"/>
      <c r="AC189" s="176"/>
      <c r="AD189" s="177"/>
    </row>
    <row r="190" spans="1:30" ht="15.6">
      <c r="A190" s="4" t="s">
        <v>587</v>
      </c>
      <c r="B190" s="151" t="s">
        <v>588</v>
      </c>
      <c r="C190" s="151"/>
      <c r="D190" s="151"/>
      <c r="E190" s="151"/>
      <c r="F190" s="151"/>
      <c r="G190" s="152"/>
      <c r="H190" s="172"/>
      <c r="I190" s="154"/>
      <c r="J190" s="153"/>
      <c r="K190" s="172"/>
      <c r="L190" s="70">
        <v>5287886.1000000006</v>
      </c>
      <c r="M190" s="45"/>
      <c r="N190" s="45"/>
      <c r="O190" s="45"/>
      <c r="P190" s="45"/>
      <c r="Q190" s="45"/>
      <c r="R190" s="45"/>
      <c r="S190" s="45"/>
      <c r="T190" s="45"/>
      <c r="U190" s="45"/>
      <c r="V190" s="45"/>
      <c r="W190" s="45"/>
      <c r="X190" s="45"/>
      <c r="Y190" s="45"/>
      <c r="Z190" s="56"/>
      <c r="AA190" s="175" t="s">
        <v>589</v>
      </c>
      <c r="AB190" s="176">
        <v>118</v>
      </c>
      <c r="AC190" s="176">
        <v>500</v>
      </c>
      <c r="AD190" s="177">
        <f>AB190*AC190</f>
        <v>59000</v>
      </c>
    </row>
    <row r="191" spans="1:30" ht="15.6">
      <c r="A191" s="6" t="s">
        <v>590</v>
      </c>
      <c r="B191" s="47" t="s">
        <v>591</v>
      </c>
      <c r="C191" s="47" t="s">
        <v>216</v>
      </c>
      <c r="D191" s="47" t="s">
        <v>228</v>
      </c>
      <c r="E191" s="47" t="s">
        <v>239</v>
      </c>
      <c r="F191" s="47" t="s">
        <v>61</v>
      </c>
      <c r="G191" s="42">
        <v>422635</v>
      </c>
      <c r="H191" s="61">
        <v>10.06</v>
      </c>
      <c r="I191" s="63">
        <v>0</v>
      </c>
      <c r="J191" s="66">
        <v>10.06</v>
      </c>
      <c r="K191" s="380">
        <v>4251708.1000000006</v>
      </c>
      <c r="L191" s="194"/>
      <c r="M191" s="45"/>
      <c r="N191" s="178"/>
      <c r="O191" s="178"/>
      <c r="P191" s="45"/>
      <c r="Q191" s="45"/>
      <c r="R191" s="45"/>
      <c r="S191" s="45"/>
      <c r="T191" s="45"/>
      <c r="U191" s="45"/>
      <c r="V191" s="45"/>
      <c r="W191" s="45"/>
      <c r="X191" s="45"/>
      <c r="Y191" s="45"/>
      <c r="Z191" s="56"/>
      <c r="AA191" s="175" t="s">
        <v>592</v>
      </c>
      <c r="AB191" s="176">
        <v>50</v>
      </c>
      <c r="AC191" s="176">
        <v>750</v>
      </c>
      <c r="AD191" s="177">
        <f>AB191*AC191</f>
        <v>37500</v>
      </c>
    </row>
    <row r="192" spans="1:30" ht="15.6">
      <c r="A192" s="6" t="s">
        <v>593</v>
      </c>
      <c r="B192" s="47" t="s">
        <v>591</v>
      </c>
      <c r="C192" s="47" t="s">
        <v>216</v>
      </c>
      <c r="D192" s="47" t="s">
        <v>235</v>
      </c>
      <c r="E192" s="47" t="s">
        <v>73</v>
      </c>
      <c r="F192" s="47" t="s">
        <v>71</v>
      </c>
      <c r="G192" s="42">
        <v>1</v>
      </c>
      <c r="H192" s="461">
        <v>10000</v>
      </c>
      <c r="I192" s="63">
        <v>0</v>
      </c>
      <c r="J192" s="67">
        <v>10000</v>
      </c>
      <c r="K192" s="380">
        <v>10000</v>
      </c>
      <c r="M192" s="45"/>
      <c r="N192" s="178"/>
      <c r="O192" s="178"/>
      <c r="P192" s="45"/>
      <c r="Q192" s="45"/>
      <c r="R192" s="45"/>
      <c r="S192" s="45"/>
      <c r="T192" s="45"/>
      <c r="U192" s="45"/>
      <c r="V192" s="45"/>
      <c r="W192" s="45"/>
      <c r="X192" s="45"/>
      <c r="Y192" s="45"/>
      <c r="Z192" s="56"/>
      <c r="AA192" s="175"/>
      <c r="AB192" s="176"/>
      <c r="AC192" s="176"/>
      <c r="AD192" s="177"/>
    </row>
    <row r="193" spans="1:30" ht="15.6">
      <c r="A193" s="7" t="s">
        <v>594</v>
      </c>
      <c r="B193" s="40" t="s">
        <v>595</v>
      </c>
      <c r="C193" s="40" t="s">
        <v>216</v>
      </c>
      <c r="D193" s="40" t="s">
        <v>228</v>
      </c>
      <c r="E193" s="40" t="s">
        <v>426</v>
      </c>
      <c r="F193" s="40" t="s">
        <v>88</v>
      </c>
      <c r="G193" s="38">
        <v>390</v>
      </c>
      <c r="H193" s="54">
        <v>700</v>
      </c>
      <c r="I193" s="53">
        <v>0</v>
      </c>
      <c r="J193" s="54">
        <v>700</v>
      </c>
      <c r="K193" s="54">
        <v>273000</v>
      </c>
      <c r="M193" s="45" t="s">
        <v>596</v>
      </c>
      <c r="N193" s="45"/>
      <c r="O193" s="45"/>
      <c r="P193" s="45"/>
      <c r="Q193" s="45"/>
      <c r="R193" s="45"/>
      <c r="S193" s="45"/>
      <c r="T193" s="45"/>
      <c r="U193" s="45"/>
      <c r="V193" s="45"/>
      <c r="W193" s="45"/>
      <c r="X193" s="45"/>
      <c r="Y193" s="45"/>
      <c r="Z193" s="56"/>
      <c r="AA193" s="179"/>
      <c r="AB193" s="176"/>
      <c r="AC193" s="176"/>
      <c r="AD193" s="177">
        <f>SUM(AD188:AD191)</f>
        <v>109500</v>
      </c>
    </row>
    <row r="194" spans="1:30" ht="16.149999999999999" thickBot="1">
      <c r="A194" s="7" t="s">
        <v>597</v>
      </c>
      <c r="B194" s="40" t="s">
        <v>598</v>
      </c>
      <c r="C194" s="40" t="s">
        <v>216</v>
      </c>
      <c r="D194" s="40" t="s">
        <v>228</v>
      </c>
      <c r="E194" s="40" t="s">
        <v>73</v>
      </c>
      <c r="F194" s="40" t="s">
        <v>88</v>
      </c>
      <c r="G194" s="38">
        <v>390</v>
      </c>
      <c r="H194" s="54">
        <v>120</v>
      </c>
      <c r="I194" s="53">
        <v>0</v>
      </c>
      <c r="J194" s="54">
        <v>120</v>
      </c>
      <c r="K194" s="54">
        <v>46800</v>
      </c>
      <c r="L194" s="190"/>
      <c r="M194" s="45"/>
      <c r="N194" s="45"/>
      <c r="O194" s="45"/>
      <c r="P194" s="45"/>
      <c r="Q194" s="45"/>
      <c r="R194" s="45"/>
      <c r="S194" s="45"/>
      <c r="T194" s="45"/>
      <c r="U194" s="45"/>
      <c r="V194" s="45"/>
      <c r="W194" s="45"/>
      <c r="X194" s="45"/>
      <c r="Y194" s="45"/>
      <c r="Z194" s="56"/>
      <c r="AA194" s="180"/>
      <c r="AB194" s="181"/>
      <c r="AC194" s="181"/>
      <c r="AD194" s="182">
        <f>AD193/391</f>
        <v>280.05115089514067</v>
      </c>
    </row>
    <row r="195" spans="1:30" ht="15" thickBot="1">
      <c r="A195" s="7" t="s">
        <v>599</v>
      </c>
      <c r="B195" s="40" t="s">
        <v>600</v>
      </c>
      <c r="C195" s="40" t="s">
        <v>216</v>
      </c>
      <c r="D195" s="40" t="s">
        <v>228</v>
      </c>
      <c r="E195" s="40" t="s">
        <v>73</v>
      </c>
      <c r="F195" s="40" t="s">
        <v>88</v>
      </c>
      <c r="G195" s="38">
        <v>390</v>
      </c>
      <c r="H195" s="54">
        <v>115</v>
      </c>
      <c r="I195" s="53">
        <v>0</v>
      </c>
      <c r="J195" s="54">
        <v>115</v>
      </c>
      <c r="K195" s="54">
        <v>44850</v>
      </c>
      <c r="L195" s="112"/>
      <c r="M195" s="45"/>
      <c r="N195" s="45"/>
      <c r="O195" s="45"/>
      <c r="P195" s="45"/>
      <c r="Q195" s="45"/>
      <c r="R195" s="45"/>
      <c r="S195" s="45"/>
      <c r="T195" s="45"/>
      <c r="U195" s="45"/>
      <c r="V195" s="45"/>
      <c r="W195" s="45"/>
      <c r="X195" s="45"/>
      <c r="Y195" s="45"/>
      <c r="Z195" s="56"/>
    </row>
    <row r="196" spans="1:30">
      <c r="A196" s="7" t="s">
        <v>601</v>
      </c>
      <c r="B196" s="40" t="s">
        <v>591</v>
      </c>
      <c r="C196" s="40" t="s">
        <v>216</v>
      </c>
      <c r="D196" s="40" t="s">
        <v>473</v>
      </c>
      <c r="E196" s="40" t="s">
        <v>73</v>
      </c>
      <c r="F196" s="40" t="s">
        <v>602</v>
      </c>
      <c r="G196" s="38">
        <v>375</v>
      </c>
      <c r="H196" s="54">
        <v>200</v>
      </c>
      <c r="I196" s="53">
        <v>0</v>
      </c>
      <c r="J196" s="54">
        <v>200</v>
      </c>
      <c r="K196" s="205">
        <v>75000</v>
      </c>
      <c r="M196" s="45"/>
      <c r="N196" s="45"/>
      <c r="O196" s="45"/>
      <c r="P196" s="45"/>
      <c r="Q196" s="45"/>
      <c r="R196" s="45"/>
      <c r="S196" s="45"/>
      <c r="T196" s="45"/>
      <c r="U196" s="45"/>
      <c r="V196" s="45"/>
      <c r="W196" s="45"/>
      <c r="X196" s="45"/>
      <c r="Y196" s="45"/>
      <c r="Z196" s="56"/>
      <c r="AA196" s="173" t="s">
        <v>603</v>
      </c>
      <c r="AB196" s="163" t="s">
        <v>580</v>
      </c>
      <c r="AC196" s="163" t="s">
        <v>209</v>
      </c>
      <c r="AD196" s="174" t="s">
        <v>581</v>
      </c>
    </row>
    <row r="197" spans="1:30" ht="15.6">
      <c r="A197" s="7" t="s">
        <v>604</v>
      </c>
      <c r="B197" s="40" t="s">
        <v>595</v>
      </c>
      <c r="C197" s="40" t="s">
        <v>216</v>
      </c>
      <c r="D197" s="40" t="s">
        <v>473</v>
      </c>
      <c r="E197" s="40" t="s">
        <v>73</v>
      </c>
      <c r="F197" s="40" t="s">
        <v>602</v>
      </c>
      <c r="G197" s="38">
        <v>375</v>
      </c>
      <c r="H197" s="54">
        <v>50</v>
      </c>
      <c r="I197" s="53">
        <v>0</v>
      </c>
      <c r="J197" s="54">
        <v>50</v>
      </c>
      <c r="K197" s="54">
        <v>18750</v>
      </c>
      <c r="M197" s="45"/>
      <c r="N197" s="45"/>
      <c r="O197" s="45"/>
      <c r="P197" s="45"/>
      <c r="Q197" s="45"/>
      <c r="R197" s="45"/>
      <c r="S197" s="45"/>
      <c r="T197" s="45"/>
      <c r="U197" s="45"/>
      <c r="V197" s="45"/>
      <c r="W197" s="45"/>
      <c r="X197" s="45"/>
      <c r="Y197" s="45"/>
      <c r="Z197" s="56"/>
      <c r="AA197" s="175" t="s">
        <v>585</v>
      </c>
      <c r="AB197" s="176">
        <v>52</v>
      </c>
      <c r="AC197" s="176">
        <f>25*2</f>
        <v>50</v>
      </c>
      <c r="AD197" s="177">
        <f>AB197*AC197</f>
        <v>2600</v>
      </c>
    </row>
    <row r="198" spans="1:30" ht="15.6" hidden="1">
      <c r="A198" s="7" t="s">
        <v>605</v>
      </c>
      <c r="B198" s="40" t="s">
        <v>591</v>
      </c>
      <c r="C198" s="40" t="s">
        <v>216</v>
      </c>
      <c r="D198" s="40" t="s">
        <v>242</v>
      </c>
      <c r="E198" s="40" t="s">
        <v>73</v>
      </c>
      <c r="F198" s="40" t="s">
        <v>71</v>
      </c>
      <c r="G198" s="38">
        <v>1</v>
      </c>
      <c r="H198" s="54">
        <v>5000</v>
      </c>
      <c r="I198" s="53">
        <v>0</v>
      </c>
      <c r="J198" s="54">
        <v>5000</v>
      </c>
      <c r="K198" s="54">
        <v>5000</v>
      </c>
      <c r="M198" s="45"/>
      <c r="N198" s="45"/>
      <c r="O198" s="45"/>
      <c r="P198" s="45"/>
      <c r="Q198" s="45"/>
      <c r="R198" s="45"/>
      <c r="S198" s="45"/>
      <c r="T198" s="45"/>
      <c r="U198" s="45"/>
      <c r="V198" s="45"/>
      <c r="W198" s="45"/>
      <c r="X198" s="45"/>
      <c r="Y198" s="45"/>
      <c r="Z198" s="56"/>
      <c r="AA198" s="175" t="s">
        <v>589</v>
      </c>
      <c r="AB198" s="176">
        <v>118</v>
      </c>
      <c r="AC198" s="176">
        <f>150+25*2</f>
        <v>200</v>
      </c>
      <c r="AD198" s="177">
        <f>AB198*AC198</f>
        <v>23600</v>
      </c>
    </row>
    <row r="199" spans="1:30" ht="15.6" hidden="1">
      <c r="A199" s="7" t="s">
        <v>606</v>
      </c>
      <c r="B199" s="40" t="s">
        <v>607</v>
      </c>
      <c r="C199" s="40" t="s">
        <v>216</v>
      </c>
      <c r="D199" s="40" t="s">
        <v>242</v>
      </c>
      <c r="E199" s="40" t="s">
        <v>73</v>
      </c>
      <c r="F199" s="40" t="s">
        <v>71</v>
      </c>
      <c r="G199" s="38">
        <v>1</v>
      </c>
      <c r="H199" s="54">
        <v>5000</v>
      </c>
      <c r="I199" s="53">
        <v>0</v>
      </c>
      <c r="J199" s="54">
        <v>5000</v>
      </c>
      <c r="K199" s="54">
        <v>5000</v>
      </c>
      <c r="M199" s="45"/>
      <c r="N199" s="45"/>
      <c r="O199" s="45"/>
      <c r="P199" s="45"/>
      <c r="Q199" s="45"/>
      <c r="R199" s="45"/>
      <c r="S199" s="45"/>
      <c r="T199" s="45"/>
      <c r="U199" s="45"/>
      <c r="V199" s="45"/>
      <c r="W199" s="45"/>
      <c r="X199" s="45"/>
      <c r="Y199" s="45"/>
      <c r="Z199" s="56"/>
      <c r="AA199" s="175" t="s">
        <v>592</v>
      </c>
      <c r="AB199" s="176">
        <v>50</v>
      </c>
      <c r="AC199" s="176">
        <f>150+150+25*2</f>
        <v>350</v>
      </c>
      <c r="AD199" s="177">
        <f>AB199*AC199</f>
        <v>17500</v>
      </c>
    </row>
    <row r="200" spans="1:30" ht="16.5" customHeight="1">
      <c r="A200" s="7" t="s">
        <v>608</v>
      </c>
      <c r="B200" s="40" t="s">
        <v>609</v>
      </c>
      <c r="C200" s="40" t="s">
        <v>216</v>
      </c>
      <c r="D200" s="40" t="s">
        <v>481</v>
      </c>
      <c r="E200" s="40" t="s">
        <v>71</v>
      </c>
      <c r="F200" s="40" t="s">
        <v>71</v>
      </c>
      <c r="G200" s="38">
        <v>1</v>
      </c>
      <c r="H200" s="54">
        <v>390398</v>
      </c>
      <c r="I200" s="53">
        <v>0</v>
      </c>
      <c r="J200" s="54">
        <v>390398</v>
      </c>
      <c r="K200" s="54">
        <v>390398</v>
      </c>
      <c r="M200" s="45" t="s">
        <v>610</v>
      </c>
      <c r="N200" s="45"/>
      <c r="O200" s="45"/>
      <c r="P200" s="45"/>
      <c r="Q200" s="45"/>
      <c r="R200" s="45"/>
      <c r="S200" s="45"/>
      <c r="T200" s="45"/>
      <c r="U200" s="45"/>
      <c r="V200" s="45"/>
      <c r="W200" s="45"/>
      <c r="X200" s="45"/>
      <c r="Y200" s="45"/>
      <c r="Z200" s="56"/>
      <c r="AA200" s="179" t="s">
        <v>611</v>
      </c>
      <c r="AB200" s="176"/>
      <c r="AC200" s="176"/>
      <c r="AD200" s="177">
        <f>SUM(AD197:AD199)</f>
        <v>43700</v>
      </c>
    </row>
    <row r="201" spans="1:30" ht="15.6">
      <c r="A201" s="7" t="s">
        <v>612</v>
      </c>
      <c r="B201" s="40" t="s">
        <v>609</v>
      </c>
      <c r="C201" s="40" t="s">
        <v>216</v>
      </c>
      <c r="D201" s="40" t="s">
        <v>481</v>
      </c>
      <c r="E201" s="40" t="s">
        <v>71</v>
      </c>
      <c r="F201" s="40" t="s">
        <v>71</v>
      </c>
      <c r="G201" s="38">
        <v>0</v>
      </c>
      <c r="H201" s="54">
        <v>125000</v>
      </c>
      <c r="I201" s="53">
        <v>0</v>
      </c>
      <c r="J201" s="54">
        <v>125000</v>
      </c>
      <c r="K201" s="54">
        <v>0</v>
      </c>
      <c r="M201" s="45"/>
      <c r="N201" s="45"/>
      <c r="O201" s="45"/>
      <c r="P201" s="45"/>
      <c r="Q201" s="45"/>
      <c r="R201" s="45"/>
      <c r="S201" s="45"/>
      <c r="T201" s="45"/>
      <c r="U201" s="45"/>
      <c r="V201" s="45"/>
      <c r="W201" s="45"/>
      <c r="X201" s="45"/>
      <c r="Y201" s="45"/>
      <c r="Z201" s="56"/>
      <c r="AA201" s="179"/>
      <c r="AB201" s="176"/>
      <c r="AC201" s="176"/>
      <c r="AD201" s="177"/>
    </row>
    <row r="202" spans="1:30" ht="16.149999999999999" thickBot="1">
      <c r="A202" s="7" t="s">
        <v>613</v>
      </c>
      <c r="B202" s="40" t="s">
        <v>614</v>
      </c>
      <c r="C202" s="40" t="s">
        <v>216</v>
      </c>
      <c r="D202" s="40" t="s">
        <v>223</v>
      </c>
      <c r="E202" s="40" t="s">
        <v>73</v>
      </c>
      <c r="F202" s="40" t="s">
        <v>615</v>
      </c>
      <c r="G202" s="183">
        <v>15.826000000000001</v>
      </c>
      <c r="H202" s="54">
        <v>2500</v>
      </c>
      <c r="I202" s="53">
        <v>0</v>
      </c>
      <c r="J202" s="54">
        <v>2500</v>
      </c>
      <c r="K202" s="205">
        <v>39565</v>
      </c>
      <c r="M202" s="45"/>
      <c r="N202" s="45"/>
      <c r="O202" s="45"/>
      <c r="P202" s="45"/>
      <c r="Q202" s="45"/>
      <c r="R202" s="45"/>
      <c r="S202" s="45"/>
      <c r="T202" s="45"/>
      <c r="U202" s="45"/>
      <c r="V202" s="45"/>
      <c r="W202" s="45"/>
      <c r="X202" s="45"/>
      <c r="Y202" s="45"/>
      <c r="Z202" s="56"/>
      <c r="AA202" s="180" t="s">
        <v>616</v>
      </c>
      <c r="AB202" s="181"/>
      <c r="AC202" s="181"/>
      <c r="AD202" s="184">
        <f>AD200/391</f>
        <v>111.76470588235294</v>
      </c>
    </row>
    <row r="203" spans="1:30">
      <c r="A203" s="7" t="s">
        <v>617</v>
      </c>
      <c r="B203" s="40" t="s">
        <v>618</v>
      </c>
      <c r="C203" s="40" t="s">
        <v>216</v>
      </c>
      <c r="D203" s="40" t="s">
        <v>223</v>
      </c>
      <c r="E203" s="40" t="s">
        <v>73</v>
      </c>
      <c r="F203" s="40" t="s">
        <v>615</v>
      </c>
      <c r="G203" s="183">
        <v>15.826000000000001</v>
      </c>
      <c r="H203" s="54">
        <v>2500</v>
      </c>
      <c r="I203" s="53">
        <v>0</v>
      </c>
      <c r="J203" s="54">
        <v>2500</v>
      </c>
      <c r="K203" s="54">
        <v>39565</v>
      </c>
      <c r="M203" s="45"/>
      <c r="N203" s="45"/>
      <c r="O203" s="45"/>
      <c r="P203" s="45"/>
      <c r="Q203" s="45"/>
      <c r="R203" s="45"/>
      <c r="S203" s="45"/>
      <c r="T203" s="45"/>
      <c r="U203" s="45"/>
      <c r="V203" s="45"/>
      <c r="W203" s="45"/>
      <c r="X203" s="45"/>
      <c r="Y203" s="45"/>
      <c r="Z203" s="56"/>
    </row>
    <row r="204" spans="1:30">
      <c r="A204" s="7" t="s">
        <v>619</v>
      </c>
      <c r="B204" s="40" t="s">
        <v>620</v>
      </c>
      <c r="C204" s="40" t="s">
        <v>216</v>
      </c>
      <c r="D204" s="40" t="s">
        <v>242</v>
      </c>
      <c r="E204" s="40" t="s">
        <v>73</v>
      </c>
      <c r="F204" s="40" t="s">
        <v>71</v>
      </c>
      <c r="G204" s="38">
        <v>4</v>
      </c>
      <c r="H204" s="54">
        <v>12500</v>
      </c>
      <c r="I204" s="53">
        <v>0</v>
      </c>
      <c r="J204" s="54">
        <v>12500</v>
      </c>
      <c r="K204" s="205">
        <v>50000</v>
      </c>
      <c r="M204" s="45"/>
      <c r="N204" s="45"/>
      <c r="O204" s="45"/>
      <c r="P204" s="45"/>
      <c r="Q204" s="45"/>
      <c r="R204" s="45"/>
      <c r="S204" s="45"/>
      <c r="T204" s="45"/>
      <c r="U204" s="45"/>
      <c r="V204" s="45"/>
      <c r="W204" s="45"/>
      <c r="X204" s="45"/>
      <c r="Y204" s="45"/>
      <c r="Z204" s="56"/>
    </row>
    <row r="205" spans="1:30">
      <c r="A205" s="7" t="s">
        <v>621</v>
      </c>
      <c r="B205" s="40" t="s">
        <v>622</v>
      </c>
      <c r="C205" s="40" t="s">
        <v>216</v>
      </c>
      <c r="D205" s="40" t="s">
        <v>242</v>
      </c>
      <c r="E205" s="40" t="s">
        <v>73</v>
      </c>
      <c r="F205" s="40" t="s">
        <v>71</v>
      </c>
      <c r="G205" s="38">
        <v>4</v>
      </c>
      <c r="H205" s="54">
        <v>5000</v>
      </c>
      <c r="I205" s="53">
        <v>0</v>
      </c>
      <c r="J205" s="54">
        <v>5000</v>
      </c>
      <c r="K205" s="54">
        <v>20000</v>
      </c>
      <c r="M205" s="45"/>
      <c r="N205" s="45"/>
      <c r="O205" s="45"/>
      <c r="P205" s="45"/>
      <c r="Q205" s="45"/>
      <c r="R205" s="45"/>
      <c r="S205" s="45"/>
      <c r="T205" s="45"/>
      <c r="U205" s="45"/>
      <c r="V205" s="45"/>
      <c r="W205" s="45"/>
      <c r="X205" s="45"/>
      <c r="Y205" s="45"/>
      <c r="Z205" s="56"/>
    </row>
    <row r="206" spans="1:30">
      <c r="A206" s="7" t="s">
        <v>623</v>
      </c>
      <c r="B206" s="40" t="s">
        <v>624</v>
      </c>
      <c r="C206" s="40" t="s">
        <v>216</v>
      </c>
      <c r="D206" s="40" t="s">
        <v>250</v>
      </c>
      <c r="E206" s="40" t="s">
        <v>73</v>
      </c>
      <c r="F206" s="40" t="s">
        <v>71</v>
      </c>
      <c r="G206" s="38">
        <v>1</v>
      </c>
      <c r="H206" s="54">
        <v>2500</v>
      </c>
      <c r="I206" s="53">
        <v>0</v>
      </c>
      <c r="J206" s="54">
        <v>2500</v>
      </c>
      <c r="K206" s="205">
        <v>2500</v>
      </c>
      <c r="M206" s="45"/>
      <c r="N206" s="45"/>
      <c r="O206" s="45"/>
      <c r="P206" s="45"/>
      <c r="Q206" s="45"/>
      <c r="R206" s="45"/>
      <c r="S206" s="45"/>
      <c r="T206" s="45"/>
      <c r="U206" s="45"/>
      <c r="V206" s="45"/>
      <c r="W206" s="45"/>
      <c r="X206" s="45"/>
      <c r="Y206" s="45"/>
      <c r="Z206" s="56"/>
    </row>
    <row r="207" spans="1:30">
      <c r="A207" s="7" t="s">
        <v>625</v>
      </c>
      <c r="B207" s="40" t="s">
        <v>591</v>
      </c>
      <c r="C207" s="40" t="s">
        <v>216</v>
      </c>
      <c r="D207" s="40" t="s">
        <v>235</v>
      </c>
      <c r="E207" s="40" t="s">
        <v>73</v>
      </c>
      <c r="F207" s="40" t="s">
        <v>71</v>
      </c>
      <c r="G207" s="38">
        <v>1</v>
      </c>
      <c r="H207" s="54">
        <v>14250</v>
      </c>
      <c r="I207" s="53">
        <v>0</v>
      </c>
      <c r="J207" s="54">
        <v>14250</v>
      </c>
      <c r="K207" s="205">
        <v>14250</v>
      </c>
      <c r="M207" s="45"/>
      <c r="N207" s="45"/>
      <c r="O207" s="45"/>
      <c r="P207" s="45"/>
      <c r="Q207" s="45"/>
      <c r="R207" s="45"/>
      <c r="S207" s="45"/>
      <c r="T207" s="45"/>
      <c r="U207" s="45"/>
      <c r="V207" s="45"/>
      <c r="W207" s="45"/>
      <c r="X207" s="45"/>
      <c r="Y207" s="45"/>
      <c r="Z207" s="56"/>
    </row>
    <row r="208" spans="1:30">
      <c r="A208" s="7" t="s">
        <v>626</v>
      </c>
      <c r="B208" s="40" t="s">
        <v>595</v>
      </c>
      <c r="C208" s="40" t="s">
        <v>216</v>
      </c>
      <c r="D208" s="40" t="s">
        <v>235</v>
      </c>
      <c r="E208" s="40" t="s">
        <v>73</v>
      </c>
      <c r="F208" s="40" t="s">
        <v>71</v>
      </c>
      <c r="G208" s="38">
        <v>1</v>
      </c>
      <c r="H208" s="54">
        <v>1500</v>
      </c>
      <c r="I208" s="53">
        <v>0</v>
      </c>
      <c r="J208" s="54">
        <v>1500</v>
      </c>
      <c r="K208" s="54">
        <v>1500</v>
      </c>
      <c r="M208" s="45"/>
      <c r="N208" s="45"/>
      <c r="O208" s="45"/>
      <c r="P208" s="45"/>
      <c r="Q208" s="45"/>
      <c r="R208" s="45"/>
      <c r="S208" s="45"/>
      <c r="T208" s="45"/>
      <c r="U208" s="45"/>
      <c r="V208" s="45"/>
      <c r="W208" s="45"/>
      <c r="X208" s="45"/>
      <c r="Y208" s="45"/>
      <c r="Z208" s="56"/>
    </row>
    <row r="209" spans="1:26">
      <c r="A209" s="4" t="s">
        <v>627</v>
      </c>
      <c r="B209" s="151" t="s">
        <v>628</v>
      </c>
      <c r="C209" s="760" t="s">
        <v>337</v>
      </c>
      <c r="D209" s="151"/>
      <c r="E209" s="151"/>
      <c r="F209" s="151"/>
      <c r="G209" s="152"/>
      <c r="H209" s="153"/>
      <c r="I209" s="154"/>
      <c r="J209" s="153"/>
      <c r="K209" s="172"/>
      <c r="L209" s="70">
        <v>253754.65</v>
      </c>
      <c r="M209" s="45"/>
      <c r="N209" s="45"/>
      <c r="O209" s="45"/>
      <c r="P209" s="45"/>
      <c r="Q209" s="45"/>
      <c r="R209" s="45"/>
      <c r="S209" s="45"/>
      <c r="T209" s="45"/>
      <c r="U209" s="45"/>
      <c r="V209" s="45"/>
      <c r="W209" s="45"/>
      <c r="X209" s="45"/>
      <c r="Y209" s="45"/>
      <c r="Z209" s="56"/>
    </row>
    <row r="210" spans="1:26">
      <c r="A210" s="6" t="s">
        <v>629</v>
      </c>
      <c r="B210" s="47" t="s">
        <v>630</v>
      </c>
      <c r="C210" s="47" t="s">
        <v>283</v>
      </c>
      <c r="D210" s="47" t="s">
        <v>228</v>
      </c>
      <c r="E210" s="47" t="s">
        <v>73</v>
      </c>
      <c r="F210" s="47" t="s">
        <v>186</v>
      </c>
      <c r="G210" s="42">
        <v>4</v>
      </c>
      <c r="H210" s="461">
        <v>900</v>
      </c>
      <c r="I210" s="63">
        <v>0</v>
      </c>
      <c r="J210" s="67">
        <v>900</v>
      </c>
      <c r="K210" s="67">
        <v>3600</v>
      </c>
      <c r="M210" s="45" t="s">
        <v>631</v>
      </c>
      <c r="N210" s="45"/>
      <c r="O210" s="45"/>
      <c r="P210" s="45"/>
      <c r="Q210" s="45"/>
      <c r="R210" s="45"/>
      <c r="S210" s="45"/>
      <c r="T210" s="45"/>
      <c r="U210" s="45"/>
      <c r="V210" s="45"/>
      <c r="W210" s="45"/>
      <c r="X210" s="45"/>
      <c r="Y210" s="45"/>
      <c r="Z210" s="56"/>
    </row>
    <row r="211" spans="1:26">
      <c r="A211" s="7" t="s">
        <v>632</v>
      </c>
      <c r="B211" s="40" t="s">
        <v>633</v>
      </c>
      <c r="C211" s="40" t="s">
        <v>216</v>
      </c>
      <c r="D211" s="40" t="s">
        <v>228</v>
      </c>
      <c r="E211" s="40" t="s">
        <v>426</v>
      </c>
      <c r="F211" s="40" t="s">
        <v>61</v>
      </c>
      <c r="G211" s="38">
        <v>422635</v>
      </c>
      <c r="H211" s="51">
        <v>0.59</v>
      </c>
      <c r="I211" s="53">
        <v>0</v>
      </c>
      <c r="J211" s="51">
        <v>0.59</v>
      </c>
      <c r="K211" s="54">
        <v>249354.65</v>
      </c>
      <c r="M211" s="45"/>
      <c r="N211" s="45"/>
      <c r="O211" s="45"/>
      <c r="P211" s="45"/>
      <c r="Q211" s="45"/>
      <c r="R211" s="45"/>
      <c r="S211" s="45"/>
      <c r="T211" s="45"/>
      <c r="U211" s="45"/>
      <c r="V211" s="45"/>
      <c r="W211" s="45"/>
      <c r="X211" s="45"/>
      <c r="Y211" s="45"/>
      <c r="Z211" s="56"/>
    </row>
    <row r="212" spans="1:26">
      <c r="A212" s="7" t="s">
        <v>634</v>
      </c>
      <c r="B212" s="40" t="s">
        <v>635</v>
      </c>
      <c r="C212" s="40" t="s">
        <v>216</v>
      </c>
      <c r="D212" s="40" t="s">
        <v>242</v>
      </c>
      <c r="E212" s="40" t="s">
        <v>73</v>
      </c>
      <c r="F212" s="40" t="s">
        <v>186</v>
      </c>
      <c r="G212" s="38">
        <v>1</v>
      </c>
      <c r="H212" s="54">
        <v>800</v>
      </c>
      <c r="I212" s="53">
        <v>0</v>
      </c>
      <c r="J212" s="54">
        <v>800</v>
      </c>
      <c r="K212" s="54">
        <v>800</v>
      </c>
      <c r="M212" s="45"/>
      <c r="N212" s="45"/>
      <c r="O212" s="45"/>
      <c r="P212" s="45"/>
      <c r="Q212" s="45"/>
      <c r="R212" s="45"/>
      <c r="S212" s="45"/>
      <c r="T212" s="45"/>
      <c r="U212" s="45"/>
      <c r="V212" s="45"/>
      <c r="W212" s="45"/>
      <c r="X212" s="45"/>
      <c r="Y212" s="45"/>
      <c r="Z212" s="56"/>
    </row>
    <row r="213" spans="1:26">
      <c r="A213" s="4" t="s">
        <v>636</v>
      </c>
      <c r="B213" s="151" t="s">
        <v>637</v>
      </c>
      <c r="C213" s="760" t="s">
        <v>337</v>
      </c>
      <c r="D213" s="151"/>
      <c r="E213" s="151"/>
      <c r="F213" s="151"/>
      <c r="G213" s="152"/>
      <c r="H213" s="153"/>
      <c r="I213" s="154"/>
      <c r="J213" s="153"/>
      <c r="K213" s="172"/>
      <c r="L213" s="70">
        <v>1349898.75</v>
      </c>
      <c r="M213" s="45"/>
      <c r="N213" s="45"/>
      <c r="O213" s="45"/>
      <c r="P213" s="45"/>
      <c r="Q213" s="45"/>
      <c r="R213" s="45"/>
      <c r="S213" s="45"/>
      <c r="T213" s="45"/>
      <c r="U213" s="45"/>
      <c r="V213" s="45"/>
      <c r="W213" s="45"/>
      <c r="X213" s="45"/>
      <c r="Y213" s="45"/>
      <c r="Z213" s="56"/>
    </row>
    <row r="214" spans="1:26">
      <c r="A214" s="41" t="s">
        <v>638</v>
      </c>
      <c r="B214" s="47" t="s">
        <v>639</v>
      </c>
      <c r="C214" s="47" t="s">
        <v>216</v>
      </c>
      <c r="D214" s="47" t="s">
        <v>228</v>
      </c>
      <c r="E214" s="47" t="s">
        <v>543</v>
      </c>
      <c r="F214" s="47" t="s">
        <v>88</v>
      </c>
      <c r="G214" s="42">
        <v>390</v>
      </c>
      <c r="H214" s="461">
        <v>581</v>
      </c>
      <c r="I214" s="63">
        <v>0</v>
      </c>
      <c r="J214" s="67">
        <v>581</v>
      </c>
      <c r="K214" s="67">
        <v>226590</v>
      </c>
      <c r="M214" s="45"/>
      <c r="N214" s="45"/>
      <c r="O214" s="45"/>
      <c r="P214" s="45"/>
      <c r="Q214" s="45"/>
      <c r="R214" s="45"/>
      <c r="S214" s="45"/>
      <c r="T214" s="45"/>
      <c r="U214" s="45"/>
      <c r="V214" s="45"/>
      <c r="W214" s="45"/>
      <c r="X214" s="45"/>
      <c r="Y214" s="45"/>
      <c r="Z214" s="56"/>
    </row>
    <row r="215" spans="1:26">
      <c r="A215" s="7" t="s">
        <v>640</v>
      </c>
      <c r="B215" s="40" t="s">
        <v>641</v>
      </c>
      <c r="C215" s="40" t="s">
        <v>216</v>
      </c>
      <c r="D215" s="40" t="s">
        <v>223</v>
      </c>
      <c r="E215" s="40" t="s">
        <v>426</v>
      </c>
      <c r="F215" s="40" t="s">
        <v>88</v>
      </c>
      <c r="G215" s="38">
        <v>390</v>
      </c>
      <c r="H215" s="54">
        <v>442</v>
      </c>
      <c r="I215" s="53">
        <v>0</v>
      </c>
      <c r="J215" s="54">
        <v>442</v>
      </c>
      <c r="K215" s="54">
        <v>172380</v>
      </c>
      <c r="M215" s="45"/>
      <c r="N215" s="45"/>
      <c r="O215" s="45"/>
      <c r="P215" s="45"/>
      <c r="Q215" s="45"/>
      <c r="R215" s="45"/>
      <c r="S215" s="45"/>
      <c r="T215" s="45"/>
      <c r="U215" s="45"/>
      <c r="V215" s="45"/>
      <c r="W215" s="45"/>
      <c r="X215" s="45"/>
      <c r="Y215" s="45"/>
      <c r="Z215" s="56"/>
    </row>
    <row r="216" spans="1:26">
      <c r="A216" s="7" t="s">
        <v>642</v>
      </c>
      <c r="B216" s="40" t="s">
        <v>643</v>
      </c>
      <c r="C216" s="40" t="s">
        <v>216</v>
      </c>
      <c r="D216" s="40" t="s">
        <v>228</v>
      </c>
      <c r="E216" s="40" t="s">
        <v>326</v>
      </c>
      <c r="F216" s="40" t="s">
        <v>61</v>
      </c>
      <c r="G216" s="38">
        <v>422635</v>
      </c>
      <c r="H216" s="51">
        <v>2.25</v>
      </c>
      <c r="I216" s="53">
        <v>0</v>
      </c>
      <c r="J216" s="51">
        <v>2.25</v>
      </c>
      <c r="K216" s="54">
        <v>950928.75</v>
      </c>
      <c r="M216" s="45"/>
      <c r="N216" s="45"/>
      <c r="O216" s="45"/>
      <c r="P216" s="45"/>
      <c r="Q216" s="45"/>
      <c r="R216" s="45"/>
      <c r="S216" s="45"/>
      <c r="T216" s="45"/>
      <c r="U216" s="45"/>
      <c r="V216" s="45"/>
      <c r="W216" s="45"/>
      <c r="X216" s="45"/>
      <c r="Y216" s="45"/>
      <c r="Z216" s="56"/>
    </row>
    <row r="217" spans="1:26">
      <c r="A217" s="4" t="s">
        <v>644</v>
      </c>
      <c r="B217" s="151" t="s">
        <v>645</v>
      </c>
      <c r="C217" s="151"/>
      <c r="D217" s="151"/>
      <c r="E217" s="151"/>
      <c r="F217" s="151"/>
      <c r="G217" s="152"/>
      <c r="H217" s="153"/>
      <c r="I217" s="154"/>
      <c r="J217" s="153"/>
      <c r="K217" s="172"/>
      <c r="L217" s="70">
        <v>1455055.4581000002</v>
      </c>
      <c r="M217" s="45"/>
      <c r="N217" s="45"/>
      <c r="O217" s="45"/>
      <c r="P217" s="45"/>
      <c r="Q217" s="45"/>
      <c r="R217" s="45"/>
      <c r="S217" s="45"/>
      <c r="T217" s="45"/>
      <c r="U217" s="45"/>
      <c r="V217" s="45"/>
      <c r="W217" s="45"/>
      <c r="X217" s="45"/>
      <c r="Y217" s="45"/>
      <c r="Z217" s="56"/>
    </row>
    <row r="218" spans="1:26">
      <c r="A218" s="6" t="s">
        <v>646</v>
      </c>
      <c r="B218" s="47" t="s">
        <v>647</v>
      </c>
      <c r="C218" s="47" t="s">
        <v>216</v>
      </c>
      <c r="D218" s="47" t="s">
        <v>223</v>
      </c>
      <c r="E218" s="47" t="s">
        <v>426</v>
      </c>
      <c r="F218" s="47" t="s">
        <v>615</v>
      </c>
      <c r="G218" s="185">
        <v>15.826000000000001</v>
      </c>
      <c r="H218" s="461">
        <v>7600</v>
      </c>
      <c r="I218" s="63">
        <v>0</v>
      </c>
      <c r="J218" s="67">
        <v>7600</v>
      </c>
      <c r="K218" s="67">
        <v>120277.6</v>
      </c>
      <c r="M218" s="45"/>
      <c r="N218" s="45"/>
      <c r="O218" s="45"/>
      <c r="P218" s="45"/>
      <c r="Q218" s="45"/>
      <c r="R218" s="45"/>
      <c r="S218" s="45"/>
      <c r="T218" s="45"/>
      <c r="U218" s="45"/>
      <c r="V218" s="45"/>
      <c r="W218" s="45"/>
      <c r="X218" s="45"/>
      <c r="Y218" s="45"/>
      <c r="Z218" s="56"/>
    </row>
    <row r="219" spans="1:26">
      <c r="A219" s="7" t="s">
        <v>648</v>
      </c>
      <c r="B219" s="40" t="s">
        <v>649</v>
      </c>
      <c r="C219" s="40" t="s">
        <v>216</v>
      </c>
      <c r="D219" s="40" t="s">
        <v>223</v>
      </c>
      <c r="E219" s="40" t="s">
        <v>73</v>
      </c>
      <c r="F219" s="40" t="s">
        <v>615</v>
      </c>
      <c r="G219" s="183">
        <v>15.826000000000001</v>
      </c>
      <c r="H219" s="54">
        <v>3485.6</v>
      </c>
      <c r="I219" s="53">
        <v>0</v>
      </c>
      <c r="J219" s="54">
        <v>3485.6</v>
      </c>
      <c r="K219" s="54">
        <v>55163.105600000003</v>
      </c>
      <c r="M219" s="45"/>
      <c r="N219" s="45"/>
      <c r="O219" s="45"/>
      <c r="P219" s="45"/>
      <c r="Q219" s="45"/>
      <c r="R219" s="45"/>
      <c r="S219" s="45"/>
      <c r="T219" s="45"/>
      <c r="U219" s="45"/>
      <c r="V219" s="45"/>
      <c r="W219" s="45"/>
      <c r="X219" s="45"/>
      <c r="Y219" s="45"/>
      <c r="Z219" s="56"/>
    </row>
    <row r="220" spans="1:26">
      <c r="A220" s="7" t="s">
        <v>650</v>
      </c>
      <c r="B220" s="40" t="s">
        <v>651</v>
      </c>
      <c r="C220" s="40" t="s">
        <v>216</v>
      </c>
      <c r="D220" s="40" t="s">
        <v>223</v>
      </c>
      <c r="E220" s="40" t="s">
        <v>73</v>
      </c>
      <c r="F220" s="40" t="s">
        <v>71</v>
      </c>
      <c r="G220" s="38">
        <v>1</v>
      </c>
      <c r="H220" s="54">
        <v>45000</v>
      </c>
      <c r="I220" s="53">
        <v>0</v>
      </c>
      <c r="J220" s="54">
        <v>45000</v>
      </c>
      <c r="K220" s="54">
        <v>45000</v>
      </c>
      <c r="M220" s="45"/>
      <c r="N220" s="45"/>
      <c r="O220" s="45"/>
      <c r="P220" s="45"/>
      <c r="Q220" s="45"/>
      <c r="R220" s="45"/>
      <c r="S220" s="45"/>
      <c r="T220" s="45"/>
      <c r="U220" s="45"/>
      <c r="V220" s="45"/>
      <c r="W220" s="45"/>
      <c r="X220" s="45"/>
      <c r="Y220" s="45"/>
      <c r="Z220" s="56"/>
    </row>
    <row r="221" spans="1:26">
      <c r="A221" s="7" t="s">
        <v>652</v>
      </c>
      <c r="B221" s="40" t="s">
        <v>653</v>
      </c>
      <c r="C221" s="40" t="s">
        <v>216</v>
      </c>
      <c r="D221" s="40" t="s">
        <v>223</v>
      </c>
      <c r="E221" s="40" t="s">
        <v>6</v>
      </c>
      <c r="F221" s="40" t="s">
        <v>71</v>
      </c>
      <c r="G221" s="38">
        <v>1</v>
      </c>
      <c r="H221" s="54">
        <v>75000</v>
      </c>
      <c r="I221" s="53">
        <v>0</v>
      </c>
      <c r="J221" s="54">
        <v>75000</v>
      </c>
      <c r="K221" s="54">
        <v>75000</v>
      </c>
      <c r="M221" s="45" t="s">
        <v>654</v>
      </c>
      <c r="N221" s="45"/>
      <c r="O221" s="45"/>
      <c r="P221" s="45"/>
      <c r="Q221" s="45"/>
      <c r="R221" s="45"/>
      <c r="S221" s="45"/>
      <c r="T221" s="45"/>
      <c r="U221" s="45"/>
      <c r="V221" s="45"/>
      <c r="W221" s="45"/>
      <c r="X221" s="45"/>
      <c r="Y221" s="45"/>
      <c r="Z221" s="56"/>
    </row>
    <row r="222" spans="1:26">
      <c r="A222" s="7" t="s">
        <v>655</v>
      </c>
      <c r="B222" s="40" t="s">
        <v>656</v>
      </c>
      <c r="C222" s="40" t="s">
        <v>216</v>
      </c>
      <c r="D222" s="40" t="s">
        <v>223</v>
      </c>
      <c r="E222" s="40" t="s">
        <v>6</v>
      </c>
      <c r="F222" s="40" t="s">
        <v>71</v>
      </c>
      <c r="G222" s="38">
        <v>1</v>
      </c>
      <c r="H222" s="54">
        <v>876756</v>
      </c>
      <c r="I222" s="53">
        <v>0</v>
      </c>
      <c r="J222" s="54">
        <v>876756</v>
      </c>
      <c r="K222" s="54">
        <v>876756</v>
      </c>
      <c r="M222" s="45" t="s">
        <v>657</v>
      </c>
      <c r="N222" s="45"/>
      <c r="O222" s="45"/>
      <c r="P222" s="45"/>
      <c r="Q222" s="45"/>
      <c r="R222" s="45"/>
      <c r="S222" s="45"/>
      <c r="T222" s="45"/>
      <c r="U222" s="45"/>
      <c r="V222" s="45"/>
      <c r="W222" s="45"/>
      <c r="X222" s="45"/>
      <c r="Y222" s="45"/>
      <c r="Z222" s="56"/>
    </row>
    <row r="223" spans="1:26">
      <c r="A223" s="7" t="s">
        <v>658</v>
      </c>
      <c r="B223" s="40" t="s">
        <v>659</v>
      </c>
      <c r="C223" s="40" t="s">
        <v>216</v>
      </c>
      <c r="D223" s="40" t="s">
        <v>223</v>
      </c>
      <c r="E223" s="40" t="s">
        <v>6</v>
      </c>
      <c r="F223" s="40" t="s">
        <v>71</v>
      </c>
      <c r="G223" s="38">
        <v>1</v>
      </c>
      <c r="H223" s="54">
        <v>41869.412500000006</v>
      </c>
      <c r="I223" s="53">
        <v>0</v>
      </c>
      <c r="J223" s="54">
        <v>41869.412500000006</v>
      </c>
      <c r="K223" s="54">
        <v>41869.412500000006</v>
      </c>
      <c r="M223" s="45" t="s">
        <v>654</v>
      </c>
      <c r="N223" s="45"/>
      <c r="O223" s="45"/>
      <c r="P223" s="45"/>
      <c r="Q223" s="45"/>
      <c r="R223" s="45"/>
      <c r="S223" s="45"/>
      <c r="T223" s="45"/>
      <c r="U223" s="45"/>
      <c r="V223" s="45"/>
      <c r="W223" s="45"/>
      <c r="X223" s="45"/>
      <c r="Y223" s="45"/>
      <c r="Z223" s="56"/>
    </row>
    <row r="224" spans="1:26">
      <c r="A224" s="7" t="s">
        <v>660</v>
      </c>
      <c r="B224" s="40" t="s">
        <v>661</v>
      </c>
      <c r="C224" s="40" t="s">
        <v>216</v>
      </c>
      <c r="D224" s="40" t="s">
        <v>223</v>
      </c>
      <c r="E224" s="40" t="s">
        <v>6</v>
      </c>
      <c r="F224" s="40" t="s">
        <v>71</v>
      </c>
      <c r="G224" s="38">
        <v>1</v>
      </c>
      <c r="H224" s="54">
        <v>200000</v>
      </c>
      <c r="I224" s="53">
        <v>0</v>
      </c>
      <c r="J224" s="54">
        <v>200000</v>
      </c>
      <c r="K224" s="54">
        <v>200000</v>
      </c>
      <c r="M224" s="45"/>
      <c r="N224" s="45"/>
      <c r="O224" s="45"/>
      <c r="P224" s="45"/>
      <c r="Q224" s="45"/>
      <c r="R224" s="45"/>
      <c r="S224" s="45"/>
      <c r="T224" s="45"/>
      <c r="U224" s="45"/>
      <c r="V224" s="45"/>
      <c r="W224" s="45"/>
      <c r="X224" s="45"/>
      <c r="Y224" s="45"/>
      <c r="Z224" s="56"/>
    </row>
    <row r="225" spans="1:26">
      <c r="A225" s="7" t="s">
        <v>662</v>
      </c>
      <c r="B225" s="40" t="s">
        <v>663</v>
      </c>
      <c r="C225" s="40" t="s">
        <v>216</v>
      </c>
      <c r="D225" s="40" t="s">
        <v>223</v>
      </c>
      <c r="E225" s="40" t="s">
        <v>231</v>
      </c>
      <c r="F225" s="40"/>
      <c r="G225" s="38"/>
      <c r="H225" s="54">
        <v>0</v>
      </c>
      <c r="I225" s="53">
        <v>0</v>
      </c>
      <c r="J225" s="54">
        <v>0</v>
      </c>
      <c r="K225" s="54">
        <v>0</v>
      </c>
      <c r="M225" s="45"/>
      <c r="N225" s="45"/>
      <c r="O225" s="45"/>
      <c r="P225" s="45"/>
      <c r="Q225" s="45"/>
      <c r="R225" s="45"/>
      <c r="S225" s="45"/>
      <c r="T225" s="45"/>
      <c r="U225" s="45"/>
      <c r="V225" s="45"/>
      <c r="W225" s="45"/>
      <c r="X225" s="45"/>
      <c r="Y225" s="45"/>
      <c r="Z225" s="56"/>
    </row>
    <row r="226" spans="1:26">
      <c r="A226" s="7" t="s">
        <v>664</v>
      </c>
      <c r="B226" s="40" t="s">
        <v>665</v>
      </c>
      <c r="C226" s="40" t="s">
        <v>216</v>
      </c>
      <c r="D226" s="40" t="s">
        <v>223</v>
      </c>
      <c r="E226" s="40" t="s">
        <v>73</v>
      </c>
      <c r="F226" s="40" t="s">
        <v>615</v>
      </c>
      <c r="G226" s="183">
        <v>15.826000000000001</v>
      </c>
      <c r="H226" s="54">
        <v>2590</v>
      </c>
      <c r="I226" s="53">
        <v>0</v>
      </c>
      <c r="J226" s="54">
        <v>2590</v>
      </c>
      <c r="K226" s="54">
        <v>40989.340000000004</v>
      </c>
      <c r="M226" s="45"/>
      <c r="N226" s="45"/>
      <c r="O226" s="45"/>
      <c r="P226" s="45"/>
      <c r="Q226" s="45"/>
      <c r="R226" s="45"/>
      <c r="S226" s="45"/>
      <c r="T226" s="45"/>
      <c r="U226" s="45"/>
      <c r="V226" s="45"/>
      <c r="W226" s="45"/>
      <c r="X226" s="45"/>
      <c r="Y226" s="45"/>
      <c r="Z226" s="56"/>
    </row>
    <row r="227" spans="1:26">
      <c r="A227" s="4" t="s">
        <v>666</v>
      </c>
      <c r="B227" s="151" t="s">
        <v>667</v>
      </c>
      <c r="C227" s="151"/>
      <c r="D227" s="151"/>
      <c r="E227" s="151"/>
      <c r="F227" s="151"/>
      <c r="G227" s="152"/>
      <c r="H227" s="153"/>
      <c r="I227" s="154"/>
      <c r="J227" s="153"/>
      <c r="K227" s="172"/>
      <c r="L227" s="70">
        <v>7622826.8914367436</v>
      </c>
      <c r="M227" s="45"/>
      <c r="N227" s="45"/>
      <c r="O227" s="45"/>
      <c r="P227" s="45"/>
      <c r="Q227" s="45"/>
      <c r="R227" s="45"/>
      <c r="S227" s="45"/>
      <c r="T227" s="45"/>
      <c r="U227" s="45"/>
      <c r="V227" s="45"/>
      <c r="W227" s="45"/>
      <c r="X227" s="45"/>
      <c r="Y227" s="45"/>
      <c r="Z227" s="56"/>
    </row>
    <row r="228" spans="1:26">
      <c r="A228" s="6" t="s">
        <v>668</v>
      </c>
      <c r="B228" s="47" t="s">
        <v>669</v>
      </c>
      <c r="C228" s="47" t="s">
        <v>233</v>
      </c>
      <c r="D228" s="47" t="s">
        <v>223</v>
      </c>
      <c r="E228" s="47" t="s">
        <v>73</v>
      </c>
      <c r="F228" s="47" t="s">
        <v>71</v>
      </c>
      <c r="G228" s="42">
        <v>1</v>
      </c>
      <c r="H228" s="461">
        <v>10000</v>
      </c>
      <c r="I228" s="63">
        <v>0</v>
      </c>
      <c r="J228" s="67">
        <v>10000</v>
      </c>
      <c r="K228" s="67">
        <v>10000</v>
      </c>
      <c r="M228" s="45"/>
      <c r="N228" s="45"/>
      <c r="O228" s="45"/>
      <c r="P228" s="45"/>
      <c r="Q228" s="45"/>
      <c r="R228" s="45"/>
      <c r="S228" s="45"/>
      <c r="T228" s="45"/>
      <c r="U228" s="45"/>
      <c r="V228" s="45"/>
      <c r="W228" s="45"/>
      <c r="X228" s="45"/>
      <c r="Y228" s="45"/>
      <c r="Z228" s="56"/>
    </row>
    <row r="229" spans="1:26">
      <c r="A229" s="7" t="s">
        <v>670</v>
      </c>
      <c r="B229" s="40" t="s">
        <v>671</v>
      </c>
      <c r="C229" s="40" t="s">
        <v>216</v>
      </c>
      <c r="D229" s="40" t="s">
        <v>238</v>
      </c>
      <c r="E229" s="40" t="s">
        <v>73</v>
      </c>
      <c r="F229" s="40" t="s">
        <v>71</v>
      </c>
      <c r="G229" s="38">
        <v>1</v>
      </c>
      <c r="H229" s="54">
        <v>15000</v>
      </c>
      <c r="I229" s="53">
        <v>0</v>
      </c>
      <c r="J229" s="54">
        <v>15000</v>
      </c>
      <c r="K229" s="54">
        <v>15000</v>
      </c>
      <c r="M229" s="45"/>
      <c r="N229" s="45"/>
      <c r="O229" s="45"/>
      <c r="P229" s="45"/>
      <c r="Q229" s="45"/>
      <c r="R229" s="45"/>
      <c r="S229" s="45"/>
      <c r="T229" s="45"/>
      <c r="U229" s="45"/>
      <c r="V229" s="45"/>
      <c r="W229" s="45"/>
      <c r="X229" s="45"/>
      <c r="Y229" s="45"/>
      <c r="Z229" s="56"/>
    </row>
    <row r="230" spans="1:26">
      <c r="A230" s="7" t="s">
        <v>672</v>
      </c>
      <c r="B230" s="40" t="s">
        <v>673</v>
      </c>
      <c r="C230" s="40" t="s">
        <v>216</v>
      </c>
      <c r="D230" s="40" t="s">
        <v>223</v>
      </c>
      <c r="E230" s="40" t="s">
        <v>73</v>
      </c>
      <c r="F230" s="40" t="s">
        <v>71</v>
      </c>
      <c r="G230" s="38">
        <v>1</v>
      </c>
      <c r="H230" s="54">
        <v>25000</v>
      </c>
      <c r="I230" s="53">
        <v>0</v>
      </c>
      <c r="J230" s="54">
        <v>25000</v>
      </c>
      <c r="K230" s="54">
        <v>25000</v>
      </c>
      <c r="M230" s="45" t="s">
        <v>654</v>
      </c>
      <c r="N230" s="45"/>
      <c r="O230" s="45"/>
      <c r="P230" s="45"/>
      <c r="Q230" s="45"/>
      <c r="R230" s="45"/>
      <c r="S230" s="45"/>
      <c r="T230" s="45"/>
      <c r="U230" s="45"/>
      <c r="V230" s="45"/>
      <c r="W230" s="45"/>
      <c r="X230" s="45"/>
      <c r="Y230" s="45"/>
      <c r="Z230" s="56"/>
    </row>
    <row r="231" spans="1:26">
      <c r="A231" s="7" t="s">
        <v>674</v>
      </c>
      <c r="B231" s="40" t="s">
        <v>675</v>
      </c>
      <c r="C231" s="40" t="s">
        <v>216</v>
      </c>
      <c r="D231" s="40" t="s">
        <v>223</v>
      </c>
      <c r="E231" s="40" t="s">
        <v>6</v>
      </c>
      <c r="F231" s="40" t="s">
        <v>71</v>
      </c>
      <c r="G231" s="38">
        <v>1</v>
      </c>
      <c r="H231" s="54">
        <v>835764.13949999993</v>
      </c>
      <c r="I231" s="53">
        <v>0</v>
      </c>
      <c r="J231" s="54">
        <v>835764.13949999993</v>
      </c>
      <c r="K231" s="54">
        <v>835764.13949999993</v>
      </c>
      <c r="M231" s="45" t="s">
        <v>654</v>
      </c>
      <c r="N231" s="45"/>
      <c r="O231" s="45"/>
      <c r="P231" s="45"/>
      <c r="Q231" s="45"/>
      <c r="R231" s="45"/>
      <c r="S231" s="45"/>
      <c r="T231" s="45"/>
      <c r="U231" s="45"/>
      <c r="V231" s="45"/>
      <c r="W231" s="45"/>
      <c r="X231" s="45"/>
      <c r="Y231" s="45"/>
      <c r="Z231" s="56"/>
    </row>
    <row r="232" spans="1:26">
      <c r="A232" s="7" t="s">
        <v>676</v>
      </c>
      <c r="B232" s="40" t="s">
        <v>677</v>
      </c>
      <c r="C232" s="40" t="s">
        <v>216</v>
      </c>
      <c r="D232" s="40" t="s">
        <v>223</v>
      </c>
      <c r="E232" s="40" t="s">
        <v>543</v>
      </c>
      <c r="F232" s="40" t="s">
        <v>61</v>
      </c>
      <c r="G232" s="38">
        <v>256408.47</v>
      </c>
      <c r="H232" s="51">
        <v>0.24948059168754505</v>
      </c>
      <c r="I232" s="53">
        <v>0</v>
      </c>
      <c r="J232" s="51">
        <v>0.24948059168754505</v>
      </c>
      <c r="K232" s="54">
        <v>63968.936809298146</v>
      </c>
      <c r="M232" s="45"/>
      <c r="N232" s="45"/>
      <c r="O232" s="45"/>
      <c r="P232" s="45"/>
      <c r="Q232" s="45"/>
      <c r="R232" s="45"/>
      <c r="S232" s="45"/>
      <c r="T232" s="45"/>
      <c r="U232" s="45"/>
      <c r="V232" s="45"/>
      <c r="W232" s="45"/>
      <c r="X232" s="45"/>
      <c r="Y232" s="45"/>
      <c r="Z232" s="56"/>
    </row>
    <row r="233" spans="1:26">
      <c r="A233" s="7" t="s">
        <v>149</v>
      </c>
      <c r="B233" s="40" t="s">
        <v>678</v>
      </c>
      <c r="C233" s="40" t="s">
        <v>216</v>
      </c>
      <c r="D233" s="40" t="s">
        <v>238</v>
      </c>
      <c r="E233" s="40" t="s">
        <v>44</v>
      </c>
      <c r="F233" s="40" t="s">
        <v>148</v>
      </c>
      <c r="G233" s="38">
        <v>9808</v>
      </c>
      <c r="H233" s="51">
        <v>8.5</v>
      </c>
      <c r="I233" s="53">
        <v>0</v>
      </c>
      <c r="J233" s="51">
        <v>8.5</v>
      </c>
      <c r="K233" s="54">
        <v>83368</v>
      </c>
      <c r="M233" s="45"/>
      <c r="N233" s="45"/>
      <c r="O233" s="45"/>
      <c r="P233" s="45"/>
      <c r="Q233" s="45"/>
      <c r="R233" s="45"/>
      <c r="S233" s="45"/>
      <c r="T233" s="45"/>
      <c r="U233" s="45"/>
      <c r="V233" s="45"/>
      <c r="W233" s="45"/>
      <c r="X233" s="45"/>
      <c r="Y233" s="45"/>
      <c r="Z233" s="56"/>
    </row>
    <row r="234" spans="1:26">
      <c r="A234" s="7" t="s">
        <v>679</v>
      </c>
      <c r="B234" s="40" t="s">
        <v>680</v>
      </c>
      <c r="C234" s="40" t="s">
        <v>216</v>
      </c>
      <c r="D234" s="40" t="s">
        <v>242</v>
      </c>
      <c r="E234" s="40" t="s">
        <v>44</v>
      </c>
      <c r="F234" s="40" t="s">
        <v>61</v>
      </c>
      <c r="G234" s="38">
        <v>4638</v>
      </c>
      <c r="H234" s="54">
        <v>10</v>
      </c>
      <c r="I234" s="53">
        <v>0</v>
      </c>
      <c r="J234" s="54">
        <v>10</v>
      </c>
      <c r="K234" s="54">
        <v>46380</v>
      </c>
      <c r="M234" s="45"/>
      <c r="N234" s="45"/>
      <c r="O234" s="45"/>
      <c r="P234" s="45"/>
      <c r="Q234" s="45"/>
      <c r="R234" s="45"/>
      <c r="S234" s="45"/>
      <c r="T234" s="45"/>
      <c r="U234" s="45"/>
      <c r="V234" s="45"/>
      <c r="W234" s="45"/>
      <c r="X234" s="45"/>
      <c r="Y234" s="45"/>
      <c r="Z234" s="56"/>
    </row>
    <row r="235" spans="1:26">
      <c r="A235" s="7" t="s">
        <v>681</v>
      </c>
      <c r="B235" s="40" t="s">
        <v>682</v>
      </c>
      <c r="C235" s="40" t="s">
        <v>216</v>
      </c>
      <c r="D235" s="40" t="s">
        <v>223</v>
      </c>
      <c r="E235" s="40" t="s">
        <v>6</v>
      </c>
      <c r="F235" s="40" t="s">
        <v>71</v>
      </c>
      <c r="G235" s="38">
        <v>1</v>
      </c>
      <c r="H235" s="54">
        <v>105445</v>
      </c>
      <c r="I235" s="53">
        <v>0</v>
      </c>
      <c r="J235" s="54">
        <v>105445</v>
      </c>
      <c r="K235" s="54">
        <v>105445</v>
      </c>
      <c r="M235" s="45" t="s">
        <v>654</v>
      </c>
      <c r="N235" s="45"/>
      <c r="O235" s="45"/>
      <c r="P235" s="45"/>
      <c r="Q235" s="45"/>
      <c r="R235" s="45"/>
      <c r="S235" s="45"/>
      <c r="T235" s="45"/>
      <c r="U235" s="45"/>
      <c r="V235" s="45"/>
      <c r="W235" s="45"/>
      <c r="X235" s="45"/>
      <c r="Y235" s="45"/>
      <c r="Z235" s="56"/>
    </row>
    <row r="236" spans="1:26">
      <c r="A236" s="7" t="s">
        <v>683</v>
      </c>
      <c r="B236" s="40" t="s">
        <v>684</v>
      </c>
      <c r="C236" s="40" t="s">
        <v>216</v>
      </c>
      <c r="D236" s="40" t="s">
        <v>223</v>
      </c>
      <c r="E236" s="40" t="s">
        <v>6</v>
      </c>
      <c r="F236" s="40" t="s">
        <v>71</v>
      </c>
      <c r="G236" s="38">
        <v>1</v>
      </c>
      <c r="H236" s="54">
        <v>199263.6</v>
      </c>
      <c r="I236" s="53">
        <v>0</v>
      </c>
      <c r="J236" s="54">
        <v>199263.6</v>
      </c>
      <c r="K236" s="54">
        <v>199263.6</v>
      </c>
      <c r="M236" s="45" t="s">
        <v>654</v>
      </c>
      <c r="N236" s="45"/>
      <c r="O236" s="45"/>
      <c r="P236" s="45"/>
      <c r="Q236" s="45"/>
      <c r="R236" s="45"/>
      <c r="S236" s="45"/>
      <c r="T236" s="45"/>
      <c r="U236" s="45"/>
      <c r="V236" s="45"/>
      <c r="W236" s="45"/>
      <c r="X236" s="45"/>
      <c r="Y236" s="45"/>
      <c r="Z236" s="56"/>
    </row>
    <row r="237" spans="1:26">
      <c r="A237" s="52" t="s">
        <v>685</v>
      </c>
      <c r="B237" s="40" t="s">
        <v>686</v>
      </c>
      <c r="C237" s="40" t="s">
        <v>216</v>
      </c>
      <c r="D237" s="40" t="s">
        <v>223</v>
      </c>
      <c r="E237" s="40" t="s">
        <v>6</v>
      </c>
      <c r="F237" s="40" t="s">
        <v>71</v>
      </c>
      <c r="G237" s="38">
        <v>1</v>
      </c>
      <c r="H237" s="54">
        <v>312701</v>
      </c>
      <c r="I237" s="53">
        <v>0</v>
      </c>
      <c r="J237" s="54">
        <v>312701</v>
      </c>
      <c r="K237" s="54">
        <v>312701</v>
      </c>
      <c r="M237" s="45" t="s">
        <v>654</v>
      </c>
      <c r="N237" s="45"/>
      <c r="O237" s="45"/>
      <c r="P237" s="45"/>
      <c r="Q237" s="45"/>
      <c r="R237" s="45"/>
      <c r="S237" s="45"/>
      <c r="T237" s="45"/>
      <c r="U237" s="45"/>
      <c r="V237" s="45"/>
      <c r="W237" s="45"/>
      <c r="X237" s="45"/>
      <c r="Y237" s="45"/>
      <c r="Z237" s="56"/>
    </row>
    <row r="238" spans="1:26">
      <c r="A238" s="7" t="s">
        <v>687</v>
      </c>
      <c r="B238" s="40" t="s">
        <v>688</v>
      </c>
      <c r="C238" s="40" t="s">
        <v>216</v>
      </c>
      <c r="D238" s="40" t="s">
        <v>238</v>
      </c>
      <c r="E238" s="40" t="s">
        <v>231</v>
      </c>
      <c r="F238" s="40"/>
      <c r="G238" s="38"/>
      <c r="H238" s="51"/>
      <c r="I238" s="53">
        <v>0</v>
      </c>
      <c r="J238" s="54">
        <v>0</v>
      </c>
      <c r="K238" s="54">
        <v>0</v>
      </c>
      <c r="M238" s="45"/>
      <c r="N238" s="45"/>
      <c r="O238" s="45"/>
      <c r="P238" s="45"/>
      <c r="Q238" s="45"/>
      <c r="R238" s="45"/>
      <c r="S238" s="45"/>
      <c r="T238" s="45"/>
      <c r="U238" s="45"/>
      <c r="V238" s="45"/>
      <c r="W238" s="45"/>
      <c r="X238" s="45"/>
      <c r="Y238" s="45"/>
      <c r="Z238" s="56"/>
    </row>
    <row r="239" spans="1:26" ht="14.25" customHeight="1">
      <c r="A239" s="7" t="s">
        <v>689</v>
      </c>
      <c r="B239" s="40" t="s">
        <v>690</v>
      </c>
      <c r="C239" s="40" t="s">
        <v>216</v>
      </c>
      <c r="D239" s="40" t="s">
        <v>242</v>
      </c>
      <c r="E239" s="40" t="s">
        <v>73</v>
      </c>
      <c r="F239" s="40" t="s">
        <v>71</v>
      </c>
      <c r="G239" s="38">
        <v>1</v>
      </c>
      <c r="H239" s="54">
        <v>10000</v>
      </c>
      <c r="I239" s="53">
        <v>0</v>
      </c>
      <c r="J239" s="54">
        <v>10000</v>
      </c>
      <c r="K239" s="54">
        <v>10000</v>
      </c>
      <c r="M239" s="45"/>
      <c r="N239" s="45"/>
      <c r="O239" s="45"/>
      <c r="P239" s="45"/>
      <c r="Q239" s="45"/>
      <c r="R239" s="45"/>
      <c r="S239" s="45"/>
      <c r="T239" s="45"/>
      <c r="U239" s="45"/>
      <c r="V239" s="45"/>
      <c r="W239" s="45"/>
      <c r="X239" s="45"/>
      <c r="Y239" s="45"/>
      <c r="Z239" s="56"/>
    </row>
    <row r="240" spans="1:26">
      <c r="A240" s="7" t="s">
        <v>691</v>
      </c>
      <c r="B240" s="40" t="s">
        <v>692</v>
      </c>
      <c r="C240" s="40" t="s">
        <v>216</v>
      </c>
      <c r="D240" s="40" t="s">
        <v>223</v>
      </c>
      <c r="E240" s="40" t="s">
        <v>543</v>
      </c>
      <c r="F240" s="40" t="s">
        <v>61</v>
      </c>
      <c r="G240" s="38">
        <v>256408.47</v>
      </c>
      <c r="H240" s="51">
        <v>0.19021862237018225</v>
      </c>
      <c r="I240" s="53">
        <v>0</v>
      </c>
      <c r="J240" s="51">
        <v>0.19021862237018225</v>
      </c>
      <c r="K240" s="54">
        <v>48773.665927446207</v>
      </c>
      <c r="M240" s="45"/>
      <c r="N240" s="45"/>
      <c r="O240" s="45"/>
      <c r="P240" s="45"/>
      <c r="Q240" s="45"/>
      <c r="R240" s="45"/>
      <c r="S240" s="45"/>
      <c r="T240" s="45"/>
      <c r="U240" s="45"/>
      <c r="V240" s="45"/>
      <c r="W240" s="45"/>
      <c r="X240" s="45"/>
      <c r="Y240" s="45"/>
      <c r="Z240" s="56"/>
    </row>
    <row r="241" spans="1:26">
      <c r="A241" s="7" t="s">
        <v>693</v>
      </c>
      <c r="B241" s="40" t="s">
        <v>694</v>
      </c>
      <c r="C241" s="40" t="s">
        <v>216</v>
      </c>
      <c r="D241" s="40" t="s">
        <v>223</v>
      </c>
      <c r="E241" s="40" t="s">
        <v>6</v>
      </c>
      <c r="F241" s="40" t="s">
        <v>71</v>
      </c>
      <c r="G241" s="38">
        <v>1</v>
      </c>
      <c r="H241" s="54">
        <v>159878</v>
      </c>
      <c r="I241" s="53">
        <v>0</v>
      </c>
      <c r="J241" s="54">
        <v>159878</v>
      </c>
      <c r="K241" s="54">
        <v>159878</v>
      </c>
      <c r="M241" s="45" t="s">
        <v>695</v>
      </c>
      <c r="N241" s="45"/>
      <c r="O241" s="45"/>
      <c r="P241" s="45"/>
      <c r="Q241" s="45"/>
      <c r="R241" s="45"/>
      <c r="S241" s="45"/>
      <c r="T241" s="45"/>
      <c r="U241" s="45"/>
      <c r="V241" s="45"/>
      <c r="W241" s="45"/>
      <c r="X241" s="45"/>
      <c r="Y241" s="45"/>
      <c r="Z241" s="56"/>
    </row>
    <row r="242" spans="1:26">
      <c r="A242" s="7" t="s">
        <v>696</v>
      </c>
      <c r="B242" s="40" t="s">
        <v>697</v>
      </c>
      <c r="C242" s="40" t="s">
        <v>216</v>
      </c>
      <c r="D242" s="40" t="s">
        <v>238</v>
      </c>
      <c r="E242" s="40" t="s">
        <v>6</v>
      </c>
      <c r="F242" s="40" t="s">
        <v>108</v>
      </c>
      <c r="G242" s="38">
        <v>14</v>
      </c>
      <c r="H242" s="54">
        <v>2500</v>
      </c>
      <c r="I242" s="53">
        <v>0</v>
      </c>
      <c r="J242" s="54">
        <v>2500</v>
      </c>
      <c r="K242" s="54">
        <v>35000</v>
      </c>
      <c r="M242" s="45"/>
      <c r="N242" s="45"/>
      <c r="O242" s="45"/>
      <c r="P242" s="45"/>
      <c r="Q242" s="45"/>
      <c r="R242" s="45"/>
      <c r="S242" s="45"/>
      <c r="T242" s="45"/>
      <c r="U242" s="45"/>
      <c r="V242" s="45"/>
      <c r="W242" s="45"/>
      <c r="X242" s="45"/>
      <c r="Y242" s="45"/>
      <c r="Z242" s="56"/>
    </row>
    <row r="243" spans="1:26">
      <c r="A243" s="7" t="s">
        <v>698</v>
      </c>
      <c r="B243" s="40" t="s">
        <v>699</v>
      </c>
      <c r="C243" s="40" t="s">
        <v>283</v>
      </c>
      <c r="D243" s="40" t="s">
        <v>238</v>
      </c>
      <c r="E243" s="40" t="s">
        <v>6</v>
      </c>
      <c r="F243" s="40" t="s">
        <v>71</v>
      </c>
      <c r="G243" s="38">
        <v>1</v>
      </c>
      <c r="H243" s="54">
        <v>20000</v>
      </c>
      <c r="I243" s="53">
        <v>0</v>
      </c>
      <c r="J243" s="54">
        <v>20000</v>
      </c>
      <c r="K243" s="54">
        <v>20000</v>
      </c>
      <c r="M243" s="45"/>
      <c r="N243" s="45"/>
      <c r="O243" s="45"/>
      <c r="P243" s="45"/>
      <c r="Q243" s="45"/>
      <c r="R243" s="45"/>
      <c r="S243" s="45"/>
      <c r="T243" s="45"/>
      <c r="U243" s="45"/>
      <c r="V243" s="45"/>
      <c r="W243" s="45"/>
      <c r="X243" s="45"/>
      <c r="Y243" s="45"/>
      <c r="Z243" s="56"/>
    </row>
    <row r="244" spans="1:26">
      <c r="A244" s="7" t="s">
        <v>700</v>
      </c>
      <c r="B244" s="40" t="s">
        <v>701</v>
      </c>
      <c r="C244" s="40" t="s">
        <v>216</v>
      </c>
      <c r="D244" s="40" t="s">
        <v>223</v>
      </c>
      <c r="E244" s="40" t="s">
        <v>44</v>
      </c>
      <c r="F244" s="40" t="s">
        <v>148</v>
      </c>
      <c r="G244" s="38">
        <v>350</v>
      </c>
      <c r="H244" s="54">
        <v>72</v>
      </c>
      <c r="I244" s="53">
        <v>0</v>
      </c>
      <c r="J244" s="54">
        <v>72</v>
      </c>
      <c r="K244" s="54">
        <v>25200</v>
      </c>
      <c r="M244" s="45" t="s">
        <v>702</v>
      </c>
      <c r="N244" s="45"/>
      <c r="O244" s="45"/>
      <c r="P244" s="45"/>
      <c r="Q244" s="45"/>
      <c r="R244" s="45"/>
      <c r="S244" s="45"/>
      <c r="T244" s="45"/>
      <c r="U244" s="45"/>
      <c r="V244" s="45"/>
      <c r="W244" s="45"/>
      <c r="X244" s="45"/>
      <c r="Y244" s="45"/>
      <c r="Z244" s="56"/>
    </row>
    <row r="245" spans="1:26">
      <c r="A245" s="7" t="s">
        <v>161</v>
      </c>
      <c r="B245" s="40" t="s">
        <v>703</v>
      </c>
      <c r="C245" s="40" t="s">
        <v>216</v>
      </c>
      <c r="D245" s="40" t="s">
        <v>242</v>
      </c>
      <c r="E245" s="40" t="s">
        <v>6</v>
      </c>
      <c r="F245" s="40" t="s">
        <v>148</v>
      </c>
      <c r="G245" s="38">
        <v>400</v>
      </c>
      <c r="H245" s="54">
        <v>80</v>
      </c>
      <c r="I245" s="53">
        <v>0</v>
      </c>
      <c r="J245" s="54">
        <v>80</v>
      </c>
      <c r="K245" s="54">
        <v>32000</v>
      </c>
      <c r="M245" s="45"/>
      <c r="N245" s="45"/>
      <c r="O245" s="45"/>
      <c r="P245" s="45"/>
      <c r="Q245" s="45"/>
      <c r="R245" s="45"/>
      <c r="S245" s="45"/>
      <c r="T245" s="45"/>
      <c r="U245" s="45"/>
      <c r="V245" s="45"/>
      <c r="W245" s="45"/>
      <c r="X245" s="45"/>
      <c r="Y245" s="45"/>
      <c r="Z245" s="56"/>
    </row>
    <row r="246" spans="1:26">
      <c r="A246" s="7" t="s">
        <v>704</v>
      </c>
      <c r="B246" s="40" t="s">
        <v>703</v>
      </c>
      <c r="C246" s="40" t="s">
        <v>216</v>
      </c>
      <c r="D246" s="40" t="s">
        <v>242</v>
      </c>
      <c r="E246" s="40" t="s">
        <v>6</v>
      </c>
      <c r="F246" s="40" t="s">
        <v>108</v>
      </c>
      <c r="G246" s="38">
        <v>2</v>
      </c>
      <c r="H246" s="54">
        <v>1950</v>
      </c>
      <c r="I246" s="53">
        <v>0</v>
      </c>
      <c r="J246" s="54">
        <v>1950</v>
      </c>
      <c r="K246" s="54">
        <v>3900</v>
      </c>
      <c r="M246" s="45"/>
      <c r="N246" s="45"/>
      <c r="O246" s="45"/>
      <c r="P246" s="45"/>
      <c r="Q246" s="45"/>
      <c r="R246" s="45"/>
      <c r="S246" s="45"/>
      <c r="T246" s="45"/>
      <c r="U246" s="45"/>
      <c r="V246" s="45"/>
      <c r="W246" s="45"/>
      <c r="X246" s="45"/>
      <c r="Y246" s="45"/>
      <c r="Z246" s="56"/>
    </row>
    <row r="247" spans="1:26">
      <c r="A247" s="7" t="s">
        <v>705</v>
      </c>
      <c r="B247" s="40" t="s">
        <v>706</v>
      </c>
      <c r="C247" s="40" t="s">
        <v>216</v>
      </c>
      <c r="D247" s="40" t="s">
        <v>223</v>
      </c>
      <c r="E247" s="40" t="s">
        <v>71</v>
      </c>
      <c r="F247" s="40" t="s">
        <v>108</v>
      </c>
      <c r="G247" s="38">
        <v>2</v>
      </c>
      <c r="H247" s="54">
        <v>96000</v>
      </c>
      <c r="I247" s="53">
        <v>0</v>
      </c>
      <c r="J247" s="54">
        <v>96000</v>
      </c>
      <c r="K247" s="54">
        <v>192000</v>
      </c>
      <c r="M247" s="45"/>
      <c r="N247" s="45"/>
      <c r="O247" s="45"/>
      <c r="P247" s="45"/>
      <c r="Q247" s="45"/>
      <c r="R247" s="45"/>
      <c r="S247" s="45"/>
      <c r="T247" s="45"/>
      <c r="U247" s="45"/>
      <c r="V247" s="45"/>
      <c r="W247" s="45"/>
      <c r="X247" s="45"/>
      <c r="Y247" s="45"/>
      <c r="Z247" s="56"/>
    </row>
    <row r="248" spans="1:26">
      <c r="A248" s="7" t="s">
        <v>707</v>
      </c>
      <c r="B248" s="40" t="s">
        <v>708</v>
      </c>
      <c r="C248" s="40" t="s">
        <v>216</v>
      </c>
      <c r="D248" s="40" t="s">
        <v>223</v>
      </c>
      <c r="E248" s="40" t="s">
        <v>71</v>
      </c>
      <c r="F248" s="40" t="s">
        <v>108</v>
      </c>
      <c r="G248" s="38">
        <v>2</v>
      </c>
      <c r="H248" s="54">
        <v>4500</v>
      </c>
      <c r="I248" s="53">
        <v>0</v>
      </c>
      <c r="J248" s="54">
        <v>4500</v>
      </c>
      <c r="K248" s="54">
        <v>9000</v>
      </c>
      <c r="M248" s="45"/>
      <c r="N248" s="45"/>
      <c r="O248" s="45"/>
      <c r="P248" s="45"/>
      <c r="Q248" s="45"/>
      <c r="R248" s="45"/>
      <c r="S248" s="45"/>
      <c r="T248" s="45"/>
      <c r="U248" s="45"/>
      <c r="V248" s="45"/>
      <c r="W248" s="45"/>
      <c r="X248" s="45"/>
      <c r="Y248" s="45"/>
      <c r="Z248" s="56"/>
    </row>
    <row r="249" spans="1:26">
      <c r="A249" s="7" t="s">
        <v>709</v>
      </c>
      <c r="B249" s="40" t="s">
        <v>710</v>
      </c>
      <c r="C249" s="40" t="s">
        <v>216</v>
      </c>
      <c r="D249" s="40" t="s">
        <v>223</v>
      </c>
      <c r="E249" s="40" t="s">
        <v>73</v>
      </c>
      <c r="F249" s="47" t="s">
        <v>88</v>
      </c>
      <c r="G249" s="42">
        <v>390</v>
      </c>
      <c r="H249" s="54">
        <v>50</v>
      </c>
      <c r="I249" s="53">
        <v>0</v>
      </c>
      <c r="J249" s="54">
        <v>50</v>
      </c>
      <c r="K249" s="54">
        <v>19500</v>
      </c>
      <c r="M249" s="45"/>
      <c r="N249" s="45"/>
      <c r="O249" s="45"/>
      <c r="P249" s="45"/>
      <c r="Q249" s="45"/>
      <c r="R249" s="45"/>
      <c r="S249" s="45"/>
      <c r="T249" s="45"/>
      <c r="U249" s="45"/>
      <c r="V249" s="45"/>
      <c r="W249" s="45"/>
      <c r="X249" s="45"/>
      <c r="Y249" s="45"/>
      <c r="Z249" s="56"/>
    </row>
    <row r="250" spans="1:26">
      <c r="A250" s="7" t="s">
        <v>711</v>
      </c>
      <c r="B250" s="40" t="s">
        <v>712</v>
      </c>
      <c r="C250" s="40" t="s">
        <v>216</v>
      </c>
      <c r="D250" s="40" t="s">
        <v>223</v>
      </c>
      <c r="E250" s="40" t="s">
        <v>6</v>
      </c>
      <c r="F250" s="40" t="s">
        <v>108</v>
      </c>
      <c r="G250" s="38">
        <v>2</v>
      </c>
      <c r="H250" s="54">
        <v>1950</v>
      </c>
      <c r="I250" s="53">
        <v>0</v>
      </c>
      <c r="J250" s="54">
        <v>1950</v>
      </c>
      <c r="K250" s="54">
        <v>3900</v>
      </c>
      <c r="M250" s="45"/>
      <c r="N250" s="45"/>
      <c r="O250" s="45"/>
      <c r="P250" s="45"/>
      <c r="Q250" s="45"/>
      <c r="R250" s="45"/>
      <c r="S250" s="45"/>
      <c r="T250" s="45"/>
      <c r="U250" s="45"/>
      <c r="V250" s="45"/>
      <c r="W250" s="45"/>
      <c r="X250" s="45"/>
      <c r="Y250" s="45"/>
      <c r="Z250" s="56"/>
    </row>
    <row r="251" spans="1:26">
      <c r="A251" s="7" t="s">
        <v>713</v>
      </c>
      <c r="B251" s="40" t="s">
        <v>714</v>
      </c>
      <c r="C251" s="40" t="s">
        <v>216</v>
      </c>
      <c r="D251" s="40" t="s">
        <v>223</v>
      </c>
      <c r="E251" s="40" t="s">
        <v>73</v>
      </c>
      <c r="F251" s="40" t="s">
        <v>615</v>
      </c>
      <c r="G251" s="183">
        <v>15.826000000000001</v>
      </c>
      <c r="H251" s="54">
        <v>5000</v>
      </c>
      <c r="I251" s="53">
        <v>0</v>
      </c>
      <c r="J251" s="54">
        <v>5000</v>
      </c>
      <c r="K251" s="54">
        <v>79130</v>
      </c>
      <c r="M251" s="45"/>
      <c r="N251" s="45"/>
      <c r="O251" s="45"/>
      <c r="P251" s="45"/>
      <c r="Q251" s="45"/>
      <c r="R251" s="45"/>
      <c r="S251" s="45"/>
      <c r="T251" s="45"/>
      <c r="U251" s="45"/>
      <c r="V251" s="45"/>
      <c r="W251" s="45"/>
      <c r="X251" s="45"/>
      <c r="Y251" s="45"/>
      <c r="Z251" s="56"/>
    </row>
    <row r="252" spans="1:26">
      <c r="A252" s="7" t="s">
        <v>715</v>
      </c>
      <c r="B252" s="40" t="s">
        <v>716</v>
      </c>
      <c r="C252" s="40" t="s">
        <v>216</v>
      </c>
      <c r="D252" s="40" t="s">
        <v>223</v>
      </c>
      <c r="E252" s="40" t="s">
        <v>6</v>
      </c>
      <c r="F252" s="40" t="s">
        <v>71</v>
      </c>
      <c r="G252" s="38">
        <v>1</v>
      </c>
      <c r="H252" s="54">
        <v>319393</v>
      </c>
      <c r="I252" s="53">
        <v>0</v>
      </c>
      <c r="J252" s="54">
        <v>319393</v>
      </c>
      <c r="K252" s="54">
        <v>319393</v>
      </c>
      <c r="M252" s="45" t="s">
        <v>717</v>
      </c>
      <c r="N252" s="45"/>
      <c r="O252" s="45"/>
      <c r="P252" s="45"/>
      <c r="Q252" s="45"/>
      <c r="R252" s="45"/>
      <c r="S252" s="45"/>
      <c r="T252" s="45"/>
      <c r="U252" s="45"/>
      <c r="V252" s="45"/>
      <c r="W252" s="45"/>
      <c r="X252" s="45"/>
      <c r="Y252" s="45"/>
      <c r="Z252" s="56"/>
    </row>
    <row r="253" spans="1:26">
      <c r="A253" s="7" t="s">
        <v>718</v>
      </c>
      <c r="B253" s="40" t="s">
        <v>719</v>
      </c>
      <c r="C253" s="40" t="s">
        <v>216</v>
      </c>
      <c r="D253" s="40" t="s">
        <v>223</v>
      </c>
      <c r="E253" s="40" t="s">
        <v>369</v>
      </c>
      <c r="F253" s="40" t="s">
        <v>71</v>
      </c>
      <c r="G253" s="38">
        <v>1</v>
      </c>
      <c r="H253" s="54">
        <v>0</v>
      </c>
      <c r="I253" s="53">
        <v>0</v>
      </c>
      <c r="J253" s="54">
        <v>0</v>
      </c>
      <c r="K253" s="54">
        <v>0</v>
      </c>
      <c r="M253" s="45" t="s">
        <v>654</v>
      </c>
      <c r="N253" s="45"/>
      <c r="O253" s="45"/>
      <c r="P253" s="45"/>
      <c r="Q253" s="45"/>
      <c r="R253" s="45"/>
      <c r="S253" s="45"/>
      <c r="T253" s="45"/>
      <c r="U253" s="45"/>
      <c r="V253" s="45"/>
      <c r="W253" s="45"/>
      <c r="X253" s="45"/>
      <c r="Y253" s="45"/>
      <c r="Z253" s="56"/>
    </row>
    <row r="254" spans="1:26">
      <c r="A254" s="7" t="s">
        <v>720</v>
      </c>
      <c r="B254" s="40" t="s">
        <v>721</v>
      </c>
      <c r="C254" s="40" t="s">
        <v>216</v>
      </c>
      <c r="D254" s="40" t="s">
        <v>223</v>
      </c>
      <c r="E254" s="40" t="s">
        <v>73</v>
      </c>
      <c r="F254" s="40" t="s">
        <v>71</v>
      </c>
      <c r="G254" s="38">
        <v>1</v>
      </c>
      <c r="H254" s="54">
        <v>114584</v>
      </c>
      <c r="I254" s="53">
        <v>0</v>
      </c>
      <c r="J254" s="54">
        <v>114584</v>
      </c>
      <c r="K254" s="54">
        <v>114584</v>
      </c>
      <c r="M254" s="45"/>
      <c r="N254" s="45"/>
      <c r="O254" s="45"/>
      <c r="P254" s="45"/>
      <c r="Q254" s="45"/>
      <c r="R254" s="45"/>
      <c r="S254" s="45"/>
      <c r="T254" s="45"/>
      <c r="U254" s="45"/>
      <c r="V254" s="45"/>
      <c r="W254" s="45"/>
      <c r="X254" s="45"/>
      <c r="Y254" s="45"/>
      <c r="Z254" s="56"/>
    </row>
    <row r="255" spans="1:26">
      <c r="A255" s="7" t="s">
        <v>722</v>
      </c>
      <c r="B255" s="40" t="s">
        <v>723</v>
      </c>
      <c r="C255" s="40" t="s">
        <v>283</v>
      </c>
      <c r="D255" s="40" t="s">
        <v>242</v>
      </c>
      <c r="E255" s="40" t="s">
        <v>73</v>
      </c>
      <c r="F255" s="40" t="s">
        <v>71</v>
      </c>
      <c r="G255" s="38">
        <v>2</v>
      </c>
      <c r="H255" s="54">
        <v>30000</v>
      </c>
      <c r="I255" s="53">
        <v>0</v>
      </c>
      <c r="J255" s="54">
        <v>30000</v>
      </c>
      <c r="K255" s="54">
        <v>60000</v>
      </c>
      <c r="M255" s="45"/>
      <c r="N255" s="45"/>
      <c r="O255" s="45"/>
      <c r="P255" s="45"/>
      <c r="Q255" s="45"/>
      <c r="R255" s="45"/>
      <c r="S255" s="45"/>
      <c r="T255" s="45"/>
      <c r="U255" s="45"/>
      <c r="V255" s="45"/>
      <c r="W255" s="45"/>
      <c r="X255" s="45"/>
      <c r="Y255" s="45"/>
      <c r="Z255" s="56"/>
    </row>
    <row r="256" spans="1:26">
      <c r="A256" s="7" t="s">
        <v>724</v>
      </c>
      <c r="B256" s="40" t="s">
        <v>725</v>
      </c>
      <c r="C256" s="40" t="s">
        <v>283</v>
      </c>
      <c r="D256" s="40" t="s">
        <v>228</v>
      </c>
      <c r="E256" s="40" t="s">
        <v>73</v>
      </c>
      <c r="F256" s="40" t="s">
        <v>71</v>
      </c>
      <c r="G256" s="38">
        <v>1</v>
      </c>
      <c r="H256" s="54">
        <v>7000</v>
      </c>
      <c r="I256" s="53">
        <v>0</v>
      </c>
      <c r="J256" s="54">
        <v>7000</v>
      </c>
      <c r="K256" s="54">
        <v>7000</v>
      </c>
      <c r="M256" s="45"/>
      <c r="N256" s="45"/>
      <c r="O256" s="45"/>
      <c r="P256" s="45"/>
      <c r="Q256" s="45"/>
      <c r="R256" s="45"/>
      <c r="S256" s="45"/>
      <c r="T256" s="45"/>
      <c r="U256" s="45"/>
      <c r="V256" s="45"/>
      <c r="W256" s="45"/>
      <c r="X256" s="45"/>
      <c r="Y256" s="45"/>
      <c r="Z256" s="56"/>
    </row>
    <row r="257" spans="1:60" s="781" customFormat="1">
      <c r="A257" s="7" t="s">
        <v>726</v>
      </c>
      <c r="B257" s="40" t="s">
        <v>727</v>
      </c>
      <c r="C257" s="40" t="s">
        <v>216</v>
      </c>
      <c r="D257" s="40" t="s">
        <v>223</v>
      </c>
      <c r="E257" s="40" t="s">
        <v>44</v>
      </c>
      <c r="F257" s="40" t="s">
        <v>61</v>
      </c>
      <c r="G257" s="666">
        <v>304972.92</v>
      </c>
      <c r="H257" s="50">
        <v>12.01</v>
      </c>
      <c r="I257" s="53">
        <v>0</v>
      </c>
      <c r="J257" s="51">
        <v>12.01</v>
      </c>
      <c r="K257" s="54">
        <v>3662724.7691999995</v>
      </c>
      <c r="M257" s="45" t="s">
        <v>728</v>
      </c>
      <c r="N257" s="782"/>
      <c r="O257" s="782"/>
      <c r="P257" s="782"/>
      <c r="Q257" s="782"/>
      <c r="R257" s="782"/>
      <c r="S257" s="782"/>
      <c r="T257" s="782"/>
      <c r="U257" s="782"/>
      <c r="V257" s="782"/>
      <c r="W257" s="782"/>
      <c r="X257" s="782"/>
      <c r="Y257" s="782"/>
      <c r="Z257" s="783"/>
      <c r="BG257" s="783"/>
      <c r="BH257" s="783"/>
    </row>
    <row r="258" spans="1:60">
      <c r="A258" s="7" t="s">
        <v>729</v>
      </c>
      <c r="B258" s="40" t="s">
        <v>727</v>
      </c>
      <c r="C258" s="40" t="s">
        <v>216</v>
      </c>
      <c r="D258" s="40" t="s">
        <v>223</v>
      </c>
      <c r="E258" s="40" t="s">
        <v>73</v>
      </c>
      <c r="F258" s="40" t="s">
        <v>71</v>
      </c>
      <c r="G258" s="38">
        <v>1</v>
      </c>
      <c r="H258" s="54">
        <v>10000</v>
      </c>
      <c r="I258" s="53">
        <v>0</v>
      </c>
      <c r="J258" s="54">
        <v>10000</v>
      </c>
      <c r="K258" s="54">
        <v>10000</v>
      </c>
      <c r="M258" s="45"/>
      <c r="N258" s="45"/>
      <c r="O258" s="45"/>
      <c r="P258" s="45"/>
      <c r="Q258" s="45"/>
      <c r="R258" s="45"/>
      <c r="S258" s="45"/>
      <c r="T258" s="45"/>
      <c r="U258" s="45"/>
      <c r="V258" s="45"/>
      <c r="W258" s="45"/>
      <c r="X258" s="45"/>
      <c r="Y258" s="45"/>
      <c r="Z258" s="56"/>
    </row>
    <row r="259" spans="1:60">
      <c r="A259" s="7" t="s">
        <v>730</v>
      </c>
      <c r="B259" s="40" t="s">
        <v>731</v>
      </c>
      <c r="C259" s="40" t="s">
        <v>216</v>
      </c>
      <c r="D259" s="40" t="s">
        <v>223</v>
      </c>
      <c r="E259" s="40" t="s">
        <v>326</v>
      </c>
      <c r="F259" s="40" t="s">
        <v>71</v>
      </c>
      <c r="G259" s="38">
        <v>0</v>
      </c>
      <c r="H259" s="54">
        <v>39687</v>
      </c>
      <c r="I259" s="53">
        <v>0</v>
      </c>
      <c r="J259" s="54">
        <v>39687</v>
      </c>
      <c r="K259" s="54">
        <v>0</v>
      </c>
      <c r="M259" s="45"/>
      <c r="N259" s="45"/>
      <c r="O259" s="45"/>
      <c r="P259" s="45"/>
      <c r="Q259" s="45"/>
      <c r="R259" s="45"/>
      <c r="S259" s="45"/>
      <c r="T259" s="45"/>
      <c r="U259" s="45"/>
      <c r="V259" s="45"/>
      <c r="W259" s="45"/>
      <c r="X259" s="45"/>
      <c r="Y259" s="45"/>
      <c r="Z259" s="56"/>
    </row>
    <row r="260" spans="1:60">
      <c r="A260" s="7" t="s">
        <v>732</v>
      </c>
      <c r="B260" s="40" t="s">
        <v>673</v>
      </c>
      <c r="C260" s="40" t="s">
        <v>216</v>
      </c>
      <c r="D260" s="40" t="s">
        <v>481</v>
      </c>
      <c r="E260" s="40" t="s">
        <v>733</v>
      </c>
      <c r="F260" s="40" t="s">
        <v>71</v>
      </c>
      <c r="G260" s="38">
        <v>1</v>
      </c>
      <c r="H260" s="54">
        <v>25000</v>
      </c>
      <c r="I260" s="53">
        <v>0</v>
      </c>
      <c r="J260" s="54">
        <v>25000</v>
      </c>
      <c r="K260" s="54">
        <v>25000</v>
      </c>
      <c r="M260" s="45"/>
      <c r="N260" s="45"/>
      <c r="O260" s="45"/>
      <c r="P260" s="45"/>
      <c r="Q260" s="45"/>
      <c r="R260" s="45"/>
      <c r="S260" s="45"/>
      <c r="T260" s="45"/>
      <c r="U260" s="45"/>
      <c r="V260" s="45"/>
      <c r="W260" s="45"/>
      <c r="X260" s="45"/>
      <c r="Y260" s="45"/>
      <c r="Z260" s="56"/>
    </row>
    <row r="261" spans="1:60">
      <c r="A261" s="7" t="s">
        <v>734</v>
      </c>
      <c r="B261" s="40" t="s">
        <v>675</v>
      </c>
      <c r="C261" s="40" t="s">
        <v>216</v>
      </c>
      <c r="D261" s="40" t="s">
        <v>481</v>
      </c>
      <c r="E261" s="40" t="s">
        <v>6</v>
      </c>
      <c r="F261" s="40" t="s">
        <v>71</v>
      </c>
      <c r="G261" s="38">
        <v>1</v>
      </c>
      <c r="H261" s="54">
        <v>795028.78</v>
      </c>
      <c r="I261" s="53">
        <v>0</v>
      </c>
      <c r="J261" s="54">
        <v>795028.78</v>
      </c>
      <c r="K261" s="54">
        <v>795028.78</v>
      </c>
      <c r="M261" s="45" t="s">
        <v>735</v>
      </c>
      <c r="N261" s="45"/>
      <c r="O261" s="45"/>
      <c r="P261" s="45"/>
      <c r="Q261" s="45"/>
      <c r="R261" s="45"/>
      <c r="S261" s="45"/>
      <c r="T261" s="45"/>
      <c r="U261" s="45"/>
      <c r="V261" s="45"/>
      <c r="W261" s="45"/>
      <c r="X261" s="45"/>
      <c r="Y261" s="45"/>
      <c r="Z261" s="56"/>
    </row>
    <row r="262" spans="1:60">
      <c r="A262" s="7" t="s">
        <v>736</v>
      </c>
      <c r="B262" s="40" t="s">
        <v>682</v>
      </c>
      <c r="C262" s="40" t="s">
        <v>216</v>
      </c>
      <c r="D262" s="40" t="s">
        <v>481</v>
      </c>
      <c r="E262" s="40" t="s">
        <v>6</v>
      </c>
      <c r="F262" s="40" t="s">
        <v>71</v>
      </c>
      <c r="G262" s="38">
        <v>1</v>
      </c>
      <c r="H262" s="54">
        <v>139232</v>
      </c>
      <c r="I262" s="53">
        <v>0</v>
      </c>
      <c r="J262" s="54">
        <v>139232</v>
      </c>
      <c r="K262" s="54">
        <v>139232</v>
      </c>
      <c r="M262" s="45"/>
      <c r="N262" s="45"/>
      <c r="O262" s="45"/>
      <c r="P262" s="45"/>
      <c r="Q262" s="45"/>
      <c r="R262" s="45"/>
      <c r="S262" s="45"/>
      <c r="T262" s="45"/>
      <c r="U262" s="45"/>
      <c r="V262" s="45"/>
      <c r="W262" s="45"/>
      <c r="X262" s="45"/>
      <c r="Y262" s="45"/>
      <c r="Z262" s="56"/>
    </row>
    <row r="263" spans="1:60">
      <c r="A263" s="7" t="s">
        <v>737</v>
      </c>
      <c r="B263" s="40" t="s">
        <v>686</v>
      </c>
      <c r="C263" s="40" t="s">
        <v>216</v>
      </c>
      <c r="D263" s="40" t="s">
        <v>481</v>
      </c>
      <c r="E263" s="40" t="s">
        <v>6</v>
      </c>
      <c r="F263" s="40" t="s">
        <v>71</v>
      </c>
      <c r="G263" s="38">
        <v>1</v>
      </c>
      <c r="H263" s="54">
        <v>154692</v>
      </c>
      <c r="I263" s="53">
        <v>0</v>
      </c>
      <c r="J263" s="54">
        <v>154692</v>
      </c>
      <c r="K263" s="54">
        <v>154692</v>
      </c>
      <c r="M263" s="45"/>
      <c r="N263" s="45"/>
      <c r="O263" s="45"/>
      <c r="P263" s="45"/>
      <c r="Q263" s="45"/>
      <c r="R263" s="45"/>
      <c r="S263" s="45"/>
      <c r="T263" s="45"/>
      <c r="U263" s="45"/>
      <c r="V263" s="45"/>
      <c r="W263" s="45"/>
      <c r="X263" s="45"/>
      <c r="Y263" s="45"/>
      <c r="Z263" s="56"/>
    </row>
    <row r="264" spans="1:60">
      <c r="A264" s="4" t="s">
        <v>738</v>
      </c>
      <c r="B264" s="151" t="s">
        <v>739</v>
      </c>
      <c r="C264" s="151"/>
      <c r="D264" s="151"/>
      <c r="E264" s="151"/>
      <c r="F264" s="151"/>
      <c r="G264" s="152"/>
      <c r="H264" s="153"/>
      <c r="I264" s="154"/>
      <c r="J264" s="153"/>
      <c r="K264" s="172"/>
      <c r="L264" s="70">
        <v>7092245.0699999984</v>
      </c>
      <c r="M264" s="45"/>
      <c r="N264" s="45"/>
      <c r="O264" s="45"/>
      <c r="P264" s="45"/>
      <c r="Q264" s="45"/>
      <c r="R264" s="45"/>
      <c r="S264" s="45"/>
      <c r="T264" s="45"/>
      <c r="U264" s="45"/>
      <c r="V264" s="178"/>
      <c r="W264" s="45"/>
      <c r="X264" s="45"/>
      <c r="Y264" s="45"/>
      <c r="Z264" s="56"/>
    </row>
    <row r="265" spans="1:60">
      <c r="A265" s="6" t="s">
        <v>740</v>
      </c>
      <c r="B265" s="47" t="s">
        <v>741</v>
      </c>
      <c r="C265" s="47" t="s">
        <v>283</v>
      </c>
      <c r="D265" s="47"/>
      <c r="E265" s="47" t="s">
        <v>742</v>
      </c>
      <c r="F265" s="47" t="s">
        <v>88</v>
      </c>
      <c r="G265" s="42">
        <v>390</v>
      </c>
      <c r="H265" s="61">
        <v>360.11538461538464</v>
      </c>
      <c r="I265" s="63">
        <v>0</v>
      </c>
      <c r="J265" s="66">
        <v>360.11538461538464</v>
      </c>
      <c r="K265" s="67">
        <v>140445</v>
      </c>
      <c r="M265" s="45" t="s">
        <v>743</v>
      </c>
      <c r="N265" s="45"/>
      <c r="O265" s="45"/>
      <c r="P265" s="45"/>
      <c r="Q265" s="45"/>
      <c r="R265" s="45"/>
      <c r="S265" s="45"/>
      <c r="T265" s="45"/>
      <c r="U265" s="45"/>
      <c r="V265" s="199"/>
      <c r="W265" s="45"/>
      <c r="X265" s="45"/>
      <c r="Y265" s="45"/>
      <c r="Z265" s="56"/>
    </row>
    <row r="266" spans="1:60">
      <c r="A266" s="7" t="s">
        <v>744</v>
      </c>
      <c r="B266" s="40" t="s">
        <v>745</v>
      </c>
      <c r="C266" s="40" t="s">
        <v>283</v>
      </c>
      <c r="D266" s="40" t="s">
        <v>481</v>
      </c>
      <c r="E266" s="40" t="s">
        <v>231</v>
      </c>
      <c r="F266" s="40"/>
      <c r="G266" s="38"/>
      <c r="H266" s="51"/>
      <c r="I266" s="53">
        <v>0</v>
      </c>
      <c r="J266" s="51">
        <v>0</v>
      </c>
      <c r="K266" s="54">
        <v>0</v>
      </c>
      <c r="M266" s="45"/>
      <c r="N266" s="45"/>
      <c r="O266" s="45"/>
      <c r="P266" s="45"/>
      <c r="Q266" s="45"/>
      <c r="R266" s="45"/>
      <c r="S266" s="45"/>
      <c r="T266" s="45"/>
      <c r="U266" s="45"/>
      <c r="V266" s="45"/>
      <c r="W266" s="45"/>
      <c r="X266" s="45"/>
      <c r="Y266" s="45"/>
      <c r="Z266" s="56"/>
    </row>
    <row r="267" spans="1:60">
      <c r="A267" s="44" t="s">
        <v>746</v>
      </c>
      <c r="B267" s="40" t="s">
        <v>745</v>
      </c>
      <c r="C267" s="40" t="s">
        <v>216</v>
      </c>
      <c r="D267" s="40" t="s">
        <v>223</v>
      </c>
      <c r="E267" s="40" t="s">
        <v>6</v>
      </c>
      <c r="F267" s="40" t="s">
        <v>71</v>
      </c>
      <c r="G267" s="38">
        <v>1</v>
      </c>
      <c r="H267" s="54">
        <v>703298.46</v>
      </c>
      <c r="I267" s="53">
        <v>0</v>
      </c>
      <c r="J267" s="54">
        <v>703298.46</v>
      </c>
      <c r="K267" s="54">
        <v>703298.46</v>
      </c>
      <c r="M267" s="45" t="s">
        <v>747</v>
      </c>
      <c r="N267" s="45"/>
      <c r="O267" s="45"/>
      <c r="P267" s="45"/>
      <c r="Q267" s="45"/>
      <c r="R267" s="45"/>
      <c r="S267" s="45"/>
      <c r="T267" s="45"/>
      <c r="U267" s="45"/>
      <c r="V267" s="45"/>
      <c r="W267" s="45"/>
      <c r="X267" s="45"/>
      <c r="Y267" s="45"/>
      <c r="Z267" s="56"/>
    </row>
    <row r="268" spans="1:60">
      <c r="A268" s="52" t="s">
        <v>748</v>
      </c>
      <c r="B268" s="40" t="s">
        <v>749</v>
      </c>
      <c r="C268" s="40" t="s">
        <v>216</v>
      </c>
      <c r="D268" s="40" t="s">
        <v>223</v>
      </c>
      <c r="E268" s="40" t="s">
        <v>6</v>
      </c>
      <c r="F268" s="40" t="s">
        <v>71</v>
      </c>
      <c r="G268" s="38">
        <v>1</v>
      </c>
      <c r="H268" s="54">
        <v>419249</v>
      </c>
      <c r="I268" s="53">
        <v>0</v>
      </c>
      <c r="J268" s="54">
        <v>419249</v>
      </c>
      <c r="K268" s="54">
        <v>419249</v>
      </c>
      <c r="M268" s="45" t="s">
        <v>750</v>
      </c>
      <c r="N268" s="45"/>
      <c r="O268" s="45"/>
      <c r="P268" s="45"/>
      <c r="Q268" s="45"/>
      <c r="R268" s="45"/>
      <c r="S268" s="45"/>
      <c r="T268" s="45"/>
      <c r="U268" s="45"/>
      <c r="V268" s="45"/>
      <c r="W268" s="45"/>
      <c r="X268" s="45"/>
      <c r="Y268" s="45"/>
      <c r="Z268" s="56"/>
    </row>
    <row r="269" spans="1:60">
      <c r="A269" s="44" t="s">
        <v>751</v>
      </c>
      <c r="B269" s="40" t="s">
        <v>752</v>
      </c>
      <c r="C269" s="40" t="s">
        <v>216</v>
      </c>
      <c r="D269" s="40" t="s">
        <v>223</v>
      </c>
      <c r="E269" s="40" t="s">
        <v>231</v>
      </c>
      <c r="F269" s="40"/>
      <c r="G269" s="38"/>
      <c r="H269" s="54"/>
      <c r="I269" s="53">
        <v>0</v>
      </c>
      <c r="J269" s="54">
        <v>0</v>
      </c>
      <c r="K269" s="54">
        <v>0</v>
      </c>
      <c r="M269" s="45"/>
      <c r="N269" s="45"/>
      <c r="O269" s="45"/>
      <c r="P269" s="45"/>
      <c r="Q269" s="45"/>
      <c r="R269" s="45"/>
      <c r="S269" s="45"/>
      <c r="T269" s="45"/>
      <c r="U269" s="45"/>
      <c r="V269" s="45"/>
      <c r="W269" s="45"/>
      <c r="X269" s="45"/>
      <c r="Y269" s="45"/>
      <c r="Z269" s="56"/>
    </row>
    <row r="270" spans="1:60">
      <c r="A270" s="7" t="s">
        <v>753</v>
      </c>
      <c r="B270" s="40" t="s">
        <v>754</v>
      </c>
      <c r="C270" s="40" t="s">
        <v>283</v>
      </c>
      <c r="D270" s="40" t="s">
        <v>223</v>
      </c>
      <c r="E270" s="40" t="s">
        <v>73</v>
      </c>
      <c r="F270" s="40" t="s">
        <v>71</v>
      </c>
      <c r="G270" s="38">
        <v>1</v>
      </c>
      <c r="H270" s="54">
        <v>15000</v>
      </c>
      <c r="I270" s="53">
        <v>0</v>
      </c>
      <c r="J270" s="54">
        <v>15000</v>
      </c>
      <c r="K270" s="54">
        <v>15000</v>
      </c>
      <c r="M270" s="45"/>
      <c r="N270" s="45"/>
      <c r="O270" s="45"/>
      <c r="P270" s="45"/>
      <c r="Q270" s="45"/>
      <c r="R270" s="45"/>
      <c r="S270" s="45"/>
      <c r="T270" s="45"/>
      <c r="U270" s="45"/>
      <c r="V270" s="45"/>
      <c r="W270" s="45"/>
      <c r="X270" s="45"/>
      <c r="Y270" s="45"/>
      <c r="Z270" s="56"/>
    </row>
    <row r="271" spans="1:60">
      <c r="A271" s="7" t="s">
        <v>755</v>
      </c>
      <c r="B271" s="40" t="s">
        <v>756</v>
      </c>
      <c r="C271" s="40" t="s">
        <v>216</v>
      </c>
      <c r="D271" s="40" t="s">
        <v>481</v>
      </c>
      <c r="E271" s="40" t="s">
        <v>757</v>
      </c>
      <c r="F271" s="40" t="s">
        <v>148</v>
      </c>
      <c r="G271" s="38">
        <v>1400</v>
      </c>
      <c r="H271" s="54">
        <v>218</v>
      </c>
      <c r="I271" s="53">
        <v>0</v>
      </c>
      <c r="J271" s="54">
        <v>218</v>
      </c>
      <c r="K271" s="54">
        <v>305200</v>
      </c>
      <c r="M271" s="45" t="s">
        <v>758</v>
      </c>
      <c r="N271" s="45"/>
      <c r="O271" s="45"/>
      <c r="P271" s="45"/>
      <c r="Q271" s="45"/>
      <c r="R271" s="45"/>
      <c r="S271" s="45"/>
      <c r="T271" s="45"/>
      <c r="U271" s="45"/>
      <c r="V271" s="45"/>
      <c r="W271" s="45"/>
      <c r="X271" s="45"/>
      <c r="Y271" s="45"/>
      <c r="Z271" s="56"/>
    </row>
    <row r="272" spans="1:60">
      <c r="A272" s="7" t="s">
        <v>759</v>
      </c>
      <c r="B272" s="40" t="s">
        <v>760</v>
      </c>
      <c r="C272" s="40" t="s">
        <v>216</v>
      </c>
      <c r="D272" s="40" t="s">
        <v>223</v>
      </c>
      <c r="E272" s="40" t="s">
        <v>6</v>
      </c>
      <c r="F272" s="40" t="s">
        <v>71</v>
      </c>
      <c r="G272" s="38">
        <v>1</v>
      </c>
      <c r="H272" s="54">
        <v>499016</v>
      </c>
      <c r="I272" s="53">
        <v>0</v>
      </c>
      <c r="J272" s="54">
        <v>499016</v>
      </c>
      <c r="K272" s="54">
        <v>499016</v>
      </c>
      <c r="M272" s="45" t="s">
        <v>761</v>
      </c>
      <c r="N272" s="45"/>
      <c r="O272" s="45"/>
      <c r="P272" s="45"/>
      <c r="Q272" s="45"/>
      <c r="R272" s="45"/>
      <c r="S272" s="45"/>
      <c r="T272" s="45"/>
      <c r="U272" s="45"/>
      <c r="V272" s="45"/>
      <c r="W272" s="45"/>
      <c r="X272" s="45"/>
      <c r="Y272" s="45"/>
      <c r="Z272" s="56"/>
    </row>
    <row r="273" spans="1:26">
      <c r="A273" s="7" t="s">
        <v>762</v>
      </c>
      <c r="B273" s="40" t="s">
        <v>763</v>
      </c>
      <c r="C273" s="40" t="s">
        <v>283</v>
      </c>
      <c r="D273" s="40" t="s">
        <v>223</v>
      </c>
      <c r="E273" s="40" t="s">
        <v>73</v>
      </c>
      <c r="F273" s="40" t="s">
        <v>71</v>
      </c>
      <c r="G273" s="38">
        <v>1</v>
      </c>
      <c r="H273" s="54">
        <v>50000</v>
      </c>
      <c r="I273" s="53">
        <v>0</v>
      </c>
      <c r="J273" s="54">
        <v>50000</v>
      </c>
      <c r="K273" s="54">
        <v>50000</v>
      </c>
      <c r="M273" s="45"/>
      <c r="N273" s="45"/>
      <c r="O273" s="45"/>
      <c r="P273" s="45"/>
      <c r="Q273" s="45"/>
      <c r="R273" s="45"/>
      <c r="S273" s="45"/>
      <c r="T273" s="45"/>
      <c r="U273" s="45"/>
      <c r="V273" s="45"/>
      <c r="W273" s="45"/>
      <c r="X273" s="45"/>
      <c r="Y273" s="45"/>
      <c r="Z273" s="56"/>
    </row>
    <row r="274" spans="1:26">
      <c r="A274" s="7" t="s">
        <v>764</v>
      </c>
      <c r="B274" s="40" t="s">
        <v>765</v>
      </c>
      <c r="C274" s="40" t="s">
        <v>216</v>
      </c>
      <c r="D274" s="40" t="s">
        <v>223</v>
      </c>
      <c r="E274" s="40" t="s">
        <v>231</v>
      </c>
      <c r="F274" s="40"/>
      <c r="G274" s="38"/>
      <c r="H274" s="54"/>
      <c r="I274" s="53">
        <v>0</v>
      </c>
      <c r="J274" s="54">
        <v>0</v>
      </c>
      <c r="K274" s="54">
        <v>0</v>
      </c>
      <c r="M274" s="45"/>
      <c r="N274" s="45"/>
      <c r="O274" s="45"/>
      <c r="P274" s="45"/>
      <c r="Q274" s="45"/>
      <c r="R274" s="45"/>
      <c r="S274" s="45"/>
      <c r="T274" s="45"/>
      <c r="U274" s="45"/>
      <c r="V274" s="45"/>
      <c r="W274" s="45"/>
      <c r="X274" s="45"/>
      <c r="Y274" s="45"/>
      <c r="Z274" s="56"/>
    </row>
    <row r="275" spans="1:26">
      <c r="A275" s="7" t="s">
        <v>766</v>
      </c>
      <c r="B275" s="40" t="s">
        <v>767</v>
      </c>
      <c r="C275" s="40" t="s">
        <v>216</v>
      </c>
      <c r="D275" s="40" t="s">
        <v>223</v>
      </c>
      <c r="E275" s="40" t="s">
        <v>231</v>
      </c>
      <c r="F275" s="40"/>
      <c r="G275" s="38"/>
      <c r="H275" s="54"/>
      <c r="I275" s="53">
        <v>0</v>
      </c>
      <c r="J275" s="54">
        <v>0</v>
      </c>
      <c r="K275" s="54">
        <v>0</v>
      </c>
      <c r="M275" s="45"/>
      <c r="N275" s="45"/>
      <c r="O275" s="45"/>
      <c r="P275" s="45"/>
      <c r="Q275" s="45"/>
      <c r="R275" s="45"/>
      <c r="S275" s="45"/>
      <c r="T275" s="45"/>
      <c r="U275" s="45"/>
      <c r="V275" s="45"/>
      <c r="W275" s="45"/>
      <c r="X275" s="45"/>
      <c r="Y275" s="45"/>
      <c r="Z275" s="56"/>
    </row>
    <row r="276" spans="1:26">
      <c r="A276" s="7" t="s">
        <v>768</v>
      </c>
      <c r="B276" s="40" t="s">
        <v>769</v>
      </c>
      <c r="C276" s="40" t="s">
        <v>216</v>
      </c>
      <c r="D276" s="40" t="s">
        <v>223</v>
      </c>
      <c r="E276" s="40" t="s">
        <v>231</v>
      </c>
      <c r="F276" s="40"/>
      <c r="G276" s="38"/>
      <c r="H276" s="54"/>
      <c r="I276" s="53">
        <v>0</v>
      </c>
      <c r="J276" s="54">
        <v>0</v>
      </c>
      <c r="K276" s="54">
        <v>0</v>
      </c>
      <c r="M276" s="45"/>
      <c r="N276" s="45"/>
      <c r="O276" s="45"/>
      <c r="P276" s="45"/>
      <c r="Q276" s="45"/>
      <c r="R276" s="45"/>
      <c r="S276" s="45"/>
      <c r="T276" s="45"/>
      <c r="U276" s="45"/>
      <c r="V276" s="45"/>
      <c r="W276" s="45"/>
      <c r="X276" s="45"/>
      <c r="Y276" s="45"/>
      <c r="Z276" s="56"/>
    </row>
    <row r="277" spans="1:26">
      <c r="A277" s="7" t="s">
        <v>770</v>
      </c>
      <c r="B277" s="40" t="s">
        <v>745</v>
      </c>
      <c r="C277" s="40" t="s">
        <v>216</v>
      </c>
      <c r="D277" s="40" t="s">
        <v>481</v>
      </c>
      <c r="E277" s="40" t="s">
        <v>6</v>
      </c>
      <c r="F277" s="40" t="s">
        <v>71</v>
      </c>
      <c r="G277" s="38">
        <v>1</v>
      </c>
      <c r="H277" s="54">
        <v>2362698.4</v>
      </c>
      <c r="I277" s="53">
        <v>0</v>
      </c>
      <c r="J277" s="54">
        <v>2362698.4</v>
      </c>
      <c r="K277" s="54">
        <v>2362698.4</v>
      </c>
      <c r="M277" s="45"/>
      <c r="N277" s="45"/>
      <c r="O277" s="45"/>
      <c r="P277" s="45"/>
      <c r="Q277" s="45"/>
      <c r="R277" s="45"/>
      <c r="S277" s="45"/>
      <c r="T277" s="45"/>
      <c r="U277" s="45"/>
      <c r="V277" s="45"/>
      <c r="W277" s="45"/>
      <c r="X277" s="45"/>
      <c r="Y277" s="45"/>
      <c r="Z277" s="56"/>
    </row>
    <row r="278" spans="1:26">
      <c r="A278" s="7" t="s">
        <v>771</v>
      </c>
      <c r="B278" s="40" t="s">
        <v>749</v>
      </c>
      <c r="C278" s="40" t="s">
        <v>216</v>
      </c>
      <c r="D278" s="40" t="s">
        <v>481</v>
      </c>
      <c r="E278" s="40" t="s">
        <v>6</v>
      </c>
      <c r="F278" s="40" t="s">
        <v>71</v>
      </c>
      <c r="G278" s="38">
        <v>1</v>
      </c>
      <c r="H278" s="54">
        <v>1073770.8499999999</v>
      </c>
      <c r="I278" s="53">
        <v>0</v>
      </c>
      <c r="J278" s="54">
        <v>1073770.8499999999</v>
      </c>
      <c r="K278" s="54">
        <v>1073770.8499999999</v>
      </c>
      <c r="M278" s="45"/>
      <c r="N278" s="45"/>
      <c r="O278" s="45"/>
      <c r="P278" s="45"/>
      <c r="Q278" s="45"/>
      <c r="R278" s="45"/>
      <c r="S278" s="45"/>
      <c r="T278" s="45"/>
      <c r="U278" s="45"/>
      <c r="V278" s="45"/>
      <c r="W278" s="45"/>
      <c r="X278" s="45"/>
      <c r="Y278" s="45"/>
      <c r="Z278" s="56"/>
    </row>
    <row r="279" spans="1:26">
      <c r="A279" s="7" t="s">
        <v>772</v>
      </c>
      <c r="B279" s="40" t="s">
        <v>752</v>
      </c>
      <c r="C279" s="40" t="s">
        <v>216</v>
      </c>
      <c r="D279" s="40" t="s">
        <v>481</v>
      </c>
      <c r="E279" s="40" t="s">
        <v>6</v>
      </c>
      <c r="F279" s="40" t="s">
        <v>71</v>
      </c>
      <c r="G279" s="38">
        <v>1</v>
      </c>
      <c r="H279" s="54">
        <v>779503.1</v>
      </c>
      <c r="I279" s="53">
        <v>0</v>
      </c>
      <c r="J279" s="54">
        <v>779503.1</v>
      </c>
      <c r="K279" s="54">
        <v>779503.1</v>
      </c>
      <c r="M279" s="45"/>
      <c r="N279" s="45"/>
      <c r="O279" s="45"/>
      <c r="P279" s="45"/>
      <c r="Q279" s="45"/>
      <c r="R279" s="45"/>
      <c r="S279" s="45"/>
      <c r="T279" s="45"/>
      <c r="U279" s="45"/>
      <c r="V279" s="45"/>
      <c r="W279" s="45"/>
      <c r="X279" s="45"/>
      <c r="Y279" s="45"/>
      <c r="Z279" s="56"/>
    </row>
    <row r="280" spans="1:26">
      <c r="A280" s="7" t="s">
        <v>773</v>
      </c>
      <c r="B280" s="40" t="s">
        <v>760</v>
      </c>
      <c r="C280" s="40" t="s">
        <v>216</v>
      </c>
      <c r="D280" s="40" t="s">
        <v>481</v>
      </c>
      <c r="E280" s="40" t="s">
        <v>6</v>
      </c>
      <c r="F280" s="40" t="s">
        <v>71</v>
      </c>
      <c r="G280" s="38">
        <v>1</v>
      </c>
      <c r="H280" s="54">
        <v>744064.26</v>
      </c>
      <c r="I280" s="53">
        <v>0</v>
      </c>
      <c r="J280" s="54">
        <v>744064.26</v>
      </c>
      <c r="K280" s="54">
        <v>744064.26</v>
      </c>
      <c r="M280" s="346"/>
      <c r="N280" s="45"/>
      <c r="O280" s="45"/>
      <c r="P280" s="45"/>
      <c r="Q280" s="45"/>
      <c r="R280" s="45"/>
      <c r="S280" s="45"/>
      <c r="T280" s="45"/>
      <c r="U280" s="45"/>
      <c r="V280" s="45"/>
      <c r="W280" s="45"/>
      <c r="X280" s="45"/>
      <c r="Y280" s="45"/>
      <c r="Z280" s="56"/>
    </row>
    <row r="281" spans="1:26">
      <c r="A281" s="4" t="s">
        <v>774</v>
      </c>
      <c r="B281" s="151" t="s">
        <v>775</v>
      </c>
      <c r="C281" s="151"/>
      <c r="D281" s="151"/>
      <c r="E281" s="151"/>
      <c r="F281" s="151"/>
      <c r="G281" s="152"/>
      <c r="H281" s="153"/>
      <c r="I281" s="154"/>
      <c r="J281" s="153"/>
      <c r="K281" s="172"/>
      <c r="L281" s="70">
        <v>15000</v>
      </c>
      <c r="M281" s="45"/>
      <c r="N281" s="45"/>
      <c r="O281" s="45"/>
      <c r="P281" s="45"/>
      <c r="Q281" s="45"/>
      <c r="R281" s="45"/>
      <c r="S281" s="45"/>
      <c r="T281" s="45"/>
      <c r="U281" s="45"/>
      <c r="V281" s="45"/>
      <c r="W281" s="45"/>
      <c r="X281" s="45"/>
      <c r="Y281" s="45"/>
      <c r="Z281" s="56"/>
    </row>
    <row r="282" spans="1:26">
      <c r="A282" s="5" t="s">
        <v>776</v>
      </c>
      <c r="B282" s="65" t="s">
        <v>777</v>
      </c>
      <c r="C282" s="65" t="s">
        <v>283</v>
      </c>
      <c r="D282" s="40" t="s">
        <v>481</v>
      </c>
      <c r="E282" s="65" t="s">
        <v>73</v>
      </c>
      <c r="F282" s="65" t="s">
        <v>71</v>
      </c>
      <c r="G282" s="43">
        <v>1</v>
      </c>
      <c r="H282" s="463">
        <v>15000</v>
      </c>
      <c r="I282" s="157">
        <v>0</v>
      </c>
      <c r="J282" s="159">
        <v>15000</v>
      </c>
      <c r="K282" s="159">
        <v>15000</v>
      </c>
      <c r="M282" s="45"/>
      <c r="N282" s="45"/>
      <c r="O282" s="45"/>
      <c r="P282" s="45"/>
      <c r="Q282" s="45"/>
      <c r="R282" s="45"/>
      <c r="S282" s="45"/>
      <c r="T282" s="45"/>
      <c r="U282" s="45"/>
      <c r="V282" s="45"/>
      <c r="W282" s="45"/>
      <c r="X282" s="45"/>
      <c r="Y282" s="45"/>
      <c r="Z282" s="56"/>
    </row>
    <row r="283" spans="1:26">
      <c r="A283" s="4" t="s">
        <v>778</v>
      </c>
      <c r="B283" s="151" t="s">
        <v>779</v>
      </c>
      <c r="C283" s="151"/>
      <c r="D283" s="151"/>
      <c r="E283" s="151"/>
      <c r="F283" s="151"/>
      <c r="G283" s="152"/>
      <c r="H283" s="153"/>
      <c r="I283" s="154"/>
      <c r="J283" s="153"/>
      <c r="K283" s="172"/>
      <c r="L283" s="70">
        <v>469750</v>
      </c>
      <c r="M283" s="45"/>
      <c r="N283" s="45"/>
      <c r="O283" s="45"/>
      <c r="P283" s="45"/>
      <c r="Q283" s="45"/>
      <c r="R283" s="45"/>
      <c r="S283" s="45"/>
      <c r="T283" s="45"/>
      <c r="U283" s="45"/>
      <c r="V283" s="45"/>
      <c r="W283" s="45"/>
      <c r="X283" s="45"/>
      <c r="Y283" s="45"/>
      <c r="Z283" s="56"/>
    </row>
    <row r="284" spans="1:26">
      <c r="A284" s="6" t="s">
        <v>780</v>
      </c>
      <c r="B284" s="47" t="s">
        <v>781</v>
      </c>
      <c r="C284" s="47" t="s">
        <v>216</v>
      </c>
      <c r="D284" s="47"/>
      <c r="E284" s="47" t="s">
        <v>782</v>
      </c>
      <c r="F284" s="47" t="s">
        <v>88</v>
      </c>
      <c r="G284" s="42">
        <v>390</v>
      </c>
      <c r="H284" s="461">
        <v>1025</v>
      </c>
      <c r="I284" s="63">
        <v>0</v>
      </c>
      <c r="J284" s="67">
        <v>1025</v>
      </c>
      <c r="K284" s="67">
        <v>399750</v>
      </c>
      <c r="M284" s="45"/>
      <c r="N284" s="45"/>
      <c r="O284" s="45"/>
      <c r="P284" s="45"/>
      <c r="Q284" s="45"/>
      <c r="R284" s="45"/>
      <c r="S284" s="45"/>
      <c r="T284" s="45"/>
      <c r="U284" s="45"/>
      <c r="V284" s="45"/>
      <c r="W284" s="45"/>
      <c r="X284" s="45"/>
      <c r="Y284" s="45"/>
      <c r="Z284" s="56"/>
    </row>
    <row r="285" spans="1:26">
      <c r="A285" s="7" t="s">
        <v>783</v>
      </c>
      <c r="B285" s="40" t="s">
        <v>784</v>
      </c>
      <c r="C285" s="40" t="s">
        <v>283</v>
      </c>
      <c r="D285" s="40"/>
      <c r="E285" s="40" t="s">
        <v>73</v>
      </c>
      <c r="F285" s="40" t="s">
        <v>71</v>
      </c>
      <c r="G285" s="38">
        <v>1</v>
      </c>
      <c r="H285" s="54">
        <v>50000</v>
      </c>
      <c r="I285" s="53">
        <v>0</v>
      </c>
      <c r="J285" s="54">
        <v>50000</v>
      </c>
      <c r="K285" s="54">
        <v>50000</v>
      </c>
      <c r="M285" s="45" t="s">
        <v>785</v>
      </c>
      <c r="N285" s="45"/>
      <c r="O285" s="45"/>
      <c r="P285" s="45"/>
      <c r="Q285" s="45"/>
      <c r="R285" s="45"/>
      <c r="S285" s="45"/>
      <c r="T285" s="45"/>
      <c r="U285" s="45"/>
      <c r="V285" s="45"/>
      <c r="W285" s="45"/>
      <c r="X285" s="45"/>
      <c r="Y285" s="45"/>
      <c r="Z285" s="56"/>
    </row>
    <row r="286" spans="1:26">
      <c r="A286" s="7" t="s">
        <v>786</v>
      </c>
      <c r="B286" s="40" t="s">
        <v>787</v>
      </c>
      <c r="C286" s="40" t="s">
        <v>283</v>
      </c>
      <c r="D286" s="40"/>
      <c r="E286" s="40" t="s">
        <v>73</v>
      </c>
      <c r="F286" s="40" t="s">
        <v>71</v>
      </c>
      <c r="G286" s="38">
        <v>1</v>
      </c>
      <c r="H286" s="54">
        <v>20000</v>
      </c>
      <c r="I286" s="53">
        <v>0</v>
      </c>
      <c r="J286" s="54">
        <v>20000</v>
      </c>
      <c r="K286" s="54">
        <v>20000</v>
      </c>
      <c r="M286" s="45"/>
      <c r="N286" s="45"/>
      <c r="O286" s="45"/>
      <c r="P286" s="45"/>
      <c r="Q286" s="45"/>
      <c r="R286" s="45"/>
      <c r="S286" s="45"/>
      <c r="T286" s="45"/>
      <c r="U286" s="45"/>
      <c r="V286" s="45"/>
      <c r="W286" s="45"/>
      <c r="X286" s="45"/>
      <c r="Y286" s="45"/>
      <c r="Z286" s="56"/>
    </row>
    <row r="287" spans="1:26">
      <c r="A287" s="4" t="s">
        <v>788</v>
      </c>
      <c r="B287" s="151" t="s">
        <v>789</v>
      </c>
      <c r="C287" s="151"/>
      <c r="D287" s="151"/>
      <c r="E287" s="151"/>
      <c r="F287" s="151"/>
      <c r="G287" s="152"/>
      <c r="H287" s="172"/>
      <c r="I287" s="154"/>
      <c r="J287" s="172"/>
      <c r="K287" s="172"/>
      <c r="L287" s="70">
        <v>486632.15</v>
      </c>
      <c r="M287" s="45"/>
      <c r="N287" s="45"/>
      <c r="O287" s="45"/>
      <c r="P287" s="45"/>
      <c r="Q287" s="45"/>
      <c r="R287" s="45"/>
      <c r="S287" s="45"/>
      <c r="T287" s="45"/>
      <c r="U287" s="45"/>
      <c r="V287" s="45"/>
      <c r="W287" s="45"/>
      <c r="X287" s="45"/>
      <c r="Y287" s="45"/>
      <c r="Z287" s="56"/>
    </row>
    <row r="288" spans="1:26">
      <c r="A288" s="6" t="s">
        <v>790</v>
      </c>
      <c r="B288" s="47" t="s">
        <v>791</v>
      </c>
      <c r="C288" s="47" t="s">
        <v>216</v>
      </c>
      <c r="D288" s="47"/>
      <c r="E288" s="47" t="s">
        <v>426</v>
      </c>
      <c r="F288" s="47" t="s">
        <v>71</v>
      </c>
      <c r="G288" s="185">
        <v>15.826000000000001</v>
      </c>
      <c r="H288" s="461">
        <v>9000</v>
      </c>
      <c r="I288" s="63">
        <v>0</v>
      </c>
      <c r="J288" s="67">
        <v>9000</v>
      </c>
      <c r="K288" s="67">
        <v>142434</v>
      </c>
      <c r="M288" s="45"/>
      <c r="N288" s="45"/>
      <c r="O288" s="45"/>
      <c r="P288" s="45"/>
      <c r="Q288" s="45"/>
      <c r="R288" s="45"/>
      <c r="S288" s="45"/>
      <c r="T288" s="45"/>
      <c r="U288" s="45"/>
      <c r="V288" s="45"/>
      <c r="W288" s="45"/>
      <c r="X288" s="45"/>
      <c r="Y288" s="45"/>
      <c r="Z288" s="56"/>
    </row>
    <row r="289" spans="1:26">
      <c r="A289" s="7" t="s">
        <v>792</v>
      </c>
      <c r="B289" s="40" t="s">
        <v>793</v>
      </c>
      <c r="C289" s="40" t="s">
        <v>216</v>
      </c>
      <c r="D289" s="40"/>
      <c r="E289" s="40" t="s">
        <v>73</v>
      </c>
      <c r="F289" s="40" t="s">
        <v>71</v>
      </c>
      <c r="G289" s="183">
        <v>15.826000000000001</v>
      </c>
      <c r="H289" s="54">
        <v>1000</v>
      </c>
      <c r="I289" s="53">
        <v>0</v>
      </c>
      <c r="J289" s="54">
        <v>1000</v>
      </c>
      <c r="K289" s="54">
        <v>15826</v>
      </c>
      <c r="M289" s="45" t="s">
        <v>794</v>
      </c>
      <c r="N289" s="45"/>
      <c r="O289" s="45"/>
      <c r="P289" s="45"/>
      <c r="Q289" s="45"/>
      <c r="R289" s="45"/>
      <c r="S289" s="45"/>
      <c r="T289" s="45"/>
      <c r="U289" s="45"/>
      <c r="V289" s="45"/>
      <c r="W289" s="45"/>
      <c r="X289" s="45"/>
      <c r="Y289" s="45"/>
      <c r="Z289" s="56"/>
    </row>
    <row r="290" spans="1:26">
      <c r="A290" s="7" t="s">
        <v>795</v>
      </c>
      <c r="B290" s="40" t="s">
        <v>796</v>
      </c>
      <c r="C290" s="40" t="s">
        <v>216</v>
      </c>
      <c r="D290" s="40"/>
      <c r="E290" s="40" t="s">
        <v>73</v>
      </c>
      <c r="F290" s="40" t="s">
        <v>71</v>
      </c>
      <c r="G290" s="183">
        <v>1</v>
      </c>
      <c r="H290" s="54">
        <v>7500</v>
      </c>
      <c r="I290" s="53">
        <v>0</v>
      </c>
      <c r="J290" s="54">
        <v>7500</v>
      </c>
      <c r="K290" s="54">
        <v>7500</v>
      </c>
      <c r="M290" s="45"/>
      <c r="N290" s="45"/>
      <c r="O290" s="45"/>
      <c r="P290" s="45"/>
      <c r="Q290" s="45"/>
      <c r="R290" s="45"/>
      <c r="S290" s="45"/>
      <c r="T290" s="45"/>
      <c r="U290" s="45"/>
      <c r="V290" s="45"/>
      <c r="W290" s="45"/>
      <c r="X290" s="45"/>
      <c r="Y290" s="45"/>
      <c r="Z290" s="56"/>
    </row>
    <row r="291" spans="1:26">
      <c r="A291" s="7" t="s">
        <v>797</v>
      </c>
      <c r="B291" s="40" t="s">
        <v>798</v>
      </c>
      <c r="C291" s="40" t="s">
        <v>216</v>
      </c>
      <c r="D291" s="40"/>
      <c r="E291" s="40" t="s">
        <v>426</v>
      </c>
      <c r="F291" s="40" t="s">
        <v>71</v>
      </c>
      <c r="G291" s="183">
        <v>15.826000000000001</v>
      </c>
      <c r="H291" s="54">
        <v>5775</v>
      </c>
      <c r="I291" s="53">
        <v>0</v>
      </c>
      <c r="J291" s="54">
        <v>5775</v>
      </c>
      <c r="K291" s="54">
        <v>91395.150000000009</v>
      </c>
      <c r="M291" s="45"/>
      <c r="N291" s="45"/>
      <c r="O291" s="45"/>
      <c r="P291" s="45"/>
      <c r="Q291" s="45"/>
      <c r="R291" s="45"/>
      <c r="S291" s="45"/>
      <c r="T291" s="45"/>
      <c r="U291" s="45"/>
      <c r="V291" s="45"/>
      <c r="W291" s="45"/>
      <c r="X291" s="45"/>
      <c r="Y291" s="45"/>
      <c r="Z291" s="56"/>
    </row>
    <row r="292" spans="1:26">
      <c r="A292" s="7" t="s">
        <v>799</v>
      </c>
      <c r="B292" s="40" t="s">
        <v>800</v>
      </c>
      <c r="C292" s="40" t="s">
        <v>216</v>
      </c>
      <c r="D292" s="40"/>
      <c r="E292" s="40" t="s">
        <v>426</v>
      </c>
      <c r="F292" s="40" t="s">
        <v>71</v>
      </c>
      <c r="G292" s="183">
        <v>15.826000000000001</v>
      </c>
      <c r="H292" s="54">
        <v>5000</v>
      </c>
      <c r="I292" s="53">
        <v>0</v>
      </c>
      <c r="J292" s="54">
        <v>5000</v>
      </c>
      <c r="K292" s="54">
        <v>79130</v>
      </c>
      <c r="M292" s="45"/>
      <c r="N292" s="45"/>
      <c r="O292" s="45"/>
      <c r="P292" s="45"/>
      <c r="Q292" s="45"/>
      <c r="R292" s="45"/>
      <c r="S292" s="45"/>
      <c r="T292" s="45"/>
      <c r="U292" s="45"/>
      <c r="V292" s="45"/>
      <c r="W292" s="45"/>
      <c r="X292" s="45"/>
      <c r="Y292" s="45"/>
      <c r="Z292" s="56"/>
    </row>
    <row r="293" spans="1:26">
      <c r="A293" s="7" t="s">
        <v>801</v>
      </c>
      <c r="B293" s="40" t="s">
        <v>802</v>
      </c>
      <c r="C293" s="40" t="s">
        <v>216</v>
      </c>
      <c r="D293" s="40"/>
      <c r="E293" s="40" t="s">
        <v>426</v>
      </c>
      <c r="F293" s="40" t="s">
        <v>71</v>
      </c>
      <c r="G293" s="183">
        <v>15.826000000000001</v>
      </c>
      <c r="H293" s="54">
        <v>5000</v>
      </c>
      <c r="I293" s="53">
        <v>0</v>
      </c>
      <c r="J293" s="54">
        <v>5000</v>
      </c>
      <c r="K293" s="54">
        <v>79130</v>
      </c>
      <c r="M293" s="45"/>
      <c r="N293" s="45"/>
      <c r="O293" s="45"/>
      <c r="P293" s="45"/>
      <c r="Q293" s="45"/>
      <c r="R293" s="45"/>
      <c r="S293" s="45"/>
      <c r="T293" s="45"/>
      <c r="U293" s="45"/>
      <c r="V293" s="45"/>
      <c r="W293" s="45"/>
      <c r="X293" s="45"/>
      <c r="Y293" s="45"/>
      <c r="Z293" s="56"/>
    </row>
    <row r="294" spans="1:26">
      <c r="A294" s="7" t="s">
        <v>803</v>
      </c>
      <c r="B294" s="40" t="s">
        <v>804</v>
      </c>
      <c r="C294" s="40" t="s">
        <v>216</v>
      </c>
      <c r="D294" s="40"/>
      <c r="E294" s="40" t="s">
        <v>73</v>
      </c>
      <c r="F294" s="40" t="s">
        <v>71</v>
      </c>
      <c r="G294" s="183">
        <v>15.826000000000001</v>
      </c>
      <c r="H294" s="54">
        <v>1000</v>
      </c>
      <c r="I294" s="53">
        <v>0</v>
      </c>
      <c r="J294" s="54">
        <v>1000</v>
      </c>
      <c r="K294" s="54">
        <v>15826</v>
      </c>
      <c r="M294" s="45"/>
      <c r="N294" s="45"/>
      <c r="O294" s="45"/>
      <c r="P294" s="45"/>
      <c r="Q294" s="45"/>
      <c r="R294" s="45"/>
      <c r="S294" s="45"/>
      <c r="T294" s="45"/>
      <c r="U294" s="45"/>
      <c r="V294" s="45"/>
      <c r="W294" s="45"/>
      <c r="X294" s="45"/>
      <c r="Y294" s="45"/>
      <c r="Z294" s="56"/>
    </row>
    <row r="295" spans="1:26">
      <c r="A295" s="7" t="s">
        <v>805</v>
      </c>
      <c r="B295" s="40" t="s">
        <v>806</v>
      </c>
      <c r="C295" s="40" t="s">
        <v>216</v>
      </c>
      <c r="D295" s="40"/>
      <c r="E295" s="40" t="s">
        <v>73</v>
      </c>
      <c r="F295" s="40" t="s">
        <v>71</v>
      </c>
      <c r="G295" s="183">
        <v>15.826000000000001</v>
      </c>
      <c r="H295" s="54">
        <v>1000</v>
      </c>
      <c r="I295" s="53">
        <v>0</v>
      </c>
      <c r="J295" s="54">
        <v>1000</v>
      </c>
      <c r="K295" s="54">
        <v>15826</v>
      </c>
      <c r="M295" s="45"/>
      <c r="N295" s="45"/>
      <c r="O295" s="45"/>
      <c r="P295" s="45"/>
      <c r="Q295" s="45"/>
      <c r="R295" s="45"/>
      <c r="S295" s="45"/>
      <c r="T295" s="45"/>
      <c r="U295" s="45"/>
      <c r="V295" s="45"/>
      <c r="W295" s="45"/>
      <c r="X295" s="45"/>
      <c r="Y295" s="45"/>
      <c r="Z295" s="56"/>
    </row>
    <row r="296" spans="1:26">
      <c r="A296" s="7" t="s">
        <v>807</v>
      </c>
      <c r="B296" s="40" t="s">
        <v>808</v>
      </c>
      <c r="C296" s="40" t="s">
        <v>216</v>
      </c>
      <c r="D296" s="40"/>
      <c r="E296" s="40" t="s">
        <v>426</v>
      </c>
      <c r="F296" s="40" t="s">
        <v>71</v>
      </c>
      <c r="G296" s="183">
        <v>15.826000000000001</v>
      </c>
      <c r="H296" s="54">
        <v>2500</v>
      </c>
      <c r="I296" s="53">
        <v>0</v>
      </c>
      <c r="J296" s="54">
        <v>2500</v>
      </c>
      <c r="K296" s="54">
        <v>39565</v>
      </c>
      <c r="M296" s="45"/>
      <c r="N296" s="45"/>
      <c r="O296" s="45"/>
      <c r="P296" s="45"/>
      <c r="Q296" s="45"/>
      <c r="R296" s="45"/>
      <c r="S296" s="45"/>
      <c r="T296" s="45"/>
      <c r="U296" s="45"/>
      <c r="V296" s="45"/>
      <c r="W296" s="45"/>
      <c r="X296" s="45"/>
      <c r="Y296" s="45"/>
      <c r="Z296" s="56"/>
    </row>
    <row r="297" spans="1:26" hidden="1">
      <c r="A297" s="4" t="s">
        <v>809</v>
      </c>
      <c r="B297" s="151"/>
      <c r="C297" s="151"/>
      <c r="D297" s="151"/>
      <c r="E297" s="151"/>
      <c r="F297" s="151"/>
      <c r="G297" s="152"/>
      <c r="H297" s="153"/>
      <c r="I297" s="154"/>
      <c r="J297" s="153"/>
      <c r="K297" s="172"/>
      <c r="L297" s="70">
        <v>0</v>
      </c>
      <c r="M297" s="45"/>
      <c r="N297" s="45"/>
      <c r="O297" s="45"/>
      <c r="P297" s="45"/>
      <c r="Q297" s="45"/>
      <c r="R297" s="45"/>
      <c r="S297" s="45"/>
      <c r="T297" s="45"/>
      <c r="U297" s="45"/>
      <c r="V297" s="45"/>
      <c r="W297" s="45"/>
      <c r="X297" s="45"/>
      <c r="Y297" s="45"/>
      <c r="Z297" s="56"/>
    </row>
    <row r="298" spans="1:26" hidden="1">
      <c r="A298" s="6" t="s">
        <v>809</v>
      </c>
      <c r="B298" s="47"/>
      <c r="C298" s="47"/>
      <c r="D298" s="47"/>
      <c r="E298" s="47" t="s">
        <v>231</v>
      </c>
      <c r="F298" s="47"/>
      <c r="G298" s="42"/>
      <c r="H298" s="61"/>
      <c r="I298" s="63">
        <v>0</v>
      </c>
      <c r="J298" s="66">
        <v>0</v>
      </c>
      <c r="K298" s="67">
        <v>0</v>
      </c>
      <c r="M298" s="45"/>
      <c r="N298" s="45"/>
      <c r="O298" s="45"/>
      <c r="P298" s="45"/>
      <c r="Q298" s="45"/>
      <c r="R298" s="45"/>
      <c r="S298" s="45"/>
      <c r="T298" s="45"/>
      <c r="U298" s="45"/>
      <c r="V298" s="45"/>
      <c r="W298" s="45"/>
      <c r="X298" s="45"/>
      <c r="Y298" s="45"/>
      <c r="Z298" s="56"/>
    </row>
    <row r="299" spans="1:26" hidden="1">
      <c r="A299" s="7" t="s">
        <v>810</v>
      </c>
      <c r="B299" s="40"/>
      <c r="C299" s="40"/>
      <c r="D299" s="40"/>
      <c r="E299" s="40" t="s">
        <v>231</v>
      </c>
      <c r="F299" s="40"/>
      <c r="G299" s="38"/>
      <c r="H299" s="51"/>
      <c r="I299" s="53">
        <v>0</v>
      </c>
      <c r="J299" s="51">
        <v>0</v>
      </c>
      <c r="K299" s="54">
        <v>0</v>
      </c>
      <c r="M299" s="45"/>
      <c r="N299" s="45"/>
      <c r="O299" s="45"/>
      <c r="P299" s="45"/>
      <c r="Q299" s="45"/>
      <c r="R299" s="45"/>
      <c r="S299" s="45"/>
      <c r="T299" s="45"/>
      <c r="U299" s="45"/>
      <c r="V299" s="45"/>
      <c r="W299" s="45"/>
      <c r="X299" s="45"/>
      <c r="Y299" s="45"/>
      <c r="Z299" s="56"/>
    </row>
    <row r="300" spans="1:26" hidden="1">
      <c r="A300" s="7" t="s">
        <v>811</v>
      </c>
      <c r="B300" s="40"/>
      <c r="C300" s="40"/>
      <c r="D300" s="40"/>
      <c r="E300" s="40" t="s">
        <v>231</v>
      </c>
      <c r="F300" s="40"/>
      <c r="G300" s="38"/>
      <c r="H300" s="51"/>
      <c r="I300" s="53">
        <v>0</v>
      </c>
      <c r="J300" s="51">
        <v>0</v>
      </c>
      <c r="K300" s="54">
        <v>0</v>
      </c>
      <c r="M300" s="45"/>
      <c r="N300" s="45"/>
      <c r="O300" s="45"/>
      <c r="P300" s="45"/>
      <c r="Q300" s="45"/>
      <c r="R300" s="45"/>
      <c r="S300" s="45"/>
      <c r="T300" s="45"/>
      <c r="U300" s="45"/>
      <c r="V300" s="45"/>
      <c r="W300" s="45"/>
      <c r="X300" s="45"/>
      <c r="Y300" s="45"/>
      <c r="Z300" s="56"/>
    </row>
    <row r="301" spans="1:26" hidden="1">
      <c r="A301" s="7" t="s">
        <v>812</v>
      </c>
      <c r="B301" s="40"/>
      <c r="C301" s="40"/>
      <c r="D301" s="40"/>
      <c r="E301" s="40" t="s">
        <v>231</v>
      </c>
      <c r="F301" s="40"/>
      <c r="G301" s="38"/>
      <c r="H301" s="51"/>
      <c r="I301" s="53">
        <v>0</v>
      </c>
      <c r="J301" s="51">
        <v>0</v>
      </c>
      <c r="K301" s="54">
        <v>0</v>
      </c>
      <c r="M301" s="45"/>
      <c r="N301" s="45"/>
      <c r="O301" s="45"/>
      <c r="P301" s="45"/>
      <c r="Q301" s="45"/>
      <c r="R301" s="45"/>
      <c r="S301" s="45"/>
      <c r="T301" s="45"/>
      <c r="U301" s="45"/>
      <c r="V301" s="45"/>
      <c r="W301" s="45"/>
      <c r="X301" s="45"/>
      <c r="Y301" s="45"/>
      <c r="Z301" s="56"/>
    </row>
    <row r="302" spans="1:26" hidden="1">
      <c r="A302" s="7" t="s">
        <v>813</v>
      </c>
      <c r="B302" s="40"/>
      <c r="C302" s="40"/>
      <c r="D302" s="40"/>
      <c r="E302" s="40" t="s">
        <v>231</v>
      </c>
      <c r="F302" s="40"/>
      <c r="G302" s="38"/>
      <c r="H302" s="51"/>
      <c r="I302" s="53">
        <v>0</v>
      </c>
      <c r="J302" s="51">
        <v>0</v>
      </c>
      <c r="K302" s="54">
        <v>0</v>
      </c>
      <c r="M302" s="45"/>
      <c r="N302" s="45"/>
      <c r="O302" s="45"/>
      <c r="P302" s="45"/>
      <c r="Q302" s="45"/>
      <c r="R302" s="45"/>
      <c r="S302" s="45"/>
      <c r="T302" s="45"/>
      <c r="U302" s="45"/>
      <c r="V302" s="45"/>
      <c r="W302" s="45"/>
      <c r="X302" s="45"/>
      <c r="Y302" s="45"/>
      <c r="Z302" s="56"/>
    </row>
    <row r="303" spans="1:26" hidden="1">
      <c r="A303" s="7" t="s">
        <v>814</v>
      </c>
      <c r="B303" s="40"/>
      <c r="C303" s="40"/>
      <c r="D303" s="40"/>
      <c r="E303" s="40" t="s">
        <v>231</v>
      </c>
      <c r="F303" s="40"/>
      <c r="G303" s="38"/>
      <c r="H303" s="51"/>
      <c r="I303" s="53">
        <v>0</v>
      </c>
      <c r="J303" s="51">
        <v>0</v>
      </c>
      <c r="K303" s="54">
        <v>0</v>
      </c>
      <c r="M303" s="45"/>
      <c r="N303" s="45"/>
      <c r="O303" s="45"/>
      <c r="P303" s="45"/>
      <c r="Q303" s="45"/>
      <c r="R303" s="45"/>
      <c r="S303" s="45"/>
      <c r="T303" s="45"/>
      <c r="U303" s="45"/>
      <c r="V303" s="45"/>
      <c r="W303" s="45"/>
      <c r="X303" s="45"/>
      <c r="Y303" s="45"/>
      <c r="Z303" s="56"/>
    </row>
    <row r="304" spans="1:26" hidden="1">
      <c r="A304" s="7" t="s">
        <v>815</v>
      </c>
      <c r="B304" s="40"/>
      <c r="C304" s="40"/>
      <c r="D304" s="40"/>
      <c r="E304" s="40" t="s">
        <v>231</v>
      </c>
      <c r="F304" s="40"/>
      <c r="G304" s="38"/>
      <c r="H304" s="51"/>
      <c r="I304" s="53">
        <v>0</v>
      </c>
      <c r="J304" s="51">
        <v>0</v>
      </c>
      <c r="K304" s="54">
        <v>0</v>
      </c>
      <c r="M304" s="45"/>
      <c r="N304" s="45"/>
      <c r="O304" s="45"/>
      <c r="P304" s="45"/>
      <c r="Q304" s="45"/>
      <c r="R304" s="45"/>
      <c r="S304" s="45"/>
      <c r="T304" s="45"/>
      <c r="U304" s="45"/>
      <c r="V304" s="45"/>
      <c r="W304" s="45"/>
      <c r="X304" s="45"/>
      <c r="Y304" s="45"/>
      <c r="Z304" s="56"/>
    </row>
    <row r="305" spans="1:26" hidden="1">
      <c r="A305" s="7" t="s">
        <v>816</v>
      </c>
      <c r="B305" s="40"/>
      <c r="C305" s="40"/>
      <c r="D305" s="40"/>
      <c r="E305" s="40" t="s">
        <v>231</v>
      </c>
      <c r="F305" s="40"/>
      <c r="G305" s="38"/>
      <c r="H305" s="51"/>
      <c r="I305" s="53">
        <v>0</v>
      </c>
      <c r="J305" s="51">
        <v>0</v>
      </c>
      <c r="K305" s="54">
        <v>0</v>
      </c>
      <c r="M305" s="45"/>
      <c r="N305" s="45"/>
      <c r="O305" s="45"/>
      <c r="P305" s="45"/>
      <c r="Q305" s="45"/>
      <c r="R305" s="45"/>
      <c r="S305" s="45"/>
      <c r="T305" s="45"/>
      <c r="U305" s="45"/>
      <c r="V305" s="45"/>
      <c r="W305" s="45"/>
      <c r="X305" s="45"/>
      <c r="Y305" s="45"/>
      <c r="Z305" s="56"/>
    </row>
    <row r="306" spans="1:26">
      <c r="A306" s="4" t="s">
        <v>817</v>
      </c>
      <c r="B306" s="151" t="s">
        <v>817</v>
      </c>
      <c r="C306" s="151"/>
      <c r="D306" s="151"/>
      <c r="E306" s="151"/>
      <c r="F306" s="151"/>
      <c r="G306" s="152"/>
      <c r="H306" s="153"/>
      <c r="I306" s="154"/>
      <c r="J306" s="153"/>
      <c r="K306" s="172"/>
      <c r="L306" s="70">
        <v>1254667.1409720625</v>
      </c>
      <c r="M306" s="45"/>
      <c r="N306" s="45"/>
      <c r="O306" s="45"/>
      <c r="P306" s="45"/>
      <c r="Q306" s="45"/>
      <c r="R306" s="45"/>
      <c r="S306" s="45"/>
      <c r="T306" s="45"/>
      <c r="U306" s="45"/>
      <c r="V306" s="45"/>
      <c r="W306" s="45"/>
      <c r="X306" s="45"/>
      <c r="Y306" s="45"/>
      <c r="Z306" s="56"/>
    </row>
    <row r="307" spans="1:26">
      <c r="A307" s="6" t="s">
        <v>818</v>
      </c>
      <c r="B307" s="47"/>
      <c r="C307" s="47"/>
      <c r="D307" s="47"/>
      <c r="E307" s="47"/>
      <c r="F307" s="47"/>
      <c r="G307" s="198">
        <v>0</v>
      </c>
      <c r="H307" s="61"/>
      <c r="I307" s="63"/>
      <c r="J307" s="66"/>
      <c r="K307" s="67">
        <v>0</v>
      </c>
      <c r="M307" s="45"/>
      <c r="N307" s="45"/>
      <c r="O307" s="45"/>
      <c r="P307" s="45"/>
      <c r="Q307" s="45"/>
      <c r="R307" s="45"/>
      <c r="S307" s="45"/>
      <c r="T307" s="45"/>
      <c r="U307" s="45"/>
      <c r="V307" s="45"/>
      <c r="W307" s="45"/>
      <c r="X307" s="45"/>
      <c r="Y307" s="45"/>
      <c r="Z307" s="56"/>
    </row>
    <row r="308" spans="1:26">
      <c r="A308" s="5" t="s">
        <v>817</v>
      </c>
      <c r="B308" s="65"/>
      <c r="C308" s="65"/>
      <c r="D308" s="65"/>
      <c r="E308" s="65"/>
      <c r="F308" s="65"/>
      <c r="G308" s="186">
        <v>0.02</v>
      </c>
      <c r="H308" s="64"/>
      <c r="I308" s="157"/>
      <c r="J308" s="158"/>
      <c r="K308" s="159">
        <v>1254667.1409720625</v>
      </c>
      <c r="M308" s="45" t="s">
        <v>819</v>
      </c>
      <c r="N308" s="45"/>
      <c r="O308" s="45"/>
      <c r="P308" s="45"/>
      <c r="Q308" s="45"/>
      <c r="R308" s="45"/>
      <c r="S308" s="45"/>
      <c r="T308" s="45"/>
      <c r="U308" s="45"/>
      <c r="V308" s="45"/>
      <c r="W308" s="45"/>
      <c r="X308" s="45"/>
      <c r="Y308" s="45"/>
      <c r="Z308" s="56"/>
    </row>
    <row r="309" spans="1:26">
      <c r="A309" s="4" t="s">
        <v>820</v>
      </c>
      <c r="B309" s="151" t="s">
        <v>821</v>
      </c>
      <c r="C309" s="151"/>
      <c r="D309" s="151"/>
      <c r="E309" s="151"/>
      <c r="F309" s="151"/>
      <c r="G309" s="152"/>
      <c r="H309" s="172"/>
      <c r="I309" s="154"/>
      <c r="J309" s="153"/>
      <c r="K309" s="172"/>
      <c r="L309" s="70">
        <v>1430148</v>
      </c>
      <c r="M309" s="45"/>
      <c r="N309" s="45"/>
      <c r="O309" s="45"/>
      <c r="P309" s="45"/>
      <c r="Q309" s="45"/>
      <c r="R309" s="45"/>
      <c r="S309" s="45"/>
      <c r="T309" s="45"/>
      <c r="U309" s="45"/>
      <c r="V309" s="45"/>
      <c r="W309" s="45"/>
      <c r="X309" s="45"/>
      <c r="Y309" s="45"/>
      <c r="Z309" s="56"/>
    </row>
    <row r="310" spans="1:26">
      <c r="A310" s="6" t="s">
        <v>822</v>
      </c>
      <c r="B310" s="47" t="s">
        <v>823</v>
      </c>
      <c r="C310" s="47" t="s">
        <v>216</v>
      </c>
      <c r="D310" s="47"/>
      <c r="E310" s="47" t="s">
        <v>824</v>
      </c>
      <c r="F310" s="47" t="s">
        <v>71</v>
      </c>
      <c r="G310" s="42">
        <v>2</v>
      </c>
      <c r="H310" s="461">
        <v>10000</v>
      </c>
      <c r="I310" s="63">
        <v>0</v>
      </c>
      <c r="J310" s="67">
        <v>10000</v>
      </c>
      <c r="K310" s="67">
        <v>20000</v>
      </c>
      <c r="M310" s="45"/>
      <c r="N310" s="45"/>
      <c r="O310" s="45"/>
      <c r="P310" s="45"/>
      <c r="Q310" s="45"/>
      <c r="R310" s="45"/>
      <c r="S310" s="45"/>
      <c r="T310" s="45"/>
      <c r="U310" s="45"/>
      <c r="V310" s="45"/>
      <c r="W310" s="45"/>
      <c r="X310" s="45"/>
      <c r="Y310" s="45"/>
      <c r="Z310" s="56"/>
    </row>
    <row r="311" spans="1:26">
      <c r="A311" s="7" t="s">
        <v>825</v>
      </c>
      <c r="B311" s="40" t="s">
        <v>826</v>
      </c>
      <c r="C311" s="40" t="s">
        <v>216</v>
      </c>
      <c r="D311" s="40"/>
      <c r="E311" s="40" t="s">
        <v>231</v>
      </c>
      <c r="F311" s="40"/>
      <c r="G311" s="38"/>
      <c r="H311" s="54">
        <v>0</v>
      </c>
      <c r="I311" s="53">
        <v>0</v>
      </c>
      <c r="J311" s="54">
        <v>0</v>
      </c>
      <c r="K311" s="67">
        <v>0</v>
      </c>
      <c r="M311" s="45"/>
      <c r="N311" s="45"/>
      <c r="O311" s="45"/>
      <c r="P311" s="45"/>
      <c r="Q311" s="45"/>
      <c r="R311" s="45"/>
      <c r="S311" s="45"/>
      <c r="T311" s="45"/>
      <c r="U311" s="45"/>
      <c r="V311" s="45"/>
      <c r="W311" s="45"/>
      <c r="X311" s="45"/>
      <c r="Y311" s="45"/>
      <c r="Z311" s="56"/>
    </row>
    <row r="312" spans="1:26">
      <c r="A312" s="7" t="s">
        <v>827</v>
      </c>
      <c r="B312" s="40" t="s">
        <v>828</v>
      </c>
      <c r="C312" s="40" t="s">
        <v>216</v>
      </c>
      <c r="D312" s="40"/>
      <c r="E312" s="40" t="s">
        <v>73</v>
      </c>
      <c r="F312" s="40" t="s">
        <v>71</v>
      </c>
      <c r="G312" s="38">
        <v>1</v>
      </c>
      <c r="H312" s="54">
        <v>20000</v>
      </c>
      <c r="I312" s="53">
        <v>0</v>
      </c>
      <c r="J312" s="54">
        <v>20000</v>
      </c>
      <c r="K312" s="54">
        <v>20000</v>
      </c>
      <c r="M312" s="45"/>
      <c r="N312" s="45"/>
      <c r="O312" s="45"/>
      <c r="P312" s="45"/>
      <c r="Q312" s="45"/>
      <c r="R312" s="45"/>
      <c r="S312" s="45"/>
      <c r="T312" s="45"/>
      <c r="U312" s="45"/>
      <c r="V312" s="45"/>
      <c r="W312" s="45"/>
      <c r="X312" s="45"/>
      <c r="Y312" s="45"/>
      <c r="Z312" s="56"/>
    </row>
    <row r="313" spans="1:26">
      <c r="A313" s="7" t="s">
        <v>829</v>
      </c>
      <c r="B313" s="40" t="s">
        <v>830</v>
      </c>
      <c r="C313" s="40" t="s">
        <v>216</v>
      </c>
      <c r="D313" s="40"/>
      <c r="E313" s="40" t="s">
        <v>73</v>
      </c>
      <c r="F313" s="40" t="s">
        <v>71</v>
      </c>
      <c r="G313" s="38">
        <v>1</v>
      </c>
      <c r="H313" s="54">
        <v>20000</v>
      </c>
      <c r="I313" s="53">
        <v>0</v>
      </c>
      <c r="J313" s="54">
        <v>20000</v>
      </c>
      <c r="K313" s="54">
        <v>20000</v>
      </c>
      <c r="M313" s="45"/>
      <c r="N313" s="45"/>
      <c r="O313" s="45"/>
      <c r="P313" s="45"/>
      <c r="Q313" s="45"/>
      <c r="R313" s="45"/>
      <c r="S313" s="45"/>
      <c r="T313" s="45"/>
      <c r="U313" s="45"/>
      <c r="V313" s="45"/>
      <c r="W313" s="45"/>
      <c r="X313" s="45"/>
      <c r="Y313" s="45"/>
      <c r="Z313" s="56"/>
    </row>
    <row r="314" spans="1:26">
      <c r="A314" s="9" t="s">
        <v>831</v>
      </c>
      <c r="B314" s="40" t="s">
        <v>832</v>
      </c>
      <c r="C314" s="40" t="s">
        <v>216</v>
      </c>
      <c r="D314" s="40"/>
      <c r="E314" s="40" t="s">
        <v>543</v>
      </c>
      <c r="F314" s="40" t="s">
        <v>71</v>
      </c>
      <c r="G314" s="38">
        <v>2</v>
      </c>
      <c r="H314" s="775">
        <v>47324</v>
      </c>
      <c r="I314" s="53">
        <v>0</v>
      </c>
      <c r="J314" s="54">
        <v>47324</v>
      </c>
      <c r="K314" s="54">
        <v>94648</v>
      </c>
      <c r="M314" s="45"/>
      <c r="N314" s="45"/>
      <c r="O314" s="45"/>
      <c r="P314" s="45"/>
      <c r="Q314" s="45"/>
      <c r="R314" s="45"/>
      <c r="S314" s="45"/>
      <c r="T314" s="45"/>
      <c r="U314" s="45"/>
      <c r="V314" s="45"/>
      <c r="W314" s="45"/>
      <c r="X314" s="45"/>
      <c r="Y314" s="45"/>
      <c r="Z314" s="56"/>
    </row>
    <row r="315" spans="1:26">
      <c r="A315" s="9" t="s">
        <v>833</v>
      </c>
      <c r="B315" s="40" t="s">
        <v>834</v>
      </c>
      <c r="C315" s="40" t="s">
        <v>216</v>
      </c>
      <c r="D315" s="40"/>
      <c r="E315" s="40" t="s">
        <v>73</v>
      </c>
      <c r="F315" s="40" t="s">
        <v>71</v>
      </c>
      <c r="G315" s="38">
        <v>1</v>
      </c>
      <c r="H315" s="54">
        <v>25000</v>
      </c>
      <c r="I315" s="53">
        <v>0</v>
      </c>
      <c r="J315" s="54">
        <v>25000</v>
      </c>
      <c r="K315" s="54">
        <v>25000</v>
      </c>
      <c r="M315" s="45"/>
      <c r="N315" s="45"/>
      <c r="O315" s="45"/>
      <c r="P315" s="45"/>
      <c r="Q315" s="45"/>
      <c r="R315" s="45"/>
      <c r="S315" s="45"/>
      <c r="T315" s="45"/>
      <c r="U315" s="45"/>
      <c r="V315" s="45"/>
      <c r="W315" s="45"/>
      <c r="X315" s="45"/>
      <c r="Y315" s="45"/>
      <c r="Z315" s="56"/>
    </row>
    <row r="316" spans="1:26">
      <c r="A316" s="9" t="s">
        <v>835</v>
      </c>
      <c r="B316" s="40" t="s">
        <v>836</v>
      </c>
      <c r="C316" s="40" t="s">
        <v>216</v>
      </c>
      <c r="D316" s="40"/>
      <c r="E316" s="40" t="s">
        <v>73</v>
      </c>
      <c r="F316" s="40" t="s">
        <v>71</v>
      </c>
      <c r="G316" s="38">
        <v>1</v>
      </c>
      <c r="H316" s="54">
        <v>15000</v>
      </c>
      <c r="I316" s="53">
        <v>0</v>
      </c>
      <c r="J316" s="54">
        <v>15000</v>
      </c>
      <c r="K316" s="54">
        <v>15000</v>
      </c>
      <c r="M316" s="45"/>
      <c r="N316" s="45"/>
      <c r="O316" s="45"/>
      <c r="P316" s="45"/>
      <c r="Q316" s="45"/>
      <c r="R316" s="45"/>
      <c r="S316" s="45"/>
      <c r="T316" s="45"/>
      <c r="U316" s="45"/>
      <c r="V316" s="45"/>
      <c r="W316" s="45"/>
      <c r="X316" s="45"/>
      <c r="Y316" s="45"/>
      <c r="Z316" s="56"/>
    </row>
    <row r="317" spans="1:26">
      <c r="A317" s="9" t="s">
        <v>837</v>
      </c>
      <c r="B317" s="40" t="s">
        <v>838</v>
      </c>
      <c r="C317" s="40" t="s">
        <v>216</v>
      </c>
      <c r="D317" s="40"/>
      <c r="E317" s="40" t="s">
        <v>73</v>
      </c>
      <c r="F317" s="40" t="s">
        <v>71</v>
      </c>
      <c r="G317" s="38">
        <v>1</v>
      </c>
      <c r="H317" s="54">
        <v>5000</v>
      </c>
      <c r="I317" s="53">
        <v>0</v>
      </c>
      <c r="J317" s="54">
        <v>5000</v>
      </c>
      <c r="K317" s="54">
        <v>5000</v>
      </c>
      <c r="M317" s="45"/>
      <c r="N317" s="45"/>
      <c r="O317" s="45"/>
      <c r="P317" s="45"/>
      <c r="Q317" s="45"/>
      <c r="R317" s="45"/>
      <c r="S317" s="45"/>
      <c r="T317" s="45"/>
      <c r="U317" s="45"/>
      <c r="V317" s="45"/>
      <c r="W317" s="45"/>
      <c r="X317" s="45"/>
      <c r="Y317" s="45"/>
      <c r="Z317" s="56"/>
    </row>
    <row r="318" spans="1:26">
      <c r="A318" s="9" t="s">
        <v>839</v>
      </c>
      <c r="B318" s="40" t="s">
        <v>840</v>
      </c>
      <c r="C318" s="40" t="s">
        <v>216</v>
      </c>
      <c r="D318" s="40"/>
      <c r="E318" s="40" t="s">
        <v>231</v>
      </c>
      <c r="F318" s="40"/>
      <c r="G318" s="38"/>
      <c r="H318" s="54"/>
      <c r="I318" s="53">
        <v>0</v>
      </c>
      <c r="J318" s="54">
        <v>0</v>
      </c>
      <c r="K318" s="54">
        <v>0</v>
      </c>
      <c r="M318" s="45"/>
      <c r="N318" s="45"/>
      <c r="O318" s="45"/>
      <c r="P318" s="45"/>
      <c r="Q318" s="45"/>
      <c r="R318" s="45"/>
      <c r="S318" s="45"/>
      <c r="T318" s="45"/>
      <c r="U318" s="45"/>
      <c r="V318" s="45"/>
      <c r="W318" s="45"/>
      <c r="X318" s="45"/>
      <c r="Y318" s="45"/>
      <c r="Z318" s="56"/>
    </row>
    <row r="319" spans="1:26">
      <c r="A319" s="7" t="s">
        <v>841</v>
      </c>
      <c r="B319" s="40" t="s">
        <v>842</v>
      </c>
      <c r="C319" s="40" t="s">
        <v>216</v>
      </c>
      <c r="D319" s="40"/>
      <c r="E319" s="40" t="s">
        <v>73</v>
      </c>
      <c r="F319" s="40" t="s">
        <v>71</v>
      </c>
      <c r="G319" s="38">
        <v>1</v>
      </c>
      <c r="H319" s="54">
        <v>1000000</v>
      </c>
      <c r="I319" s="53">
        <v>0</v>
      </c>
      <c r="J319" s="54">
        <v>1000000</v>
      </c>
      <c r="K319" s="54">
        <v>1000000</v>
      </c>
      <c r="M319" s="45"/>
      <c r="N319" s="45"/>
      <c r="O319" s="45"/>
      <c r="P319" s="45"/>
      <c r="Q319" s="45"/>
      <c r="R319" s="45"/>
      <c r="S319" s="45"/>
      <c r="T319" s="45"/>
      <c r="U319" s="45"/>
      <c r="V319" s="45"/>
      <c r="W319" s="45"/>
      <c r="X319" s="45"/>
      <c r="Y319" s="45"/>
      <c r="Z319" s="56"/>
    </row>
    <row r="320" spans="1:26">
      <c r="A320" s="7" t="s">
        <v>843</v>
      </c>
      <c r="B320" s="40" t="s">
        <v>844</v>
      </c>
      <c r="C320" s="40" t="s">
        <v>216</v>
      </c>
      <c r="D320" s="40"/>
      <c r="E320" s="40" t="s">
        <v>733</v>
      </c>
      <c r="F320" s="40" t="s">
        <v>71</v>
      </c>
      <c r="G320" s="38">
        <v>1</v>
      </c>
      <c r="H320" s="54">
        <v>200000</v>
      </c>
      <c r="I320" s="53">
        <v>0</v>
      </c>
      <c r="J320" s="54">
        <v>200000</v>
      </c>
      <c r="K320" s="54">
        <v>200000</v>
      </c>
      <c r="M320" s="45" t="s">
        <v>845</v>
      </c>
      <c r="N320" s="45"/>
      <c r="O320" s="45"/>
      <c r="P320" s="45"/>
      <c r="Q320" s="45"/>
      <c r="R320" s="45"/>
      <c r="S320" s="45"/>
      <c r="T320" s="45"/>
      <c r="U320" s="45"/>
      <c r="V320" s="45"/>
      <c r="W320" s="45"/>
      <c r="X320" s="45"/>
      <c r="Y320" s="45"/>
      <c r="Z320" s="56"/>
    </row>
    <row r="321" spans="1:26">
      <c r="A321" s="9" t="s">
        <v>846</v>
      </c>
      <c r="B321" s="40" t="s">
        <v>630</v>
      </c>
      <c r="C321" s="40" t="s">
        <v>216</v>
      </c>
      <c r="D321" s="40"/>
      <c r="E321" s="40" t="s">
        <v>73</v>
      </c>
      <c r="F321" s="40" t="s">
        <v>71</v>
      </c>
      <c r="G321" s="38">
        <v>1</v>
      </c>
      <c r="H321" s="54">
        <v>25000</v>
      </c>
      <c r="I321" s="53">
        <v>0</v>
      </c>
      <c r="J321" s="54">
        <v>25000</v>
      </c>
      <c r="K321" s="54">
        <v>25000</v>
      </c>
      <c r="M321" s="45"/>
      <c r="N321" s="45"/>
      <c r="O321" s="45"/>
      <c r="P321" s="45"/>
      <c r="Q321" s="45"/>
      <c r="R321" s="45"/>
      <c r="S321" s="45"/>
      <c r="T321" s="45"/>
      <c r="U321" s="45"/>
      <c r="V321" s="45"/>
      <c r="W321" s="45"/>
      <c r="X321" s="45"/>
      <c r="Y321" s="45"/>
      <c r="Z321" s="56"/>
    </row>
    <row r="322" spans="1:26">
      <c r="A322" s="9" t="s">
        <v>847</v>
      </c>
      <c r="B322" s="40" t="s">
        <v>848</v>
      </c>
      <c r="C322" s="40" t="s">
        <v>216</v>
      </c>
      <c r="D322" s="40"/>
      <c r="E322" s="40" t="s">
        <v>73</v>
      </c>
      <c r="F322" s="40" t="s">
        <v>71</v>
      </c>
      <c r="G322" s="38">
        <v>1</v>
      </c>
      <c r="H322" s="54">
        <v>2500</v>
      </c>
      <c r="I322" s="53">
        <v>0</v>
      </c>
      <c r="J322" s="54">
        <v>2500</v>
      </c>
      <c r="K322" s="54">
        <v>2500</v>
      </c>
      <c r="M322" s="45"/>
      <c r="N322" s="45"/>
      <c r="O322" s="45"/>
      <c r="P322" s="45"/>
      <c r="Q322" s="45"/>
      <c r="R322" s="45"/>
      <c r="S322" s="45"/>
      <c r="T322" s="45"/>
      <c r="U322" s="45"/>
      <c r="V322" s="45"/>
      <c r="W322" s="45"/>
      <c r="X322" s="45"/>
      <c r="Y322" s="45"/>
      <c r="Z322" s="56"/>
    </row>
    <row r="323" spans="1:26">
      <c r="A323" s="9" t="s">
        <v>849</v>
      </c>
      <c r="B323" s="40" t="s">
        <v>850</v>
      </c>
      <c r="C323" s="40" t="s">
        <v>216</v>
      </c>
      <c r="D323" s="40"/>
      <c r="E323" s="40" t="s">
        <v>73</v>
      </c>
      <c r="F323" s="40" t="s">
        <v>71</v>
      </c>
      <c r="G323" s="38">
        <v>2</v>
      </c>
      <c r="H323" s="54">
        <v>1500</v>
      </c>
      <c r="I323" s="53">
        <v>0</v>
      </c>
      <c r="J323" s="54">
        <v>1500</v>
      </c>
      <c r="K323" s="54">
        <v>3000</v>
      </c>
      <c r="M323" s="45"/>
      <c r="N323" s="45"/>
      <c r="O323" s="45"/>
      <c r="P323" s="45"/>
      <c r="Q323" s="45"/>
      <c r="R323" s="45"/>
      <c r="S323" s="45"/>
      <c r="T323" s="45"/>
      <c r="U323" s="45"/>
      <c r="V323" s="45"/>
      <c r="W323" s="45"/>
      <c r="X323" s="45"/>
      <c r="Y323" s="45"/>
      <c r="Z323" s="56"/>
    </row>
    <row r="324" spans="1:26">
      <c r="A324" s="4" t="s">
        <v>851</v>
      </c>
      <c r="B324" s="151" t="s">
        <v>852</v>
      </c>
      <c r="C324" s="151"/>
      <c r="D324" s="151"/>
      <c r="E324" s="151"/>
      <c r="F324" s="151"/>
      <c r="G324" s="152"/>
      <c r="H324" s="153"/>
      <c r="I324" s="154"/>
      <c r="J324" s="153"/>
      <c r="K324" s="172"/>
      <c r="L324" s="70">
        <v>3849810.3029161878</v>
      </c>
      <c r="M324" s="45"/>
      <c r="N324" s="45"/>
      <c r="O324" s="45"/>
      <c r="P324" s="45"/>
      <c r="Q324" s="45"/>
      <c r="R324" s="45"/>
      <c r="S324" s="45"/>
      <c r="T324" s="45"/>
      <c r="U324" s="45"/>
      <c r="V324" s="45"/>
      <c r="W324" s="45"/>
      <c r="X324" s="45"/>
      <c r="Y324" s="45"/>
      <c r="Z324" s="56"/>
    </row>
    <row r="325" spans="1:26">
      <c r="A325" s="5" t="s">
        <v>851</v>
      </c>
      <c r="B325" s="65" t="s">
        <v>853</v>
      </c>
      <c r="C325" s="65"/>
      <c r="D325" s="65"/>
      <c r="E325" s="65"/>
      <c r="F325" s="65"/>
      <c r="G325" s="186">
        <v>0.06</v>
      </c>
      <c r="H325" s="64"/>
      <c r="I325" s="157"/>
      <c r="J325" s="158"/>
      <c r="K325" s="159">
        <v>3849810.3029161878</v>
      </c>
      <c r="M325" s="45" t="s">
        <v>854</v>
      </c>
      <c r="N325" s="45"/>
      <c r="O325" s="45"/>
      <c r="P325" s="45"/>
      <c r="Q325" s="45"/>
      <c r="R325" s="45"/>
      <c r="S325" s="45"/>
      <c r="T325" s="45"/>
      <c r="U325" s="45"/>
      <c r="V325" s="45"/>
      <c r="W325" s="45"/>
      <c r="X325" s="45"/>
      <c r="Y325" s="45"/>
      <c r="Z325" s="56"/>
    </row>
    <row r="326" spans="1:26">
      <c r="A326" s="4" t="s">
        <v>855</v>
      </c>
      <c r="B326" s="151" t="s">
        <v>856</v>
      </c>
      <c r="C326" s="151"/>
      <c r="D326" s="151"/>
      <c r="E326" s="151"/>
      <c r="F326" s="151"/>
      <c r="G326" s="152"/>
      <c r="H326" s="153"/>
      <c r="I326" s="154"/>
      <c r="J326" s="153"/>
      <c r="K326" s="172"/>
      <c r="L326" s="70">
        <v>705798.55553463439</v>
      </c>
      <c r="M326" s="45"/>
      <c r="N326" s="45"/>
      <c r="O326" s="45"/>
      <c r="P326" s="45"/>
      <c r="Q326" s="45"/>
      <c r="R326" s="45"/>
      <c r="S326" s="45"/>
      <c r="T326" s="45"/>
      <c r="U326" s="45"/>
      <c r="V326" s="45"/>
      <c r="W326" s="45"/>
      <c r="X326" s="45"/>
      <c r="Y326" s="45"/>
      <c r="Z326" s="56"/>
    </row>
    <row r="327" spans="1:26">
      <c r="A327" s="5" t="s">
        <v>855</v>
      </c>
      <c r="B327" s="65" t="s">
        <v>857</v>
      </c>
      <c r="C327" s="65" t="s">
        <v>858</v>
      </c>
      <c r="D327" s="65"/>
      <c r="E327" s="65"/>
      <c r="F327" s="65"/>
      <c r="G327" s="186">
        <v>1.0999999999999999E-2</v>
      </c>
      <c r="H327" s="64"/>
      <c r="I327" s="157"/>
      <c r="J327" s="158"/>
      <c r="K327" s="159">
        <v>705798.55553463439</v>
      </c>
      <c r="M327" s="45" t="s">
        <v>854</v>
      </c>
      <c r="N327" s="45"/>
      <c r="O327" s="45"/>
      <c r="P327" s="45"/>
      <c r="Q327" s="45"/>
      <c r="R327" s="45"/>
      <c r="S327" s="45"/>
      <c r="T327" s="45"/>
      <c r="U327" s="45"/>
      <c r="V327" s="45"/>
      <c r="W327" s="45"/>
      <c r="X327" s="45"/>
      <c r="Y327" s="45"/>
      <c r="Z327" s="56"/>
    </row>
    <row r="328" spans="1:26">
      <c r="A328" s="4" t="s">
        <v>859</v>
      </c>
      <c r="B328" s="151" t="s">
        <v>856</v>
      </c>
      <c r="C328" s="151"/>
      <c r="D328" s="151"/>
      <c r="E328" s="151"/>
      <c r="F328" s="151"/>
      <c r="G328" s="152"/>
      <c r="H328" s="153"/>
      <c r="I328" s="154"/>
      <c r="J328" s="153"/>
      <c r="K328" s="172"/>
      <c r="L328" s="70">
        <v>680000</v>
      </c>
      <c r="M328" s="45"/>
      <c r="N328" s="45"/>
      <c r="O328" s="45"/>
      <c r="P328" s="45"/>
      <c r="Q328" s="45"/>
      <c r="R328" s="45"/>
      <c r="S328" s="45"/>
      <c r="T328" s="45"/>
      <c r="U328" s="45"/>
      <c r="V328" s="45"/>
      <c r="W328" s="45"/>
      <c r="X328" s="45"/>
      <c r="Y328" s="45"/>
      <c r="Z328" s="56"/>
    </row>
    <row r="329" spans="1:26">
      <c r="A329" s="6" t="s">
        <v>860</v>
      </c>
      <c r="B329" s="47" t="s">
        <v>861</v>
      </c>
      <c r="C329" s="47"/>
      <c r="D329" s="47"/>
      <c r="E329" s="47"/>
      <c r="F329" s="47" t="s">
        <v>862</v>
      </c>
      <c r="G329" s="187">
        <v>3.03</v>
      </c>
      <c r="H329" s="61"/>
      <c r="I329" s="63"/>
      <c r="J329" s="66"/>
      <c r="K329" s="67">
        <v>350000</v>
      </c>
      <c r="M329" s="45" t="s">
        <v>854</v>
      </c>
      <c r="N329" s="45"/>
      <c r="O329" s="45"/>
      <c r="P329" s="45"/>
      <c r="Q329" s="45"/>
      <c r="R329" s="45"/>
      <c r="S329" s="45"/>
      <c r="T329" s="45"/>
      <c r="U329" s="45"/>
      <c r="V329" s="45"/>
      <c r="W329" s="45"/>
      <c r="X329" s="45"/>
      <c r="Y329" s="45"/>
      <c r="Z329" s="56"/>
    </row>
    <row r="330" spans="1:26">
      <c r="A330" s="9" t="s">
        <v>863</v>
      </c>
      <c r="B330" s="40" t="s">
        <v>861</v>
      </c>
      <c r="C330" s="40"/>
      <c r="D330" s="40"/>
      <c r="E330" s="40"/>
      <c r="F330" s="40" t="s">
        <v>864</v>
      </c>
      <c r="G330" s="53">
        <v>0.05</v>
      </c>
      <c r="H330" s="51"/>
      <c r="I330" s="53"/>
      <c r="J330" s="51"/>
      <c r="K330" s="54">
        <v>15000</v>
      </c>
      <c r="M330" s="45" t="s">
        <v>854</v>
      </c>
      <c r="N330" s="45"/>
      <c r="O330" s="45"/>
      <c r="P330" s="45"/>
      <c r="Q330" s="45"/>
      <c r="R330" s="45"/>
      <c r="S330" s="45"/>
      <c r="T330" s="45"/>
      <c r="U330" s="45"/>
      <c r="V330" s="45"/>
      <c r="W330" s="45"/>
      <c r="X330" s="45"/>
      <c r="Y330" s="45"/>
      <c r="Z330" s="56"/>
    </row>
    <row r="331" spans="1:26">
      <c r="A331" s="9" t="s">
        <v>865</v>
      </c>
      <c r="B331" s="40" t="s">
        <v>861</v>
      </c>
      <c r="C331" s="40"/>
      <c r="D331" s="40"/>
      <c r="E331" s="40"/>
      <c r="F331" s="40" t="s">
        <v>866</v>
      </c>
      <c r="G331" s="53">
        <v>0.95</v>
      </c>
      <c r="H331" s="51"/>
      <c r="I331" s="53"/>
      <c r="J331" s="51"/>
      <c r="K331" s="54">
        <v>315000</v>
      </c>
      <c r="M331" s="45" t="s">
        <v>854</v>
      </c>
      <c r="N331" s="45"/>
      <c r="O331" s="45"/>
      <c r="P331" s="45"/>
      <c r="Q331" s="45"/>
      <c r="R331" s="45"/>
      <c r="S331" s="45"/>
      <c r="T331" s="45"/>
      <c r="U331" s="45"/>
      <c r="V331" s="45"/>
      <c r="W331" s="45"/>
      <c r="X331" s="45"/>
      <c r="Y331" s="45"/>
      <c r="Z331" s="56"/>
    </row>
    <row r="332" spans="1:26">
      <c r="A332" s="4" t="s">
        <v>867</v>
      </c>
      <c r="B332" s="151" t="s">
        <v>868</v>
      </c>
      <c r="C332" s="151"/>
      <c r="D332" s="151"/>
      <c r="E332" s="151"/>
      <c r="F332" s="151"/>
      <c r="G332" s="152"/>
      <c r="H332" s="153"/>
      <c r="I332" s="154"/>
      <c r="J332" s="153"/>
      <c r="K332" s="172"/>
      <c r="L332" s="70">
        <v>5344317.6596087851</v>
      </c>
      <c r="M332" s="45"/>
      <c r="N332" s="45"/>
      <c r="O332" s="45"/>
      <c r="P332" s="45"/>
      <c r="Q332" s="45"/>
      <c r="R332" s="45"/>
      <c r="S332" s="45"/>
      <c r="T332" s="45"/>
      <c r="U332" s="45"/>
      <c r="V332" s="45"/>
      <c r="W332" s="45"/>
      <c r="X332" s="45"/>
      <c r="Y332" s="45"/>
      <c r="Z332" s="56"/>
    </row>
    <row r="333" spans="1:26">
      <c r="A333" s="3" t="s">
        <v>869</v>
      </c>
      <c r="B333" s="60" t="s">
        <v>868</v>
      </c>
      <c r="C333" s="60"/>
      <c r="D333" s="60"/>
      <c r="E333" s="60"/>
      <c r="F333" s="60"/>
      <c r="G333" s="188">
        <v>0.02</v>
      </c>
      <c r="H333" s="147"/>
      <c r="I333" s="148"/>
      <c r="J333" s="149"/>
      <c r="K333" s="150">
        <v>1336079.4149021965</v>
      </c>
      <c r="M333" s="45"/>
      <c r="N333" s="45"/>
      <c r="O333" s="45"/>
      <c r="P333" s="45"/>
      <c r="Q333" s="45"/>
      <c r="R333" s="45"/>
      <c r="S333" s="45"/>
      <c r="T333" s="45"/>
      <c r="U333" s="45"/>
      <c r="V333" s="45"/>
      <c r="W333" s="45"/>
      <c r="X333" s="45"/>
      <c r="Y333" s="45"/>
      <c r="Z333" s="56"/>
    </row>
    <row r="334" spans="1:26">
      <c r="A334" s="3" t="s">
        <v>867</v>
      </c>
      <c r="B334" s="60" t="s">
        <v>868</v>
      </c>
      <c r="C334" s="60"/>
      <c r="D334" s="60"/>
      <c r="E334" s="60"/>
      <c r="F334" s="60"/>
      <c r="G334" s="188">
        <v>0.06</v>
      </c>
      <c r="H334" s="147"/>
      <c r="I334" s="148"/>
      <c r="J334" s="149"/>
      <c r="K334" s="150">
        <v>4008238.2447065888</v>
      </c>
      <c r="M334" s="45"/>
      <c r="N334" s="45"/>
      <c r="O334" s="45"/>
      <c r="P334" s="45"/>
      <c r="Q334" s="45"/>
      <c r="R334" s="45"/>
      <c r="S334" s="45"/>
      <c r="T334" s="45"/>
      <c r="U334" s="45"/>
      <c r="V334" s="45"/>
      <c r="W334" s="45"/>
      <c r="X334" s="45"/>
      <c r="Y334" s="45"/>
      <c r="Z334" s="56"/>
    </row>
    <row r="335" spans="1:26" ht="15" thickBot="1">
      <c r="A335" s="16" t="s">
        <v>870</v>
      </c>
      <c r="B335" s="17"/>
      <c r="C335" s="17"/>
      <c r="D335" s="17"/>
      <c r="E335" s="17"/>
      <c r="F335" s="17"/>
      <c r="G335" s="17"/>
      <c r="H335" s="18"/>
      <c r="I335" s="19"/>
      <c r="J335" s="20"/>
      <c r="K335" s="20"/>
      <c r="L335" s="21">
        <v>79847909.010550961</v>
      </c>
      <c r="M335" s="15"/>
      <c r="N335" s="15"/>
      <c r="O335" s="15"/>
      <c r="P335" s="15"/>
      <c r="Q335" s="15"/>
      <c r="R335" s="15"/>
      <c r="S335" s="15"/>
      <c r="T335" s="15"/>
      <c r="U335" s="15"/>
      <c r="V335" s="15"/>
      <c r="W335" s="15"/>
      <c r="X335" s="15"/>
      <c r="Y335" s="15"/>
      <c r="Z335" s="56"/>
    </row>
    <row r="336" spans="1:26" ht="15" thickBot="1">
      <c r="G336" s="56"/>
      <c r="H336" s="56"/>
      <c r="I336" s="189"/>
      <c r="L336" s="190">
        <f>SUM(K20:K335)-L335</f>
        <v>0</v>
      </c>
      <c r="M336" s="190"/>
    </row>
    <row r="337" spans="1:17">
      <c r="A337" s="10" t="s">
        <v>214</v>
      </c>
      <c r="B337" s="88" t="s">
        <v>215</v>
      </c>
      <c r="C337" s="88"/>
      <c r="D337" s="88"/>
      <c r="E337" s="191">
        <f t="shared" ref="E337:E372" si="1">_xlfn.XLOOKUP(A337,$A$20:$A$335,$L$20:$L$335)</f>
        <v>3849810.3029161878</v>
      </c>
      <c r="P337" s="161" t="s">
        <v>871</v>
      </c>
      <c r="Q337" s="92"/>
    </row>
    <row r="338" spans="1:17">
      <c r="A338" s="11" t="s">
        <v>219</v>
      </c>
      <c r="B338" s="86" t="s">
        <v>220</v>
      </c>
      <c r="C338" s="86"/>
      <c r="D338" s="86"/>
      <c r="E338" s="192">
        <f t="shared" si="1"/>
        <v>12000</v>
      </c>
      <c r="P338" s="196">
        <f>SUM(K309:K323,K23:K305)</f>
        <v>64163505.048603132</v>
      </c>
      <c r="Q338" s="96"/>
    </row>
    <row r="339" spans="1:17">
      <c r="A339" s="11" t="s">
        <v>224</v>
      </c>
      <c r="B339" s="86" t="s">
        <v>225</v>
      </c>
      <c r="C339" s="86"/>
      <c r="D339" s="86"/>
      <c r="E339" s="192">
        <f t="shared" si="1"/>
        <v>2546599.198062331</v>
      </c>
      <c r="K339" s="194"/>
      <c r="L339" s="190"/>
      <c r="M339" s="200"/>
      <c r="P339" s="196">
        <f>P338*G325</f>
        <v>3849810.3029161878</v>
      </c>
      <c r="Q339" s="96"/>
    </row>
    <row r="340" spans="1:17" ht="15" thickBot="1">
      <c r="A340" s="11" t="s">
        <v>259</v>
      </c>
      <c r="B340" s="86" t="s">
        <v>260</v>
      </c>
      <c r="C340" s="86"/>
      <c r="D340" s="86"/>
      <c r="E340" s="192">
        <f t="shared" si="1"/>
        <v>0</v>
      </c>
      <c r="L340" s="358"/>
      <c r="P340" s="197">
        <f>P339/B6</f>
        <v>148069.62703523799</v>
      </c>
      <c r="Q340" s="139"/>
    </row>
    <row r="341" spans="1:17">
      <c r="A341" s="11" t="s">
        <v>269</v>
      </c>
      <c r="B341" s="86" t="s">
        <v>270</v>
      </c>
      <c r="C341" s="86"/>
      <c r="D341" s="86"/>
      <c r="E341" s="192">
        <f t="shared" si="1"/>
        <v>275600</v>
      </c>
      <c r="L341" s="190"/>
    </row>
    <row r="342" spans="1:17">
      <c r="A342" s="11" t="s">
        <v>284</v>
      </c>
      <c r="B342" s="86" t="s">
        <v>285</v>
      </c>
      <c r="C342" s="86"/>
      <c r="D342" s="86"/>
      <c r="E342" s="192">
        <f t="shared" si="1"/>
        <v>609026.97560000001</v>
      </c>
      <c r="L342" s="190"/>
    </row>
    <row r="343" spans="1:17">
      <c r="A343" s="11" t="s">
        <v>305</v>
      </c>
      <c r="B343" s="86" t="s">
        <v>306</v>
      </c>
      <c r="C343" s="86"/>
      <c r="D343" s="86"/>
      <c r="E343" s="192">
        <f t="shared" si="1"/>
        <v>9324491</v>
      </c>
      <c r="L343" s="190"/>
    </row>
    <row r="344" spans="1:17">
      <c r="A344" s="11" t="s">
        <v>335</v>
      </c>
      <c r="B344" s="86" t="s">
        <v>336</v>
      </c>
      <c r="C344" s="86"/>
      <c r="D344" s="86"/>
      <c r="E344" s="192">
        <f t="shared" si="1"/>
        <v>2237303.7714999998</v>
      </c>
      <c r="L344" s="112"/>
    </row>
    <row r="345" spans="1:17">
      <c r="A345" s="11" t="s">
        <v>362</v>
      </c>
      <c r="B345" s="86" t="s">
        <v>363</v>
      </c>
      <c r="C345" s="86"/>
      <c r="D345" s="86"/>
      <c r="E345" s="192">
        <f t="shared" si="1"/>
        <v>690619</v>
      </c>
      <c r="L345" s="112"/>
    </row>
    <row r="346" spans="1:17">
      <c r="A346" s="11" t="s">
        <v>391</v>
      </c>
      <c r="B346" s="86" t="s">
        <v>392</v>
      </c>
      <c r="C346" s="86"/>
      <c r="D346" s="86"/>
      <c r="E346" s="192">
        <f t="shared" si="1"/>
        <v>6934652.5816400005</v>
      </c>
      <c r="K346" s="194"/>
      <c r="L346" s="112"/>
    </row>
    <row r="347" spans="1:17">
      <c r="A347" s="11" t="s">
        <v>467</v>
      </c>
      <c r="B347" s="86" t="s">
        <v>468</v>
      </c>
      <c r="C347" s="86"/>
      <c r="D347" s="86"/>
      <c r="E347" s="192">
        <f t="shared" si="1"/>
        <v>700376.28717948718</v>
      </c>
      <c r="K347" s="194"/>
      <c r="L347" s="112"/>
    </row>
    <row r="348" spans="1:17">
      <c r="A348" s="13" t="s">
        <v>505</v>
      </c>
      <c r="B348" s="101" t="s">
        <v>506</v>
      </c>
      <c r="C348" s="101"/>
      <c r="D348" s="101"/>
      <c r="E348" s="193">
        <f t="shared" si="1"/>
        <v>1385515</v>
      </c>
      <c r="K348" s="194"/>
      <c r="L348" s="112"/>
    </row>
    <row r="349" spans="1:17">
      <c r="A349" s="10" t="s">
        <v>510</v>
      </c>
      <c r="B349" s="88" t="s">
        <v>511</v>
      </c>
      <c r="C349" s="88"/>
      <c r="D349" s="88"/>
      <c r="E349" s="191">
        <f t="shared" si="1"/>
        <v>2369433.4150845585</v>
      </c>
      <c r="L349" s="112"/>
    </row>
    <row r="350" spans="1:17">
      <c r="A350" s="11" t="s">
        <v>534</v>
      </c>
      <c r="B350" s="86" t="s">
        <v>535</v>
      </c>
      <c r="C350" s="86"/>
      <c r="D350" s="86"/>
      <c r="E350" s="192">
        <f t="shared" si="1"/>
        <v>1134489</v>
      </c>
    </row>
    <row r="351" spans="1:17">
      <c r="A351" s="11" t="s">
        <v>546</v>
      </c>
      <c r="B351" s="86" t="s">
        <v>545</v>
      </c>
      <c r="C351" s="86"/>
      <c r="D351" s="86"/>
      <c r="E351" s="192">
        <f t="shared" si="1"/>
        <v>0</v>
      </c>
      <c r="L351" s="190"/>
    </row>
    <row r="352" spans="1:17">
      <c r="A352" s="11" t="s">
        <v>547</v>
      </c>
      <c r="B352" s="86" t="s">
        <v>548</v>
      </c>
      <c r="C352" s="86"/>
      <c r="D352" s="86"/>
      <c r="E352" s="192">
        <f t="shared" si="1"/>
        <v>508000</v>
      </c>
      <c r="L352" s="112"/>
    </row>
    <row r="353" spans="1:12">
      <c r="A353" s="11" t="s">
        <v>556</v>
      </c>
      <c r="B353" s="86" t="s">
        <v>557</v>
      </c>
      <c r="C353" s="86"/>
      <c r="D353" s="86"/>
      <c r="E353" s="192">
        <f t="shared" si="1"/>
        <v>1322806.25</v>
      </c>
    </row>
    <row r="354" spans="1:12">
      <c r="A354" s="11" t="s">
        <v>564</v>
      </c>
      <c r="B354" s="86" t="s">
        <v>565</v>
      </c>
      <c r="C354" s="86"/>
      <c r="D354" s="86"/>
      <c r="E354" s="192">
        <f t="shared" si="1"/>
        <v>4783145.5</v>
      </c>
      <c r="L354" s="112"/>
    </row>
    <row r="355" spans="1:12">
      <c r="A355" s="11" t="s">
        <v>577</v>
      </c>
      <c r="B355" s="86" t="s">
        <v>578</v>
      </c>
      <c r="C355" s="86"/>
      <c r="D355" s="86"/>
      <c r="E355" s="192">
        <f t="shared" si="1"/>
        <v>3866250</v>
      </c>
    </row>
    <row r="356" spans="1:12">
      <c r="A356" s="11" t="s">
        <v>587</v>
      </c>
      <c r="B356" s="86" t="s">
        <v>588</v>
      </c>
      <c r="C356" s="86"/>
      <c r="D356" s="86"/>
      <c r="E356" s="192">
        <f t="shared" si="1"/>
        <v>5287886.1000000006</v>
      </c>
    </row>
    <row r="357" spans="1:12">
      <c r="A357" s="11" t="s">
        <v>627</v>
      </c>
      <c r="B357" s="86" t="s">
        <v>628</v>
      </c>
      <c r="C357" s="86"/>
      <c r="D357" s="86"/>
      <c r="E357" s="192">
        <f t="shared" si="1"/>
        <v>253754.65</v>
      </c>
    </row>
    <row r="358" spans="1:12">
      <c r="A358" s="11" t="s">
        <v>636</v>
      </c>
      <c r="B358" s="86" t="s">
        <v>637</v>
      </c>
      <c r="C358" s="86"/>
      <c r="D358" s="86"/>
      <c r="E358" s="192">
        <f t="shared" si="1"/>
        <v>1349898.75</v>
      </c>
    </row>
    <row r="359" spans="1:12">
      <c r="A359" s="11" t="s">
        <v>644</v>
      </c>
      <c r="B359" s="86" t="s">
        <v>645</v>
      </c>
      <c r="C359" s="86"/>
      <c r="D359" s="86"/>
      <c r="E359" s="192">
        <f t="shared" si="1"/>
        <v>1455055.4581000002</v>
      </c>
    </row>
    <row r="360" spans="1:12">
      <c r="A360" s="13" t="s">
        <v>666</v>
      </c>
      <c r="B360" s="101" t="s">
        <v>667</v>
      </c>
      <c r="C360" s="101"/>
      <c r="D360" s="101"/>
      <c r="E360" s="193">
        <f t="shared" si="1"/>
        <v>7622826.8914367436</v>
      </c>
    </row>
    <row r="361" spans="1:12">
      <c r="A361" s="10" t="s">
        <v>738</v>
      </c>
      <c r="B361" s="88" t="s">
        <v>739</v>
      </c>
      <c r="C361" s="88"/>
      <c r="D361" s="88"/>
      <c r="E361" s="191">
        <f t="shared" si="1"/>
        <v>7092245.0699999984</v>
      </c>
    </row>
    <row r="362" spans="1:12">
      <c r="A362" s="11" t="s">
        <v>774</v>
      </c>
      <c r="B362" s="86" t="s">
        <v>775</v>
      </c>
      <c r="C362" s="86"/>
      <c r="D362" s="86"/>
      <c r="E362" s="192">
        <f t="shared" si="1"/>
        <v>15000</v>
      </c>
    </row>
    <row r="363" spans="1:12">
      <c r="A363" s="11" t="s">
        <v>778</v>
      </c>
      <c r="B363" s="86" t="s">
        <v>779</v>
      </c>
      <c r="C363" s="86"/>
      <c r="D363" s="86"/>
      <c r="E363" s="192">
        <f t="shared" si="1"/>
        <v>469750</v>
      </c>
    </row>
    <row r="364" spans="1:12">
      <c r="A364" s="11" t="s">
        <v>788</v>
      </c>
      <c r="B364" s="86" t="s">
        <v>789</v>
      </c>
      <c r="C364" s="86"/>
      <c r="D364" s="86"/>
      <c r="E364" s="192">
        <f t="shared" si="1"/>
        <v>486632.15</v>
      </c>
    </row>
    <row r="365" spans="1:12">
      <c r="A365" s="11" t="s">
        <v>809</v>
      </c>
      <c r="B365" s="86"/>
      <c r="C365" s="86"/>
      <c r="D365" s="86"/>
      <c r="E365" s="192">
        <f t="shared" si="1"/>
        <v>0</v>
      </c>
    </row>
    <row r="366" spans="1:12">
      <c r="A366" s="11" t="s">
        <v>817</v>
      </c>
      <c r="B366" s="86"/>
      <c r="C366" s="86"/>
      <c r="D366" s="86"/>
      <c r="E366" s="192">
        <f t="shared" si="1"/>
        <v>1254667.1409720625</v>
      </c>
    </row>
    <row r="367" spans="1:12">
      <c r="A367" s="11" t="s">
        <v>820</v>
      </c>
      <c r="B367" s="86"/>
      <c r="C367" s="86"/>
      <c r="D367" s="86"/>
      <c r="E367" s="192">
        <f t="shared" si="1"/>
        <v>1430148</v>
      </c>
    </row>
    <row r="368" spans="1:12">
      <c r="A368" s="11" t="s">
        <v>851</v>
      </c>
      <c r="B368" s="86" t="s">
        <v>852</v>
      </c>
      <c r="C368" s="86"/>
      <c r="D368" s="86"/>
      <c r="E368" s="192">
        <f t="shared" si="1"/>
        <v>3849810.3029161878</v>
      </c>
    </row>
    <row r="369" spans="1:6">
      <c r="A369" s="11" t="s">
        <v>855</v>
      </c>
      <c r="B369" s="86" t="s">
        <v>856</v>
      </c>
      <c r="C369" s="86"/>
      <c r="D369" s="86"/>
      <c r="E369" s="192">
        <f t="shared" si="1"/>
        <v>705798.55553463439</v>
      </c>
    </row>
    <row r="370" spans="1:6">
      <c r="A370" s="11" t="s">
        <v>859</v>
      </c>
      <c r="B370" s="86" t="s">
        <v>856</v>
      </c>
      <c r="C370" s="86"/>
      <c r="D370" s="86"/>
      <c r="E370" s="192">
        <f t="shared" si="1"/>
        <v>680000</v>
      </c>
    </row>
    <row r="371" spans="1:6">
      <c r="A371" s="11" t="s">
        <v>867</v>
      </c>
      <c r="B371" s="86" t="s">
        <v>868</v>
      </c>
      <c r="C371" s="86"/>
      <c r="D371" s="86"/>
      <c r="E371" s="192">
        <f t="shared" si="1"/>
        <v>5344317.6596087851</v>
      </c>
    </row>
    <row r="372" spans="1:6">
      <c r="A372" s="12" t="s">
        <v>870</v>
      </c>
      <c r="B372" s="101"/>
      <c r="C372" s="101"/>
      <c r="D372" s="101"/>
      <c r="E372" s="193">
        <f t="shared" si="1"/>
        <v>79847909.010550961</v>
      </c>
    </row>
    <row r="373" spans="1:6">
      <c r="B373" s="55"/>
      <c r="C373" s="55"/>
      <c r="D373" s="55"/>
      <c r="E373" s="194">
        <f>SUM(E337:E348,E349:E360,E361:E371)-E372</f>
        <v>0</v>
      </c>
    </row>
    <row r="377" spans="1:6">
      <c r="F377" s="23" t="s">
        <v>203</v>
      </c>
    </row>
    <row r="378" spans="1:6">
      <c r="A378" s="14"/>
      <c r="B378" s="22"/>
      <c r="C378" s="22"/>
      <c r="D378" s="22"/>
      <c r="E378" s="22"/>
      <c r="F378" s="23" t="s">
        <v>119</v>
      </c>
    </row>
    <row r="379" spans="1:6">
      <c r="A379" s="14" t="s">
        <v>872</v>
      </c>
      <c r="B379" s="22" t="s">
        <v>215</v>
      </c>
      <c r="C379" s="22"/>
      <c r="D379" s="22"/>
      <c r="E379" s="22"/>
      <c r="F379" s="24">
        <f t="shared" ref="F379:F409" si="2">SUMIF($B$20:$B$335,B379,$L$20:$L$335)</f>
        <v>3849810.3029161878</v>
      </c>
    </row>
    <row r="380" spans="1:6">
      <c r="A380" s="14" t="s">
        <v>873</v>
      </c>
      <c r="B380" s="22" t="s">
        <v>220</v>
      </c>
      <c r="C380" s="22"/>
      <c r="D380" s="22"/>
      <c r="E380" s="22"/>
      <c r="F380" s="24">
        <f t="shared" si="2"/>
        <v>12000</v>
      </c>
    </row>
    <row r="381" spans="1:6">
      <c r="A381" s="14" t="s">
        <v>874</v>
      </c>
      <c r="B381" s="22" t="s">
        <v>225</v>
      </c>
      <c r="C381" s="22"/>
      <c r="D381" s="22"/>
      <c r="E381" s="22"/>
      <c r="F381" s="24">
        <f t="shared" si="2"/>
        <v>2546599.198062331</v>
      </c>
    </row>
    <row r="382" spans="1:6">
      <c r="A382" s="14" t="s">
        <v>875</v>
      </c>
      <c r="B382" s="22" t="s">
        <v>270</v>
      </c>
      <c r="C382" s="22"/>
      <c r="D382" s="22"/>
      <c r="E382" s="22"/>
      <c r="F382" s="24">
        <f t="shared" si="2"/>
        <v>275600</v>
      </c>
    </row>
    <row r="383" spans="1:6">
      <c r="A383" s="14" t="s">
        <v>876</v>
      </c>
      <c r="B383" s="22" t="s">
        <v>285</v>
      </c>
      <c r="C383" s="22"/>
      <c r="D383" s="22"/>
      <c r="E383" s="22"/>
      <c r="F383" s="24">
        <f t="shared" si="2"/>
        <v>609026.97560000001</v>
      </c>
    </row>
    <row r="384" spans="1:6">
      <c r="A384" s="14" t="s">
        <v>877</v>
      </c>
      <c r="B384" s="22" t="s">
        <v>306</v>
      </c>
      <c r="C384" s="22"/>
      <c r="D384" s="22"/>
      <c r="E384" s="22"/>
      <c r="F384" s="24">
        <f t="shared" si="2"/>
        <v>9324491</v>
      </c>
    </row>
    <row r="385" spans="1:6">
      <c r="A385" s="14" t="s">
        <v>878</v>
      </c>
      <c r="B385" s="22" t="s">
        <v>336</v>
      </c>
      <c r="C385" s="22"/>
      <c r="D385" s="22"/>
      <c r="E385" s="22"/>
      <c r="F385" s="24">
        <f t="shared" si="2"/>
        <v>2237303.7714999998</v>
      </c>
    </row>
    <row r="386" spans="1:6">
      <c r="A386" s="14" t="s">
        <v>879</v>
      </c>
      <c r="B386" s="22" t="s">
        <v>363</v>
      </c>
      <c r="C386" s="22"/>
      <c r="D386" s="22"/>
      <c r="E386" s="22"/>
      <c r="F386" s="24">
        <f t="shared" si="2"/>
        <v>690619</v>
      </c>
    </row>
    <row r="387" spans="1:6">
      <c r="A387" s="14" t="s">
        <v>880</v>
      </c>
      <c r="B387" s="22" t="s">
        <v>392</v>
      </c>
      <c r="C387" s="22"/>
      <c r="D387" s="22"/>
      <c r="E387" s="22"/>
      <c r="F387" s="24">
        <f t="shared" si="2"/>
        <v>6934652.5816400005</v>
      </c>
    </row>
    <row r="388" spans="1:6">
      <c r="A388" s="14" t="s">
        <v>881</v>
      </c>
      <c r="B388" s="22" t="s">
        <v>468</v>
      </c>
      <c r="C388" s="22"/>
      <c r="D388" s="22"/>
      <c r="E388" s="22"/>
      <c r="F388" s="24">
        <f t="shared" si="2"/>
        <v>700376.28717948718</v>
      </c>
    </row>
    <row r="389" spans="1:6">
      <c r="A389" s="14" t="s">
        <v>882</v>
      </c>
      <c r="B389" s="22" t="s">
        <v>506</v>
      </c>
      <c r="C389" s="22"/>
      <c r="D389" s="22"/>
      <c r="E389" s="22"/>
      <c r="F389" s="24">
        <f t="shared" si="2"/>
        <v>1385515</v>
      </c>
    </row>
    <row r="390" spans="1:6">
      <c r="A390" s="14" t="s">
        <v>883</v>
      </c>
      <c r="B390" s="22" t="s">
        <v>511</v>
      </c>
      <c r="C390" s="22"/>
      <c r="D390" s="22"/>
      <c r="E390" s="22"/>
      <c r="F390" s="24">
        <f t="shared" si="2"/>
        <v>2369433.4150845585</v>
      </c>
    </row>
    <row r="391" spans="1:6">
      <c r="A391" s="14" t="s">
        <v>884</v>
      </c>
      <c r="B391" s="22" t="s">
        <v>535</v>
      </c>
      <c r="C391" s="22"/>
      <c r="D391" s="22"/>
      <c r="E391" s="22"/>
      <c r="F391" s="24">
        <f t="shared" si="2"/>
        <v>1134489</v>
      </c>
    </row>
    <row r="392" spans="1:6">
      <c r="A392" s="14" t="s">
        <v>885</v>
      </c>
      <c r="B392" s="22" t="s">
        <v>548</v>
      </c>
      <c r="C392" s="22"/>
      <c r="D392" s="22"/>
      <c r="E392" s="22"/>
      <c r="F392" s="24">
        <f t="shared" si="2"/>
        <v>508000</v>
      </c>
    </row>
    <row r="393" spans="1:6">
      <c r="A393" s="14" t="s">
        <v>886</v>
      </c>
      <c r="B393" s="22" t="s">
        <v>557</v>
      </c>
      <c r="C393" s="22"/>
      <c r="D393" s="22"/>
      <c r="E393" s="22"/>
      <c r="F393" s="24">
        <f t="shared" si="2"/>
        <v>1322806.25</v>
      </c>
    </row>
    <row r="394" spans="1:6">
      <c r="A394" s="14" t="s">
        <v>887</v>
      </c>
      <c r="B394" s="22" t="s">
        <v>565</v>
      </c>
      <c r="C394" s="22"/>
      <c r="D394" s="22"/>
      <c r="E394" s="22"/>
      <c r="F394" s="24">
        <f t="shared" si="2"/>
        <v>4783145.5</v>
      </c>
    </row>
    <row r="395" spans="1:6">
      <c r="A395" s="14" t="s">
        <v>888</v>
      </c>
      <c r="B395" s="22" t="s">
        <v>578</v>
      </c>
      <c r="C395" s="22"/>
      <c r="D395" s="22"/>
      <c r="E395" s="22"/>
      <c r="F395" s="24">
        <f t="shared" si="2"/>
        <v>3866250</v>
      </c>
    </row>
    <row r="396" spans="1:6">
      <c r="A396" s="14" t="s">
        <v>889</v>
      </c>
      <c r="B396" s="22" t="s">
        <v>588</v>
      </c>
      <c r="C396" s="22"/>
      <c r="D396" s="22"/>
      <c r="E396" s="22"/>
      <c r="F396" s="24">
        <f t="shared" si="2"/>
        <v>5287886.1000000006</v>
      </c>
    </row>
    <row r="397" spans="1:6">
      <c r="A397" s="14" t="s">
        <v>890</v>
      </c>
      <c r="B397" s="22" t="s">
        <v>628</v>
      </c>
      <c r="C397" s="22"/>
      <c r="D397" s="22"/>
      <c r="E397" s="22"/>
      <c r="F397" s="24">
        <f t="shared" si="2"/>
        <v>253754.65</v>
      </c>
    </row>
    <row r="398" spans="1:6">
      <c r="A398" s="14" t="s">
        <v>891</v>
      </c>
      <c r="B398" s="22" t="s">
        <v>637</v>
      </c>
      <c r="C398" s="22"/>
      <c r="D398" s="22"/>
      <c r="E398" s="22"/>
      <c r="F398" s="24">
        <f t="shared" si="2"/>
        <v>1349898.75</v>
      </c>
    </row>
    <row r="399" spans="1:6">
      <c r="A399" s="14" t="s">
        <v>892</v>
      </c>
      <c r="B399" s="22" t="s">
        <v>645</v>
      </c>
      <c r="C399" s="22"/>
      <c r="D399" s="22"/>
      <c r="E399" s="22"/>
      <c r="F399" s="24">
        <f t="shared" si="2"/>
        <v>1455055.4581000002</v>
      </c>
    </row>
    <row r="400" spans="1:6">
      <c r="A400" s="14" t="s">
        <v>893</v>
      </c>
      <c r="B400" s="22" t="s">
        <v>667</v>
      </c>
      <c r="C400" s="22"/>
      <c r="D400" s="22"/>
      <c r="E400" s="22"/>
      <c r="F400" s="24">
        <f t="shared" si="2"/>
        <v>7622826.8914367436</v>
      </c>
    </row>
    <row r="401" spans="1:7">
      <c r="A401" s="14" t="s">
        <v>894</v>
      </c>
      <c r="B401" s="22" t="s">
        <v>739</v>
      </c>
      <c r="C401" s="22"/>
      <c r="D401" s="22"/>
      <c r="E401" s="22"/>
      <c r="F401" s="24">
        <f t="shared" si="2"/>
        <v>7092245.0699999984</v>
      </c>
    </row>
    <row r="402" spans="1:7">
      <c r="A402" s="14" t="s">
        <v>895</v>
      </c>
      <c r="B402" s="22" t="s">
        <v>775</v>
      </c>
      <c r="C402" s="22"/>
      <c r="D402" s="22"/>
      <c r="E402" s="22"/>
      <c r="F402" s="24">
        <f t="shared" si="2"/>
        <v>15000</v>
      </c>
    </row>
    <row r="403" spans="1:7">
      <c r="A403" s="14" t="s">
        <v>896</v>
      </c>
      <c r="B403" s="22" t="s">
        <v>779</v>
      </c>
      <c r="C403" s="22"/>
      <c r="D403" s="22"/>
      <c r="E403" s="22"/>
      <c r="F403" s="24">
        <f t="shared" si="2"/>
        <v>469750</v>
      </c>
    </row>
    <row r="404" spans="1:7">
      <c r="A404" s="14" t="s">
        <v>897</v>
      </c>
      <c r="B404" s="22" t="s">
        <v>789</v>
      </c>
      <c r="C404" s="22"/>
      <c r="D404" s="22"/>
      <c r="E404" s="22"/>
      <c r="F404" s="24">
        <f t="shared" si="2"/>
        <v>486632.15</v>
      </c>
    </row>
    <row r="405" spans="1:7">
      <c r="A405" s="14" t="s">
        <v>817</v>
      </c>
      <c r="B405" s="22" t="s">
        <v>817</v>
      </c>
      <c r="C405" s="22"/>
      <c r="D405" s="22"/>
      <c r="E405" s="22"/>
      <c r="F405" s="24">
        <f t="shared" si="2"/>
        <v>1254667.1409720625</v>
      </c>
    </row>
    <row r="406" spans="1:7">
      <c r="A406" s="14" t="s">
        <v>821</v>
      </c>
      <c r="B406" s="22" t="s">
        <v>821</v>
      </c>
      <c r="C406" s="22"/>
      <c r="D406" s="22"/>
      <c r="E406" s="22"/>
      <c r="F406" s="24">
        <f t="shared" si="2"/>
        <v>1430148</v>
      </c>
    </row>
    <row r="407" spans="1:7">
      <c r="A407" s="14" t="s">
        <v>898</v>
      </c>
      <c r="B407" s="22" t="s">
        <v>856</v>
      </c>
      <c r="C407" s="22"/>
      <c r="D407" s="22"/>
      <c r="E407" s="22"/>
      <c r="F407" s="24">
        <f t="shared" si="2"/>
        <v>1385798.5555346343</v>
      </c>
    </row>
    <row r="408" spans="1:7">
      <c r="A408" s="14" t="s">
        <v>899</v>
      </c>
      <c r="B408" s="22" t="s">
        <v>852</v>
      </c>
      <c r="C408" s="22"/>
      <c r="D408" s="22"/>
      <c r="E408" s="22"/>
      <c r="F408" s="24">
        <f t="shared" si="2"/>
        <v>3849810.3029161878</v>
      </c>
    </row>
    <row r="409" spans="1:7">
      <c r="A409" s="14" t="s">
        <v>900</v>
      </c>
      <c r="B409" s="22" t="s">
        <v>868</v>
      </c>
      <c r="C409" s="22"/>
      <c r="D409" s="22"/>
      <c r="E409" s="22"/>
      <c r="F409" s="24">
        <f t="shared" si="2"/>
        <v>5344317.6596087851</v>
      </c>
    </row>
    <row r="410" spans="1:7">
      <c r="A410" s="14" t="s">
        <v>119</v>
      </c>
      <c r="B410" s="22"/>
      <c r="C410" s="22"/>
      <c r="D410" s="22"/>
      <c r="E410" s="22"/>
      <c r="F410" s="25">
        <f>SUM(F379:F409)</f>
        <v>79847909.010550961</v>
      </c>
    </row>
    <row r="411" spans="1:7">
      <c r="A411" s="26" t="s">
        <v>901</v>
      </c>
      <c r="B411" s="27"/>
      <c r="C411" s="27"/>
      <c r="D411" s="27"/>
      <c r="E411" s="27"/>
      <c r="F411" s="28">
        <f>$L$335-F410</f>
        <v>0</v>
      </c>
    </row>
    <row r="413" spans="1:7">
      <c r="A413" s="29" t="s">
        <v>902</v>
      </c>
      <c r="B413" s="22"/>
      <c r="C413" s="22"/>
      <c r="D413" s="22"/>
      <c r="E413" s="22"/>
      <c r="F413" s="22"/>
      <c r="G413" s="14"/>
    </row>
    <row r="414" spans="1:7">
      <c r="A414" s="29" t="s">
        <v>903</v>
      </c>
      <c r="B414" s="22"/>
      <c r="C414" s="22"/>
      <c r="D414" s="22"/>
      <c r="E414" s="22"/>
      <c r="F414" s="22"/>
      <c r="G414" s="14"/>
    </row>
    <row r="415" spans="1:7">
      <c r="A415" s="14" t="s">
        <v>431</v>
      </c>
      <c r="B415" s="22" t="s">
        <v>432</v>
      </c>
      <c r="C415" s="22"/>
      <c r="D415" s="22"/>
      <c r="E415" s="22"/>
      <c r="F415" s="24">
        <f t="shared" ref="F415:F425" si="3">SUMIF($B$20:$B$335,B415,$K$20:$K$335)</f>
        <v>597070.13</v>
      </c>
      <c r="G415" s="22" t="s">
        <v>392</v>
      </c>
    </row>
    <row r="416" spans="1:7">
      <c r="A416" s="14" t="s">
        <v>435</v>
      </c>
      <c r="B416" s="22" t="s">
        <v>436</v>
      </c>
      <c r="C416" s="22"/>
      <c r="D416" s="22"/>
      <c r="E416" s="22"/>
      <c r="F416" s="24">
        <f t="shared" si="3"/>
        <v>0</v>
      </c>
      <c r="G416" s="22" t="s">
        <v>392</v>
      </c>
    </row>
    <row r="417" spans="1:7">
      <c r="A417" s="14" t="s">
        <v>437</v>
      </c>
      <c r="B417" s="22" t="s">
        <v>438</v>
      </c>
      <c r="C417" s="22"/>
      <c r="D417" s="22"/>
      <c r="E417" s="22"/>
      <c r="F417" s="24">
        <f t="shared" si="3"/>
        <v>0</v>
      </c>
      <c r="G417" s="22" t="s">
        <v>392</v>
      </c>
    </row>
    <row r="418" spans="1:7">
      <c r="A418" s="14" t="s">
        <v>439</v>
      </c>
      <c r="B418" s="22" t="s">
        <v>440</v>
      </c>
      <c r="C418" s="22"/>
      <c r="D418" s="22"/>
      <c r="E418" s="22"/>
      <c r="F418" s="24">
        <f t="shared" si="3"/>
        <v>221606.95</v>
      </c>
      <c r="G418" s="22" t="s">
        <v>392</v>
      </c>
    </row>
    <row r="419" spans="1:7">
      <c r="A419" s="14" t="s">
        <v>441</v>
      </c>
      <c r="B419" s="22" t="s">
        <v>904</v>
      </c>
      <c r="C419" s="22"/>
      <c r="D419" s="22"/>
      <c r="E419" s="22"/>
      <c r="F419" s="24">
        <f t="shared" si="3"/>
        <v>0</v>
      </c>
      <c r="G419" s="22" t="s">
        <v>392</v>
      </c>
    </row>
    <row r="420" spans="1:7">
      <c r="A420" s="14" t="s">
        <v>442</v>
      </c>
      <c r="B420" s="22" t="s">
        <v>443</v>
      </c>
      <c r="C420" s="22"/>
      <c r="D420" s="22"/>
      <c r="E420" s="22"/>
      <c r="F420" s="24">
        <f t="shared" si="3"/>
        <v>0</v>
      </c>
      <c r="G420" s="22" t="s">
        <v>392</v>
      </c>
    </row>
    <row r="421" spans="1:7">
      <c r="A421" s="14" t="s">
        <v>444</v>
      </c>
      <c r="B421" s="22" t="s">
        <v>445</v>
      </c>
      <c r="C421" s="22"/>
      <c r="D421" s="22"/>
      <c r="E421" s="22"/>
      <c r="F421" s="24">
        <f t="shared" si="3"/>
        <v>0</v>
      </c>
      <c r="G421" s="22" t="s">
        <v>392</v>
      </c>
    </row>
    <row r="422" spans="1:7">
      <c r="A422" s="14" t="s">
        <v>905</v>
      </c>
      <c r="B422" s="22" t="s">
        <v>447</v>
      </c>
      <c r="C422" s="22"/>
      <c r="D422" s="22"/>
      <c r="E422" s="22"/>
      <c r="F422" s="24">
        <f t="shared" si="3"/>
        <v>44551.199999999997</v>
      </c>
      <c r="G422" s="22" t="s">
        <v>392</v>
      </c>
    </row>
    <row r="423" spans="1:7">
      <c r="A423" s="14" t="s">
        <v>906</v>
      </c>
      <c r="B423" s="22" t="s">
        <v>449</v>
      </c>
      <c r="C423" s="22"/>
      <c r="D423" s="22"/>
      <c r="E423" s="22"/>
      <c r="F423" s="24">
        <f t="shared" si="3"/>
        <v>41375</v>
      </c>
      <c r="G423" s="22" t="s">
        <v>392</v>
      </c>
    </row>
    <row r="424" spans="1:7">
      <c r="A424" s="14" t="s">
        <v>507</v>
      </c>
      <c r="B424" s="22" t="s">
        <v>508</v>
      </c>
      <c r="C424" s="22"/>
      <c r="D424" s="22"/>
      <c r="E424" s="22"/>
      <c r="F424" s="24">
        <f t="shared" si="3"/>
        <v>1385515</v>
      </c>
      <c r="G424" s="22" t="s">
        <v>506</v>
      </c>
    </row>
    <row r="425" spans="1:7" ht="16.149999999999999">
      <c r="A425" s="14" t="s">
        <v>513</v>
      </c>
      <c r="B425" s="22" t="s">
        <v>514</v>
      </c>
      <c r="C425" s="22"/>
      <c r="D425" s="22"/>
      <c r="E425" s="22"/>
      <c r="F425" s="30">
        <f t="shared" si="3"/>
        <v>170273.19587628869</v>
      </c>
      <c r="G425" s="22" t="s">
        <v>511</v>
      </c>
    </row>
    <row r="426" spans="1:7">
      <c r="A426" s="14" t="s">
        <v>907</v>
      </c>
      <c r="B426" s="22"/>
      <c r="C426" s="22"/>
      <c r="D426" s="22"/>
      <c r="E426" s="22"/>
      <c r="F426" s="25">
        <f>SUM(F415:F425)</f>
        <v>2460391.475876289</v>
      </c>
      <c r="G426" s="14"/>
    </row>
    <row r="427" spans="1:7">
      <c r="A427" s="14"/>
      <c r="B427" s="22"/>
      <c r="C427" s="22"/>
      <c r="D427" s="22"/>
      <c r="E427" s="22"/>
      <c r="F427" s="22"/>
      <c r="G427" s="14"/>
    </row>
    <row r="428" spans="1:7">
      <c r="A428" s="14"/>
      <c r="B428" s="22"/>
      <c r="C428" s="22"/>
      <c r="D428" s="22"/>
      <c r="E428" s="22"/>
      <c r="F428" s="14"/>
      <c r="G428" s="14"/>
    </row>
    <row r="429" spans="1:7">
      <c r="A429" s="29" t="s">
        <v>908</v>
      </c>
      <c r="B429" s="22"/>
      <c r="C429" s="22"/>
      <c r="D429" s="22"/>
      <c r="E429" s="22"/>
      <c r="F429" s="22"/>
      <c r="G429" s="14"/>
    </row>
    <row r="430" spans="1:7">
      <c r="A430" s="26" t="s">
        <v>909</v>
      </c>
      <c r="B430" s="22"/>
      <c r="C430" s="22"/>
      <c r="D430" s="22"/>
      <c r="E430" s="22"/>
      <c r="F430" s="22"/>
      <c r="G430" s="14"/>
    </row>
    <row r="431" spans="1:7">
      <c r="A431" s="14" t="s">
        <v>910</v>
      </c>
      <c r="B431" s="22">
        <v>2</v>
      </c>
      <c r="C431" s="22"/>
      <c r="D431" s="22"/>
      <c r="E431" s="22"/>
      <c r="F431" s="24">
        <f t="shared" ref="F431:F436" si="4">SUMIF($B$20:$B$335,B431,$L$20:$L$335)</f>
        <v>12000</v>
      </c>
      <c r="G431" s="14"/>
    </row>
    <row r="432" spans="1:7">
      <c r="A432" s="14" t="s">
        <v>911</v>
      </c>
      <c r="B432" s="22">
        <v>31</v>
      </c>
      <c r="C432" s="22"/>
      <c r="D432" s="22"/>
      <c r="E432" s="22"/>
      <c r="F432" s="24">
        <f t="shared" si="4"/>
        <v>1455055.4581000002</v>
      </c>
      <c r="G432" s="14"/>
    </row>
    <row r="433" spans="1:7">
      <c r="A433" s="14" t="s">
        <v>912</v>
      </c>
      <c r="B433" s="22">
        <v>32</v>
      </c>
      <c r="C433" s="22"/>
      <c r="D433" s="22"/>
      <c r="E433" s="22"/>
      <c r="F433" s="24">
        <f t="shared" si="4"/>
        <v>7622826.8914367436</v>
      </c>
      <c r="G433" s="14"/>
    </row>
    <row r="434" spans="1:7">
      <c r="A434" s="14" t="s">
        <v>913</v>
      </c>
      <c r="B434" s="22">
        <v>33</v>
      </c>
      <c r="C434" s="22"/>
      <c r="D434" s="22"/>
      <c r="E434" s="22"/>
      <c r="F434" s="24">
        <f t="shared" si="4"/>
        <v>7092245.0699999984</v>
      </c>
      <c r="G434" s="14"/>
    </row>
    <row r="435" spans="1:7">
      <c r="A435" s="14" t="s">
        <v>914</v>
      </c>
      <c r="B435" s="22">
        <v>34</v>
      </c>
      <c r="C435" s="22"/>
      <c r="D435" s="22"/>
      <c r="E435" s="22"/>
      <c r="F435" s="24">
        <f t="shared" si="4"/>
        <v>15000</v>
      </c>
      <c r="G435" s="14"/>
    </row>
    <row r="436" spans="1:7">
      <c r="A436" s="14" t="s">
        <v>915</v>
      </c>
      <c r="B436" s="22">
        <v>48</v>
      </c>
      <c r="C436" s="22"/>
      <c r="D436" s="22"/>
      <c r="E436" s="22"/>
      <c r="F436" s="24">
        <f t="shared" si="4"/>
        <v>469750</v>
      </c>
      <c r="G436" s="14"/>
    </row>
    <row r="437" spans="1:7">
      <c r="A437" s="14"/>
      <c r="B437" s="22"/>
      <c r="C437" s="22"/>
      <c r="D437" s="22"/>
      <c r="E437" s="22"/>
      <c r="F437" s="24"/>
      <c r="G437" s="14"/>
    </row>
    <row r="438" spans="1:7">
      <c r="A438" s="26" t="s">
        <v>916</v>
      </c>
      <c r="B438" s="22"/>
      <c r="C438" s="22"/>
      <c r="D438" s="22"/>
      <c r="E438" s="22"/>
      <c r="F438" s="24"/>
      <c r="G438" s="14"/>
    </row>
    <row r="439" spans="1:7">
      <c r="A439" s="14" t="s">
        <v>172</v>
      </c>
      <c r="B439" s="22" t="s">
        <v>539</v>
      </c>
      <c r="C439" s="22"/>
      <c r="D439" s="22"/>
      <c r="E439" s="22"/>
      <c r="F439" s="24">
        <f t="shared" ref="F439:F446" si="5">SUMIF($B$20:$B$335,B439,$K$20:$K$335)</f>
        <v>859500</v>
      </c>
      <c r="G439" s="14"/>
    </row>
    <row r="440" spans="1:7">
      <c r="A440" s="14" t="s">
        <v>307</v>
      </c>
      <c r="B440" s="22" t="s">
        <v>308</v>
      </c>
      <c r="C440" s="22"/>
      <c r="D440" s="22"/>
      <c r="E440" s="22"/>
      <c r="F440" s="24">
        <f t="shared" si="5"/>
        <v>0</v>
      </c>
      <c r="G440" s="14"/>
    </row>
    <row r="441" spans="1:7">
      <c r="A441" s="14" t="s">
        <v>917</v>
      </c>
      <c r="B441" s="22"/>
      <c r="C441" s="22"/>
      <c r="D441" s="22"/>
      <c r="E441" s="22"/>
      <c r="F441" s="24">
        <f t="shared" si="5"/>
        <v>0</v>
      </c>
      <c r="G441" s="14"/>
    </row>
    <row r="442" spans="1:7">
      <c r="A442" s="14" t="s">
        <v>918</v>
      </c>
      <c r="B442" s="22"/>
      <c r="C442" s="22"/>
      <c r="D442" s="22"/>
      <c r="E442" s="22"/>
      <c r="F442" s="24">
        <f t="shared" si="5"/>
        <v>0</v>
      </c>
      <c r="G442" s="14"/>
    </row>
    <row r="443" spans="1:7">
      <c r="A443" s="14" t="s">
        <v>536</v>
      </c>
      <c r="B443" s="22" t="s">
        <v>537</v>
      </c>
      <c r="C443" s="22"/>
      <c r="D443" s="22"/>
      <c r="E443" s="22"/>
      <c r="F443" s="24">
        <f t="shared" si="5"/>
        <v>267940</v>
      </c>
      <c r="G443" s="14"/>
    </row>
    <row r="444" spans="1:7">
      <c r="A444" s="14" t="s">
        <v>479</v>
      </c>
      <c r="B444" s="22" t="s">
        <v>919</v>
      </c>
      <c r="C444" s="22"/>
      <c r="D444" s="22"/>
      <c r="E444" s="22"/>
      <c r="F444" s="24">
        <f t="shared" si="5"/>
        <v>0</v>
      </c>
      <c r="G444" s="14"/>
    </row>
    <row r="445" spans="1:7">
      <c r="A445" s="14" t="s">
        <v>608</v>
      </c>
      <c r="B445" s="22" t="s">
        <v>920</v>
      </c>
      <c r="C445" s="22"/>
      <c r="D445" s="22"/>
      <c r="E445" s="22"/>
      <c r="F445" s="24">
        <f t="shared" si="5"/>
        <v>0</v>
      </c>
      <c r="G445" s="14"/>
    </row>
    <row r="446" spans="1:7">
      <c r="A446" s="14" t="s">
        <v>234</v>
      </c>
      <c r="B446" s="22" t="s">
        <v>227</v>
      </c>
      <c r="C446" s="22"/>
      <c r="D446" s="22"/>
      <c r="E446" s="14"/>
      <c r="F446" s="24">
        <f t="shared" si="5"/>
        <v>1689598.2750000001</v>
      </c>
      <c r="G446" s="14"/>
    </row>
    <row r="447" spans="1:7">
      <c r="A447" s="29" t="s">
        <v>921</v>
      </c>
      <c r="B447" s="23"/>
      <c r="C447" s="23"/>
      <c r="D447" s="23"/>
      <c r="E447" s="29"/>
      <c r="F447" s="31">
        <f>SUM(F431:F446)</f>
        <v>19483915.694536738</v>
      </c>
      <c r="G447" s="14"/>
    </row>
    <row r="448" spans="1:7">
      <c r="A448" s="14"/>
      <c r="B448" s="22"/>
      <c r="C448" s="22"/>
      <c r="D448" s="22"/>
      <c r="E448" s="14"/>
      <c r="F448" s="14"/>
      <c r="G448" s="14"/>
    </row>
    <row r="449" spans="1:7">
      <c r="A449" s="14"/>
      <c r="B449" s="14"/>
      <c r="C449" s="14"/>
      <c r="D449" s="14"/>
      <c r="E449" s="14"/>
      <c r="F449" s="14"/>
      <c r="G449" s="14"/>
    </row>
    <row r="450" spans="1:7">
      <c r="A450" s="14" t="s">
        <v>732</v>
      </c>
      <c r="B450" s="22" t="s">
        <v>922</v>
      </c>
      <c r="C450" s="22"/>
      <c r="D450" s="22"/>
      <c r="E450" s="32" t="s">
        <v>923</v>
      </c>
      <c r="F450" s="22"/>
      <c r="G450" s="14"/>
    </row>
    <row r="451" spans="1:7">
      <c r="A451" s="14" t="s">
        <v>734</v>
      </c>
      <c r="B451" s="22" t="s">
        <v>924</v>
      </c>
      <c r="C451" s="22"/>
      <c r="D451" s="22"/>
      <c r="E451" s="32" t="s">
        <v>923</v>
      </c>
      <c r="F451" s="22"/>
      <c r="G451" s="14"/>
    </row>
    <row r="452" spans="1:7">
      <c r="A452" s="14" t="s">
        <v>736</v>
      </c>
      <c r="B452" s="22" t="s">
        <v>925</v>
      </c>
      <c r="C452" s="22"/>
      <c r="D452" s="22"/>
      <c r="E452" s="32" t="s">
        <v>923</v>
      </c>
      <c r="F452" s="22"/>
      <c r="G452" s="14"/>
    </row>
    <row r="453" spans="1:7">
      <c r="A453" s="14" t="s">
        <v>737</v>
      </c>
      <c r="B453" s="22" t="s">
        <v>926</v>
      </c>
      <c r="C453" s="22"/>
      <c r="D453" s="22"/>
      <c r="E453" s="32" t="s">
        <v>923</v>
      </c>
      <c r="F453" s="22"/>
      <c r="G453" s="14"/>
    </row>
    <row r="454" spans="1:7">
      <c r="A454" s="14" t="s">
        <v>751</v>
      </c>
      <c r="B454" s="22" t="s">
        <v>927</v>
      </c>
      <c r="C454" s="22"/>
      <c r="D454" s="22"/>
      <c r="E454" s="32" t="s">
        <v>928</v>
      </c>
      <c r="F454" s="22"/>
      <c r="G454" s="14"/>
    </row>
    <row r="455" spans="1:7">
      <c r="A455" s="14" t="s">
        <v>770</v>
      </c>
      <c r="B455" s="22" t="s">
        <v>929</v>
      </c>
      <c r="C455" s="22"/>
      <c r="D455" s="22"/>
      <c r="E455" s="32" t="s">
        <v>928</v>
      </c>
      <c r="F455" s="22"/>
      <c r="G455" s="14"/>
    </row>
    <row r="456" spans="1:7">
      <c r="A456" s="14" t="s">
        <v>771</v>
      </c>
      <c r="B456" s="22" t="s">
        <v>930</v>
      </c>
      <c r="C456" s="22"/>
      <c r="D456" s="22"/>
      <c r="E456" s="32" t="s">
        <v>928</v>
      </c>
      <c r="F456" s="22"/>
      <c r="G456" s="14"/>
    </row>
    <row r="457" spans="1:7">
      <c r="A457" s="14" t="s">
        <v>773</v>
      </c>
      <c r="B457" s="22" t="s">
        <v>931</v>
      </c>
      <c r="C457" s="22"/>
      <c r="D457" s="22"/>
      <c r="E457" s="32" t="s">
        <v>928</v>
      </c>
      <c r="F457" s="14"/>
      <c r="G457" s="14"/>
    </row>
    <row r="458" spans="1:7">
      <c r="A458" s="14" t="s">
        <v>776</v>
      </c>
      <c r="B458" s="22" t="s">
        <v>932</v>
      </c>
      <c r="C458" s="22"/>
      <c r="D458" s="22"/>
      <c r="E458" s="32" t="s">
        <v>933</v>
      </c>
      <c r="F458" s="14"/>
      <c r="G458" s="14"/>
    </row>
    <row r="459" spans="1:7">
      <c r="A459" s="14" t="s">
        <v>234</v>
      </c>
      <c r="B459" s="22" t="s">
        <v>227</v>
      </c>
      <c r="C459" s="22"/>
      <c r="D459" s="22"/>
      <c r="E459" s="22"/>
      <c r="F459" s="14"/>
      <c r="G459" s="14"/>
    </row>
    <row r="460" spans="1:7">
      <c r="A460" s="14"/>
      <c r="B460" s="22"/>
      <c r="C460" s="22"/>
      <c r="D460" s="22"/>
      <c r="E460" s="22"/>
      <c r="F460" s="14"/>
      <c r="G460" s="14"/>
    </row>
    <row r="461" spans="1:7">
      <c r="A461" s="29" t="s">
        <v>934</v>
      </c>
      <c r="B461" s="22"/>
      <c r="C461" s="22"/>
      <c r="D461" s="22"/>
      <c r="E461" s="22"/>
      <c r="F461" s="14"/>
      <c r="G461" s="14"/>
    </row>
    <row r="462" spans="1:7">
      <c r="A462" s="29" t="s">
        <v>935</v>
      </c>
      <c r="B462" s="22"/>
      <c r="C462" s="22"/>
      <c r="D462" s="22"/>
      <c r="E462" s="22"/>
      <c r="F462" s="14"/>
      <c r="G462" s="14"/>
    </row>
    <row r="463" spans="1:7">
      <c r="A463" s="14" t="s">
        <v>479</v>
      </c>
      <c r="B463" s="22" t="s">
        <v>919</v>
      </c>
      <c r="C463" s="22"/>
      <c r="D463" s="22"/>
      <c r="E463" s="22"/>
      <c r="F463" s="24">
        <f t="shared" ref="F463:F473" si="6">SUMIF($B$20:$B$335,B463,$K$20:$K$335)</f>
        <v>0</v>
      </c>
      <c r="G463" s="14"/>
    </row>
    <row r="464" spans="1:7">
      <c r="A464" s="14" t="s">
        <v>608</v>
      </c>
      <c r="B464" s="22" t="s">
        <v>920</v>
      </c>
      <c r="C464" s="22"/>
      <c r="D464" s="22"/>
      <c r="E464" s="22"/>
      <c r="F464" s="24">
        <f t="shared" si="6"/>
        <v>0</v>
      </c>
      <c r="G464" s="14"/>
    </row>
    <row r="465" spans="1:7">
      <c r="A465" s="14" t="s">
        <v>732</v>
      </c>
      <c r="B465" s="22" t="s">
        <v>922</v>
      </c>
      <c r="C465" s="22"/>
      <c r="D465" s="22"/>
      <c r="E465" s="22"/>
      <c r="F465" s="24">
        <f t="shared" si="6"/>
        <v>0</v>
      </c>
      <c r="G465" s="14"/>
    </row>
    <row r="466" spans="1:7">
      <c r="A466" s="14" t="s">
        <v>734</v>
      </c>
      <c r="B466" s="22" t="s">
        <v>924</v>
      </c>
      <c r="C466" s="22"/>
      <c r="D466" s="22"/>
      <c r="E466" s="22"/>
      <c r="F466" s="24">
        <f t="shared" si="6"/>
        <v>0</v>
      </c>
      <c r="G466" s="14"/>
    </row>
    <row r="467" spans="1:7">
      <c r="A467" s="14" t="s">
        <v>736</v>
      </c>
      <c r="B467" s="22" t="s">
        <v>925</v>
      </c>
      <c r="C467" s="22"/>
      <c r="D467" s="22"/>
      <c r="E467" s="22"/>
      <c r="F467" s="24">
        <f t="shared" si="6"/>
        <v>0</v>
      </c>
      <c r="G467" s="14"/>
    </row>
    <row r="468" spans="1:7">
      <c r="A468" s="14" t="s">
        <v>737</v>
      </c>
      <c r="B468" s="22" t="s">
        <v>926</v>
      </c>
      <c r="C468" s="22"/>
      <c r="D468" s="22"/>
      <c r="E468" s="22"/>
      <c r="F468" s="24">
        <f t="shared" si="6"/>
        <v>0</v>
      </c>
      <c r="G468" s="14"/>
    </row>
    <row r="469" spans="1:7">
      <c r="A469" s="14" t="s">
        <v>770</v>
      </c>
      <c r="B469" s="22" t="s">
        <v>929</v>
      </c>
      <c r="C469" s="22"/>
      <c r="D469" s="22"/>
      <c r="E469" s="22"/>
      <c r="F469" s="24">
        <f t="shared" si="6"/>
        <v>0</v>
      </c>
      <c r="G469" s="14"/>
    </row>
    <row r="470" spans="1:7">
      <c r="A470" s="14" t="s">
        <v>771</v>
      </c>
      <c r="B470" s="22" t="s">
        <v>930</v>
      </c>
      <c r="C470" s="22"/>
      <c r="D470" s="22"/>
      <c r="E470" s="22"/>
      <c r="F470" s="24">
        <f t="shared" si="6"/>
        <v>0</v>
      </c>
      <c r="G470" s="14"/>
    </row>
    <row r="471" spans="1:7">
      <c r="A471" s="14" t="s">
        <v>751</v>
      </c>
      <c r="B471" s="22" t="s">
        <v>927</v>
      </c>
      <c r="C471" s="22"/>
      <c r="D471" s="22"/>
      <c r="E471" s="22"/>
      <c r="F471" s="24">
        <f t="shared" si="6"/>
        <v>0</v>
      </c>
      <c r="G471" s="14"/>
    </row>
    <row r="472" spans="1:7">
      <c r="A472" s="14" t="s">
        <v>773</v>
      </c>
      <c r="B472" s="22" t="s">
        <v>931</v>
      </c>
      <c r="C472" s="22"/>
      <c r="D472" s="22"/>
      <c r="E472" s="22"/>
      <c r="F472" s="24">
        <f t="shared" si="6"/>
        <v>0</v>
      </c>
      <c r="G472" s="14"/>
    </row>
    <row r="473" spans="1:7">
      <c r="A473" s="14" t="s">
        <v>776</v>
      </c>
      <c r="B473" s="22" t="s">
        <v>932</v>
      </c>
      <c r="C473" s="22"/>
      <c r="D473" s="22"/>
      <c r="E473" s="22"/>
      <c r="F473" s="24">
        <f t="shared" si="6"/>
        <v>0</v>
      </c>
      <c r="G473" s="14"/>
    </row>
    <row r="474" spans="1:7">
      <c r="A474" s="14"/>
      <c r="B474" s="22"/>
      <c r="C474" s="22"/>
      <c r="D474" s="22"/>
      <c r="E474" s="22"/>
      <c r="F474" s="14"/>
      <c r="G474" s="14"/>
    </row>
    <row r="475" spans="1:7">
      <c r="A475" s="29" t="s">
        <v>936</v>
      </c>
      <c r="B475" s="22"/>
      <c r="C475" s="22"/>
      <c r="D475" s="22"/>
      <c r="E475" s="22"/>
      <c r="F475" s="14"/>
      <c r="G475" s="14"/>
    </row>
    <row r="476" spans="1:7">
      <c r="A476" s="26" t="s">
        <v>909</v>
      </c>
      <c r="B476" s="22"/>
      <c r="C476" s="22"/>
      <c r="D476" s="22"/>
      <c r="E476" s="22"/>
      <c r="F476" s="14"/>
      <c r="G476" s="14"/>
    </row>
    <row r="477" spans="1:7">
      <c r="A477" s="14" t="s">
        <v>259</v>
      </c>
      <c r="B477" s="22" t="s">
        <v>260</v>
      </c>
      <c r="C477" s="22"/>
      <c r="D477" s="22"/>
      <c r="E477" s="22"/>
      <c r="F477" s="24">
        <f>SUMIF($B$20:$B$335,B477,$K$20:$K$335)</f>
        <v>0</v>
      </c>
      <c r="G477" s="14"/>
    </row>
    <row r="478" spans="1:7">
      <c r="A478" s="14"/>
      <c r="B478" s="22"/>
      <c r="C478" s="22"/>
      <c r="D478" s="22"/>
      <c r="E478" s="22"/>
      <c r="F478" s="14"/>
      <c r="G478" s="14"/>
    </row>
    <row r="479" spans="1:7">
      <c r="A479" s="26" t="s">
        <v>916</v>
      </c>
      <c r="B479" s="22"/>
      <c r="C479" s="22"/>
      <c r="D479" s="22"/>
      <c r="E479" s="22"/>
      <c r="F479" s="14"/>
      <c r="G479" s="14"/>
    </row>
    <row r="480" spans="1:7">
      <c r="A480" s="14" t="s">
        <v>234</v>
      </c>
      <c r="B480" s="22" t="s">
        <v>227</v>
      </c>
      <c r="C480" s="22"/>
      <c r="D480" s="22"/>
      <c r="E480" s="22"/>
      <c r="F480" s="24">
        <f t="shared" ref="F480:F511" si="7">SUMIF($B$20:$B$335,B480,$K$20:$K$335)</f>
        <v>1689598.2750000001</v>
      </c>
      <c r="G480" s="14"/>
    </row>
    <row r="481" spans="1:7">
      <c r="A481" s="14" t="s">
        <v>240</v>
      </c>
      <c r="B481" s="22" t="s">
        <v>241</v>
      </c>
      <c r="C481" s="22"/>
      <c r="D481" s="22"/>
      <c r="E481" s="22"/>
      <c r="F481" s="24">
        <f t="shared" si="7"/>
        <v>2500</v>
      </c>
      <c r="G481" s="14"/>
    </row>
    <row r="482" spans="1:7">
      <c r="A482" s="14" t="s">
        <v>243</v>
      </c>
      <c r="B482" s="22" t="s">
        <v>244</v>
      </c>
      <c r="C482" s="22"/>
      <c r="D482" s="22"/>
      <c r="E482" s="22"/>
      <c r="F482" s="24">
        <f t="shared" si="7"/>
        <v>23500</v>
      </c>
      <c r="G482" s="14"/>
    </row>
    <row r="483" spans="1:7">
      <c r="A483" s="14" t="s">
        <v>248</v>
      </c>
      <c r="B483" s="22" t="s">
        <v>249</v>
      </c>
      <c r="C483" s="22"/>
      <c r="D483" s="22"/>
      <c r="E483" s="22"/>
      <c r="F483" s="24">
        <f t="shared" si="7"/>
        <v>4000</v>
      </c>
      <c r="G483" s="14"/>
    </row>
    <row r="484" spans="1:7">
      <c r="A484" s="14" t="s">
        <v>256</v>
      </c>
      <c r="B484" s="22" t="s">
        <v>257</v>
      </c>
      <c r="C484" s="22"/>
      <c r="D484" s="22"/>
      <c r="E484" s="22"/>
      <c r="F484" s="24">
        <f t="shared" si="7"/>
        <v>70606.233062330633</v>
      </c>
      <c r="G484" s="14"/>
    </row>
    <row r="485" spans="1:7">
      <c r="A485" s="14" t="s">
        <v>279</v>
      </c>
      <c r="B485" s="22" t="s">
        <v>280</v>
      </c>
      <c r="C485" s="22"/>
      <c r="D485" s="22"/>
      <c r="E485" s="22"/>
      <c r="F485" s="24">
        <f t="shared" si="7"/>
        <v>40000</v>
      </c>
      <c r="G485" s="14"/>
    </row>
    <row r="486" spans="1:7">
      <c r="A486" s="14" t="s">
        <v>937</v>
      </c>
      <c r="B486" s="22" t="s">
        <v>282</v>
      </c>
      <c r="C486" s="22"/>
      <c r="D486" s="22"/>
      <c r="E486" s="22"/>
      <c r="F486" s="24">
        <f t="shared" si="7"/>
        <v>15000</v>
      </c>
      <c r="G486" s="14"/>
    </row>
    <row r="487" spans="1:7">
      <c r="A487" s="14" t="s">
        <v>294</v>
      </c>
      <c r="B487" s="22" t="s">
        <v>295</v>
      </c>
      <c r="C487" s="22"/>
      <c r="D487" s="22"/>
      <c r="E487" s="22"/>
      <c r="F487" s="24">
        <f t="shared" si="7"/>
        <v>0</v>
      </c>
      <c r="G487" s="14"/>
    </row>
    <row r="488" spans="1:7">
      <c r="A488" s="14" t="s">
        <v>296</v>
      </c>
      <c r="B488" s="22" t="s">
        <v>297</v>
      </c>
      <c r="C488" s="22"/>
      <c r="D488" s="22"/>
      <c r="E488" s="22"/>
      <c r="F488" s="24">
        <f t="shared" si="7"/>
        <v>2000</v>
      </c>
      <c r="G488" s="14"/>
    </row>
    <row r="489" spans="1:7">
      <c r="A489" s="14" t="s">
        <v>315</v>
      </c>
      <c r="B489" s="22" t="s">
        <v>316</v>
      </c>
      <c r="C489" s="22"/>
      <c r="D489" s="22"/>
      <c r="E489" s="22"/>
      <c r="F489" s="24">
        <f t="shared" si="7"/>
        <v>15000</v>
      </c>
      <c r="G489" s="14"/>
    </row>
    <row r="490" spans="1:7">
      <c r="A490" s="14" t="s">
        <v>317</v>
      </c>
      <c r="B490" s="22" t="s">
        <v>318</v>
      </c>
      <c r="C490" s="22"/>
      <c r="D490" s="22"/>
      <c r="E490" s="22"/>
      <c r="F490" s="24">
        <f t="shared" si="7"/>
        <v>20000</v>
      </c>
      <c r="G490" s="14"/>
    </row>
    <row r="491" spans="1:7">
      <c r="A491" s="14" t="s">
        <v>319</v>
      </c>
      <c r="B491" s="22" t="s">
        <v>320</v>
      </c>
      <c r="C491" s="22"/>
      <c r="D491" s="22"/>
      <c r="E491" s="22"/>
      <c r="F491" s="24">
        <f t="shared" si="7"/>
        <v>0</v>
      </c>
      <c r="G491" s="14"/>
    </row>
    <row r="492" spans="1:7">
      <c r="A492" s="14" t="s">
        <v>321</v>
      </c>
      <c r="B492" s="22" t="s">
        <v>322</v>
      </c>
      <c r="C492" s="22"/>
      <c r="D492" s="22"/>
      <c r="E492" s="22"/>
      <c r="F492" s="24">
        <f t="shared" si="7"/>
        <v>0</v>
      </c>
      <c r="G492" s="14"/>
    </row>
    <row r="493" spans="1:7">
      <c r="A493" s="14" t="s">
        <v>331</v>
      </c>
      <c r="B493" s="22" t="s">
        <v>332</v>
      </c>
      <c r="C493" s="22"/>
      <c r="D493" s="22"/>
      <c r="E493" s="22"/>
      <c r="F493" s="24">
        <f t="shared" si="7"/>
        <v>9600</v>
      </c>
      <c r="G493" s="14"/>
    </row>
    <row r="494" spans="1:7">
      <c r="A494" s="14" t="s">
        <v>344</v>
      </c>
      <c r="B494" s="22" t="s">
        <v>345</v>
      </c>
      <c r="C494" s="22"/>
      <c r="D494" s="22"/>
      <c r="E494" s="22"/>
      <c r="F494" s="24">
        <f t="shared" si="7"/>
        <v>15000</v>
      </c>
      <c r="G494" s="14"/>
    </row>
    <row r="495" spans="1:7">
      <c r="A495" s="14" t="s">
        <v>346</v>
      </c>
      <c r="B495" s="22" t="s">
        <v>345</v>
      </c>
      <c r="C495" s="22"/>
      <c r="D495" s="22"/>
      <c r="E495" s="22"/>
      <c r="F495" s="24">
        <f t="shared" si="7"/>
        <v>15000</v>
      </c>
      <c r="G495" s="14"/>
    </row>
    <row r="496" spans="1:7">
      <c r="A496" s="14" t="s">
        <v>378</v>
      </c>
      <c r="B496" s="22" t="s">
        <v>379</v>
      </c>
      <c r="C496" s="22"/>
      <c r="D496" s="22"/>
      <c r="E496" s="22"/>
      <c r="F496" s="24">
        <f t="shared" si="7"/>
        <v>0</v>
      </c>
      <c r="G496" s="14"/>
    </row>
    <row r="497" spans="1:7">
      <c r="A497" s="14" t="s">
        <v>380</v>
      </c>
      <c r="B497" s="22" t="s">
        <v>381</v>
      </c>
      <c r="C497" s="22"/>
      <c r="D497" s="22"/>
      <c r="E497" s="22"/>
      <c r="F497" s="24">
        <f t="shared" si="7"/>
        <v>0</v>
      </c>
      <c r="G497" s="14"/>
    </row>
    <row r="498" spans="1:7">
      <c r="A498" s="14" t="s">
        <v>407</v>
      </c>
      <c r="B498" s="22" t="s">
        <v>406</v>
      </c>
      <c r="C498" s="22"/>
      <c r="D498" s="22"/>
      <c r="E498" s="22"/>
      <c r="F498" s="24">
        <f t="shared" si="7"/>
        <v>1164052.60164</v>
      </c>
      <c r="G498" s="14"/>
    </row>
    <row r="499" spans="1:7">
      <c r="A499" s="14" t="s">
        <v>412</v>
      </c>
      <c r="B499" s="22" t="s">
        <v>406</v>
      </c>
      <c r="C499" s="22"/>
      <c r="D499" s="22"/>
      <c r="E499" s="22"/>
      <c r="F499" s="24">
        <f t="shared" si="7"/>
        <v>1164052.60164</v>
      </c>
      <c r="G499" s="14"/>
    </row>
    <row r="500" spans="1:7">
      <c r="A500" s="14" t="s">
        <v>938</v>
      </c>
      <c r="B500" s="22" t="s">
        <v>406</v>
      </c>
      <c r="C500" s="22"/>
      <c r="D500" s="22"/>
      <c r="E500" s="22"/>
      <c r="F500" s="24">
        <f t="shared" si="7"/>
        <v>1164052.60164</v>
      </c>
      <c r="G500" s="14"/>
    </row>
    <row r="501" spans="1:7">
      <c r="A501" s="14" t="s">
        <v>471</v>
      </c>
      <c r="B501" s="22" t="s">
        <v>472</v>
      </c>
      <c r="C501" s="22"/>
      <c r="D501" s="22"/>
      <c r="E501" s="22"/>
      <c r="F501" s="24">
        <f t="shared" si="7"/>
        <v>82680</v>
      </c>
      <c r="G501" s="14"/>
    </row>
    <row r="502" spans="1:7">
      <c r="A502" s="14" t="s">
        <v>489</v>
      </c>
      <c r="B502" s="22" t="s">
        <v>490</v>
      </c>
      <c r="C502" s="22"/>
      <c r="D502" s="22"/>
      <c r="E502" s="22"/>
      <c r="F502" s="24">
        <f t="shared" si="7"/>
        <v>3500</v>
      </c>
      <c r="G502" s="14"/>
    </row>
    <row r="503" spans="1:7">
      <c r="A503" s="14" t="s">
        <v>491</v>
      </c>
      <c r="B503" s="22" t="s">
        <v>492</v>
      </c>
      <c r="C503" s="22"/>
      <c r="D503" s="22"/>
      <c r="E503" s="22"/>
      <c r="F503" s="24">
        <f t="shared" si="7"/>
        <v>26880</v>
      </c>
      <c r="G503" s="14"/>
    </row>
    <row r="504" spans="1:7">
      <c r="A504" s="14" t="s">
        <v>531</v>
      </c>
      <c r="B504" s="22" t="s">
        <v>532</v>
      </c>
      <c r="C504" s="22"/>
      <c r="D504" s="22"/>
      <c r="E504" s="22"/>
      <c r="F504" s="24">
        <f t="shared" si="7"/>
        <v>48000</v>
      </c>
      <c r="G504" s="14"/>
    </row>
    <row r="505" spans="1:7">
      <c r="A505" s="14" t="s">
        <v>536</v>
      </c>
      <c r="B505" s="22" t="s">
        <v>537</v>
      </c>
      <c r="C505" s="22"/>
      <c r="D505" s="22"/>
      <c r="E505" s="22"/>
      <c r="F505" s="24">
        <f t="shared" si="7"/>
        <v>267940</v>
      </c>
      <c r="G505" s="14"/>
    </row>
    <row r="506" spans="1:7">
      <c r="A506" s="14" t="s">
        <v>172</v>
      </c>
      <c r="B506" s="22" t="s">
        <v>539</v>
      </c>
      <c r="C506" s="22"/>
      <c r="D506" s="22"/>
      <c r="E506" s="22"/>
      <c r="F506" s="24">
        <f t="shared" si="7"/>
        <v>859500</v>
      </c>
      <c r="G506" s="14"/>
    </row>
    <row r="507" spans="1:7">
      <c r="A507" s="14" t="s">
        <v>541</v>
      </c>
      <c r="B507" s="22" t="s">
        <v>542</v>
      </c>
      <c r="C507" s="22"/>
      <c r="D507" s="22"/>
      <c r="E507" s="22"/>
      <c r="F507" s="24">
        <f t="shared" si="7"/>
        <v>7049</v>
      </c>
      <c r="G507" s="14"/>
    </row>
    <row r="508" spans="1:7">
      <c r="A508" s="14" t="s">
        <v>553</v>
      </c>
      <c r="B508" s="22" t="s">
        <v>554</v>
      </c>
      <c r="C508" s="22"/>
      <c r="D508" s="22"/>
      <c r="E508" s="22"/>
      <c r="F508" s="24">
        <f t="shared" si="7"/>
        <v>13000</v>
      </c>
      <c r="G508" s="14"/>
    </row>
    <row r="509" spans="1:7">
      <c r="A509" s="14" t="s">
        <v>572</v>
      </c>
      <c r="B509" s="22" t="s">
        <v>573</v>
      </c>
      <c r="C509" s="22"/>
      <c r="D509" s="22"/>
      <c r="E509" s="22"/>
      <c r="F509" s="24">
        <f t="shared" si="7"/>
        <v>24612</v>
      </c>
      <c r="G509" s="14"/>
    </row>
    <row r="510" spans="1:7">
      <c r="A510" s="14" t="s">
        <v>575</v>
      </c>
      <c r="B510" s="22" t="s">
        <v>576</v>
      </c>
      <c r="C510" s="22"/>
      <c r="D510" s="22"/>
      <c r="E510" s="22"/>
      <c r="F510" s="24">
        <f t="shared" si="7"/>
        <v>6000</v>
      </c>
      <c r="G510" s="14"/>
    </row>
    <row r="511" spans="1:7">
      <c r="A511" s="14" t="s">
        <v>601</v>
      </c>
      <c r="B511" s="22" t="s">
        <v>591</v>
      </c>
      <c r="C511" s="22"/>
      <c r="D511" s="22"/>
      <c r="E511" s="22"/>
      <c r="F511" s="24">
        <f t="shared" si="7"/>
        <v>4355958.1000000006</v>
      </c>
      <c r="G511" s="14"/>
    </row>
    <row r="512" spans="1:7">
      <c r="A512" s="14" t="s">
        <v>604</v>
      </c>
      <c r="B512" s="22" t="s">
        <v>595</v>
      </c>
      <c r="C512" s="22"/>
      <c r="D512" s="22"/>
      <c r="E512" s="22"/>
      <c r="F512" s="24">
        <f t="shared" ref="F512:F529" si="8">SUMIF($B$20:$B$335,B512,$K$20:$K$335)</f>
        <v>293250</v>
      </c>
      <c r="G512" s="14"/>
    </row>
    <row r="513" spans="1:7">
      <c r="A513" s="14" t="s">
        <v>605</v>
      </c>
      <c r="B513" s="22" t="s">
        <v>591</v>
      </c>
      <c r="C513" s="22"/>
      <c r="D513" s="22"/>
      <c r="E513" s="22"/>
      <c r="F513" s="24">
        <f t="shared" si="8"/>
        <v>4355958.1000000006</v>
      </c>
      <c r="G513" s="14"/>
    </row>
    <row r="514" spans="1:7">
      <c r="A514" s="14" t="s">
        <v>606</v>
      </c>
      <c r="B514" s="22" t="s">
        <v>607</v>
      </c>
      <c r="C514" s="22"/>
      <c r="D514" s="22"/>
      <c r="E514" s="22"/>
      <c r="F514" s="24">
        <f t="shared" si="8"/>
        <v>5000</v>
      </c>
      <c r="G514" s="14"/>
    </row>
    <row r="515" spans="1:7">
      <c r="A515" s="14" t="s">
        <v>619</v>
      </c>
      <c r="B515" s="22" t="s">
        <v>620</v>
      </c>
      <c r="C515" s="22"/>
      <c r="D515" s="22"/>
      <c r="E515" s="22"/>
      <c r="F515" s="24">
        <f t="shared" si="8"/>
        <v>50000</v>
      </c>
      <c r="G515" s="14"/>
    </row>
    <row r="516" spans="1:7">
      <c r="A516" s="14" t="s">
        <v>621</v>
      </c>
      <c r="B516" s="22" t="s">
        <v>622</v>
      </c>
      <c r="C516" s="22"/>
      <c r="D516" s="22"/>
      <c r="E516" s="22"/>
      <c r="F516" s="24">
        <f t="shared" si="8"/>
        <v>20000</v>
      </c>
      <c r="G516" s="14"/>
    </row>
    <row r="517" spans="1:7">
      <c r="A517" s="14" t="s">
        <v>623</v>
      </c>
      <c r="B517" s="22" t="s">
        <v>624</v>
      </c>
      <c r="C517" s="22"/>
      <c r="D517" s="22"/>
      <c r="E517" s="22"/>
      <c r="F517" s="24">
        <f t="shared" si="8"/>
        <v>2500</v>
      </c>
      <c r="G517" s="14"/>
    </row>
    <row r="518" spans="1:7">
      <c r="A518" s="14" t="s">
        <v>625</v>
      </c>
      <c r="B518" s="22" t="s">
        <v>591</v>
      </c>
      <c r="C518" s="22"/>
      <c r="D518" s="22"/>
      <c r="E518" s="22"/>
      <c r="F518" s="24">
        <f t="shared" si="8"/>
        <v>4355958.1000000006</v>
      </c>
      <c r="G518" s="14"/>
    </row>
    <row r="519" spans="1:7">
      <c r="A519" s="14" t="s">
        <v>626</v>
      </c>
      <c r="B519" s="22" t="s">
        <v>595</v>
      </c>
      <c r="C519" s="22"/>
      <c r="D519" s="22"/>
      <c r="E519" s="22"/>
      <c r="F519" s="24">
        <f t="shared" si="8"/>
        <v>293250</v>
      </c>
      <c r="G519" s="14"/>
    </row>
    <row r="520" spans="1:7">
      <c r="A520" s="14" t="s">
        <v>679</v>
      </c>
      <c r="B520" s="22" t="s">
        <v>680</v>
      </c>
      <c r="C520" s="22"/>
      <c r="D520" s="22"/>
      <c r="E520" s="22"/>
      <c r="F520" s="24">
        <f t="shared" si="8"/>
        <v>46380</v>
      </c>
      <c r="G520" s="14"/>
    </row>
    <row r="521" spans="1:7">
      <c r="A521" s="14" t="s">
        <v>689</v>
      </c>
      <c r="B521" s="22" t="s">
        <v>690</v>
      </c>
      <c r="C521" s="22"/>
      <c r="D521" s="22"/>
      <c r="E521" s="22"/>
      <c r="F521" s="24">
        <f t="shared" si="8"/>
        <v>10000</v>
      </c>
      <c r="G521" s="14"/>
    </row>
    <row r="522" spans="1:7">
      <c r="A522" s="14" t="s">
        <v>161</v>
      </c>
      <c r="B522" s="22" t="s">
        <v>703</v>
      </c>
      <c r="C522" s="22"/>
      <c r="D522" s="22"/>
      <c r="E522" s="22"/>
      <c r="F522" s="24">
        <f t="shared" si="8"/>
        <v>35900</v>
      </c>
      <c r="G522" s="14"/>
    </row>
    <row r="523" spans="1:7">
      <c r="A523" s="14" t="s">
        <v>722</v>
      </c>
      <c r="B523" s="22" t="s">
        <v>723</v>
      </c>
      <c r="C523" s="22"/>
      <c r="D523" s="22"/>
      <c r="E523" s="22"/>
      <c r="F523" s="24">
        <f t="shared" si="8"/>
        <v>60000</v>
      </c>
      <c r="G523" s="14"/>
    </row>
    <row r="524" spans="1:7">
      <c r="A524" s="14" t="s">
        <v>827</v>
      </c>
      <c r="B524" s="22" t="s">
        <v>828</v>
      </c>
      <c r="C524" s="22"/>
      <c r="D524" s="22"/>
      <c r="E524" s="22"/>
      <c r="F524" s="24">
        <f t="shared" si="8"/>
        <v>20000</v>
      </c>
      <c r="G524" s="14"/>
    </row>
    <row r="525" spans="1:7">
      <c r="A525" s="14" t="s">
        <v>829</v>
      </c>
      <c r="B525" s="22" t="s">
        <v>830</v>
      </c>
      <c r="C525" s="22"/>
      <c r="D525" s="22"/>
      <c r="E525" s="22"/>
      <c r="F525" s="24">
        <f t="shared" si="8"/>
        <v>20000</v>
      </c>
      <c r="G525" s="14"/>
    </row>
    <row r="526" spans="1:7">
      <c r="A526" s="14" t="s">
        <v>831</v>
      </c>
      <c r="B526" s="22" t="s">
        <v>832</v>
      </c>
      <c r="C526" s="22"/>
      <c r="D526" s="22"/>
      <c r="E526" s="22"/>
      <c r="F526" s="24">
        <f t="shared" si="8"/>
        <v>94648</v>
      </c>
      <c r="G526" s="14"/>
    </row>
    <row r="527" spans="1:7">
      <c r="A527" s="14" t="s">
        <v>939</v>
      </c>
      <c r="B527" s="22" t="s">
        <v>834</v>
      </c>
      <c r="C527" s="22"/>
      <c r="D527" s="22"/>
      <c r="E527" s="22"/>
      <c r="F527" s="24">
        <f t="shared" si="8"/>
        <v>25000</v>
      </c>
      <c r="G527" s="14"/>
    </row>
    <row r="528" spans="1:7">
      <c r="A528" s="14" t="s">
        <v>846</v>
      </c>
      <c r="B528" s="22" t="s">
        <v>630</v>
      </c>
      <c r="C528" s="22"/>
      <c r="D528" s="22"/>
      <c r="E528" s="22"/>
      <c r="F528" s="24">
        <f t="shared" si="8"/>
        <v>28600</v>
      </c>
      <c r="G528" s="14"/>
    </row>
    <row r="529" spans="1:7">
      <c r="A529" s="14" t="s">
        <v>847</v>
      </c>
      <c r="B529" s="22" t="s">
        <v>848</v>
      </c>
      <c r="C529" s="22"/>
      <c r="D529" s="22"/>
      <c r="E529" s="22"/>
      <c r="F529" s="24">
        <f t="shared" si="8"/>
        <v>2500</v>
      </c>
      <c r="G529" s="14"/>
    </row>
  </sheetData>
  <autoFilter ref="A19:M373" xr:uid="{705B4724-39A6-4B76-8B6A-9DAEE3A59253}"/>
  <mergeCells count="7">
    <mergeCell ref="M164:Y164"/>
    <mergeCell ref="M79:Y79"/>
    <mergeCell ref="M80:Y80"/>
    <mergeCell ref="M114:Y114"/>
    <mergeCell ref="M121:Y121"/>
    <mergeCell ref="M124:Y124"/>
    <mergeCell ref="M162:W162"/>
  </mergeCells>
  <conditionalFormatting sqref="A2:B11 E20:L20 E21:K21 E22:L22 E23:K23 E24:L24 E25:K33 E34:L35 E36:K43 E44:L44 E45:K49 E50:L50 E51:K58 E59:L59 E60:K71 E72:L72 E73:K83 M74:Y78 M79 M81:Y89 E84:L84 E85:K99 E100:L100 E101:K114 A115:K115 E116:K138 E139:L139 E140:K155 E156:L156 A157:K158 E159:L159 E160:K167 E168:L168 E169:K171 E172:L172 E173:K173 E174:L174 E175:K176 E177:L177 E178:K180 E181:L181 E182:K186 E187:L187 A188:K189 E190:L190 E191:K208 E209:L209 E210:K212 E213:L213 E214:K216 E217:L217 E218:K226 E227:L227 E228:K263 E264:L264 E265:K280 E281:L281 E282:K282 E283:L283 E284:K286 E287:L287 E288:K296 E297:L297 E298:K305 E306:L306 A307:K307 E308:K308 E309:L309 E310:K323 E324:L324 E325:K325 E326:L326 E327:K327 E328:L328 E329:K331 E332:L332 A333:K334 A335:L335">
    <cfRule type="expression" dxfId="200" priority="6">
      <formula>MOD(ROW(),2)</formula>
    </cfRule>
  </conditionalFormatting>
  <conditionalFormatting sqref="A13:B17">
    <cfRule type="expression" dxfId="199" priority="10">
      <formula>MOD(ROW(),2)=0</formula>
    </cfRule>
  </conditionalFormatting>
  <conditionalFormatting sqref="A20:D114 A116:D156 A159:D187 A190:D306 A308:D332">
    <cfRule type="expression" dxfId="198" priority="20">
      <formula>MOD(ROW(),2)</formula>
    </cfRule>
  </conditionalFormatting>
  <conditionalFormatting sqref="D3:F7">
    <cfRule type="expression" dxfId="197" priority="24">
      <formula>MOD(ROW(),2)=0</formula>
    </cfRule>
  </conditionalFormatting>
  <conditionalFormatting sqref="D10:F16">
    <cfRule type="expression" dxfId="196" priority="16">
      <formula>MOD(ROW(),2)</formula>
    </cfRule>
  </conditionalFormatting>
  <conditionalFormatting sqref="D15:F15">
    <cfRule type="expression" dxfId="195" priority="23">
      <formula>MOD(ROW(),2)=0</formula>
    </cfRule>
  </conditionalFormatting>
  <conditionalFormatting sqref="E373">
    <cfRule type="cellIs" dxfId="194" priority="18" operator="lessThan">
      <formula>0</formula>
    </cfRule>
    <cfRule type="cellIs" dxfId="193" priority="19" operator="greaterThan">
      <formula>0</formula>
    </cfRule>
  </conditionalFormatting>
  <conditionalFormatting sqref="H3:O7">
    <cfRule type="expression" dxfId="192" priority="7">
      <formula>MOD(ROW(),2)</formula>
    </cfRule>
  </conditionalFormatting>
  <conditionalFormatting sqref="L336:M336">
    <cfRule type="cellIs" dxfId="191" priority="17" operator="lessThan">
      <formula>0</formula>
    </cfRule>
    <cfRule type="cellIs" dxfId="190" priority="21" operator="greaterThan">
      <formula>0</formula>
    </cfRule>
  </conditionalFormatting>
  <conditionalFormatting sqref="M20:Y72 M73 M90 M91:Y113 M114 M115:Y120 M121 M122:Y123 M124 M125:Y161 M162 M163:Y163 M164 M165:Y169 M170 M171:Y174 M175 M176:Y199 M200:M201">
    <cfRule type="expression" dxfId="189" priority="12">
      <formula>MOD(ROW(),2)</formula>
    </cfRule>
  </conditionalFormatting>
  <conditionalFormatting sqref="M202:Y334">
    <cfRule type="expression" dxfId="188" priority="1">
      <formula>MOD(ROW(),2)</formula>
    </cfRule>
  </conditionalFormatting>
  <conditionalFormatting sqref="P5:R18">
    <cfRule type="expression" dxfId="187" priority="11">
      <formula>MOD(ROW(),2)</formula>
    </cfRule>
  </conditionalFormatting>
  <conditionalFormatting sqref="P1:X3">
    <cfRule type="expression" dxfId="186" priority="22">
      <formula>MOD(ROW(),2)</formula>
    </cfRule>
  </conditionalFormatting>
  <conditionalFormatting sqref="S4:X18">
    <cfRule type="expression" dxfId="185" priority="5">
      <formula>MOD(ROW(),2)</formula>
    </cfRule>
  </conditionalFormatting>
  <conditionalFormatting sqref="AP4:AT8">
    <cfRule type="expression" dxfId="184" priority="8">
      <formula>MOD(ROW(),2)=0</formula>
    </cfRule>
  </conditionalFormatting>
  <dataValidations count="2">
    <dataValidation type="list" allowBlank="1" showInputMessage="1" showErrorMessage="1" sqref="B3" xr:uid="{7F719C68-D9A4-4CE0-B2E3-75E343979956}">
      <formula1>"Level 1, Level 2, Level 3"</formula1>
    </dataValidation>
    <dataValidation type="list" allowBlank="1" showInputMessage="1" showErrorMessage="1" sqref="B4" xr:uid="{99229EBE-021B-401A-B030-25F14A435AC7}">
      <formula1>"Urban, Market, Senior, Afforable"</formula1>
    </dataValidation>
  </dataValidations>
  <printOptions horizontalCentered="1"/>
  <pageMargins left="0.25" right="0.25" top="0.7" bottom="0.5" header="0.35" footer="0.05"/>
  <pageSetup paperSize="3" scale="51" fitToHeight="0" orientation="landscape" horizontalDpi="1200" verticalDpi="1200" r:id="rId1"/>
  <headerFooter>
    <oddHeader>&amp;R&amp;G</oddHeader>
  </headerFooter>
  <rowBreaks count="3" manualBreakCount="3">
    <brk id="83" max="25" man="1"/>
    <brk id="176" max="24" man="1"/>
    <brk id="263" max="24" man="1"/>
  </rowBreaks>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E778-44C8-4B86-A741-50F119011B2B}">
  <dimension ref="A1:U47"/>
  <sheetViews>
    <sheetView showGridLines="0" view="pageBreakPreview" topLeftCell="A6" zoomScale="85" zoomScaleNormal="100" zoomScaleSheetLayoutView="85" workbookViewId="0">
      <selection activeCell="P34" sqref="P34"/>
    </sheetView>
  </sheetViews>
  <sheetFormatPr defaultColWidth="9.140625" defaultRowHeight="13.15"/>
  <cols>
    <col min="1" max="1" width="3.85546875" style="1025" customWidth="1"/>
    <col min="2" max="2" width="12.42578125" style="1025" bestFit="1" customWidth="1"/>
    <col min="3" max="3" width="11.7109375" style="1025" bestFit="1" customWidth="1"/>
    <col min="4" max="4" width="14" style="1025" bestFit="1" customWidth="1"/>
    <col min="5" max="5" width="18.28515625" style="1025" bestFit="1" customWidth="1"/>
    <col min="6" max="6" width="13" style="1025" customWidth="1"/>
    <col min="7" max="7" width="12.42578125" style="1025" customWidth="1"/>
    <col min="8" max="8" width="4.42578125" style="1025" customWidth="1"/>
    <col min="9" max="9" width="0.42578125" style="1025" customWidth="1"/>
    <col min="10" max="10" width="4.42578125" style="1025" customWidth="1"/>
    <col min="11" max="11" width="16.28515625" style="1025" customWidth="1"/>
    <col min="12" max="12" width="18.7109375" style="1025" customWidth="1"/>
    <col min="13" max="13" width="16.28515625" style="1025" bestFit="1" customWidth="1"/>
    <col min="14" max="14" width="18" style="1025" bestFit="1" customWidth="1"/>
    <col min="15" max="15" width="13.42578125" style="1025" bestFit="1" customWidth="1"/>
    <col min="16" max="16" width="9.28515625" style="1025" bestFit="1" customWidth="1"/>
    <col min="17" max="17" width="12.28515625" style="1025" bestFit="1" customWidth="1"/>
    <col min="18" max="20" width="9.85546875" style="1025" customWidth="1"/>
    <col min="21" max="21" width="5.140625" style="1025" customWidth="1"/>
    <col min="22" max="16384" width="9.140625" style="1025"/>
  </cols>
  <sheetData>
    <row r="1" spans="1:21" ht="15.6">
      <c r="A1" s="1021" t="s">
        <v>82</v>
      </c>
      <c r="B1" s="1022"/>
      <c r="C1" s="1023"/>
      <c r="D1" s="1023"/>
      <c r="E1" s="1023"/>
      <c r="F1" s="1023"/>
      <c r="G1" s="1023"/>
      <c r="H1" s="1024"/>
      <c r="I1" s="1024"/>
      <c r="J1" s="1024"/>
      <c r="K1" s="1024"/>
      <c r="L1" s="1022"/>
      <c r="M1" s="1024"/>
      <c r="N1" s="1022"/>
      <c r="O1" s="1022"/>
      <c r="P1" s="1023"/>
      <c r="Q1" s="1023"/>
      <c r="R1" s="1023"/>
      <c r="S1" s="1023"/>
      <c r="T1" s="1023"/>
      <c r="U1" s="1023" t="s">
        <v>940</v>
      </c>
    </row>
    <row r="2" spans="1:21" ht="14.45">
      <c r="B2" s="1026"/>
      <c r="C2" s="1026"/>
      <c r="D2" s="1026"/>
      <c r="E2" s="1026"/>
      <c r="F2" s="1026"/>
      <c r="I2" s="1027"/>
      <c r="L2" s="1026"/>
      <c r="N2" s="1026"/>
      <c r="O2" s="1026"/>
    </row>
    <row r="3" spans="1:21">
      <c r="I3" s="1027"/>
    </row>
    <row r="4" spans="1:21">
      <c r="I4" s="1027"/>
    </row>
    <row r="5" spans="1:21">
      <c r="I5" s="1027"/>
    </row>
    <row r="6" spans="1:21">
      <c r="I6" s="1027"/>
    </row>
    <row r="7" spans="1:21">
      <c r="I7" s="1027"/>
    </row>
    <row r="8" spans="1:21" ht="15.6">
      <c r="B8" s="1028" t="s">
        <v>941</v>
      </c>
      <c r="I8" s="1027"/>
      <c r="K8" s="1028" t="s">
        <v>942</v>
      </c>
    </row>
    <row r="9" spans="1:21">
      <c r="I9" s="1027"/>
    </row>
    <row r="10" spans="1:21">
      <c r="B10" s="1029" t="s">
        <v>943</v>
      </c>
      <c r="C10" s="1030"/>
      <c r="D10" s="1030"/>
      <c r="E10" s="1030"/>
      <c r="I10" s="1027"/>
      <c r="K10" s="1030" t="s">
        <v>944</v>
      </c>
      <c r="L10" s="1030"/>
      <c r="M10" s="1031">
        <v>18</v>
      </c>
    </row>
    <row r="11" spans="1:21">
      <c r="B11" s="1025" t="s">
        <v>945</v>
      </c>
      <c r="E11" s="1032">
        <v>3.7395000000000005</v>
      </c>
      <c r="I11" s="1027"/>
      <c r="K11" s="1024" t="s">
        <v>870</v>
      </c>
      <c r="L11" s="1024"/>
      <c r="M11" s="1110">
        <v>77376747.916494399</v>
      </c>
    </row>
    <row r="12" spans="1:21" ht="15">
      <c r="B12" s="1025" t="s">
        <v>946</v>
      </c>
      <c r="E12" s="1109">
        <v>77376747.916494399</v>
      </c>
      <c r="I12" s="1027"/>
      <c r="Q12" s="1034"/>
      <c r="R12" s="1034"/>
      <c r="S12" s="1034"/>
      <c r="T12" s="1034"/>
    </row>
    <row r="13" spans="1:21">
      <c r="B13" s="1025" t="s">
        <v>947</v>
      </c>
      <c r="E13" s="1035">
        <f>E11/1000*E12</f>
        <v>289350.34883373085</v>
      </c>
      <c r="I13" s="1027"/>
    </row>
    <row r="14" spans="1:21" ht="15">
      <c r="B14" s="1025" t="s">
        <v>948</v>
      </c>
      <c r="E14" s="1036">
        <f>E13*F14</f>
        <v>22424.652034614141</v>
      </c>
      <c r="F14" s="1037">
        <v>7.7499999999999999E-2</v>
      </c>
      <c r="I14" s="1027"/>
      <c r="K14" s="1038" t="s">
        <v>949</v>
      </c>
      <c r="L14" s="1034"/>
      <c r="M14" s="1034"/>
      <c r="N14" s="1034"/>
      <c r="O14" s="1034"/>
      <c r="P14" s="1034"/>
      <c r="Q14" s="1034"/>
      <c r="R14" s="1034"/>
      <c r="S14" s="1034"/>
      <c r="T14" s="1034"/>
    </row>
    <row r="15" spans="1:21">
      <c r="B15" s="1039" t="s">
        <v>950</v>
      </c>
      <c r="E15" s="1040">
        <f>E13+E14</f>
        <v>311775.00086834497</v>
      </c>
      <c r="I15" s="1027"/>
      <c r="K15" s="1029"/>
      <c r="L15" s="1041"/>
      <c r="M15" s="1042"/>
      <c r="N15" s="1029"/>
      <c r="O15" s="1029"/>
      <c r="P15" s="1029"/>
      <c r="Q15" s="1041" t="s">
        <v>119</v>
      </c>
      <c r="R15" s="1043"/>
      <c r="S15" s="1043"/>
      <c r="T15" s="1043"/>
    </row>
    <row r="16" spans="1:21">
      <c r="I16" s="1027"/>
      <c r="K16" s="1044"/>
      <c r="L16" s="1044"/>
      <c r="M16" s="1045" t="s">
        <v>951</v>
      </c>
      <c r="N16" s="1046" t="s">
        <v>952</v>
      </c>
      <c r="O16" s="1046" t="s">
        <v>953</v>
      </c>
      <c r="P16" s="1046" t="s">
        <v>954</v>
      </c>
      <c r="Q16" s="1046" t="s">
        <v>955</v>
      </c>
      <c r="R16" s="1043"/>
      <c r="S16" s="1043"/>
      <c r="T16" s="1043"/>
    </row>
    <row r="17" spans="2:20" ht="14.45">
      <c r="B17" s="1039" t="s">
        <v>956</v>
      </c>
      <c r="I17" s="1027"/>
      <c r="K17" s="1025" t="s">
        <v>957</v>
      </c>
      <c r="L17" s="1047">
        <v>100000</v>
      </c>
      <c r="M17" s="1048">
        <v>14.4</v>
      </c>
      <c r="N17" s="1047">
        <v>100000</v>
      </c>
      <c r="O17" s="1049">
        <f>+N17/1000*M17</f>
        <v>1440</v>
      </c>
      <c r="P17" s="1050">
        <f>IF(O17&gt;0,IF((M10-12)&gt;0,(M10-12)*0.01,"0"),"0")</f>
        <v>0.06</v>
      </c>
      <c r="Q17" s="1049">
        <f>IF((M10-12)&gt;0,(1+P17)*O17,O17)</f>
        <v>1526.4</v>
      </c>
      <c r="R17" s="1049"/>
      <c r="S17" s="1049"/>
      <c r="T17" s="1049"/>
    </row>
    <row r="18" spans="2:20" ht="14.45">
      <c r="B18" s="1025" t="s">
        <v>945</v>
      </c>
      <c r="E18" s="1032">
        <v>3.996</v>
      </c>
      <c r="I18" s="1027"/>
      <c r="K18" s="1025" t="s">
        <v>958</v>
      </c>
      <c r="L18" s="1047">
        <v>400000</v>
      </c>
      <c r="M18" s="1048">
        <v>13.68</v>
      </c>
      <c r="N18" s="1047">
        <v>400000</v>
      </c>
      <c r="O18" s="1049">
        <f t="shared" ref="O18:O23" si="0">+N18/1000*M18</f>
        <v>5472</v>
      </c>
      <c r="P18" s="1050">
        <f>IF(O18&gt;0,IF((M10-12)&gt;0,(M10-12)*0.01,"0"),"0")</f>
        <v>0.06</v>
      </c>
      <c r="Q18" s="1049">
        <f>IF((M10-12)&gt;0,(1+P18)*O18,O18)</f>
        <v>5800.3200000000006</v>
      </c>
      <c r="R18" s="1049"/>
      <c r="S18" s="1049"/>
      <c r="T18" s="1049"/>
    </row>
    <row r="19" spans="2:20" ht="15.6">
      <c r="B19" s="1025" t="s">
        <v>946</v>
      </c>
      <c r="E19" s="1033">
        <f>E12</f>
        <v>77376747.916494399</v>
      </c>
      <c r="I19" s="1027"/>
      <c r="K19" s="1025" t="s">
        <v>958</v>
      </c>
      <c r="L19" s="1047">
        <v>2000000</v>
      </c>
      <c r="M19" s="1048">
        <v>8.6999999999999993</v>
      </c>
      <c r="N19" s="1047">
        <v>2000000</v>
      </c>
      <c r="O19" s="1049">
        <f t="shared" si="0"/>
        <v>17400</v>
      </c>
      <c r="P19" s="1050">
        <f>IF(O19&gt;0,IF((M10-12)&gt;0,(M10-12)*0.01,"0"),"0")</f>
        <v>0.06</v>
      </c>
      <c r="Q19" s="1049">
        <f>IF((M10-12)&gt;0,(1+P19)*O19,O19)</f>
        <v>18444</v>
      </c>
      <c r="R19" s="1049"/>
      <c r="S19" s="1049"/>
      <c r="T19" s="1049"/>
    </row>
    <row r="20" spans="2:20" ht="14.45">
      <c r="B20" s="1025" t="s">
        <v>947</v>
      </c>
      <c r="E20" s="1035">
        <f>E18/1000*E19</f>
        <v>309197.48467431165</v>
      </c>
      <c r="I20" s="1027"/>
      <c r="K20" s="1025" t="s">
        <v>958</v>
      </c>
      <c r="L20" s="1047">
        <v>2500000</v>
      </c>
      <c r="M20" s="1048">
        <v>6.9</v>
      </c>
      <c r="N20" s="1047">
        <v>2500000</v>
      </c>
      <c r="O20" s="1049">
        <f>+N20/1000*M20</f>
        <v>17250</v>
      </c>
      <c r="P20" s="1050">
        <f>IF(O20&gt;0,IF((M10-12)&gt;0,(M10-12)*0.01,"0"),"0")</f>
        <v>0.06</v>
      </c>
      <c r="Q20" s="1049">
        <f>IF((M10-12)&gt;0,(1+P20)*O20,O20)</f>
        <v>18285</v>
      </c>
      <c r="R20" s="1049"/>
      <c r="S20" s="1049"/>
      <c r="T20" s="1049"/>
    </row>
    <row r="21" spans="2:20" ht="15.6">
      <c r="B21" s="1025" t="s">
        <v>948</v>
      </c>
      <c r="E21" s="1036">
        <f>E20*F21</f>
        <v>18551.849080458698</v>
      </c>
      <c r="F21" s="1037">
        <v>0.06</v>
      </c>
      <c r="I21" s="1027"/>
      <c r="K21" s="1025" t="s">
        <v>958</v>
      </c>
      <c r="L21" s="1047">
        <v>2500000</v>
      </c>
      <c r="M21" s="1048">
        <v>6.3</v>
      </c>
      <c r="N21" s="1047">
        <v>2500000</v>
      </c>
      <c r="O21" s="1049">
        <f t="shared" si="0"/>
        <v>15750</v>
      </c>
      <c r="P21" s="1050">
        <f>IF(O21&gt;0,IF((M10-12)&gt;0,(M10-12)*0.01,"0"),"0")</f>
        <v>0.06</v>
      </c>
      <c r="Q21" s="1049">
        <f>IF((M10-12)&gt;0,(1+P21)*O21,O21)</f>
        <v>16695</v>
      </c>
      <c r="R21" s="1049"/>
      <c r="S21" s="1049"/>
      <c r="T21" s="1049"/>
    </row>
    <row r="22" spans="2:20" ht="14.45">
      <c r="B22" s="1039" t="s">
        <v>959</v>
      </c>
      <c r="E22" s="1040">
        <f>E20+E21</f>
        <v>327749.33375477034</v>
      </c>
      <c r="I22" s="1027"/>
      <c r="K22" s="1025" t="s">
        <v>958</v>
      </c>
      <c r="L22" s="1047">
        <v>2500000</v>
      </c>
      <c r="M22" s="1048">
        <v>5.76</v>
      </c>
      <c r="N22" s="1051">
        <f>+M11-SUM(N17:N21)</f>
        <v>69876747.916494399</v>
      </c>
      <c r="O22" s="1049">
        <f t="shared" si="0"/>
        <v>402490.0679990077</v>
      </c>
      <c r="P22" s="1050">
        <f>IF(O22&gt;0,IF((M10-12)&gt;0,(M10-12)*0.01,"0"),"0")</f>
        <v>0.06</v>
      </c>
      <c r="Q22" s="1049">
        <f>IF((M10-12)&gt;0,(1+P22)*O22,O22)</f>
        <v>426639.47207894817</v>
      </c>
      <c r="R22" s="1049"/>
      <c r="S22" s="1049"/>
      <c r="T22" s="1049"/>
    </row>
    <row r="23" spans="2:20" ht="14.45">
      <c r="I23" s="1027"/>
      <c r="K23" s="1025" t="s">
        <v>960</v>
      </c>
      <c r="L23" s="1047">
        <v>10000000</v>
      </c>
      <c r="M23" s="1048">
        <v>5.76</v>
      </c>
      <c r="N23" s="1051"/>
      <c r="O23" s="1049">
        <f t="shared" si="0"/>
        <v>0</v>
      </c>
      <c r="P23" s="1050" t="str">
        <f>IF(O23&gt;0,IF((M10-12)&gt;0,(M10-12)*0.01,"0"),"0")</f>
        <v>0</v>
      </c>
      <c r="Q23" s="1049">
        <f>IF((M10-12)&gt;0,(1+P23)*O23,O23)</f>
        <v>0</v>
      </c>
      <c r="R23" s="1049"/>
      <c r="S23" s="1049"/>
      <c r="T23" s="1049"/>
    </row>
    <row r="24" spans="2:20">
      <c r="B24" s="1052" t="s">
        <v>961</v>
      </c>
      <c r="C24" s="1053"/>
      <c r="D24" s="1053"/>
      <c r="E24" s="1054">
        <f>E15+E22</f>
        <v>639524.33462311537</v>
      </c>
      <c r="I24" s="1027"/>
      <c r="K24" s="1053"/>
      <c r="L24" s="1053"/>
      <c r="M24" s="1052" t="s">
        <v>140</v>
      </c>
      <c r="N24" s="1055">
        <f>SUM(N17:N23)</f>
        <v>77376747.916494399</v>
      </c>
      <c r="O24" s="1056">
        <f>SUM(O17:O23)</f>
        <v>459802.0679990077</v>
      </c>
      <c r="P24" s="1057"/>
      <c r="Q24" s="1056">
        <f>SUM(Q17:Q23)</f>
        <v>487390.19207894814</v>
      </c>
      <c r="R24" s="1058"/>
      <c r="S24" s="1058"/>
      <c r="T24" s="1058"/>
    </row>
    <row r="25" spans="2:20">
      <c r="I25" s="1027"/>
    </row>
    <row r="26" spans="2:20">
      <c r="B26" s="1039" t="s">
        <v>962</v>
      </c>
      <c r="E26" s="1037">
        <v>0.1</v>
      </c>
      <c r="I26" s="1027"/>
    </row>
    <row r="27" spans="2:20">
      <c r="B27" s="1039"/>
      <c r="E27" s="1037"/>
      <c r="I27" s="1027"/>
    </row>
    <row r="28" spans="2:20">
      <c r="B28" s="1039"/>
      <c r="E28" s="1037"/>
      <c r="I28" s="1027"/>
    </row>
    <row r="29" spans="2:20" ht="3" customHeight="1">
      <c r="B29" s="1039"/>
      <c r="E29" s="1037"/>
      <c r="I29" s="1027"/>
      <c r="J29" s="1027"/>
      <c r="K29" s="1027"/>
      <c r="L29" s="1027"/>
      <c r="M29" s="1027"/>
      <c r="N29" s="1027"/>
      <c r="O29" s="1027"/>
      <c r="P29" s="1027"/>
      <c r="Q29" s="1027"/>
      <c r="R29" s="1027"/>
      <c r="S29" s="1027"/>
      <c r="T29" s="1027"/>
    </row>
    <row r="30" spans="2:20">
      <c r="B30" s="1039" t="s">
        <v>963</v>
      </c>
      <c r="I30" s="1027"/>
    </row>
    <row r="31" spans="2:20" ht="15.6">
      <c r="B31" s="1030"/>
      <c r="C31" s="1030"/>
      <c r="D31" s="1030"/>
      <c r="E31" s="1030"/>
      <c r="F31" s="1059" t="s">
        <v>964</v>
      </c>
      <c r="G31" s="1030"/>
      <c r="I31" s="1027"/>
      <c r="K31" s="1028" t="s">
        <v>855</v>
      </c>
      <c r="L31" s="1060"/>
      <c r="M31" s="1060"/>
      <c r="N31" s="1060"/>
      <c r="O31" s="1060"/>
      <c r="P31" s="1060"/>
    </row>
    <row r="32" spans="2:20" ht="13.9">
      <c r="B32" s="1061" t="s">
        <v>965</v>
      </c>
      <c r="C32" s="1061"/>
      <c r="D32" s="1061"/>
      <c r="E32" s="1061" t="s">
        <v>966</v>
      </c>
      <c r="F32" s="1061" t="s">
        <v>967</v>
      </c>
      <c r="G32" s="1061" t="s">
        <v>968</v>
      </c>
      <c r="I32" s="1027"/>
      <c r="K32" s="1030" t="s">
        <v>969</v>
      </c>
      <c r="L32" s="1030"/>
      <c r="M32" s="1062">
        <f>'[83]Level 1.1 UPDATE B'!G327</f>
        <v>1.2999999999999999E-2</v>
      </c>
      <c r="N32" s="1030"/>
      <c r="O32" s="1030"/>
      <c r="P32" s="1060"/>
    </row>
    <row r="33" spans="2:20" ht="14.45">
      <c r="B33" s="1025">
        <v>1</v>
      </c>
      <c r="E33" s="1063">
        <v>0.85921961553971993</v>
      </c>
      <c r="F33" s="1035">
        <f>E33*$E$24</f>
        <v>549491.85292316834</v>
      </c>
      <c r="G33" s="1035">
        <f>F33*(1+$E$26)^(B33-1)</f>
        <v>549491.85292316834</v>
      </c>
      <c r="I33" s="1027"/>
      <c r="K33" s="1025" t="s">
        <v>970</v>
      </c>
      <c r="M33" s="1064">
        <f>SUM('[84]Level 1.1'!L16:L286)</f>
        <v>27580796.199648585</v>
      </c>
      <c r="P33" s="1060"/>
    </row>
    <row r="34" spans="2:20" ht="14.45">
      <c r="B34" s="1025">
        <v>2</v>
      </c>
      <c r="E34" s="1063">
        <v>0.14078038446027996</v>
      </c>
      <c r="F34" s="1035">
        <f>E34*$E$24</f>
        <v>90032.481699946919</v>
      </c>
      <c r="G34" s="1035">
        <f t="shared" ref="G34:G35" si="1">F34*(1+$E$26)^(B34-1)</f>
        <v>99035.729869941613</v>
      </c>
      <c r="I34" s="1027"/>
      <c r="K34" s="1024" t="s">
        <v>855</v>
      </c>
      <c r="L34" s="1024"/>
      <c r="M34" s="1065">
        <f>M32*M33</f>
        <v>358550.35059543158</v>
      </c>
      <c r="N34" s="1024"/>
      <c r="O34" s="1024"/>
      <c r="P34" s="1060"/>
    </row>
    <row r="35" spans="2:20" ht="14.45">
      <c r="B35" s="1025">
        <v>3</v>
      </c>
      <c r="E35" s="1063">
        <v>0</v>
      </c>
      <c r="F35" s="1035">
        <f>E35*$E$24</f>
        <v>0</v>
      </c>
      <c r="G35" s="1035">
        <f t="shared" si="1"/>
        <v>0</v>
      </c>
      <c r="I35" s="1027"/>
      <c r="K35" s="1025" t="s">
        <v>971</v>
      </c>
    </row>
    <row r="36" spans="2:20">
      <c r="B36" s="1053"/>
      <c r="C36" s="1053"/>
      <c r="D36" s="1052" t="s">
        <v>961</v>
      </c>
      <c r="E36" s="1052"/>
      <c r="F36" s="1054">
        <f>SUM(F33:F35)</f>
        <v>639524.33462311525</v>
      </c>
      <c r="G36" s="1054">
        <f>SUM(G33:G35)</f>
        <v>648527.58279310993</v>
      </c>
      <c r="I36" s="1027"/>
    </row>
    <row r="37" spans="2:20">
      <c r="D37" s="1039"/>
      <c r="E37" s="1039"/>
      <c r="F37" s="1040"/>
      <c r="G37" s="1040"/>
      <c r="I37" s="1027"/>
    </row>
    <row r="38" spans="2:20">
      <c r="I38" s="1027"/>
    </row>
    <row r="39" spans="2:20" ht="3" customHeight="1">
      <c r="B39" s="1066"/>
      <c r="C39" s="1027"/>
      <c r="D39" s="1027"/>
      <c r="E39" s="1067"/>
      <c r="F39" s="1027"/>
      <c r="G39" s="1027"/>
      <c r="H39" s="1027"/>
      <c r="I39" s="1027"/>
      <c r="J39" s="1027"/>
      <c r="K39" s="1027"/>
      <c r="L39" s="1027"/>
      <c r="M39" s="1027"/>
      <c r="N39" s="1027"/>
      <c r="O39" s="1027"/>
      <c r="P39" s="1027"/>
      <c r="Q39" s="1027"/>
      <c r="R39" s="1027"/>
      <c r="S39" s="1027"/>
      <c r="T39" s="1027"/>
    </row>
    <row r="42" spans="2:20" ht="15.6">
      <c r="B42" s="1028" t="s">
        <v>972</v>
      </c>
    </row>
    <row r="43" spans="2:20" ht="26.45">
      <c r="B43" s="1053"/>
      <c r="C43" s="1053"/>
      <c r="D43" s="1053"/>
      <c r="E43" s="1068" t="s">
        <v>973</v>
      </c>
      <c r="F43" s="1057" t="s">
        <v>6</v>
      </c>
    </row>
    <row r="44" spans="2:20">
      <c r="B44" s="1025" t="s">
        <v>941</v>
      </c>
      <c r="D44" s="1069">
        <f>G36</f>
        <v>648527.58279310993</v>
      </c>
      <c r="E44" s="1070" t="s">
        <v>974</v>
      </c>
      <c r="F44" s="1069">
        <f>IF(E44="x",D44,0)</f>
        <v>648527.58279310993</v>
      </c>
    </row>
    <row r="45" spans="2:20">
      <c r="B45" s="1025" t="s">
        <v>942</v>
      </c>
      <c r="D45" s="1069">
        <f>Q24</f>
        <v>487390.19207894814</v>
      </c>
      <c r="E45" s="1070"/>
      <c r="F45" s="1069">
        <f t="shared" ref="F45:F46" si="2">IF(E45="x",D45,0)</f>
        <v>0</v>
      </c>
    </row>
    <row r="46" spans="2:20" ht="15">
      <c r="B46" s="1025" t="s">
        <v>855</v>
      </c>
      <c r="D46" s="1071">
        <f>M34</f>
        <v>358550.35059543158</v>
      </c>
      <c r="E46" s="1070" t="s">
        <v>974</v>
      </c>
      <c r="F46" s="1071">
        <f t="shared" si="2"/>
        <v>358550.35059543158</v>
      </c>
    </row>
    <row r="47" spans="2:20">
      <c r="B47" s="1039" t="s">
        <v>947</v>
      </c>
      <c r="D47" s="1072">
        <f>SUM(D44:D46)</f>
        <v>1494468.1254674897</v>
      </c>
      <c r="F47" s="1072">
        <f>SUM(F44:F46)</f>
        <v>1007077.9333885415</v>
      </c>
    </row>
  </sheetData>
  <pageMargins left="0.5" right="0.5" top="0.5" bottom="0.5" header="0.5" footer="0.5"/>
  <pageSetup paperSize="3" scale="84"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2DE40-026C-4C32-805D-5530D5144033}">
  <sheetPr>
    <tabColor theme="6"/>
    <pageSetUpPr fitToPage="1"/>
  </sheetPr>
  <dimension ref="A1:Z515"/>
  <sheetViews>
    <sheetView showGridLines="0" tabSelected="1" view="pageBreakPreview" zoomScale="85" zoomScaleNormal="100" zoomScaleSheetLayoutView="85" workbookViewId="0">
      <pane xSplit="1" ySplit="19" topLeftCell="B245" activePane="bottomRight" state="frozen"/>
      <selection pane="bottomRight" activeCell="B18" sqref="B18"/>
      <selection pane="bottomLeft" activeCell="A20" sqref="A20"/>
      <selection pane="topRight" activeCell="B1" sqref="B1"/>
    </sheetView>
  </sheetViews>
  <sheetFormatPr defaultColWidth="9.140625" defaultRowHeight="14.45" outlineLevelRow="1"/>
  <cols>
    <col min="1" max="1" width="39" style="55" customWidth="1"/>
    <col min="2" max="2" width="17.85546875" style="56" customWidth="1"/>
    <col min="3" max="3" width="15.140625" style="56" customWidth="1"/>
    <col min="4" max="4" width="20" style="56" customWidth="1"/>
    <col min="5" max="5" width="19.710937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9.7109375" style="55" bestFit="1" customWidth="1"/>
    <col min="12" max="12" width="28.140625" style="55" bestFit="1" customWidth="1"/>
    <col min="13" max="13" width="16.5703125" style="55" customWidth="1"/>
    <col min="14" max="14" width="17.85546875" style="55" customWidth="1"/>
    <col min="15"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16384" width="9.140625" style="55"/>
  </cols>
  <sheetData>
    <row r="1" spans="1:24" ht="15" hidden="1"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24" ht="15" hidden="1"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82">
        <v>145399.85</v>
      </c>
      <c r="R2" s="83" t="s">
        <v>95</v>
      </c>
      <c r="S2" s="84" t="s">
        <v>96</v>
      </c>
      <c r="T2" s="382">
        <f>(14.42+12.35+13.12+11.52)*K8</f>
        <v>9150.98</v>
      </c>
      <c r="U2" s="59" t="s">
        <v>61</v>
      </c>
      <c r="V2" s="84" t="s">
        <v>97</v>
      </c>
      <c r="W2" s="48">
        <v>59616.52</v>
      </c>
      <c r="X2" s="59"/>
    </row>
    <row r="3" spans="1:24" hidden="1">
      <c r="A3" s="85" t="s">
        <v>105</v>
      </c>
      <c r="B3" s="86" t="s">
        <v>39</v>
      </c>
      <c r="D3" s="87" t="s">
        <v>106</v>
      </c>
      <c r="E3" s="88">
        <v>0</v>
      </c>
      <c r="F3" s="89">
        <f t="shared" ref="F3:F8" si="0">E3/$E$8</f>
        <v>0</v>
      </c>
      <c r="H3" s="86">
        <v>1</v>
      </c>
      <c r="I3" s="86">
        <v>3</v>
      </c>
      <c r="J3" s="86">
        <f>SUM(K3:N3)</f>
        <v>169</v>
      </c>
      <c r="K3" s="86">
        <f>29*3</f>
        <v>87</v>
      </c>
      <c r="L3" s="86">
        <v>17</v>
      </c>
      <c r="M3" s="86">
        <v>48</v>
      </c>
      <c r="N3" s="86">
        <v>17</v>
      </c>
      <c r="O3" s="48">
        <v>185300</v>
      </c>
      <c r="P3" s="84" t="s">
        <v>107</v>
      </c>
      <c r="Q3" s="48">
        <v>4</v>
      </c>
      <c r="R3" s="59" t="s">
        <v>108</v>
      </c>
      <c r="S3" s="84" t="s">
        <v>109</v>
      </c>
      <c r="T3" s="382">
        <f>L8*(43.46+3.6+7.5)</f>
        <v>2673.44</v>
      </c>
      <c r="U3" s="59" t="s">
        <v>61</v>
      </c>
      <c r="V3" s="58" t="s">
        <v>162</v>
      </c>
      <c r="W3" s="68">
        <f>3808+3514+3590+3041+2630+2705</f>
        <v>19288</v>
      </c>
      <c r="X3" s="99" t="s">
        <v>61</v>
      </c>
    </row>
    <row r="4" spans="1:24" hidden="1">
      <c r="A4" s="85" t="s">
        <v>2</v>
      </c>
      <c r="B4" s="86" t="s">
        <v>120</v>
      </c>
      <c r="D4" s="93" t="s">
        <v>89</v>
      </c>
      <c r="E4" s="86">
        <f>K8</f>
        <v>178</v>
      </c>
      <c r="F4" s="94">
        <f>E4/$E$8</f>
        <v>0.4564102564102564</v>
      </c>
      <c r="H4" s="86">
        <v>2</v>
      </c>
      <c r="I4" s="86">
        <v>2</v>
      </c>
      <c r="J4" s="86">
        <f t="shared" ref="J4" si="1">SUM(K4:N4)</f>
        <v>24</v>
      </c>
      <c r="K4" s="86">
        <v>9</v>
      </c>
      <c r="L4" s="86">
        <v>7</v>
      </c>
      <c r="M4" s="86">
        <v>8</v>
      </c>
      <c r="N4" s="86">
        <v>0</v>
      </c>
      <c r="O4" s="48">
        <v>24353</v>
      </c>
      <c r="P4" s="95" t="s">
        <v>121</v>
      </c>
      <c r="Q4" s="56">
        <f>Q3*3</f>
        <v>12</v>
      </c>
      <c r="R4" s="96" t="s">
        <v>108</v>
      </c>
      <c r="S4" s="84" t="s">
        <v>122</v>
      </c>
      <c r="T4" s="382">
        <f>(13+13+12+12.5+6.3)*6+(8.5+16+13+7+11)*46</f>
        <v>2893.8</v>
      </c>
      <c r="U4" s="59" t="s">
        <v>61</v>
      </c>
      <c r="V4" s="58" t="s">
        <v>169</v>
      </c>
      <c r="W4" s="68">
        <f>1077+1082</f>
        <v>2159</v>
      </c>
      <c r="X4" s="99" t="s">
        <v>61</v>
      </c>
    </row>
    <row r="5" spans="1:24" hidden="1">
      <c r="A5" s="85" t="s">
        <v>124</v>
      </c>
      <c r="B5" s="878">
        <v>46020</v>
      </c>
      <c r="D5" s="93" t="s">
        <v>90</v>
      </c>
      <c r="E5" s="86">
        <f>L8</f>
        <v>49</v>
      </c>
      <c r="F5" s="94">
        <f t="shared" si="0"/>
        <v>0.12564102564102564</v>
      </c>
      <c r="H5" s="86">
        <v>3</v>
      </c>
      <c r="I5" s="86">
        <v>3</v>
      </c>
      <c r="J5" s="86">
        <v>173</v>
      </c>
      <c r="K5" s="86">
        <v>73</v>
      </c>
      <c r="L5" s="86">
        <v>18</v>
      </c>
      <c r="M5" s="86">
        <v>51</v>
      </c>
      <c r="N5" s="86">
        <v>31</v>
      </c>
      <c r="O5" s="48">
        <v>192543</v>
      </c>
      <c r="P5" s="84" t="s">
        <v>125</v>
      </c>
      <c r="Q5" s="98">
        <v>13</v>
      </c>
      <c r="R5" s="59" t="s">
        <v>126</v>
      </c>
      <c r="S5" s="84" t="s">
        <v>127</v>
      </c>
      <c r="T5" s="382">
        <f>(15+7+4+16.82+31)*N8</f>
        <v>3543.3599999999997</v>
      </c>
      <c r="U5" s="59" t="s">
        <v>61</v>
      </c>
      <c r="V5" s="58" t="s">
        <v>174</v>
      </c>
      <c r="W5" s="68">
        <f>3955+3726+3726+3298+2825+2825</f>
        <v>20355</v>
      </c>
      <c r="X5" s="99" t="s">
        <v>61</v>
      </c>
    </row>
    <row r="6" spans="1:24" hidden="1">
      <c r="A6" s="85" t="s">
        <v>130</v>
      </c>
      <c r="B6" s="86">
        <v>26</v>
      </c>
      <c r="D6" s="93" t="s">
        <v>91</v>
      </c>
      <c r="E6" s="86">
        <f>M8</f>
        <v>115</v>
      </c>
      <c r="F6" s="94">
        <f t="shared" si="0"/>
        <v>0.29487179487179488</v>
      </c>
      <c r="H6" s="86">
        <v>4</v>
      </c>
      <c r="I6" s="86">
        <v>2</v>
      </c>
      <c r="J6" s="86">
        <v>24</v>
      </c>
      <c r="K6" s="86">
        <v>9</v>
      </c>
      <c r="L6" s="86">
        <v>7</v>
      </c>
      <c r="M6" s="86">
        <v>8</v>
      </c>
      <c r="N6" s="86">
        <v>0</v>
      </c>
      <c r="O6" s="48">
        <v>24353</v>
      </c>
      <c r="P6" s="84" t="s">
        <v>131</v>
      </c>
      <c r="Q6" s="48">
        <f>6+7+4</f>
        <v>17</v>
      </c>
      <c r="R6" s="59" t="s">
        <v>108</v>
      </c>
      <c r="S6" s="84" t="s">
        <v>132</v>
      </c>
      <c r="T6" s="766">
        <f>86*20*2</f>
        <v>3440</v>
      </c>
      <c r="U6" s="59" t="s">
        <v>61</v>
      </c>
      <c r="V6" s="58" t="s">
        <v>181</v>
      </c>
      <c r="W6" s="68">
        <f>1077+1082</f>
        <v>2159</v>
      </c>
      <c r="X6" s="99" t="s">
        <v>61</v>
      </c>
    </row>
    <row r="7" spans="1:24" hidden="1">
      <c r="A7" s="85" t="s">
        <v>115</v>
      </c>
      <c r="B7" s="86" t="s">
        <v>134</v>
      </c>
      <c r="D7" s="100" t="s">
        <v>92</v>
      </c>
      <c r="E7" s="101">
        <f>N8</f>
        <v>48</v>
      </c>
      <c r="F7" s="102">
        <f t="shared" si="0"/>
        <v>0.12307692307692308</v>
      </c>
      <c r="H7" s="86"/>
      <c r="I7" s="86"/>
      <c r="J7" s="86"/>
      <c r="K7" s="86"/>
      <c r="L7" s="86"/>
      <c r="M7" s="86"/>
      <c r="N7" s="86"/>
      <c r="O7" s="48"/>
      <c r="P7" s="103" t="s">
        <v>135</v>
      </c>
      <c r="Q7" s="104">
        <v>1</v>
      </c>
      <c r="R7" s="105"/>
      <c r="S7" s="84" t="s">
        <v>136</v>
      </c>
      <c r="T7" s="382"/>
      <c r="U7" s="59" t="s">
        <v>61</v>
      </c>
      <c r="V7" s="58" t="s">
        <v>21</v>
      </c>
      <c r="W7" s="68">
        <f>SUM(W3:W6)</f>
        <v>43961</v>
      </c>
      <c r="X7" s="99" t="s">
        <v>61</v>
      </c>
    </row>
    <row r="8" spans="1:24" ht="15" hidden="1" thickBot="1">
      <c r="A8" s="85" t="s">
        <v>139</v>
      </c>
      <c r="B8" s="48">
        <v>422635</v>
      </c>
      <c r="D8" s="106" t="s">
        <v>140</v>
      </c>
      <c r="E8" s="107">
        <f>SUM(E3:E7)</f>
        <v>390</v>
      </c>
      <c r="F8" s="108">
        <f t="shared" si="0"/>
        <v>1</v>
      </c>
      <c r="H8" s="109" t="s">
        <v>140</v>
      </c>
      <c r="I8" s="80">
        <f t="shared" ref="I8:O8" si="2">SUM(I3:I7)</f>
        <v>10</v>
      </c>
      <c r="J8" s="80">
        <f t="shared" si="2"/>
        <v>390</v>
      </c>
      <c r="K8" s="80">
        <f t="shared" si="2"/>
        <v>178</v>
      </c>
      <c r="L8" s="80">
        <f t="shared" si="2"/>
        <v>49</v>
      </c>
      <c r="M8" s="80">
        <f t="shared" si="2"/>
        <v>115</v>
      </c>
      <c r="N8" s="80">
        <f t="shared" si="2"/>
        <v>48</v>
      </c>
      <c r="O8" s="110">
        <f t="shared" si="2"/>
        <v>426549</v>
      </c>
      <c r="P8" s="84" t="s">
        <v>141</v>
      </c>
      <c r="Q8" s="48">
        <v>2</v>
      </c>
      <c r="R8" s="59"/>
      <c r="S8" s="58" t="s">
        <v>0</v>
      </c>
      <c r="T8" s="68">
        <v>261305.65</v>
      </c>
      <c r="U8" s="99" t="s">
        <v>61</v>
      </c>
      <c r="V8" s="58" t="s">
        <v>193</v>
      </c>
      <c r="W8" s="68">
        <v>8</v>
      </c>
      <c r="X8" s="99" t="s">
        <v>108</v>
      </c>
    </row>
    <row r="9" spans="1:24" ht="15" hidden="1" thickBot="1">
      <c r="A9" s="85" t="s">
        <v>145</v>
      </c>
      <c r="B9" s="111">
        <v>15.826000000000001</v>
      </c>
      <c r="D9" s="72" t="s">
        <v>146</v>
      </c>
      <c r="E9" s="72"/>
      <c r="F9" s="72"/>
      <c r="K9" s="57"/>
      <c r="L9" s="112"/>
      <c r="M9" s="112"/>
      <c r="P9" s="84" t="s">
        <v>147</v>
      </c>
      <c r="Q9" s="48">
        <v>3228</v>
      </c>
      <c r="R9" s="59" t="s">
        <v>148</v>
      </c>
      <c r="S9" s="58" t="s">
        <v>149</v>
      </c>
      <c r="T9" s="766">
        <v>900</v>
      </c>
      <c r="U9" s="99" t="s">
        <v>61</v>
      </c>
      <c r="V9" s="58" t="s">
        <v>197</v>
      </c>
      <c r="W9" s="766">
        <v>1</v>
      </c>
      <c r="X9" s="99" t="s">
        <v>108</v>
      </c>
    </row>
    <row r="10" spans="1:24" hidden="1">
      <c r="A10" s="85" t="s">
        <v>152</v>
      </c>
      <c r="B10" s="48">
        <f>B9*43560</f>
        <v>689380.56</v>
      </c>
      <c r="D10" s="113" t="s">
        <v>153</v>
      </c>
      <c r="E10" s="114"/>
      <c r="F10" s="115">
        <v>0</v>
      </c>
      <c r="J10" s="358"/>
      <c r="K10" s="1108"/>
      <c r="L10" s="358"/>
      <c r="M10" s="358"/>
      <c r="N10" s="358"/>
      <c r="P10" s="84" t="s">
        <v>154</v>
      </c>
      <c r="Q10" s="48">
        <v>1734.0110999999999</v>
      </c>
      <c r="R10" s="59" t="s">
        <v>155</v>
      </c>
      <c r="S10" s="58" t="s">
        <v>156</v>
      </c>
      <c r="T10" s="766">
        <f>10114-1655-215-35*8</f>
        <v>7964</v>
      </c>
      <c r="U10" s="99" t="s">
        <v>61</v>
      </c>
      <c r="V10" s="58" t="s">
        <v>975</v>
      </c>
      <c r="W10" s="766">
        <v>243608.62</v>
      </c>
      <c r="X10" s="99"/>
    </row>
    <row r="11" spans="1:24" ht="15" thickBot="1">
      <c r="A11" s="85" t="s">
        <v>157</v>
      </c>
      <c r="B11" s="48">
        <v>4</v>
      </c>
      <c r="D11" s="85" t="s">
        <v>158</v>
      </c>
      <c r="E11" s="45"/>
      <c r="F11" s="86">
        <v>375</v>
      </c>
      <c r="H11" s="763"/>
      <c r="J11" s="358"/>
      <c r="K11" s="1107"/>
      <c r="L11" s="358"/>
      <c r="M11" s="358"/>
      <c r="N11" s="358"/>
      <c r="P11" s="84" t="s">
        <v>159</v>
      </c>
      <c r="Q11" s="48">
        <v>28186.002</v>
      </c>
      <c r="R11" s="59" t="s">
        <v>160</v>
      </c>
      <c r="S11" s="58" t="s">
        <v>161</v>
      </c>
      <c r="T11" s="766">
        <v>372</v>
      </c>
      <c r="U11" s="99" t="s">
        <v>148</v>
      </c>
      <c r="V11" s="58" t="s">
        <v>976</v>
      </c>
      <c r="W11" s="766">
        <v>145460</v>
      </c>
      <c r="X11" s="99"/>
    </row>
    <row r="12" spans="1:24">
      <c r="A12" s="116" t="s">
        <v>164</v>
      </c>
      <c r="B12" s="117"/>
      <c r="D12" s="85" t="s">
        <v>165</v>
      </c>
      <c r="E12" s="45"/>
      <c r="F12" s="86">
        <v>320</v>
      </c>
      <c r="H12" s="763"/>
      <c r="K12" s="1"/>
      <c r="M12" s="761"/>
      <c r="N12" s="358"/>
      <c r="O12" s="194"/>
      <c r="P12" s="84" t="s">
        <v>977</v>
      </c>
      <c r="Q12" s="48">
        <v>329873</v>
      </c>
      <c r="R12" s="59" t="s">
        <v>167</v>
      </c>
      <c r="S12" s="118" t="s">
        <v>168</v>
      </c>
      <c r="T12" s="767">
        <f>200*2</f>
        <v>400</v>
      </c>
      <c r="U12" s="119" t="s">
        <v>148</v>
      </c>
      <c r="V12" s="118"/>
      <c r="W12" s="767"/>
      <c r="X12" s="119"/>
    </row>
    <row r="13" spans="1:24" ht="15" thickBot="1">
      <c r="A13" s="120" t="s">
        <v>170</v>
      </c>
      <c r="B13" s="202">
        <v>45062</v>
      </c>
      <c r="D13" s="85" t="s">
        <v>171</v>
      </c>
      <c r="E13" s="45"/>
      <c r="F13" s="86">
        <v>16</v>
      </c>
      <c r="H13" s="763"/>
      <c r="K13" s="1"/>
      <c r="M13" s="358"/>
      <c r="N13" s="358"/>
      <c r="O13" s="194"/>
      <c r="P13" s="84" t="s">
        <v>172</v>
      </c>
      <c r="Q13" s="46">
        <f>F11</f>
        <v>375</v>
      </c>
      <c r="R13" s="59" t="s">
        <v>108</v>
      </c>
      <c r="S13" s="58" t="s">
        <v>173</v>
      </c>
      <c r="T13" s="766">
        <v>7476</v>
      </c>
      <c r="U13" s="99" t="s">
        <v>61</v>
      </c>
      <c r="V13" s="58"/>
      <c r="W13" s="766"/>
      <c r="X13" s="99"/>
    </row>
    <row r="14" spans="1:24">
      <c r="A14" s="121" t="s">
        <v>175</v>
      </c>
      <c r="B14" s="776">
        <v>45848</v>
      </c>
      <c r="D14" s="85" t="s">
        <v>176</v>
      </c>
      <c r="E14" s="45"/>
      <c r="F14" s="86">
        <v>0</v>
      </c>
      <c r="H14" s="763"/>
      <c r="J14" s="122" t="s">
        <v>177</v>
      </c>
      <c r="K14" s="123"/>
      <c r="L14" s="124">
        <f>L321</f>
        <v>77376747.916494429</v>
      </c>
      <c r="M14" s="358"/>
      <c r="N14" s="358"/>
      <c r="O14" s="194"/>
      <c r="P14" s="84" t="s">
        <v>178</v>
      </c>
      <c r="Q14" s="48">
        <f>4*2+13*3</f>
        <v>47</v>
      </c>
      <c r="R14" s="59" t="s">
        <v>179</v>
      </c>
      <c r="S14" s="58" t="s">
        <v>180</v>
      </c>
      <c r="T14" s="766">
        <v>0</v>
      </c>
      <c r="U14" s="99" t="s">
        <v>61</v>
      </c>
      <c r="V14" s="58"/>
      <c r="W14" s="766"/>
      <c r="X14" s="99"/>
    </row>
    <row r="15" spans="1:24">
      <c r="A15" s="121" t="s">
        <v>182</v>
      </c>
      <c r="B15" s="776">
        <v>45583</v>
      </c>
      <c r="D15" s="85" t="s">
        <v>183</v>
      </c>
      <c r="E15" s="45"/>
      <c r="F15" s="86">
        <f>SUM(F10:F14)</f>
        <v>711</v>
      </c>
      <c r="H15" s="763"/>
      <c r="J15" s="125" t="s">
        <v>184</v>
      </c>
      <c r="K15" s="126"/>
      <c r="L15" s="127">
        <f>L14/E8</f>
        <v>198401.9177346011</v>
      </c>
      <c r="M15" s="1098"/>
      <c r="N15" s="358"/>
      <c r="P15" s="84" t="s">
        <v>185</v>
      </c>
      <c r="Q15" s="48">
        <v>1</v>
      </c>
      <c r="R15" s="59" t="s">
        <v>186</v>
      </c>
      <c r="S15" s="58" t="s">
        <v>187</v>
      </c>
      <c r="T15" s="766">
        <f>748+1140</f>
        <v>1888</v>
      </c>
      <c r="U15" s="99" t="s">
        <v>61</v>
      </c>
      <c r="V15" s="58"/>
      <c r="W15" s="766"/>
      <c r="X15" s="99"/>
    </row>
    <row r="16" spans="1:24" ht="15" thickBot="1">
      <c r="A16" s="121" t="s">
        <v>188</v>
      </c>
      <c r="B16" s="776">
        <v>45938</v>
      </c>
      <c r="D16" s="129" t="s">
        <v>189</v>
      </c>
      <c r="E16" s="130"/>
      <c r="F16" s="131">
        <f>SUM(F10:F13)/E8</f>
        <v>1.823076923076923</v>
      </c>
      <c r="H16" s="763"/>
      <c r="J16" s="132" t="s">
        <v>190</v>
      </c>
      <c r="K16" s="133"/>
      <c r="L16" s="1076">
        <f>L14/B8</f>
        <v>183.08173226659986</v>
      </c>
      <c r="N16" s="351"/>
      <c r="P16" s="84" t="s">
        <v>191</v>
      </c>
      <c r="Q16" s="48">
        <v>10</v>
      </c>
      <c r="R16" s="59" t="s">
        <v>186</v>
      </c>
      <c r="S16" s="58" t="s">
        <v>192</v>
      </c>
      <c r="T16" s="766">
        <v>1557</v>
      </c>
      <c r="U16" s="99" t="s">
        <v>61</v>
      </c>
      <c r="V16" s="58"/>
      <c r="W16" s="766"/>
      <c r="X16" s="99"/>
    </row>
    <row r="17" spans="1:26" ht="15" thickBot="1">
      <c r="A17" s="128" t="s">
        <v>194</v>
      </c>
      <c r="B17" s="203">
        <v>45043</v>
      </c>
      <c r="C17" s="136"/>
      <c r="D17" s="136"/>
      <c r="H17" s="351"/>
      <c r="J17" s="1"/>
      <c r="N17" s="1097"/>
      <c r="P17" s="84" t="s">
        <v>195</v>
      </c>
      <c r="Q17" s="48">
        <v>58</v>
      </c>
      <c r="R17" s="59" t="s">
        <v>186</v>
      </c>
      <c r="S17" s="58" t="s">
        <v>196</v>
      </c>
      <c r="T17" s="766">
        <v>0</v>
      </c>
      <c r="U17" s="99" t="s">
        <v>61</v>
      </c>
      <c r="V17" s="58"/>
      <c r="W17" s="766"/>
      <c r="X17" s="99"/>
    </row>
    <row r="18" spans="1:26" ht="15" thickBot="1">
      <c r="A18" s="135"/>
      <c r="B18" s="136"/>
      <c r="C18" s="136"/>
      <c r="D18" s="136"/>
      <c r="J18" s="1"/>
      <c r="N18" s="351"/>
      <c r="P18" s="140" t="s">
        <v>199</v>
      </c>
      <c r="Q18" s="141">
        <v>10</v>
      </c>
      <c r="R18" s="142" t="s">
        <v>186</v>
      </c>
      <c r="S18" s="140" t="s">
        <v>200</v>
      </c>
      <c r="T18" s="765">
        <f>(E6*250+E7*500)/E8</f>
        <v>135.25641025641025</v>
      </c>
      <c r="U18" s="142"/>
      <c r="V18" s="140"/>
      <c r="W18" s="765"/>
      <c r="X18" s="142"/>
    </row>
    <row r="19" spans="1:26" ht="30.75" customHeight="1" thickBot="1">
      <c r="A19" s="33" t="s">
        <v>202</v>
      </c>
      <c r="B19" s="34" t="s">
        <v>203</v>
      </c>
      <c r="C19" s="35" t="s">
        <v>204</v>
      </c>
      <c r="D19" s="34" t="s">
        <v>205</v>
      </c>
      <c r="E19" s="34" t="s">
        <v>206</v>
      </c>
      <c r="F19" s="34" t="s">
        <v>207</v>
      </c>
      <c r="G19" s="34" t="s">
        <v>208</v>
      </c>
      <c r="H19" s="34" t="s">
        <v>209</v>
      </c>
      <c r="I19" s="35" t="s">
        <v>978</v>
      </c>
      <c r="J19" s="35" t="s">
        <v>211</v>
      </c>
      <c r="K19" s="34" t="s">
        <v>212</v>
      </c>
      <c r="L19" s="33" t="s">
        <v>119</v>
      </c>
      <c r="M19" s="36" t="s">
        <v>213</v>
      </c>
      <c r="N19" s="37"/>
      <c r="O19" s="37"/>
      <c r="P19" s="37"/>
      <c r="Q19" s="37"/>
      <c r="R19" s="37"/>
      <c r="S19" s="37"/>
      <c r="T19" s="37"/>
      <c r="U19" s="37"/>
      <c r="V19" s="37"/>
      <c r="W19" s="37"/>
      <c r="X19" s="37"/>
      <c r="Y19" s="37"/>
    </row>
    <row r="20" spans="1:26" outlineLevel="1">
      <c r="A20" s="1018" t="s">
        <v>214</v>
      </c>
      <c r="B20" s="1019" t="s">
        <v>215</v>
      </c>
      <c r="C20" s="1019" t="s">
        <v>216</v>
      </c>
      <c r="D20" s="1019"/>
      <c r="E20" s="1019"/>
      <c r="F20" s="1019"/>
      <c r="G20" s="1019"/>
      <c r="H20" s="54"/>
      <c r="I20" s="1074">
        <v>0.06</v>
      </c>
      <c r="J20" s="1075"/>
      <c r="K20" s="1075">
        <f>I20*SUM(K22:K308,K311)</f>
        <v>3857213.6954538627</v>
      </c>
      <c r="L20" s="91"/>
      <c r="M20" s="597"/>
      <c r="N20" s="45"/>
      <c r="O20" s="45"/>
      <c r="P20" s="45"/>
      <c r="Q20" s="45"/>
      <c r="R20" s="45"/>
      <c r="S20" s="45"/>
      <c r="T20" s="45"/>
      <c r="U20" s="45"/>
      <c r="V20" s="45"/>
      <c r="W20" s="45"/>
      <c r="X20" s="45"/>
      <c r="Y20" s="45"/>
    </row>
    <row r="21" spans="1:26">
      <c r="A21" s="1020" t="s">
        <v>214</v>
      </c>
      <c r="B21" s="65" t="s">
        <v>215</v>
      </c>
      <c r="C21" s="65"/>
      <c r="D21" s="65"/>
      <c r="E21" s="65"/>
      <c r="F21" s="65"/>
      <c r="G21" s="65"/>
      <c r="H21" s="1077"/>
      <c r="I21" s="157"/>
      <c r="J21" s="159"/>
      <c r="K21" s="159"/>
      <c r="L21" s="71">
        <f>K20</f>
        <v>3857213.6954538627</v>
      </c>
      <c r="M21" s="45"/>
      <c r="N21" s="114"/>
      <c r="O21" s="114"/>
      <c r="P21" s="114"/>
      <c r="Q21" s="114"/>
      <c r="R21" s="114"/>
      <c r="S21" s="114"/>
      <c r="T21" s="114"/>
      <c r="U21" s="114"/>
      <c r="V21" s="114"/>
      <c r="W21" s="114"/>
      <c r="X21" s="114"/>
      <c r="Y21" s="114"/>
    </row>
    <row r="22" spans="1:26" outlineLevel="1">
      <c r="A22" s="6" t="s">
        <v>221</v>
      </c>
      <c r="B22" s="47" t="s">
        <v>222</v>
      </c>
      <c r="C22" s="47" t="s">
        <v>216</v>
      </c>
      <c r="D22" s="47" t="s">
        <v>223</v>
      </c>
      <c r="E22" s="47" t="s">
        <v>73</v>
      </c>
      <c r="F22" s="47"/>
      <c r="G22" s="47">
        <v>1</v>
      </c>
      <c r="H22" s="461">
        <v>12000</v>
      </c>
      <c r="I22" s="63">
        <v>0</v>
      </c>
      <c r="J22" s="67">
        <f>H22*(1+I22)</f>
        <v>12000</v>
      </c>
      <c r="K22" s="67">
        <f>J22*G22</f>
        <v>12000</v>
      </c>
      <c r="M22" s="45"/>
      <c r="N22" s="45"/>
      <c r="O22" s="45"/>
      <c r="P22" s="45"/>
      <c r="Q22" s="45"/>
      <c r="R22" s="45"/>
      <c r="S22" s="45"/>
      <c r="T22" s="45"/>
      <c r="U22" s="45"/>
      <c r="V22" s="45"/>
      <c r="W22" s="45"/>
      <c r="X22" s="45"/>
      <c r="Y22" s="45"/>
    </row>
    <row r="23" spans="1:26">
      <c r="A23" s="1020" t="s">
        <v>219</v>
      </c>
      <c r="B23" s="65" t="s">
        <v>220</v>
      </c>
      <c r="C23" s="65"/>
      <c r="D23" s="65"/>
      <c r="E23" s="65"/>
      <c r="F23" s="65"/>
      <c r="G23" s="65"/>
      <c r="H23" s="1077"/>
      <c r="I23" s="157"/>
      <c r="J23" s="159"/>
      <c r="K23" s="159"/>
      <c r="L23" s="71">
        <f>K22</f>
        <v>12000</v>
      </c>
      <c r="M23" s="45"/>
      <c r="N23" s="45"/>
      <c r="O23" s="45"/>
      <c r="P23" s="45"/>
      <c r="Q23" s="45"/>
      <c r="R23" s="45"/>
      <c r="S23" s="45"/>
      <c r="T23" s="45"/>
      <c r="U23" s="45"/>
      <c r="V23" s="45"/>
      <c r="W23" s="45"/>
      <c r="X23" s="45"/>
      <c r="Y23" s="45"/>
    </row>
    <row r="24" spans="1:26" outlineLevel="1">
      <c r="A24" s="6" t="s">
        <v>226</v>
      </c>
      <c r="B24" s="47" t="s">
        <v>227</v>
      </c>
      <c r="C24" s="47" t="s">
        <v>216</v>
      </c>
      <c r="D24" s="47" t="s">
        <v>228</v>
      </c>
      <c r="E24" s="47" t="s">
        <v>326</v>
      </c>
      <c r="F24" s="47" t="s">
        <v>61</v>
      </c>
      <c r="G24" s="42">
        <f>Q2</f>
        <v>145399.85</v>
      </c>
      <c r="H24" s="61">
        <v>9.5</v>
      </c>
      <c r="I24" s="63">
        <v>0</v>
      </c>
      <c r="J24" s="66">
        <f t="shared" ref="J24:J33" si="3">H24*(1+I24)</f>
        <v>9.5</v>
      </c>
      <c r="K24" s="594">
        <f t="shared" ref="K24:K33" si="4">J24*G24</f>
        <v>1381298.575</v>
      </c>
      <c r="M24" s="45" t="s">
        <v>979</v>
      </c>
      <c r="N24" s="45"/>
      <c r="O24" s="45"/>
      <c r="P24" s="45"/>
      <c r="Q24" s="45"/>
      <c r="R24" s="45"/>
      <c r="S24" s="45"/>
      <c r="T24" s="45"/>
      <c r="U24" s="45"/>
      <c r="V24" s="45"/>
      <c r="W24" s="45"/>
      <c r="X24" s="45"/>
      <c r="Y24" s="45"/>
      <c r="Z24" s="56"/>
    </row>
    <row r="25" spans="1:26" outlineLevel="1">
      <c r="A25" s="7" t="s">
        <v>230</v>
      </c>
      <c r="B25" s="40" t="s">
        <v>227</v>
      </c>
      <c r="C25" s="40" t="s">
        <v>216</v>
      </c>
      <c r="D25" s="40" t="s">
        <v>228</v>
      </c>
      <c r="E25" s="40" t="s">
        <v>231</v>
      </c>
      <c r="F25" s="40"/>
      <c r="G25" s="38"/>
      <c r="H25" s="54"/>
      <c r="I25" s="53"/>
      <c r="J25" s="462">
        <f t="shared" si="3"/>
        <v>0</v>
      </c>
      <c r="K25" s="594">
        <f t="shared" si="4"/>
        <v>0</v>
      </c>
      <c r="M25" s="45"/>
      <c r="N25" s="45"/>
      <c r="O25" s="45"/>
      <c r="P25" s="45"/>
      <c r="Q25" s="45"/>
      <c r="R25" s="45"/>
      <c r="S25" s="45"/>
      <c r="T25" s="45"/>
      <c r="U25" s="45"/>
      <c r="V25" s="45"/>
      <c r="W25" s="45"/>
      <c r="X25" s="45"/>
      <c r="Y25" s="45"/>
      <c r="Z25" s="56"/>
    </row>
    <row r="26" spans="1:26" outlineLevel="1">
      <c r="A26" s="7" t="s">
        <v>232</v>
      </c>
      <c r="B26" s="40" t="s">
        <v>227</v>
      </c>
      <c r="C26" s="40" t="s">
        <v>233</v>
      </c>
      <c r="D26" s="40" t="s">
        <v>228</v>
      </c>
      <c r="E26" s="60" t="s">
        <v>73</v>
      </c>
      <c r="F26" s="40" t="s">
        <v>71</v>
      </c>
      <c r="G26" s="38">
        <v>1</v>
      </c>
      <c r="H26" s="54">
        <f>2500*3</f>
        <v>7500</v>
      </c>
      <c r="I26" s="53">
        <v>0</v>
      </c>
      <c r="J26" s="462">
        <f t="shared" si="3"/>
        <v>7500</v>
      </c>
      <c r="K26" s="594">
        <f t="shared" si="4"/>
        <v>7500</v>
      </c>
      <c r="M26" s="45"/>
      <c r="N26" s="45"/>
      <c r="O26" s="45"/>
      <c r="P26" s="45"/>
      <c r="Q26" s="45"/>
      <c r="R26" s="45"/>
      <c r="S26" s="45"/>
      <c r="T26" s="45"/>
      <c r="U26" s="45"/>
      <c r="V26" s="45"/>
      <c r="W26" s="45"/>
      <c r="X26" s="45"/>
      <c r="Y26" s="45"/>
      <c r="Z26" s="56"/>
    </row>
    <row r="27" spans="1:26" outlineLevel="1">
      <c r="A27" s="7" t="s">
        <v>234</v>
      </c>
      <c r="B27" s="40" t="s">
        <v>227</v>
      </c>
      <c r="C27" s="40" t="s">
        <v>216</v>
      </c>
      <c r="D27" s="40" t="s">
        <v>235</v>
      </c>
      <c r="E27" s="40" t="s">
        <v>73</v>
      </c>
      <c r="F27" s="60" t="s">
        <v>71</v>
      </c>
      <c r="G27" s="62">
        <v>1</v>
      </c>
      <c r="H27" s="54">
        <v>10000</v>
      </c>
      <c r="I27" s="53">
        <v>0</v>
      </c>
      <c r="J27" s="462">
        <f t="shared" si="3"/>
        <v>10000</v>
      </c>
      <c r="K27" s="594">
        <f t="shared" si="4"/>
        <v>10000</v>
      </c>
      <c r="M27" s="45"/>
      <c r="N27" s="45"/>
      <c r="O27" s="45"/>
      <c r="P27" s="45"/>
      <c r="Q27" s="45"/>
      <c r="R27" s="45"/>
      <c r="S27" s="45"/>
      <c r="T27" s="45"/>
      <c r="U27" s="45"/>
      <c r="V27" s="45"/>
      <c r="W27" s="45"/>
      <c r="X27" s="45"/>
      <c r="Y27" s="45"/>
      <c r="Z27" s="56"/>
    </row>
    <row r="28" spans="1:26" outlineLevel="1">
      <c r="A28" s="7" t="s">
        <v>236</v>
      </c>
      <c r="B28" s="40" t="s">
        <v>237</v>
      </c>
      <c r="C28" s="40" t="s">
        <v>216</v>
      </c>
      <c r="D28" s="40" t="s">
        <v>238</v>
      </c>
      <c r="E28" s="40" t="s">
        <v>239</v>
      </c>
      <c r="F28" s="40" t="s">
        <v>108</v>
      </c>
      <c r="G28" s="38">
        <v>14</v>
      </c>
      <c r="H28" s="54">
        <v>5500</v>
      </c>
      <c r="I28" s="53">
        <v>0</v>
      </c>
      <c r="J28" s="462">
        <f t="shared" si="3"/>
        <v>5500</v>
      </c>
      <c r="K28" s="594">
        <f t="shared" si="4"/>
        <v>77000</v>
      </c>
      <c r="L28" s="194"/>
      <c r="M28" s="45"/>
      <c r="N28" s="45"/>
      <c r="O28" s="45"/>
      <c r="P28" s="45"/>
      <c r="Q28" s="45"/>
      <c r="R28" s="45"/>
      <c r="S28" s="45"/>
      <c r="T28" s="45"/>
      <c r="U28" s="45"/>
      <c r="V28" s="45"/>
      <c r="W28" s="45"/>
      <c r="X28" s="45"/>
      <c r="Y28" s="45"/>
      <c r="Z28" s="56"/>
    </row>
    <row r="29" spans="1:26" outlineLevel="1">
      <c r="A29" s="7" t="s">
        <v>240</v>
      </c>
      <c r="B29" s="40" t="s">
        <v>241</v>
      </c>
      <c r="C29" s="40" t="s">
        <v>216</v>
      </c>
      <c r="D29" s="40" t="s">
        <v>242</v>
      </c>
      <c r="E29" s="40" t="s">
        <v>73</v>
      </c>
      <c r="F29" s="40" t="s">
        <v>71</v>
      </c>
      <c r="G29" s="38">
        <f>$Q$7</f>
        <v>1</v>
      </c>
      <c r="H29" s="54">
        <v>2500</v>
      </c>
      <c r="I29" s="53">
        <v>0</v>
      </c>
      <c r="J29" s="462">
        <f t="shared" si="3"/>
        <v>2500</v>
      </c>
      <c r="K29" s="594">
        <f t="shared" si="4"/>
        <v>2500</v>
      </c>
      <c r="M29" s="45"/>
      <c r="N29" s="45"/>
      <c r="O29" s="45"/>
      <c r="P29" s="45"/>
      <c r="Q29" s="45"/>
      <c r="R29" s="45"/>
      <c r="S29" s="45"/>
      <c r="T29" s="45"/>
      <c r="U29" s="45"/>
      <c r="V29" s="45"/>
      <c r="W29" s="45"/>
      <c r="X29" s="45"/>
      <c r="Y29" s="45"/>
      <c r="Z29" s="56"/>
    </row>
    <row r="30" spans="1:26" outlineLevel="1">
      <c r="A30" s="7" t="s">
        <v>243</v>
      </c>
      <c r="B30" s="40" t="s">
        <v>244</v>
      </c>
      <c r="C30" s="40" t="s">
        <v>216</v>
      </c>
      <c r="D30" s="40" t="s">
        <v>242</v>
      </c>
      <c r="E30" s="40" t="s">
        <v>73</v>
      </c>
      <c r="F30" s="40" t="s">
        <v>71</v>
      </c>
      <c r="G30" s="38">
        <v>1</v>
      </c>
      <c r="H30" s="54">
        <v>35000</v>
      </c>
      <c r="I30" s="53">
        <v>0</v>
      </c>
      <c r="J30" s="462">
        <f t="shared" si="3"/>
        <v>35000</v>
      </c>
      <c r="K30" s="594">
        <f t="shared" si="4"/>
        <v>35000</v>
      </c>
      <c r="M30" s="45" t="s">
        <v>980</v>
      </c>
      <c r="N30" s="45"/>
      <c r="O30" s="45"/>
      <c r="P30" s="45"/>
      <c r="Q30" s="45"/>
      <c r="R30" s="45"/>
      <c r="S30" s="45"/>
      <c r="T30" s="45"/>
      <c r="U30" s="45"/>
      <c r="V30" s="45"/>
      <c r="W30" s="45"/>
      <c r="X30" s="45"/>
      <c r="Y30" s="45"/>
      <c r="Z30" s="56"/>
    </row>
    <row r="31" spans="1:26" outlineLevel="1">
      <c r="A31" s="7" t="s">
        <v>248</v>
      </c>
      <c r="B31" s="40" t="s">
        <v>249</v>
      </c>
      <c r="C31" s="40" t="s">
        <v>216</v>
      </c>
      <c r="D31" s="40" t="s">
        <v>250</v>
      </c>
      <c r="E31" s="40" t="s">
        <v>73</v>
      </c>
      <c r="F31" s="40" t="s">
        <v>71</v>
      </c>
      <c r="G31" s="38">
        <v>1</v>
      </c>
      <c r="H31" s="54">
        <v>7500</v>
      </c>
      <c r="I31" s="53">
        <v>0</v>
      </c>
      <c r="J31" s="462">
        <f t="shared" si="3"/>
        <v>7500</v>
      </c>
      <c r="K31" s="594">
        <f t="shared" si="4"/>
        <v>7500</v>
      </c>
      <c r="M31" s="45"/>
      <c r="N31" s="45"/>
      <c r="O31" s="45"/>
      <c r="P31" s="45"/>
      <c r="Q31" s="45"/>
      <c r="R31" s="45"/>
      <c r="S31" s="45"/>
      <c r="T31" s="45"/>
      <c r="U31" s="45"/>
      <c r="V31" s="45"/>
      <c r="W31" s="45"/>
      <c r="X31" s="45"/>
      <c r="Y31" s="45"/>
      <c r="Z31" s="56"/>
    </row>
    <row r="32" spans="1:26" outlineLevel="1">
      <c r="A32" s="7" t="s">
        <v>252</v>
      </c>
      <c r="B32" s="40" t="s">
        <v>253</v>
      </c>
      <c r="C32" s="40" t="s">
        <v>216</v>
      </c>
      <c r="D32" s="40" t="s">
        <v>228</v>
      </c>
      <c r="E32" s="40" t="s">
        <v>239</v>
      </c>
      <c r="F32" s="40" t="s">
        <v>61</v>
      </c>
      <c r="G32" s="38">
        <f>T8</f>
        <v>261305.65</v>
      </c>
      <c r="H32" s="51">
        <v>2.6</v>
      </c>
      <c r="I32" s="53">
        <v>0</v>
      </c>
      <c r="J32" s="160">
        <f t="shared" si="3"/>
        <v>2.6</v>
      </c>
      <c r="K32" s="594">
        <f t="shared" si="4"/>
        <v>679394.69000000006</v>
      </c>
      <c r="M32" s="596"/>
      <c r="N32" s="45"/>
      <c r="O32" s="45"/>
      <c r="P32" s="45"/>
      <c r="Q32" s="45"/>
      <c r="R32" s="45"/>
      <c r="S32" s="45"/>
      <c r="T32" s="45"/>
      <c r="U32" s="45"/>
      <c r="V32" s="45"/>
      <c r="W32" s="45"/>
      <c r="X32" s="45"/>
      <c r="Y32" s="45"/>
      <c r="Z32" s="56"/>
    </row>
    <row r="33" spans="1:26" outlineLevel="1">
      <c r="A33" s="6" t="s">
        <v>256</v>
      </c>
      <c r="B33" s="47" t="s">
        <v>257</v>
      </c>
      <c r="C33" s="47" t="s">
        <v>216</v>
      </c>
      <c r="D33" s="47" t="s">
        <v>228</v>
      </c>
      <c r="E33" s="47" t="s">
        <v>239</v>
      </c>
      <c r="F33" s="47" t="s">
        <v>61</v>
      </c>
      <c r="G33" s="47">
        <f>SUM($T$6:$T$7)</f>
        <v>3440</v>
      </c>
      <c r="H33" s="51">
        <v>20.525067750677508</v>
      </c>
      <c r="I33" s="63">
        <v>0</v>
      </c>
      <c r="J33" s="67">
        <f t="shared" si="3"/>
        <v>20.525067750677508</v>
      </c>
      <c r="K33" s="67">
        <f t="shared" si="4"/>
        <v>70606.233062330633</v>
      </c>
      <c r="M33" s="45"/>
      <c r="N33" s="45"/>
      <c r="O33" s="45"/>
      <c r="P33" s="45"/>
      <c r="Q33" s="45"/>
      <c r="R33" s="45"/>
      <c r="S33" s="45"/>
      <c r="T33" s="45"/>
      <c r="U33" s="45"/>
      <c r="V33" s="45"/>
      <c r="W33" s="45"/>
      <c r="X33" s="45"/>
      <c r="Y33" s="45"/>
      <c r="Z33" s="56"/>
    </row>
    <row r="34" spans="1:26">
      <c r="A34" s="1020" t="s">
        <v>224</v>
      </c>
      <c r="B34" s="65" t="s">
        <v>225</v>
      </c>
      <c r="C34" s="65"/>
      <c r="D34" s="65"/>
      <c r="E34" s="65"/>
      <c r="F34" s="65"/>
      <c r="G34" s="65"/>
      <c r="H34" s="1077"/>
      <c r="I34" s="157"/>
      <c r="J34" s="159"/>
      <c r="K34" s="159"/>
      <c r="L34" s="71">
        <f>SUM(K24:K33)</f>
        <v>2270799.4980623308</v>
      </c>
      <c r="M34" s="45"/>
      <c r="N34" s="45"/>
      <c r="O34" s="45"/>
      <c r="P34" s="45"/>
      <c r="Q34" s="45"/>
      <c r="R34" s="45"/>
      <c r="S34" s="45"/>
      <c r="T34" s="45"/>
      <c r="U34" s="45"/>
      <c r="V34" s="45"/>
      <c r="W34" s="45"/>
      <c r="X34" s="45"/>
      <c r="Y34" s="45"/>
      <c r="Z34" s="56"/>
    </row>
    <row r="35" spans="1:26" outlineLevel="1">
      <c r="A35" s="1012" t="s">
        <v>271</v>
      </c>
      <c r="B35" s="595" t="s">
        <v>272</v>
      </c>
      <c r="C35" s="595" t="s">
        <v>216</v>
      </c>
      <c r="D35" s="595" t="s">
        <v>228</v>
      </c>
      <c r="E35" s="595" t="s">
        <v>239</v>
      </c>
      <c r="F35" s="595" t="s">
        <v>273</v>
      </c>
      <c r="G35" s="1016">
        <f>4*3</f>
        <v>12</v>
      </c>
      <c r="H35" s="461">
        <v>14000</v>
      </c>
      <c r="I35" s="1014">
        <v>0</v>
      </c>
      <c r="J35" s="594">
        <f t="shared" ref="J35:J39" si="5">H35*(1+I35)</f>
        <v>14000</v>
      </c>
      <c r="K35" s="594">
        <f>J35*G35</f>
        <v>168000</v>
      </c>
      <c r="M35" s="45" t="s">
        <v>981</v>
      </c>
      <c r="N35" s="45"/>
      <c r="O35" s="45"/>
      <c r="P35" s="45"/>
      <c r="Q35" s="45"/>
      <c r="R35" s="45"/>
      <c r="S35" s="45"/>
      <c r="T35" s="45"/>
      <c r="U35" s="45"/>
      <c r="V35" s="45"/>
      <c r="W35" s="45"/>
      <c r="X35" s="45"/>
      <c r="Y35" s="45"/>
      <c r="Z35" s="56"/>
    </row>
    <row r="36" spans="1:26" outlineLevel="1">
      <c r="A36" s="1011" t="s">
        <v>275</v>
      </c>
      <c r="B36" s="206" t="s">
        <v>276</v>
      </c>
      <c r="C36" s="206" t="s">
        <v>216</v>
      </c>
      <c r="D36" s="206" t="s">
        <v>238</v>
      </c>
      <c r="E36" s="206" t="s">
        <v>239</v>
      </c>
      <c r="F36" s="206" t="s">
        <v>108</v>
      </c>
      <c r="G36" s="207">
        <v>14</v>
      </c>
      <c r="H36" s="54">
        <v>6500</v>
      </c>
      <c r="I36" s="209">
        <v>0</v>
      </c>
      <c r="J36" s="1017">
        <f t="shared" si="5"/>
        <v>6500</v>
      </c>
      <c r="K36" s="594">
        <f>J36*G36</f>
        <v>91000</v>
      </c>
      <c r="L36" s="112"/>
      <c r="M36" s="45"/>
      <c r="N36" s="45"/>
      <c r="O36" s="45"/>
      <c r="P36" s="45"/>
      <c r="Q36" s="45"/>
      <c r="R36" s="45"/>
      <c r="S36" s="45"/>
      <c r="T36" s="45"/>
      <c r="U36" s="45"/>
      <c r="V36" s="45"/>
      <c r="W36" s="45"/>
      <c r="X36" s="45"/>
      <c r="Y36" s="45"/>
      <c r="Z36" s="56"/>
    </row>
    <row r="37" spans="1:26" outlineLevel="1">
      <c r="A37" s="1011" t="s">
        <v>277</v>
      </c>
      <c r="B37" s="206" t="s">
        <v>278</v>
      </c>
      <c r="C37" s="206" t="s">
        <v>216</v>
      </c>
      <c r="D37" s="206" t="s">
        <v>223</v>
      </c>
      <c r="E37" s="206" t="s">
        <v>73</v>
      </c>
      <c r="F37" s="206" t="s">
        <v>71</v>
      </c>
      <c r="G37" s="207">
        <v>1</v>
      </c>
      <c r="H37" s="54"/>
      <c r="I37" s="209"/>
      <c r="J37" s="1017">
        <f t="shared" si="5"/>
        <v>0</v>
      </c>
      <c r="K37" s="594">
        <f>J37*G37</f>
        <v>0</v>
      </c>
      <c r="L37" s="194"/>
      <c r="M37" s="45"/>
      <c r="N37" s="45"/>
      <c r="O37" s="45"/>
      <c r="P37" s="45"/>
      <c r="Q37" s="45"/>
      <c r="R37" s="45"/>
      <c r="S37" s="45"/>
      <c r="T37" s="45"/>
      <c r="U37" s="45"/>
      <c r="V37" s="45"/>
      <c r="W37" s="45"/>
      <c r="X37" s="45"/>
      <c r="Y37" s="45"/>
      <c r="Z37" s="56"/>
    </row>
    <row r="38" spans="1:26" outlineLevel="1">
      <c r="A38" s="1011" t="s">
        <v>279</v>
      </c>
      <c r="B38" s="206" t="s">
        <v>280</v>
      </c>
      <c r="C38" s="206" t="s">
        <v>216</v>
      </c>
      <c r="D38" s="206" t="s">
        <v>242</v>
      </c>
      <c r="E38" s="206" t="s">
        <v>73</v>
      </c>
      <c r="F38" s="206" t="s">
        <v>71</v>
      </c>
      <c r="G38" s="207">
        <v>4</v>
      </c>
      <c r="H38" s="54">
        <v>10000</v>
      </c>
      <c r="I38" s="209">
        <v>0</v>
      </c>
      <c r="J38" s="1017">
        <f t="shared" si="5"/>
        <v>10000</v>
      </c>
      <c r="K38" s="594">
        <f>J38*G38</f>
        <v>40000</v>
      </c>
      <c r="M38" s="45"/>
      <c r="N38" s="45"/>
      <c r="O38" s="45"/>
      <c r="P38" s="45"/>
      <c r="Q38" s="45"/>
      <c r="R38" s="45"/>
      <c r="S38" s="45"/>
      <c r="T38" s="45"/>
      <c r="U38" s="45"/>
      <c r="V38" s="45"/>
      <c r="W38" s="45"/>
      <c r="X38" s="45"/>
      <c r="Y38" s="45"/>
      <c r="Z38" s="56"/>
    </row>
    <row r="39" spans="1:26" outlineLevel="1">
      <c r="A39" s="6" t="s">
        <v>281</v>
      </c>
      <c r="B39" s="47" t="s">
        <v>282</v>
      </c>
      <c r="C39" s="47" t="s">
        <v>283</v>
      </c>
      <c r="D39" s="47" t="s">
        <v>250</v>
      </c>
      <c r="E39" s="47" t="s">
        <v>73</v>
      </c>
      <c r="F39" s="47" t="s">
        <v>71</v>
      </c>
      <c r="G39" s="47">
        <f>$Q$7</f>
        <v>1</v>
      </c>
      <c r="H39" s="54">
        <v>15000</v>
      </c>
      <c r="I39" s="63">
        <v>0</v>
      </c>
      <c r="J39" s="67">
        <f t="shared" si="5"/>
        <v>15000</v>
      </c>
      <c r="K39" s="67">
        <f>J39*G39</f>
        <v>15000</v>
      </c>
      <c r="M39" s="45"/>
      <c r="N39" s="45"/>
      <c r="O39" s="45"/>
      <c r="P39" s="45"/>
      <c r="Q39" s="45"/>
      <c r="R39" s="45"/>
      <c r="S39" s="45"/>
      <c r="T39" s="45"/>
      <c r="U39" s="45"/>
      <c r="V39" s="45"/>
      <c r="W39" s="45"/>
      <c r="X39" s="45"/>
      <c r="Y39" s="45"/>
      <c r="Z39" s="56"/>
    </row>
    <row r="40" spans="1:26">
      <c r="A40" s="1020" t="s">
        <v>269</v>
      </c>
      <c r="B40" s="65" t="s">
        <v>270</v>
      </c>
      <c r="C40" s="65"/>
      <c r="D40" s="65"/>
      <c r="E40" s="65"/>
      <c r="F40" s="65"/>
      <c r="G40" s="65"/>
      <c r="H40" s="1077"/>
      <c r="I40" s="157"/>
      <c r="J40" s="159"/>
      <c r="K40" s="159"/>
      <c r="L40" s="71">
        <f>SUM(K35:K39)</f>
        <v>314000</v>
      </c>
      <c r="M40" s="45"/>
      <c r="N40" s="45"/>
      <c r="O40" s="45"/>
      <c r="P40" s="45"/>
      <c r="Q40" s="45"/>
      <c r="R40" s="45"/>
      <c r="S40" s="45"/>
      <c r="T40" s="45"/>
      <c r="U40" s="45"/>
      <c r="V40" s="45"/>
      <c r="W40" s="45"/>
      <c r="X40" s="45"/>
      <c r="Y40" s="45"/>
      <c r="Z40" s="56"/>
    </row>
    <row r="41" spans="1:26" outlineLevel="1">
      <c r="A41" s="6" t="s">
        <v>286</v>
      </c>
      <c r="B41" s="47" t="s">
        <v>287</v>
      </c>
      <c r="C41" s="47" t="s">
        <v>216</v>
      </c>
      <c r="D41" s="47" t="s">
        <v>228</v>
      </c>
      <c r="E41" s="47" t="s">
        <v>73</v>
      </c>
      <c r="F41" s="47" t="s">
        <v>288</v>
      </c>
      <c r="G41" s="42">
        <f>W2</f>
        <v>59616.52</v>
      </c>
      <c r="H41" s="1106">
        <v>5</v>
      </c>
      <c r="I41" s="63">
        <v>0</v>
      </c>
      <c r="J41" s="66">
        <f t="shared" ref="J41:J49" si="6">H41*(1+I41)</f>
        <v>5</v>
      </c>
      <c r="K41" s="67">
        <f t="shared" ref="K41:K49" si="7">J41*G41</f>
        <v>298082.59999999998</v>
      </c>
      <c r="M41" s="45"/>
      <c r="N41" s="45"/>
      <c r="O41" s="45"/>
      <c r="P41" s="45"/>
      <c r="Q41" s="45"/>
      <c r="R41" s="45"/>
      <c r="S41" s="45"/>
      <c r="T41" s="45"/>
      <c r="U41" s="45"/>
      <c r="V41" s="45"/>
      <c r="W41" s="45"/>
      <c r="X41" s="45"/>
      <c r="Y41" s="45"/>
      <c r="Z41" s="56"/>
    </row>
    <row r="42" spans="1:26" outlineLevel="1">
      <c r="A42" s="1011" t="s">
        <v>289</v>
      </c>
      <c r="B42" s="206" t="s">
        <v>290</v>
      </c>
      <c r="C42" s="206" t="s">
        <v>216</v>
      </c>
      <c r="D42" s="206" t="s">
        <v>228</v>
      </c>
      <c r="E42" s="206" t="s">
        <v>6</v>
      </c>
      <c r="F42" s="206" t="s">
        <v>107</v>
      </c>
      <c r="G42" s="207">
        <v>4</v>
      </c>
      <c r="H42" s="54">
        <v>4100</v>
      </c>
      <c r="I42" s="209">
        <v>0</v>
      </c>
      <c r="J42" s="594">
        <f t="shared" si="6"/>
        <v>4100</v>
      </c>
      <c r="K42" s="594">
        <f t="shared" si="7"/>
        <v>16400</v>
      </c>
      <c r="M42" s="45"/>
      <c r="N42" s="45"/>
      <c r="O42" s="45"/>
      <c r="P42" s="45"/>
      <c r="Q42" s="45"/>
      <c r="R42" s="45"/>
      <c r="S42" s="45"/>
      <c r="T42" s="45"/>
      <c r="U42" s="45"/>
      <c r="V42" s="45"/>
      <c r="W42" s="45"/>
      <c r="X42" s="45"/>
      <c r="Y42" s="45"/>
      <c r="Z42" s="56"/>
    </row>
    <row r="43" spans="1:26" outlineLevel="1">
      <c r="A43" s="1011" t="s">
        <v>291</v>
      </c>
      <c r="B43" s="206" t="s">
        <v>292</v>
      </c>
      <c r="C43" s="206" t="s">
        <v>216</v>
      </c>
      <c r="D43" s="206" t="s">
        <v>228</v>
      </c>
      <c r="E43" s="206" t="s">
        <v>239</v>
      </c>
      <c r="F43" s="206" t="s">
        <v>186</v>
      </c>
      <c r="G43" s="207">
        <f>4*2+6*3+7*3</f>
        <v>47</v>
      </c>
      <c r="H43" s="54">
        <v>2000</v>
      </c>
      <c r="I43" s="209">
        <v>0</v>
      </c>
      <c r="J43" s="594">
        <f t="shared" si="6"/>
        <v>2000</v>
      </c>
      <c r="K43" s="594">
        <f t="shared" si="7"/>
        <v>94000</v>
      </c>
      <c r="M43" s="45"/>
      <c r="N43" s="45"/>
      <c r="O43" s="45"/>
      <c r="P43" s="45"/>
      <c r="Q43" s="45"/>
      <c r="R43" s="45"/>
      <c r="S43" s="45"/>
      <c r="T43" s="45"/>
      <c r="U43" s="45"/>
      <c r="V43" s="45"/>
      <c r="W43" s="45"/>
      <c r="X43" s="45"/>
      <c r="Y43" s="45"/>
      <c r="Z43" s="56"/>
    </row>
    <row r="44" spans="1:26" outlineLevel="1">
      <c r="A44" s="7" t="s">
        <v>293</v>
      </c>
      <c r="B44" s="40" t="s">
        <v>292</v>
      </c>
      <c r="C44" s="40" t="s">
        <v>216</v>
      </c>
      <c r="D44" s="40" t="s">
        <v>228</v>
      </c>
      <c r="E44" s="40" t="s">
        <v>231</v>
      </c>
      <c r="F44" s="40"/>
      <c r="G44" s="38"/>
      <c r="H44" s="54">
        <v>0</v>
      </c>
      <c r="I44" s="53">
        <v>0</v>
      </c>
      <c r="J44" s="67">
        <f t="shared" si="6"/>
        <v>0</v>
      </c>
      <c r="K44" s="67">
        <f t="shared" si="7"/>
        <v>0</v>
      </c>
      <c r="L44" s="194"/>
      <c r="M44" s="45"/>
      <c r="N44" s="45"/>
      <c r="O44" s="45"/>
      <c r="P44" s="45"/>
      <c r="Q44" s="45"/>
      <c r="R44" s="45"/>
      <c r="S44" s="45"/>
      <c r="T44" s="45"/>
      <c r="U44" s="45"/>
      <c r="V44" s="45"/>
      <c r="W44" s="45"/>
      <c r="X44" s="45"/>
      <c r="Y44" s="45"/>
      <c r="Z44" s="56"/>
    </row>
    <row r="45" spans="1:26" outlineLevel="1">
      <c r="A45" s="7" t="s">
        <v>982</v>
      </c>
      <c r="B45" s="206" t="s">
        <v>983</v>
      </c>
      <c r="C45" s="40"/>
      <c r="D45" s="40" t="s">
        <v>242</v>
      </c>
      <c r="E45" s="40" t="s">
        <v>73</v>
      </c>
      <c r="F45" s="40" t="s">
        <v>71</v>
      </c>
      <c r="G45" s="38">
        <v>1</v>
      </c>
      <c r="H45" s="54">
        <v>6000</v>
      </c>
      <c r="I45" s="53">
        <v>0</v>
      </c>
      <c r="J45" s="67">
        <f>H45*(1+I45)</f>
        <v>6000</v>
      </c>
      <c r="K45" s="67">
        <f t="shared" ref="K45" si="8">J45*G45</f>
        <v>6000</v>
      </c>
      <c r="L45" s="1099"/>
      <c r="M45" s="1100" t="s">
        <v>984</v>
      </c>
      <c r="N45" s="45"/>
      <c r="O45" s="45"/>
      <c r="P45" s="45"/>
      <c r="Q45" s="45"/>
      <c r="R45" s="45"/>
      <c r="S45" s="45"/>
      <c r="T45" s="45"/>
      <c r="U45" s="45"/>
      <c r="V45" s="45"/>
      <c r="W45" s="45"/>
      <c r="X45" s="45"/>
      <c r="Y45" s="45"/>
      <c r="Z45" s="56"/>
    </row>
    <row r="46" spans="1:26" outlineLevel="1">
      <c r="A46" s="7" t="s">
        <v>294</v>
      </c>
      <c r="B46" s="40" t="s">
        <v>295</v>
      </c>
      <c r="C46" s="40" t="s">
        <v>216</v>
      </c>
      <c r="D46" s="40" t="s">
        <v>242</v>
      </c>
      <c r="E46" s="40" t="s">
        <v>231</v>
      </c>
      <c r="F46" s="40"/>
      <c r="G46" s="38"/>
      <c r="H46" s="54">
        <v>0</v>
      </c>
      <c r="I46" s="53">
        <v>0</v>
      </c>
      <c r="J46" s="67">
        <f t="shared" si="6"/>
        <v>0</v>
      </c>
      <c r="K46" s="67">
        <f t="shared" si="7"/>
        <v>0</v>
      </c>
      <c r="M46" s="45"/>
      <c r="N46" s="45"/>
      <c r="O46" s="45"/>
      <c r="P46" s="45"/>
      <c r="Q46" s="45"/>
      <c r="R46" s="45"/>
      <c r="S46" s="45"/>
      <c r="T46" s="45"/>
      <c r="U46" s="45"/>
      <c r="V46" s="45"/>
      <c r="W46" s="45"/>
      <c r="X46" s="45"/>
      <c r="Y46" s="45"/>
      <c r="Z46" s="56"/>
    </row>
    <row r="47" spans="1:26" outlineLevel="1">
      <c r="A47" s="1011" t="s">
        <v>296</v>
      </c>
      <c r="B47" s="206" t="s">
        <v>297</v>
      </c>
      <c r="C47" s="206" t="s">
        <v>216</v>
      </c>
      <c r="D47" s="206" t="s">
        <v>250</v>
      </c>
      <c r="E47" s="206" t="s">
        <v>239</v>
      </c>
      <c r="F47" s="206" t="s">
        <v>108</v>
      </c>
      <c r="G47" s="207">
        <v>1</v>
      </c>
      <c r="H47" s="54">
        <v>2000</v>
      </c>
      <c r="I47" s="209">
        <v>0</v>
      </c>
      <c r="J47" s="594">
        <f t="shared" si="6"/>
        <v>2000</v>
      </c>
      <c r="K47" s="594">
        <f t="shared" si="7"/>
        <v>2000</v>
      </c>
      <c r="M47" s="45"/>
      <c r="N47" s="45"/>
      <c r="O47" s="45"/>
      <c r="P47" s="45"/>
      <c r="Q47" s="45"/>
      <c r="R47" s="45"/>
      <c r="S47" s="45"/>
      <c r="T47" s="45"/>
      <c r="U47" s="45"/>
      <c r="V47" s="45"/>
      <c r="W47" s="45"/>
      <c r="X47" s="45"/>
      <c r="Y47" s="45"/>
      <c r="Z47" s="56"/>
    </row>
    <row r="48" spans="1:26" outlineLevel="1">
      <c r="A48" s="7" t="s">
        <v>298</v>
      </c>
      <c r="B48" s="40" t="s">
        <v>299</v>
      </c>
      <c r="C48" s="40" t="s">
        <v>216</v>
      </c>
      <c r="D48" s="40" t="s">
        <v>228</v>
      </c>
      <c r="E48" s="40" t="s">
        <v>239</v>
      </c>
      <c r="F48" s="40" t="s">
        <v>148</v>
      </c>
      <c r="G48" s="38">
        <f>$Q$9</f>
        <v>3228</v>
      </c>
      <c r="H48" s="843">
        <v>93</v>
      </c>
      <c r="I48" s="53">
        <v>0</v>
      </c>
      <c r="J48" s="66">
        <f t="shared" si="6"/>
        <v>93</v>
      </c>
      <c r="K48" s="67">
        <f>J48*G48</f>
        <v>300204</v>
      </c>
      <c r="M48" s="45"/>
      <c r="N48" s="45"/>
      <c r="O48" s="45"/>
      <c r="P48" s="45"/>
      <c r="Q48" s="45"/>
      <c r="R48" s="45"/>
      <c r="S48" s="45"/>
      <c r="T48" s="45"/>
      <c r="U48" s="45"/>
      <c r="V48" s="45"/>
      <c r="W48" s="45"/>
      <c r="X48" s="45"/>
      <c r="Y48" s="45"/>
      <c r="Z48" s="56"/>
    </row>
    <row r="49" spans="1:26" outlineLevel="1">
      <c r="A49" s="6" t="s">
        <v>301</v>
      </c>
      <c r="B49" s="47" t="s">
        <v>302</v>
      </c>
      <c r="C49" s="47" t="s">
        <v>216</v>
      </c>
      <c r="D49" s="47" t="s">
        <v>303</v>
      </c>
      <c r="E49" s="47" t="s">
        <v>231</v>
      </c>
      <c r="F49" s="47"/>
      <c r="G49" s="47"/>
      <c r="H49" s="54">
        <v>0</v>
      </c>
      <c r="I49" s="63">
        <v>0</v>
      </c>
      <c r="J49" s="67">
        <f t="shared" si="6"/>
        <v>0</v>
      </c>
      <c r="K49" s="67">
        <f t="shared" si="7"/>
        <v>0</v>
      </c>
      <c r="M49" s="45"/>
      <c r="N49" s="45"/>
      <c r="O49" s="45"/>
      <c r="P49" s="45"/>
      <c r="Q49" s="45"/>
      <c r="R49" s="45"/>
      <c r="S49" s="45"/>
      <c r="T49" s="45"/>
      <c r="U49" s="45"/>
      <c r="V49" s="45"/>
      <c r="W49" s="45"/>
      <c r="X49" s="45"/>
      <c r="Y49" s="45"/>
      <c r="Z49" s="56"/>
    </row>
    <row r="50" spans="1:26">
      <c r="A50" s="1020" t="s">
        <v>284</v>
      </c>
      <c r="B50" s="65" t="s">
        <v>285</v>
      </c>
      <c r="C50" s="65"/>
      <c r="D50" s="65"/>
      <c r="E50" s="65"/>
      <c r="F50" s="65"/>
      <c r="G50" s="65"/>
      <c r="H50" s="1077"/>
      <c r="I50" s="157"/>
      <c r="J50" s="159"/>
      <c r="K50" s="159"/>
      <c r="L50" s="71">
        <f>SUM(K41:K49)</f>
        <v>716686.6</v>
      </c>
      <c r="M50" s="45"/>
      <c r="N50" s="45"/>
      <c r="O50" s="45"/>
      <c r="P50" s="45"/>
      <c r="Q50" s="45"/>
      <c r="R50" s="45"/>
      <c r="S50" s="45"/>
      <c r="T50" s="45"/>
      <c r="U50" s="45"/>
      <c r="V50" s="45"/>
      <c r="W50" s="45"/>
      <c r="X50" s="45"/>
      <c r="Y50" s="45"/>
      <c r="Z50" s="56"/>
    </row>
    <row r="51" spans="1:26" outlineLevel="1">
      <c r="A51" s="6" t="s">
        <v>307</v>
      </c>
      <c r="B51" s="47" t="s">
        <v>308</v>
      </c>
      <c r="C51" s="47" t="s">
        <v>216</v>
      </c>
      <c r="D51" s="47" t="s">
        <v>309</v>
      </c>
      <c r="E51" s="47"/>
      <c r="F51" s="47"/>
      <c r="G51" s="42"/>
      <c r="H51" s="461">
        <v>0</v>
      </c>
      <c r="I51" s="63">
        <v>0</v>
      </c>
      <c r="J51" s="67">
        <f t="shared" ref="J51:J63" si="9">H51*(1+I51)</f>
        <v>0</v>
      </c>
      <c r="K51" s="67">
        <f t="shared" ref="K51:K63" si="10">J51*G51</f>
        <v>0</v>
      </c>
      <c r="M51" s="45"/>
      <c r="N51" s="45"/>
      <c r="O51" s="45"/>
      <c r="P51" s="45"/>
      <c r="Q51" s="45"/>
      <c r="R51" s="45"/>
      <c r="S51" s="45"/>
      <c r="T51" s="45"/>
      <c r="U51" s="45"/>
      <c r="V51" s="45"/>
      <c r="W51" s="45"/>
      <c r="X51" s="45"/>
      <c r="Y51" s="45"/>
      <c r="Z51" s="56"/>
    </row>
    <row r="52" spans="1:26" outlineLevel="1">
      <c r="A52" s="7" t="s">
        <v>310</v>
      </c>
      <c r="B52" s="40" t="s">
        <v>311</v>
      </c>
      <c r="C52" s="40" t="s">
        <v>216</v>
      </c>
      <c r="D52" s="40" t="s">
        <v>228</v>
      </c>
      <c r="E52" s="206" t="s">
        <v>312</v>
      </c>
      <c r="F52" s="40" t="s">
        <v>61</v>
      </c>
      <c r="G52" s="38">
        <f>B8</f>
        <v>422635</v>
      </c>
      <c r="H52" s="51">
        <f>'Comparison to Other'!K8</f>
        <v>17.716623879549335</v>
      </c>
      <c r="I52" s="53">
        <v>0</v>
      </c>
      <c r="J52" s="66">
        <f t="shared" si="9"/>
        <v>17.716623879549335</v>
      </c>
      <c r="K52" s="594">
        <f t="shared" si="10"/>
        <v>7487665.333333333</v>
      </c>
      <c r="M52" s="596" t="s">
        <v>985</v>
      </c>
      <c r="N52" s="45"/>
      <c r="O52" s="45"/>
      <c r="P52" s="45"/>
      <c r="Q52" s="45"/>
      <c r="R52" s="45"/>
      <c r="S52" s="45"/>
      <c r="T52" s="45"/>
      <c r="U52" s="45"/>
      <c r="V52" s="45"/>
      <c r="W52" s="45"/>
      <c r="X52" s="45"/>
      <c r="Y52" s="45"/>
      <c r="Z52" s="56"/>
    </row>
    <row r="53" spans="1:26" outlineLevel="1">
      <c r="A53" s="7" t="s">
        <v>314</v>
      </c>
      <c r="B53" s="40" t="s">
        <v>311</v>
      </c>
      <c r="C53" s="40" t="s">
        <v>216</v>
      </c>
      <c r="D53" s="40" t="s">
        <v>228</v>
      </c>
      <c r="E53" s="40" t="s">
        <v>231</v>
      </c>
      <c r="F53" s="40"/>
      <c r="G53" s="38"/>
      <c r="H53" s="54"/>
      <c r="I53" s="53">
        <v>0</v>
      </c>
      <c r="J53" s="67">
        <f t="shared" si="9"/>
        <v>0</v>
      </c>
      <c r="K53" s="67">
        <f t="shared" si="10"/>
        <v>0</v>
      </c>
      <c r="M53" s="45"/>
      <c r="N53" s="45"/>
      <c r="O53" s="45"/>
      <c r="P53" s="45"/>
      <c r="Q53" s="45"/>
      <c r="R53" s="45"/>
      <c r="S53" s="45"/>
      <c r="T53" s="45"/>
      <c r="U53" s="45"/>
      <c r="V53" s="45"/>
      <c r="W53" s="45"/>
      <c r="X53" s="45"/>
      <c r="Y53" s="45"/>
      <c r="Z53" s="56"/>
    </row>
    <row r="54" spans="1:26" outlineLevel="1">
      <c r="A54" s="7" t="s">
        <v>315</v>
      </c>
      <c r="B54" s="40" t="s">
        <v>316</v>
      </c>
      <c r="C54" s="40" t="s">
        <v>216</v>
      </c>
      <c r="D54" s="40" t="s">
        <v>303</v>
      </c>
      <c r="E54" s="40" t="s">
        <v>73</v>
      </c>
      <c r="F54" s="40" t="s">
        <v>71</v>
      </c>
      <c r="G54" s="38">
        <v>1</v>
      </c>
      <c r="H54" s="54">
        <v>15000</v>
      </c>
      <c r="I54" s="53">
        <v>0</v>
      </c>
      <c r="J54" s="67">
        <f t="shared" si="9"/>
        <v>15000</v>
      </c>
      <c r="K54" s="67">
        <f t="shared" si="10"/>
        <v>15000</v>
      </c>
      <c r="M54" s="45"/>
      <c r="N54" s="45"/>
      <c r="O54" s="45"/>
      <c r="P54" s="45"/>
      <c r="Q54" s="45"/>
      <c r="R54" s="45"/>
      <c r="S54" s="45"/>
      <c r="T54" s="45"/>
      <c r="U54" s="45"/>
      <c r="V54" s="45"/>
      <c r="W54" s="45"/>
      <c r="X54" s="45"/>
      <c r="Y54" s="45"/>
      <c r="Z54" s="56"/>
    </row>
    <row r="55" spans="1:26" outlineLevel="1">
      <c r="A55" s="7" t="s">
        <v>317</v>
      </c>
      <c r="B55" s="40" t="s">
        <v>318</v>
      </c>
      <c r="C55" s="40" t="s">
        <v>216</v>
      </c>
      <c r="D55" s="40" t="s">
        <v>303</v>
      </c>
      <c r="E55" s="40" t="s">
        <v>73</v>
      </c>
      <c r="F55" s="40" t="s">
        <v>71</v>
      </c>
      <c r="G55" s="38">
        <f>$W$8</f>
        <v>8</v>
      </c>
      <c r="H55" s="54">
        <v>2500</v>
      </c>
      <c r="I55" s="53">
        <v>0</v>
      </c>
      <c r="J55" s="67">
        <f t="shared" si="9"/>
        <v>2500</v>
      </c>
      <c r="K55" s="67">
        <f t="shared" si="10"/>
        <v>20000</v>
      </c>
      <c r="M55" s="45"/>
      <c r="N55" s="45"/>
      <c r="O55" s="45"/>
      <c r="P55" s="45"/>
      <c r="Q55" s="45"/>
      <c r="R55" s="45"/>
      <c r="S55" s="45"/>
      <c r="T55" s="45"/>
      <c r="U55" s="45"/>
      <c r="V55" s="45"/>
      <c r="W55" s="45"/>
      <c r="X55" s="45"/>
      <c r="Y55" s="45"/>
      <c r="Z55" s="56"/>
    </row>
    <row r="56" spans="1:26" outlineLevel="1">
      <c r="A56" s="7" t="s">
        <v>319</v>
      </c>
      <c r="B56" s="40" t="s">
        <v>320</v>
      </c>
      <c r="C56" s="40" t="s">
        <v>216</v>
      </c>
      <c r="D56" s="40" t="s">
        <v>303</v>
      </c>
      <c r="E56" s="40" t="s">
        <v>231</v>
      </c>
      <c r="F56" s="40"/>
      <c r="G56" s="38"/>
      <c r="H56" s="54"/>
      <c r="I56" s="53">
        <v>0</v>
      </c>
      <c r="J56" s="67">
        <f t="shared" si="9"/>
        <v>0</v>
      </c>
      <c r="K56" s="67">
        <f t="shared" si="10"/>
        <v>0</v>
      </c>
      <c r="M56" s="45"/>
      <c r="N56" s="45"/>
      <c r="O56" s="45"/>
      <c r="P56" s="45"/>
      <c r="Q56" s="45"/>
      <c r="R56" s="45"/>
      <c r="S56" s="45"/>
      <c r="T56" s="45"/>
      <c r="U56" s="45"/>
      <c r="V56" s="45"/>
      <c r="W56" s="45"/>
      <c r="X56" s="45"/>
      <c r="Y56" s="45"/>
      <c r="Z56" s="56"/>
    </row>
    <row r="57" spans="1:26" outlineLevel="1">
      <c r="A57" s="7" t="s">
        <v>321</v>
      </c>
      <c r="B57" s="40" t="s">
        <v>322</v>
      </c>
      <c r="C57" s="40" t="s">
        <v>216</v>
      </c>
      <c r="D57" s="40" t="s">
        <v>228</v>
      </c>
      <c r="E57" s="40" t="s">
        <v>231</v>
      </c>
      <c r="F57" s="40"/>
      <c r="G57" s="38"/>
      <c r="H57" s="54"/>
      <c r="I57" s="53">
        <v>0</v>
      </c>
      <c r="J57" s="67">
        <f t="shared" si="9"/>
        <v>0</v>
      </c>
      <c r="K57" s="67">
        <f t="shared" si="10"/>
        <v>0</v>
      </c>
      <c r="M57" s="45"/>
      <c r="N57" s="45"/>
      <c r="O57" s="45"/>
      <c r="P57" s="45"/>
      <c r="Q57" s="45"/>
      <c r="R57" s="45"/>
      <c r="S57" s="45"/>
      <c r="T57" s="45"/>
      <c r="U57" s="45"/>
      <c r="V57" s="45"/>
      <c r="W57" s="45"/>
      <c r="X57" s="45"/>
      <c r="Y57" s="45"/>
      <c r="Z57" s="56"/>
    </row>
    <row r="58" spans="1:26" outlineLevel="1">
      <c r="A58" s="7" t="s">
        <v>323</v>
      </c>
      <c r="B58" s="40" t="s">
        <v>322</v>
      </c>
      <c r="C58" s="40" t="s">
        <v>216</v>
      </c>
      <c r="D58" s="40" t="s">
        <v>250</v>
      </c>
      <c r="E58" s="40" t="s">
        <v>231</v>
      </c>
      <c r="F58" s="40"/>
      <c r="G58" s="38"/>
      <c r="H58" s="54"/>
      <c r="I58" s="53">
        <v>0</v>
      </c>
      <c r="J58" s="67">
        <f t="shared" si="9"/>
        <v>0</v>
      </c>
      <c r="K58" s="67">
        <f t="shared" si="10"/>
        <v>0</v>
      </c>
      <c r="M58" s="45"/>
      <c r="N58" s="45"/>
      <c r="O58" s="45"/>
      <c r="P58" s="45"/>
      <c r="Q58" s="45"/>
      <c r="R58" s="45"/>
      <c r="S58" s="45"/>
      <c r="T58" s="45"/>
      <c r="U58" s="45"/>
      <c r="V58" s="45"/>
      <c r="W58" s="45"/>
      <c r="X58" s="45"/>
      <c r="Y58" s="45"/>
      <c r="Z58" s="56"/>
    </row>
    <row r="59" spans="1:26" outlineLevel="1">
      <c r="A59" s="52" t="s">
        <v>324</v>
      </c>
      <c r="B59" s="40" t="s">
        <v>325</v>
      </c>
      <c r="C59" s="40" t="s">
        <v>216</v>
      </c>
      <c r="D59" s="40" t="s">
        <v>228</v>
      </c>
      <c r="E59" s="40" t="s">
        <v>326</v>
      </c>
      <c r="F59" s="40" t="s">
        <v>166</v>
      </c>
      <c r="G59" s="38">
        <f>Q12</f>
        <v>329873</v>
      </c>
      <c r="H59" s="51">
        <v>3.55</v>
      </c>
      <c r="I59" s="53">
        <v>0</v>
      </c>
      <c r="J59" s="66">
        <f>H59*(1+I59)</f>
        <v>3.55</v>
      </c>
      <c r="K59" s="67">
        <f t="shared" si="10"/>
        <v>1171049.1499999999</v>
      </c>
      <c r="L59" s="194"/>
      <c r="M59" s="45"/>
      <c r="N59" s="45"/>
      <c r="O59" s="45"/>
      <c r="P59" s="45"/>
      <c r="Q59" s="45"/>
      <c r="R59" s="45"/>
      <c r="S59" s="45"/>
      <c r="T59" s="45"/>
      <c r="U59" s="45"/>
      <c r="V59" s="45"/>
      <c r="W59" s="45"/>
      <c r="X59" s="45"/>
      <c r="Y59" s="45"/>
      <c r="Z59" s="56"/>
    </row>
    <row r="60" spans="1:26" outlineLevel="1">
      <c r="A60" s="7" t="s">
        <v>328</v>
      </c>
      <c r="B60" s="40" t="s">
        <v>325</v>
      </c>
      <c r="C60" s="40" t="s">
        <v>216</v>
      </c>
      <c r="D60" s="40" t="s">
        <v>303</v>
      </c>
      <c r="E60" s="40" t="s">
        <v>326</v>
      </c>
      <c r="F60" s="40" t="s">
        <v>329</v>
      </c>
      <c r="G60" s="38">
        <v>87842</v>
      </c>
      <c r="H60" s="51">
        <f>502007/87842</f>
        <v>5.7148858177181756</v>
      </c>
      <c r="I60" s="53">
        <v>0</v>
      </c>
      <c r="J60" s="66">
        <f t="shared" si="9"/>
        <v>5.7148858177181756</v>
      </c>
      <c r="K60" s="67">
        <f t="shared" si="10"/>
        <v>502007</v>
      </c>
      <c r="M60" s="45"/>
      <c r="N60" s="45"/>
      <c r="O60" s="45"/>
      <c r="P60" s="45"/>
      <c r="Q60" s="45"/>
      <c r="R60" s="45"/>
      <c r="S60" s="45"/>
      <c r="T60" s="45"/>
      <c r="U60" s="45"/>
      <c r="V60" s="45"/>
      <c r="W60" s="45"/>
      <c r="X60" s="45"/>
      <c r="Y60" s="45"/>
      <c r="Z60" s="56"/>
    </row>
    <row r="61" spans="1:26" outlineLevel="1">
      <c r="A61" s="7" t="s">
        <v>986</v>
      </c>
      <c r="B61" s="40" t="s">
        <v>987</v>
      </c>
      <c r="C61" s="40" t="s">
        <v>216</v>
      </c>
      <c r="D61" s="40" t="s">
        <v>235</v>
      </c>
      <c r="E61" s="40" t="s">
        <v>73</v>
      </c>
      <c r="F61" s="40" t="s">
        <v>71</v>
      </c>
      <c r="G61" s="38">
        <v>1</v>
      </c>
      <c r="H61" s="54">
        <v>2500</v>
      </c>
      <c r="I61" s="53">
        <v>0</v>
      </c>
      <c r="J61" s="67">
        <f t="shared" ref="J61" si="11">H61*(1+I61)</f>
        <v>2500</v>
      </c>
      <c r="K61" s="67">
        <f t="shared" si="10"/>
        <v>2500</v>
      </c>
      <c r="M61" s="45"/>
      <c r="N61" s="45"/>
      <c r="O61" s="45"/>
      <c r="P61" s="45"/>
      <c r="Q61" s="45"/>
      <c r="R61" s="45"/>
      <c r="S61" s="45"/>
      <c r="T61" s="45"/>
      <c r="U61" s="45"/>
      <c r="V61" s="45"/>
      <c r="W61" s="45"/>
      <c r="X61" s="45"/>
      <c r="Y61" s="45"/>
      <c r="Z61" s="56"/>
    </row>
    <row r="62" spans="1:26" outlineLevel="1">
      <c r="A62" s="7" t="s">
        <v>331</v>
      </c>
      <c r="B62" s="40" t="s">
        <v>332</v>
      </c>
      <c r="C62" s="40" t="s">
        <v>216</v>
      </c>
      <c r="D62" s="40" t="s">
        <v>303</v>
      </c>
      <c r="E62" s="40" t="s">
        <v>73</v>
      </c>
      <c r="F62" s="40" t="s">
        <v>71</v>
      </c>
      <c r="G62" s="38">
        <f>$W$8</f>
        <v>8</v>
      </c>
      <c r="H62" s="54">
        <v>1200</v>
      </c>
      <c r="I62" s="53">
        <v>0</v>
      </c>
      <c r="J62" s="67">
        <f t="shared" si="9"/>
        <v>1200</v>
      </c>
      <c r="K62" s="67">
        <f t="shared" si="10"/>
        <v>9600</v>
      </c>
      <c r="M62" s="45"/>
      <c r="N62" s="45"/>
      <c r="O62" s="45"/>
      <c r="P62" s="45"/>
      <c r="Q62" s="45"/>
      <c r="R62" s="45"/>
      <c r="S62" s="45"/>
      <c r="T62" s="45"/>
      <c r="U62" s="45"/>
      <c r="V62" s="45"/>
      <c r="W62" s="45"/>
      <c r="X62" s="45"/>
      <c r="Y62" s="45"/>
      <c r="Z62" s="56"/>
    </row>
    <row r="63" spans="1:26" outlineLevel="1">
      <c r="A63" s="6" t="s">
        <v>333</v>
      </c>
      <c r="B63" s="47" t="s">
        <v>334</v>
      </c>
      <c r="C63" s="47" t="s">
        <v>216</v>
      </c>
      <c r="D63" s="47" t="s">
        <v>228</v>
      </c>
      <c r="E63" s="47" t="s">
        <v>231</v>
      </c>
      <c r="F63" s="47"/>
      <c r="G63" s="47"/>
      <c r="H63" s="54"/>
      <c r="I63" s="63">
        <v>0</v>
      </c>
      <c r="J63" s="67">
        <f t="shared" si="9"/>
        <v>0</v>
      </c>
      <c r="K63" s="67">
        <f t="shared" si="10"/>
        <v>0</v>
      </c>
      <c r="M63" s="45"/>
      <c r="N63" s="45"/>
      <c r="O63" s="45"/>
      <c r="P63" s="45"/>
      <c r="Q63" s="45"/>
      <c r="R63" s="45"/>
      <c r="S63" s="45"/>
      <c r="T63" s="45"/>
      <c r="U63" s="45"/>
      <c r="V63" s="45"/>
      <c r="W63" s="45"/>
      <c r="X63" s="45"/>
      <c r="Y63" s="45"/>
      <c r="Z63" s="56"/>
    </row>
    <row r="64" spans="1:26">
      <c r="A64" s="1020" t="s">
        <v>305</v>
      </c>
      <c r="B64" s="65" t="s">
        <v>306</v>
      </c>
      <c r="C64" s="65"/>
      <c r="D64" s="65"/>
      <c r="E64" s="65"/>
      <c r="F64" s="65"/>
      <c r="G64" s="65"/>
      <c r="H64" s="1077"/>
      <c r="I64" s="157"/>
      <c r="J64" s="159"/>
      <c r="K64" s="159"/>
      <c r="L64" s="71">
        <f>SUM(K51:K63)</f>
        <v>9207821.4833333325</v>
      </c>
      <c r="M64" s="45"/>
      <c r="N64" s="45"/>
      <c r="O64" s="45"/>
      <c r="P64" s="45"/>
      <c r="Q64" s="45"/>
      <c r="R64" s="45"/>
      <c r="S64" s="45"/>
      <c r="T64" s="45"/>
      <c r="U64" s="45"/>
      <c r="V64" s="45"/>
      <c r="W64" s="45"/>
      <c r="X64" s="45"/>
      <c r="Y64" s="45"/>
      <c r="Z64" s="56"/>
    </row>
    <row r="65" spans="1:26" outlineLevel="1">
      <c r="A65" s="6" t="s">
        <v>338</v>
      </c>
      <c r="B65" s="47" t="s">
        <v>339</v>
      </c>
      <c r="C65" s="47" t="s">
        <v>216</v>
      </c>
      <c r="D65" s="47" t="s">
        <v>228</v>
      </c>
      <c r="E65" s="595" t="s">
        <v>312</v>
      </c>
      <c r="F65" s="47" t="s">
        <v>61</v>
      </c>
      <c r="G65" s="42">
        <f>B8</f>
        <v>422635</v>
      </c>
      <c r="H65" s="61">
        <f>'Comparison to Other'!K18</f>
        <v>2.3794882108675335</v>
      </c>
      <c r="I65" s="63">
        <v>0</v>
      </c>
      <c r="J65" s="66">
        <f t="shared" ref="J65:J77" si="12">H65*(1+I65)</f>
        <v>2.3794882108675335</v>
      </c>
      <c r="K65" s="594">
        <f t="shared" ref="K65:K77" si="13">J65*G65</f>
        <v>1005655</v>
      </c>
      <c r="M65" s="596" t="s">
        <v>985</v>
      </c>
      <c r="N65" s="596"/>
      <c r="O65" s="596"/>
      <c r="P65" s="596"/>
      <c r="Q65" s="596"/>
      <c r="R65" s="596"/>
      <c r="S65" s="596"/>
      <c r="T65" s="596"/>
      <c r="U65" s="596"/>
      <c r="V65" s="596"/>
      <c r="W65" s="596"/>
      <c r="X65" s="596"/>
      <c r="Y65" s="596"/>
      <c r="Z65" s="56"/>
    </row>
    <row r="66" spans="1:26" outlineLevel="1">
      <c r="A66" s="6" t="s">
        <v>988</v>
      </c>
      <c r="B66" s="47" t="s">
        <v>339</v>
      </c>
      <c r="C66" s="47" t="s">
        <v>216</v>
      </c>
      <c r="D66" s="47" t="s">
        <v>235</v>
      </c>
      <c r="E66" s="47" t="s">
        <v>326</v>
      </c>
      <c r="F66" s="47" t="s">
        <v>61</v>
      </c>
      <c r="G66" s="42">
        <v>450</v>
      </c>
      <c r="H66" s="51">
        <f>H65</f>
        <v>2.3794882108675335</v>
      </c>
      <c r="I66" s="63">
        <v>0</v>
      </c>
      <c r="J66" s="66">
        <f t="shared" ref="J66" si="14">H66*(1+I66)</f>
        <v>2.3794882108675335</v>
      </c>
      <c r="K66" s="594">
        <f t="shared" si="13"/>
        <v>1070.7696948903902</v>
      </c>
      <c r="M66" s="596"/>
      <c r="N66" s="596"/>
      <c r="O66" s="596"/>
      <c r="P66" s="596"/>
      <c r="Q66" s="596"/>
      <c r="R66" s="596"/>
      <c r="S66" s="596"/>
      <c r="T66" s="596"/>
      <c r="U66" s="596"/>
      <c r="V66" s="596"/>
      <c r="W66" s="596"/>
      <c r="X66" s="596"/>
      <c r="Y66" s="596"/>
      <c r="Z66" s="56"/>
    </row>
    <row r="67" spans="1:26" outlineLevel="1">
      <c r="A67" s="7" t="s">
        <v>154</v>
      </c>
      <c r="B67" s="40" t="s">
        <v>341</v>
      </c>
      <c r="C67" s="40" t="s">
        <v>216</v>
      </c>
      <c r="D67" s="40" t="s">
        <v>228</v>
      </c>
      <c r="E67" s="40" t="s">
        <v>312</v>
      </c>
      <c r="F67" s="40" t="s">
        <v>342</v>
      </c>
      <c r="G67" s="38">
        <f>Q10</f>
        <v>1734.0110999999999</v>
      </c>
      <c r="H67" s="54">
        <f>'Comparison to Other'!K21</f>
        <v>572.53228271337673</v>
      </c>
      <c r="I67" s="53">
        <v>0</v>
      </c>
      <c r="J67" s="54">
        <f t="shared" si="12"/>
        <v>572.53228271337673</v>
      </c>
      <c r="K67" s="54">
        <f t="shared" si="13"/>
        <v>992777.33333333337</v>
      </c>
      <c r="M67" s="596" t="s">
        <v>985</v>
      </c>
      <c r="N67" s="45"/>
      <c r="O67" s="45"/>
      <c r="P67" s="45"/>
      <c r="Q67" s="45"/>
      <c r="R67" s="45"/>
      <c r="S67" s="45"/>
      <c r="T67" s="45"/>
      <c r="U67" s="45"/>
      <c r="V67" s="45"/>
      <c r="W67" s="45"/>
      <c r="X67" s="45"/>
      <c r="Y67" s="45"/>
      <c r="Z67" s="56"/>
    </row>
    <row r="68" spans="1:26" outlineLevel="1">
      <c r="A68" s="7" t="s">
        <v>989</v>
      </c>
      <c r="B68" s="40" t="s">
        <v>341</v>
      </c>
      <c r="C68" s="40" t="s">
        <v>216</v>
      </c>
      <c r="D68" s="40" t="s">
        <v>235</v>
      </c>
      <c r="E68" s="47" t="s">
        <v>73</v>
      </c>
      <c r="F68" s="47" t="s">
        <v>71</v>
      </c>
      <c r="G68" s="38">
        <v>1</v>
      </c>
      <c r="H68" s="54">
        <v>7500</v>
      </c>
      <c r="I68" s="53">
        <v>0</v>
      </c>
      <c r="J68" s="54">
        <f t="shared" ref="J68" si="15">H68*(1+I68)</f>
        <v>7500</v>
      </c>
      <c r="K68" s="54">
        <f t="shared" si="13"/>
        <v>7500</v>
      </c>
      <c r="M68" s="596"/>
      <c r="N68" s="45"/>
      <c r="O68" s="45"/>
      <c r="P68" s="45"/>
      <c r="Q68" s="45"/>
      <c r="R68" s="45"/>
      <c r="S68" s="45"/>
      <c r="T68" s="45"/>
      <c r="U68" s="45"/>
      <c r="V68" s="45"/>
      <c r="W68" s="45"/>
      <c r="X68" s="45"/>
      <c r="Y68" s="45"/>
      <c r="Z68" s="56"/>
    </row>
    <row r="69" spans="1:26" outlineLevel="1">
      <c r="A69" s="7" t="s">
        <v>344</v>
      </c>
      <c r="B69" s="40" t="s">
        <v>345</v>
      </c>
      <c r="C69" s="40" t="s">
        <v>216</v>
      </c>
      <c r="D69" s="40" t="s">
        <v>303</v>
      </c>
      <c r="E69" s="40" t="s">
        <v>73</v>
      </c>
      <c r="F69" s="40" t="s">
        <v>71</v>
      </c>
      <c r="G69" s="38">
        <v>1</v>
      </c>
      <c r="H69" s="54">
        <v>5500</v>
      </c>
      <c r="I69" s="53">
        <v>0</v>
      </c>
      <c r="J69" s="54">
        <f t="shared" si="12"/>
        <v>5500</v>
      </c>
      <c r="K69" s="54">
        <f t="shared" si="13"/>
        <v>5500</v>
      </c>
      <c r="M69" s="45"/>
      <c r="N69" s="45"/>
      <c r="O69" s="45"/>
      <c r="P69" s="45"/>
      <c r="Q69" s="45"/>
      <c r="R69" s="45"/>
      <c r="S69" s="45"/>
      <c r="T69" s="45"/>
      <c r="U69" s="45"/>
      <c r="V69" s="45"/>
      <c r="W69" s="45"/>
      <c r="X69" s="45"/>
      <c r="Y69" s="45"/>
      <c r="Z69" s="56"/>
    </row>
    <row r="70" spans="1:26" outlineLevel="1">
      <c r="A70" s="7" t="s">
        <v>346</v>
      </c>
      <c r="B70" s="40" t="s">
        <v>345</v>
      </c>
      <c r="C70" s="40" t="s">
        <v>216</v>
      </c>
      <c r="D70" s="40" t="s">
        <v>235</v>
      </c>
      <c r="E70" s="40" t="s">
        <v>73</v>
      </c>
      <c r="F70" s="40" t="s">
        <v>71</v>
      </c>
      <c r="G70" s="38">
        <v>1</v>
      </c>
      <c r="H70" s="54">
        <v>9500</v>
      </c>
      <c r="I70" s="53">
        <v>0</v>
      </c>
      <c r="J70" s="54">
        <f t="shared" si="12"/>
        <v>9500</v>
      </c>
      <c r="K70" s="54">
        <f t="shared" si="13"/>
        <v>9500</v>
      </c>
      <c r="M70" s="45"/>
      <c r="N70" s="45"/>
      <c r="O70" s="45"/>
      <c r="P70" s="45"/>
      <c r="Q70" s="45"/>
      <c r="R70" s="45"/>
      <c r="S70" s="45"/>
      <c r="T70" s="45"/>
      <c r="U70" s="45"/>
      <c r="V70" s="45"/>
      <c r="W70" s="45"/>
      <c r="X70" s="45"/>
      <c r="Y70" s="45"/>
      <c r="Z70" s="56"/>
    </row>
    <row r="71" spans="1:26" outlineLevel="1">
      <c r="A71" s="7" t="s">
        <v>347</v>
      </c>
      <c r="B71" s="40" t="s">
        <v>348</v>
      </c>
      <c r="C71" s="40" t="s">
        <v>216</v>
      </c>
      <c r="D71" s="40" t="s">
        <v>250</v>
      </c>
      <c r="E71" s="40" t="s">
        <v>73</v>
      </c>
      <c r="F71" s="40" t="s">
        <v>71</v>
      </c>
      <c r="G71" s="38">
        <v>0</v>
      </c>
      <c r="H71" s="54">
        <v>7500</v>
      </c>
      <c r="I71" s="53">
        <v>0</v>
      </c>
      <c r="J71" s="54">
        <f t="shared" si="12"/>
        <v>7500</v>
      </c>
      <c r="K71" s="54">
        <f t="shared" si="13"/>
        <v>0</v>
      </c>
      <c r="M71" s="45"/>
      <c r="N71" s="45"/>
      <c r="O71" s="45"/>
      <c r="P71" s="45"/>
      <c r="Q71" s="45"/>
      <c r="R71" s="45"/>
      <c r="S71" s="45"/>
      <c r="T71" s="45"/>
      <c r="U71" s="45"/>
      <c r="V71" s="45"/>
      <c r="W71" s="45"/>
      <c r="X71" s="45"/>
      <c r="Y71" s="45"/>
      <c r="Z71" s="56"/>
    </row>
    <row r="72" spans="1:26" outlineLevel="1">
      <c r="A72" s="7" t="s">
        <v>349</v>
      </c>
      <c r="B72" s="40" t="s">
        <v>350</v>
      </c>
      <c r="C72" s="40" t="s">
        <v>216</v>
      </c>
      <c r="D72" s="40" t="s">
        <v>238</v>
      </c>
      <c r="E72" s="40" t="s">
        <v>239</v>
      </c>
      <c r="F72" s="40" t="s">
        <v>108</v>
      </c>
      <c r="G72" s="38">
        <v>14</v>
      </c>
      <c r="H72" s="54">
        <v>6000</v>
      </c>
      <c r="I72" s="53">
        <v>0</v>
      </c>
      <c r="J72" s="54">
        <f t="shared" si="12"/>
        <v>6000</v>
      </c>
      <c r="K72" s="54">
        <f t="shared" si="13"/>
        <v>84000</v>
      </c>
      <c r="L72" s="194"/>
      <c r="M72" s="45"/>
      <c r="N72" s="45"/>
      <c r="O72" s="45"/>
      <c r="P72" s="45"/>
      <c r="Q72" s="45"/>
      <c r="R72" s="45"/>
      <c r="S72" s="45"/>
      <c r="T72" s="45"/>
      <c r="U72" s="45"/>
      <c r="V72" s="45"/>
      <c r="W72" s="45"/>
      <c r="X72" s="45"/>
      <c r="Y72" s="45"/>
      <c r="Z72" s="56"/>
    </row>
    <row r="73" spans="1:26" outlineLevel="1">
      <c r="A73" s="7" t="s">
        <v>351</v>
      </c>
      <c r="B73" s="40" t="s">
        <v>352</v>
      </c>
      <c r="C73" s="40" t="s">
        <v>216</v>
      </c>
      <c r="D73" s="40" t="s">
        <v>228</v>
      </c>
      <c r="E73" s="40" t="s">
        <v>73</v>
      </c>
      <c r="F73" s="40" t="s">
        <v>71</v>
      </c>
      <c r="G73" s="38">
        <v>1</v>
      </c>
      <c r="H73" s="54">
        <v>25000</v>
      </c>
      <c r="I73" s="53">
        <v>0</v>
      </c>
      <c r="J73" s="54">
        <f t="shared" si="12"/>
        <v>25000</v>
      </c>
      <c r="K73" s="54">
        <f t="shared" si="13"/>
        <v>25000</v>
      </c>
      <c r="M73" s="1120"/>
      <c r="N73" s="1120"/>
      <c r="O73" s="1120"/>
      <c r="P73" s="1120"/>
      <c r="Q73" s="1120"/>
      <c r="R73" s="1120"/>
      <c r="S73" s="1120"/>
      <c r="T73" s="1120"/>
      <c r="U73" s="1120"/>
      <c r="V73" s="1120"/>
      <c r="W73" s="1120"/>
      <c r="X73" s="1120"/>
      <c r="Y73" s="1120"/>
      <c r="Z73" s="56"/>
    </row>
    <row r="74" spans="1:26" outlineLevel="1">
      <c r="A74" s="7" t="s">
        <v>353</v>
      </c>
      <c r="B74" s="40" t="s">
        <v>354</v>
      </c>
      <c r="C74" s="40" t="s">
        <v>216</v>
      </c>
      <c r="D74" s="40" t="s">
        <v>228</v>
      </c>
      <c r="E74" s="40" t="s">
        <v>73</v>
      </c>
      <c r="F74" s="40" t="s">
        <v>71</v>
      </c>
      <c r="G74" s="38">
        <v>1</v>
      </c>
      <c r="H74" s="54">
        <v>25000</v>
      </c>
      <c r="I74" s="53">
        <v>0</v>
      </c>
      <c r="J74" s="54">
        <f t="shared" si="12"/>
        <v>25000</v>
      </c>
      <c r="K74" s="54">
        <f t="shared" si="13"/>
        <v>25000</v>
      </c>
      <c r="M74" s="1120"/>
      <c r="N74" s="1120"/>
      <c r="O74" s="1120"/>
      <c r="P74" s="1120"/>
      <c r="Q74" s="1120"/>
      <c r="R74" s="1120"/>
      <c r="S74" s="1120"/>
      <c r="T74" s="1120"/>
      <c r="U74" s="1120"/>
      <c r="V74" s="1120"/>
      <c r="W74" s="1120"/>
      <c r="X74" s="1120"/>
      <c r="Y74" s="1120"/>
      <c r="Z74" s="56"/>
    </row>
    <row r="75" spans="1:26" outlineLevel="1">
      <c r="A75" s="7" t="s">
        <v>355</v>
      </c>
      <c r="B75" s="40" t="s">
        <v>356</v>
      </c>
      <c r="C75" s="40" t="s">
        <v>216</v>
      </c>
      <c r="D75" s="40" t="s">
        <v>228</v>
      </c>
      <c r="E75" s="40" t="s">
        <v>239</v>
      </c>
      <c r="F75" s="40" t="s">
        <v>108</v>
      </c>
      <c r="G75" s="38">
        <v>8</v>
      </c>
      <c r="H75" s="54">
        <v>2000</v>
      </c>
      <c r="I75" s="53">
        <v>0</v>
      </c>
      <c r="J75" s="54">
        <f t="shared" si="12"/>
        <v>2000</v>
      </c>
      <c r="K75" s="54">
        <f t="shared" si="13"/>
        <v>16000</v>
      </c>
      <c r="M75" s="45"/>
      <c r="N75" s="45"/>
      <c r="O75" s="45"/>
      <c r="P75" s="45"/>
      <c r="Q75" s="45"/>
      <c r="R75" s="45"/>
      <c r="S75" s="45"/>
      <c r="T75" s="45"/>
      <c r="U75" s="45"/>
      <c r="V75" s="45"/>
      <c r="W75" s="45"/>
      <c r="X75" s="45"/>
      <c r="Y75" s="45"/>
      <c r="Z75" s="56"/>
    </row>
    <row r="76" spans="1:26" outlineLevel="1">
      <c r="A76" s="7" t="s">
        <v>358</v>
      </c>
      <c r="B76" s="40" t="s">
        <v>359</v>
      </c>
      <c r="C76" s="40" t="s">
        <v>216</v>
      </c>
      <c r="D76" s="40" t="s">
        <v>228</v>
      </c>
      <c r="E76" s="40" t="s">
        <v>239</v>
      </c>
      <c r="F76" s="40" t="s">
        <v>108</v>
      </c>
      <c r="G76" s="38">
        <v>8</v>
      </c>
      <c r="H76" s="54">
        <v>3000</v>
      </c>
      <c r="I76" s="53">
        <v>0</v>
      </c>
      <c r="J76" s="54">
        <f t="shared" si="12"/>
        <v>3000</v>
      </c>
      <c r="K76" s="54">
        <f t="shared" si="13"/>
        <v>24000</v>
      </c>
      <c r="M76" s="45"/>
      <c r="N76" s="45"/>
      <c r="O76" s="45"/>
      <c r="P76" s="45"/>
      <c r="Q76" s="45"/>
      <c r="R76" s="45"/>
      <c r="S76" s="45"/>
      <c r="T76" s="45"/>
      <c r="U76" s="45"/>
      <c r="V76" s="45"/>
      <c r="W76" s="45"/>
      <c r="X76" s="45"/>
      <c r="Y76" s="45"/>
      <c r="Z76" s="56"/>
    </row>
    <row r="77" spans="1:26" outlineLevel="1">
      <c r="A77" s="6" t="s">
        <v>360</v>
      </c>
      <c r="B77" s="47" t="s">
        <v>361</v>
      </c>
      <c r="C77" s="47" t="s">
        <v>216</v>
      </c>
      <c r="D77" s="47" t="s">
        <v>228</v>
      </c>
      <c r="E77" s="47" t="s">
        <v>231</v>
      </c>
      <c r="F77" s="47"/>
      <c r="G77" s="47"/>
      <c r="H77" s="54"/>
      <c r="I77" s="63">
        <v>0</v>
      </c>
      <c r="J77" s="67">
        <f t="shared" si="12"/>
        <v>0</v>
      </c>
      <c r="K77" s="67">
        <f t="shared" si="13"/>
        <v>0</v>
      </c>
      <c r="M77" s="45"/>
      <c r="N77" s="45"/>
      <c r="O77" s="45"/>
      <c r="P77" s="45"/>
      <c r="Q77" s="45"/>
      <c r="R77" s="45"/>
      <c r="S77" s="45"/>
      <c r="T77" s="45"/>
      <c r="U77" s="45"/>
      <c r="V77" s="45"/>
      <c r="W77" s="45"/>
      <c r="X77" s="45"/>
      <c r="Y77" s="45"/>
      <c r="Z77" s="56"/>
    </row>
    <row r="78" spans="1:26">
      <c r="A78" s="1020" t="s">
        <v>335</v>
      </c>
      <c r="B78" s="65" t="s">
        <v>336</v>
      </c>
      <c r="C78" s="65"/>
      <c r="D78" s="65"/>
      <c r="E78" s="65"/>
      <c r="F78" s="65"/>
      <c r="G78" s="65"/>
      <c r="H78" s="1077"/>
      <c r="I78" s="157"/>
      <c r="J78" s="159"/>
      <c r="K78" s="159"/>
      <c r="L78" s="71">
        <f>SUM(K65:K77)</f>
        <v>2196003.1030282238</v>
      </c>
      <c r="M78" s="45"/>
      <c r="N78" s="45"/>
      <c r="O78" s="45"/>
      <c r="P78" s="45"/>
      <c r="Q78" s="45"/>
      <c r="R78" s="45"/>
      <c r="S78" s="45"/>
      <c r="T78" s="45"/>
      <c r="U78" s="45"/>
      <c r="V78" s="45"/>
      <c r="W78" s="45"/>
      <c r="X78" s="45"/>
      <c r="Y78" s="45"/>
      <c r="Z78" s="56"/>
    </row>
    <row r="79" spans="1:26" outlineLevel="1">
      <c r="A79" s="7" t="s">
        <v>365</v>
      </c>
      <c r="B79" s="40" t="s">
        <v>366</v>
      </c>
      <c r="C79" s="40" t="s">
        <v>216</v>
      </c>
      <c r="D79" s="40" t="s">
        <v>303</v>
      </c>
      <c r="E79" s="40" t="s">
        <v>231</v>
      </c>
      <c r="F79" s="40"/>
      <c r="G79" s="38"/>
      <c r="H79" s="461"/>
      <c r="I79" s="53">
        <v>0</v>
      </c>
      <c r="J79" s="54">
        <f t="shared" ref="J79:J92" si="16">H79*(1+I79)</f>
        <v>0</v>
      </c>
      <c r="K79" s="54">
        <f t="shared" ref="K79:K92" si="17">J79*G79</f>
        <v>0</v>
      </c>
      <c r="M79" s="45"/>
      <c r="N79" s="45"/>
      <c r="O79" s="45"/>
      <c r="P79" s="45"/>
      <c r="Q79" s="45"/>
      <c r="R79" s="45"/>
      <c r="S79" s="45"/>
      <c r="T79" s="45"/>
      <c r="U79" s="45"/>
      <c r="V79" s="45"/>
      <c r="W79" s="45"/>
      <c r="X79" s="45"/>
      <c r="Y79" s="45"/>
      <c r="Z79" s="56"/>
    </row>
    <row r="80" spans="1:26" outlineLevel="1">
      <c r="A80" s="7" t="s">
        <v>367</v>
      </c>
      <c r="B80" s="40" t="s">
        <v>368</v>
      </c>
      <c r="C80" s="40" t="s">
        <v>216</v>
      </c>
      <c r="D80" s="40" t="s">
        <v>303</v>
      </c>
      <c r="E80" s="40" t="s">
        <v>369</v>
      </c>
      <c r="F80" s="40"/>
      <c r="G80" s="38"/>
      <c r="H80" s="54"/>
      <c r="I80" s="53">
        <v>0</v>
      </c>
      <c r="J80" s="54">
        <f t="shared" si="16"/>
        <v>0</v>
      </c>
      <c r="K80" s="54">
        <f t="shared" si="17"/>
        <v>0</v>
      </c>
      <c r="M80" s="45"/>
      <c r="N80" s="45"/>
      <c r="O80" s="45"/>
      <c r="P80" s="45"/>
      <c r="Q80" s="45"/>
      <c r="R80" s="45"/>
      <c r="S80" s="45"/>
      <c r="T80" s="45"/>
      <c r="U80" s="45"/>
      <c r="V80" s="45"/>
      <c r="W80" s="45"/>
      <c r="X80" s="45"/>
      <c r="Y80" s="45"/>
      <c r="Z80" s="56"/>
    </row>
    <row r="81" spans="1:26" outlineLevel="1">
      <c r="A81" s="7" t="s">
        <v>370</v>
      </c>
      <c r="B81" s="40" t="s">
        <v>368</v>
      </c>
      <c r="C81" s="40" t="s">
        <v>216</v>
      </c>
      <c r="D81" s="40" t="s">
        <v>228</v>
      </c>
      <c r="E81" s="40" t="s">
        <v>231</v>
      </c>
      <c r="F81" s="40"/>
      <c r="G81" s="38"/>
      <c r="H81" s="54"/>
      <c r="I81" s="53">
        <v>0</v>
      </c>
      <c r="J81" s="54">
        <f t="shared" si="16"/>
        <v>0</v>
      </c>
      <c r="K81" s="54">
        <f t="shared" si="17"/>
        <v>0</v>
      </c>
      <c r="M81" s="45"/>
      <c r="N81" s="45"/>
      <c r="O81" s="45"/>
      <c r="P81" s="45"/>
      <c r="Q81" s="45"/>
      <c r="R81" s="45"/>
      <c r="S81" s="45"/>
      <c r="T81" s="45"/>
      <c r="U81" s="45"/>
      <c r="V81" s="45"/>
      <c r="W81" s="45"/>
      <c r="X81" s="45"/>
      <c r="Y81" s="45"/>
      <c r="Z81" s="56"/>
    </row>
    <row r="82" spans="1:26" outlineLevel="1">
      <c r="A82" s="7" t="s">
        <v>371</v>
      </c>
      <c r="B82" s="40" t="s">
        <v>372</v>
      </c>
      <c r="C82" s="40" t="s">
        <v>216</v>
      </c>
      <c r="D82" s="40" t="s">
        <v>228</v>
      </c>
      <c r="E82" s="40" t="s">
        <v>231</v>
      </c>
      <c r="F82" s="40"/>
      <c r="G82" s="38"/>
      <c r="H82" s="54"/>
      <c r="I82" s="53">
        <v>0</v>
      </c>
      <c r="J82" s="54">
        <f t="shared" si="16"/>
        <v>0</v>
      </c>
      <c r="K82" s="54">
        <f t="shared" si="17"/>
        <v>0</v>
      </c>
      <c r="M82" s="45"/>
      <c r="N82" s="45"/>
      <c r="O82" s="45"/>
      <c r="P82" s="45"/>
      <c r="Q82" s="45"/>
      <c r="R82" s="45"/>
      <c r="S82" s="45"/>
      <c r="T82" s="45"/>
      <c r="U82" s="45"/>
      <c r="V82" s="45"/>
      <c r="W82" s="45"/>
      <c r="X82" s="45"/>
      <c r="Y82" s="45"/>
      <c r="Z82" s="56"/>
    </row>
    <row r="83" spans="1:26" outlineLevel="1">
      <c r="A83" s="7" t="s">
        <v>373</v>
      </c>
      <c r="B83" s="40" t="s">
        <v>374</v>
      </c>
      <c r="C83" s="40" t="s">
        <v>216</v>
      </c>
      <c r="D83" s="40" t="s">
        <v>228</v>
      </c>
      <c r="E83" s="40" t="s">
        <v>990</v>
      </c>
      <c r="F83" s="40" t="s">
        <v>375</v>
      </c>
      <c r="G83" s="42">
        <f>$E$8</f>
        <v>390</v>
      </c>
      <c r="H83" s="54">
        <v>1400</v>
      </c>
      <c r="I83" s="53">
        <v>0</v>
      </c>
      <c r="J83" s="54">
        <f t="shared" si="16"/>
        <v>1400</v>
      </c>
      <c r="K83" s="54">
        <f t="shared" si="17"/>
        <v>546000</v>
      </c>
      <c r="L83" s="112"/>
      <c r="M83" s="45"/>
      <c r="N83" s="45"/>
      <c r="O83" s="45"/>
      <c r="P83" s="45"/>
      <c r="Q83" s="45"/>
      <c r="R83" s="45"/>
      <c r="S83" s="45"/>
      <c r="T83" s="45"/>
      <c r="U83" s="45"/>
      <c r="V83" s="45"/>
      <c r="W83" s="45"/>
      <c r="X83" s="45"/>
      <c r="Y83" s="45"/>
      <c r="Z83" s="56"/>
    </row>
    <row r="84" spans="1:26" outlineLevel="1">
      <c r="A84" s="7" t="s">
        <v>377</v>
      </c>
      <c r="B84" s="40" t="s">
        <v>374</v>
      </c>
      <c r="C84" s="40" t="s">
        <v>233</v>
      </c>
      <c r="D84" s="40" t="s">
        <v>228</v>
      </c>
      <c r="E84" s="40" t="s">
        <v>73</v>
      </c>
      <c r="F84" s="40" t="s">
        <v>375</v>
      </c>
      <c r="G84" s="42">
        <f>$E$8</f>
        <v>390</v>
      </c>
      <c r="H84" s="54">
        <v>100</v>
      </c>
      <c r="I84" s="53">
        <v>0</v>
      </c>
      <c r="J84" s="54">
        <f t="shared" si="16"/>
        <v>100</v>
      </c>
      <c r="K84" s="54">
        <f t="shared" si="17"/>
        <v>39000</v>
      </c>
      <c r="M84" s="45"/>
      <c r="N84" s="45"/>
      <c r="O84" s="45"/>
      <c r="P84" s="45"/>
      <c r="Q84" s="45"/>
      <c r="R84" s="45"/>
      <c r="S84" s="45"/>
      <c r="T84" s="45"/>
      <c r="U84" s="45"/>
      <c r="V84" s="45"/>
      <c r="W84" s="45"/>
      <c r="X84" s="45"/>
      <c r="Y84" s="45"/>
      <c r="Z84" s="56"/>
    </row>
    <row r="85" spans="1:26" outlineLevel="1">
      <c r="A85" s="7" t="s">
        <v>378</v>
      </c>
      <c r="B85" s="40" t="s">
        <v>379</v>
      </c>
      <c r="C85" s="40" t="s">
        <v>216</v>
      </c>
      <c r="D85" s="40" t="s">
        <v>250</v>
      </c>
      <c r="E85" s="40" t="s">
        <v>231</v>
      </c>
      <c r="F85" s="40"/>
      <c r="G85" s="38"/>
      <c r="H85" s="54"/>
      <c r="I85" s="53">
        <v>0</v>
      </c>
      <c r="J85" s="54">
        <f t="shared" si="16"/>
        <v>0</v>
      </c>
      <c r="K85" s="54">
        <f t="shared" si="17"/>
        <v>0</v>
      </c>
      <c r="M85" s="45"/>
      <c r="N85" s="45"/>
      <c r="O85" s="45"/>
      <c r="P85" s="45"/>
      <c r="Q85" s="45"/>
      <c r="R85" s="45"/>
      <c r="S85" s="45"/>
      <c r="T85" s="45"/>
      <c r="U85" s="45"/>
      <c r="V85" s="45"/>
      <c r="W85" s="45"/>
      <c r="X85" s="45"/>
      <c r="Y85" s="45"/>
      <c r="Z85" s="56"/>
    </row>
    <row r="86" spans="1:26" outlineLevel="1">
      <c r="A86" s="7" t="s">
        <v>380</v>
      </c>
      <c r="B86" s="40" t="s">
        <v>381</v>
      </c>
      <c r="C86" s="40" t="s">
        <v>216</v>
      </c>
      <c r="D86" s="40" t="s">
        <v>242</v>
      </c>
      <c r="E86" s="40" t="s">
        <v>231</v>
      </c>
      <c r="F86" s="40"/>
      <c r="G86" s="38"/>
      <c r="H86" s="54"/>
      <c r="I86" s="53">
        <v>0</v>
      </c>
      <c r="J86" s="54">
        <f t="shared" si="16"/>
        <v>0</v>
      </c>
      <c r="K86" s="54">
        <f t="shared" si="17"/>
        <v>0</v>
      </c>
      <c r="M86" s="45"/>
      <c r="N86" s="45"/>
      <c r="O86" s="45"/>
      <c r="P86" s="45"/>
      <c r="Q86" s="45"/>
      <c r="R86" s="45"/>
      <c r="S86" s="45"/>
      <c r="T86" s="45"/>
      <c r="U86" s="45"/>
      <c r="V86" s="45"/>
      <c r="W86" s="45"/>
      <c r="X86" s="45"/>
      <c r="Y86" s="45"/>
      <c r="Z86" s="56"/>
    </row>
    <row r="87" spans="1:26" outlineLevel="1">
      <c r="A87" s="7" t="s">
        <v>382</v>
      </c>
      <c r="B87" s="40" t="s">
        <v>383</v>
      </c>
      <c r="C87" s="40" t="s">
        <v>216</v>
      </c>
      <c r="D87" s="40" t="s">
        <v>228</v>
      </c>
      <c r="E87" s="40" t="s">
        <v>231</v>
      </c>
      <c r="F87" s="40"/>
      <c r="G87" s="38"/>
      <c r="H87" s="54"/>
      <c r="I87" s="53">
        <v>0</v>
      </c>
      <c r="J87" s="54">
        <f t="shared" si="16"/>
        <v>0</v>
      </c>
      <c r="K87" s="54">
        <f t="shared" si="17"/>
        <v>0</v>
      </c>
      <c r="M87" s="45"/>
      <c r="N87" s="45"/>
      <c r="O87" s="45"/>
      <c r="P87" s="45"/>
      <c r="Q87" s="45"/>
      <c r="R87" s="45"/>
      <c r="S87" s="45"/>
      <c r="T87" s="45"/>
      <c r="U87" s="45"/>
      <c r="V87" s="45"/>
      <c r="W87" s="45"/>
      <c r="X87" s="45"/>
      <c r="Y87" s="45"/>
      <c r="Z87" s="56"/>
    </row>
    <row r="88" spans="1:26" outlineLevel="1">
      <c r="A88" s="7" t="s">
        <v>384</v>
      </c>
      <c r="B88" s="40" t="s">
        <v>385</v>
      </c>
      <c r="C88" s="40" t="s">
        <v>216</v>
      </c>
      <c r="D88" s="40" t="s">
        <v>228</v>
      </c>
      <c r="E88" s="40" t="s">
        <v>231</v>
      </c>
      <c r="F88" s="40"/>
      <c r="G88" s="38"/>
      <c r="H88" s="54"/>
      <c r="I88" s="53">
        <v>0</v>
      </c>
      <c r="J88" s="54">
        <f t="shared" si="16"/>
        <v>0</v>
      </c>
      <c r="K88" s="54">
        <f t="shared" si="17"/>
        <v>0</v>
      </c>
      <c r="M88" s="45"/>
      <c r="N88" s="45"/>
      <c r="O88" s="45"/>
      <c r="P88" s="45"/>
      <c r="Q88" s="45"/>
      <c r="R88" s="45"/>
      <c r="S88" s="45"/>
      <c r="T88" s="45"/>
      <c r="U88" s="45"/>
      <c r="V88" s="45"/>
      <c r="W88" s="45"/>
      <c r="X88" s="45"/>
      <c r="Y88" s="45"/>
      <c r="Z88" s="56"/>
    </row>
    <row r="89" spans="1:26" outlineLevel="1">
      <c r="A89" s="7" t="s">
        <v>386</v>
      </c>
      <c r="B89" s="40" t="s">
        <v>387</v>
      </c>
      <c r="C89" s="40" t="s">
        <v>216</v>
      </c>
      <c r="D89" s="40" t="s">
        <v>228</v>
      </c>
      <c r="E89" s="40" t="s">
        <v>231</v>
      </c>
      <c r="F89" s="40"/>
      <c r="G89" s="38"/>
      <c r="H89" s="54"/>
      <c r="I89" s="53">
        <v>0</v>
      </c>
      <c r="J89" s="54">
        <f t="shared" si="16"/>
        <v>0</v>
      </c>
      <c r="K89" s="54">
        <f t="shared" si="17"/>
        <v>0</v>
      </c>
      <c r="M89" s="45"/>
      <c r="N89" s="45"/>
      <c r="O89" s="45"/>
      <c r="P89" s="45"/>
      <c r="Q89" s="45"/>
      <c r="R89" s="45"/>
      <c r="S89" s="45"/>
      <c r="T89" s="45"/>
      <c r="U89" s="45"/>
      <c r="V89" s="45"/>
      <c r="W89" s="45"/>
      <c r="X89" s="45"/>
      <c r="Y89" s="45"/>
      <c r="Z89" s="56"/>
    </row>
    <row r="90" spans="1:26" outlineLevel="1">
      <c r="A90" s="7" t="s">
        <v>388</v>
      </c>
      <c r="B90" s="40" t="s">
        <v>385</v>
      </c>
      <c r="C90" s="40" t="s">
        <v>216</v>
      </c>
      <c r="D90" s="40" t="s">
        <v>228</v>
      </c>
      <c r="E90" s="40" t="s">
        <v>231</v>
      </c>
      <c r="F90" s="40"/>
      <c r="G90" s="38"/>
      <c r="H90" s="54"/>
      <c r="I90" s="53">
        <v>0</v>
      </c>
      <c r="J90" s="54">
        <f t="shared" si="16"/>
        <v>0</v>
      </c>
      <c r="K90" s="54">
        <f t="shared" si="17"/>
        <v>0</v>
      </c>
      <c r="M90" s="45"/>
      <c r="N90" s="45"/>
      <c r="O90" s="45"/>
      <c r="P90" s="45"/>
      <c r="Q90" s="45"/>
      <c r="R90" s="45"/>
      <c r="S90" s="45"/>
      <c r="T90" s="45"/>
      <c r="U90" s="45"/>
      <c r="V90" s="45"/>
      <c r="W90" s="45"/>
      <c r="X90" s="45"/>
      <c r="Y90" s="45"/>
      <c r="Z90" s="56"/>
    </row>
    <row r="91" spans="1:26" outlineLevel="1">
      <c r="A91" s="7" t="s">
        <v>389</v>
      </c>
      <c r="B91" s="40" t="s">
        <v>385</v>
      </c>
      <c r="C91" s="40" t="s">
        <v>216</v>
      </c>
      <c r="D91" s="40" t="s">
        <v>228</v>
      </c>
      <c r="E91" s="40" t="s">
        <v>239</v>
      </c>
      <c r="F91" s="40" t="s">
        <v>102</v>
      </c>
      <c r="G91" s="42">
        <f>K8+L8+M8*2+N8*2</f>
        <v>553</v>
      </c>
      <c r="H91" s="54">
        <v>150</v>
      </c>
      <c r="I91" s="53">
        <v>0</v>
      </c>
      <c r="J91" s="54">
        <f>H91*(1+I91)</f>
        <v>150</v>
      </c>
      <c r="K91" s="54">
        <f t="shared" si="17"/>
        <v>82950</v>
      </c>
      <c r="M91" s="45"/>
      <c r="N91" s="45"/>
      <c r="O91" s="45"/>
      <c r="P91" s="45"/>
      <c r="Q91" s="45"/>
      <c r="R91" s="45"/>
      <c r="S91" s="45"/>
      <c r="T91" s="45"/>
      <c r="U91" s="45"/>
      <c r="V91" s="45"/>
      <c r="W91" s="45"/>
      <c r="X91" s="45"/>
      <c r="Y91" s="45"/>
      <c r="Z91" s="56"/>
    </row>
    <row r="92" spans="1:26" outlineLevel="1">
      <c r="A92" s="6" t="s">
        <v>390</v>
      </c>
      <c r="B92" s="47" t="s">
        <v>385</v>
      </c>
      <c r="C92" s="47" t="s">
        <v>216</v>
      </c>
      <c r="D92" s="47" t="s">
        <v>228</v>
      </c>
      <c r="E92" s="47" t="s">
        <v>73</v>
      </c>
      <c r="F92" s="47" t="s">
        <v>108</v>
      </c>
      <c r="G92" s="47">
        <v>4</v>
      </c>
      <c r="H92" s="54">
        <v>500</v>
      </c>
      <c r="I92" s="63">
        <v>0</v>
      </c>
      <c r="J92" s="67">
        <f t="shared" si="16"/>
        <v>500</v>
      </c>
      <c r="K92" s="67">
        <f t="shared" si="17"/>
        <v>2000</v>
      </c>
      <c r="M92" s="45"/>
      <c r="N92" s="45"/>
      <c r="O92" s="45"/>
      <c r="P92" s="45"/>
      <c r="Q92" s="45"/>
      <c r="R92" s="45"/>
      <c r="S92" s="45"/>
      <c r="T92" s="45"/>
      <c r="U92" s="45"/>
      <c r="V92" s="45"/>
      <c r="W92" s="45"/>
      <c r="X92" s="45"/>
      <c r="Y92" s="45"/>
      <c r="Z92" s="56"/>
    </row>
    <row r="93" spans="1:26">
      <c r="A93" s="1020" t="s">
        <v>362</v>
      </c>
      <c r="B93" s="65" t="s">
        <v>363</v>
      </c>
      <c r="C93" s="65"/>
      <c r="D93" s="65"/>
      <c r="E93" s="65"/>
      <c r="F93" s="65"/>
      <c r="G93" s="65"/>
      <c r="H93" s="1077"/>
      <c r="I93" s="157"/>
      <c r="J93" s="159"/>
      <c r="K93" s="159"/>
      <c r="L93" s="71">
        <f>SUM(K79:K92)</f>
        <v>669950</v>
      </c>
      <c r="M93" s="45"/>
      <c r="N93" s="45"/>
      <c r="O93" s="45"/>
      <c r="P93" s="45"/>
      <c r="Q93" s="45"/>
      <c r="R93" s="45"/>
      <c r="S93" s="45"/>
      <c r="T93" s="45"/>
      <c r="U93" s="45"/>
      <c r="V93" s="45"/>
      <c r="W93" s="45"/>
      <c r="X93" s="45"/>
      <c r="Y93" s="45"/>
      <c r="Z93" s="56"/>
    </row>
    <row r="94" spans="1:26" outlineLevel="1">
      <c r="A94" s="6" t="s">
        <v>393</v>
      </c>
      <c r="B94" s="47" t="s">
        <v>394</v>
      </c>
      <c r="C94" s="47" t="s">
        <v>216</v>
      </c>
      <c r="D94" s="47" t="s">
        <v>228</v>
      </c>
      <c r="E94" s="47"/>
      <c r="F94" s="47"/>
      <c r="G94" s="42"/>
      <c r="H94" s="461">
        <v>0.05</v>
      </c>
      <c r="I94" s="63">
        <v>0</v>
      </c>
      <c r="J94" s="66">
        <f t="shared" ref="J94:J131" si="18">H94*(1+I94)</f>
        <v>0.05</v>
      </c>
      <c r="K94" s="67">
        <f t="shared" ref="K94:K131" si="19">J94*G94</f>
        <v>0</v>
      </c>
      <c r="M94" s="45"/>
      <c r="N94" s="45"/>
      <c r="O94" s="45"/>
      <c r="P94" s="45"/>
      <c r="Q94" s="45"/>
      <c r="R94" s="45"/>
      <c r="S94" s="45"/>
      <c r="T94" s="45"/>
      <c r="U94" s="45"/>
      <c r="V94" s="45"/>
      <c r="W94" s="45"/>
      <c r="X94" s="45"/>
      <c r="Y94" s="45"/>
      <c r="Z94" s="56"/>
    </row>
    <row r="95" spans="1:26" outlineLevel="1">
      <c r="A95" s="7" t="s">
        <v>395</v>
      </c>
      <c r="B95" s="40" t="s">
        <v>396</v>
      </c>
      <c r="C95" s="40" t="s">
        <v>216</v>
      </c>
      <c r="D95" s="40" t="s">
        <v>228</v>
      </c>
      <c r="E95" s="40" t="s">
        <v>73</v>
      </c>
      <c r="F95" s="40" t="s">
        <v>71</v>
      </c>
      <c r="G95" s="38">
        <v>1</v>
      </c>
      <c r="H95" s="54">
        <v>25000</v>
      </c>
      <c r="I95" s="53">
        <v>0</v>
      </c>
      <c r="J95" s="54">
        <f t="shared" si="18"/>
        <v>25000</v>
      </c>
      <c r="K95" s="54">
        <f t="shared" si="19"/>
        <v>25000</v>
      </c>
      <c r="M95" s="45"/>
      <c r="N95" s="45"/>
      <c r="O95" s="45"/>
      <c r="P95" s="45"/>
      <c r="Q95" s="45"/>
      <c r="R95" s="45"/>
      <c r="S95" s="45"/>
      <c r="T95" s="45"/>
      <c r="U95" s="45"/>
      <c r="V95" s="45"/>
      <c r="W95" s="45"/>
      <c r="X95" s="45"/>
      <c r="Y95" s="45"/>
      <c r="Z95" s="56"/>
    </row>
    <row r="96" spans="1:26" outlineLevel="1">
      <c r="A96" s="7" t="s">
        <v>397</v>
      </c>
      <c r="B96" s="40" t="s">
        <v>398</v>
      </c>
      <c r="C96" s="40" t="s">
        <v>216</v>
      </c>
      <c r="D96" s="40" t="s">
        <v>228</v>
      </c>
      <c r="E96" s="40" t="s">
        <v>239</v>
      </c>
      <c r="F96" s="40" t="s">
        <v>61</v>
      </c>
      <c r="G96" s="38">
        <f t="shared" ref="G96" si="20">$B$8</f>
        <v>422635</v>
      </c>
      <c r="H96" s="51">
        <v>0.85</v>
      </c>
      <c r="I96" s="53">
        <v>0</v>
      </c>
      <c r="J96" s="51">
        <f t="shared" si="18"/>
        <v>0.85</v>
      </c>
      <c r="K96" s="54">
        <f t="shared" si="19"/>
        <v>359239.75</v>
      </c>
      <c r="M96" s="45"/>
      <c r="N96" s="45"/>
      <c r="O96" s="45"/>
      <c r="P96" s="45"/>
      <c r="Q96" s="45"/>
      <c r="R96" s="45"/>
      <c r="S96" s="45"/>
      <c r="T96" s="45"/>
      <c r="U96" s="45"/>
      <c r="V96" s="45"/>
      <c r="W96" s="45"/>
      <c r="X96" s="45"/>
      <c r="Y96" s="45"/>
      <c r="Z96" s="56"/>
    </row>
    <row r="97" spans="1:26" outlineLevel="1">
      <c r="A97" s="7" t="s">
        <v>399</v>
      </c>
      <c r="B97" s="40" t="s">
        <v>400</v>
      </c>
      <c r="C97" s="40" t="s">
        <v>216</v>
      </c>
      <c r="D97" s="40" t="s">
        <v>228</v>
      </c>
      <c r="E97" s="40" t="s">
        <v>73</v>
      </c>
      <c r="F97" s="40" t="s">
        <v>71</v>
      </c>
      <c r="G97" s="38">
        <v>1</v>
      </c>
      <c r="H97" s="54">
        <v>50000</v>
      </c>
      <c r="I97" s="53">
        <v>0</v>
      </c>
      <c r="J97" s="54">
        <f t="shared" si="18"/>
        <v>50000</v>
      </c>
      <c r="K97" s="54">
        <f t="shared" si="19"/>
        <v>50000</v>
      </c>
      <c r="M97" s="45"/>
      <c r="N97" s="45"/>
      <c r="O97" s="45"/>
      <c r="P97" s="45"/>
      <c r="Q97" s="45"/>
      <c r="R97" s="45"/>
      <c r="S97" s="45"/>
      <c r="T97" s="45"/>
      <c r="U97" s="45"/>
      <c r="V97" s="45"/>
      <c r="W97" s="45"/>
      <c r="X97" s="45"/>
      <c r="Y97" s="45"/>
      <c r="Z97" s="56"/>
    </row>
    <row r="98" spans="1:26" outlineLevel="1">
      <c r="A98" s="7" t="s">
        <v>307</v>
      </c>
      <c r="B98" s="40" t="s">
        <v>401</v>
      </c>
      <c r="C98" s="40" t="s">
        <v>216</v>
      </c>
      <c r="D98" s="40" t="s">
        <v>309</v>
      </c>
      <c r="E98" s="40" t="s">
        <v>73</v>
      </c>
      <c r="F98" s="40" t="s">
        <v>71</v>
      </c>
      <c r="G98" s="42">
        <v>1</v>
      </c>
      <c r="H98" s="54">
        <v>20000</v>
      </c>
      <c r="I98" s="53">
        <v>0</v>
      </c>
      <c r="J98" s="54">
        <f t="shared" si="18"/>
        <v>20000</v>
      </c>
      <c r="K98" s="54">
        <f t="shared" si="19"/>
        <v>20000</v>
      </c>
      <c r="M98" s="45"/>
      <c r="N98" s="45"/>
      <c r="O98" s="45"/>
      <c r="P98" s="45"/>
      <c r="Q98" s="45"/>
      <c r="R98" s="45"/>
      <c r="S98" s="45"/>
      <c r="T98" s="45"/>
      <c r="U98" s="45"/>
      <c r="V98" s="45"/>
      <c r="W98" s="45"/>
      <c r="X98" s="45"/>
      <c r="Y98" s="45"/>
      <c r="Z98" s="56"/>
    </row>
    <row r="99" spans="1:26" outlineLevel="1">
      <c r="A99" s="7" t="s">
        <v>404</v>
      </c>
      <c r="B99" s="40" t="s">
        <v>405</v>
      </c>
      <c r="C99" s="40" t="s">
        <v>216</v>
      </c>
      <c r="D99" s="40" t="s">
        <v>223</v>
      </c>
      <c r="E99" s="40" t="s">
        <v>73</v>
      </c>
      <c r="F99" s="40" t="s">
        <v>71</v>
      </c>
      <c r="G99" s="38">
        <v>1</v>
      </c>
      <c r="H99" s="54">
        <v>10000</v>
      </c>
      <c r="I99" s="53">
        <v>0</v>
      </c>
      <c r="J99" s="54">
        <f t="shared" si="18"/>
        <v>10000</v>
      </c>
      <c r="K99" s="54">
        <f t="shared" si="19"/>
        <v>10000</v>
      </c>
      <c r="M99" s="45"/>
      <c r="N99" s="45"/>
      <c r="O99" s="45"/>
      <c r="P99" s="45"/>
      <c r="Q99" s="45"/>
      <c r="R99" s="45"/>
      <c r="S99" s="45"/>
      <c r="T99" s="45"/>
      <c r="U99" s="45"/>
      <c r="V99" s="45"/>
      <c r="W99" s="45"/>
      <c r="X99" s="45"/>
      <c r="Y99" s="45"/>
      <c r="Z99" s="56"/>
    </row>
    <row r="100" spans="1:26" outlineLevel="1">
      <c r="A100" s="7" t="s">
        <v>159</v>
      </c>
      <c r="B100" s="40" t="s">
        <v>406</v>
      </c>
      <c r="C100" s="40" t="s">
        <v>216</v>
      </c>
      <c r="D100" s="40" t="s">
        <v>228</v>
      </c>
      <c r="E100" s="40" t="s">
        <v>326</v>
      </c>
      <c r="F100" s="40" t="s">
        <v>62</v>
      </c>
      <c r="G100" s="38">
        <f>Q11</f>
        <v>28186.002</v>
      </c>
      <c r="H100" s="51">
        <f>AVERAGE('Comparison to Other'!H19:I19)</f>
        <v>39.311357460345036</v>
      </c>
      <c r="I100" s="53">
        <v>0</v>
      </c>
      <c r="J100" s="51">
        <f t="shared" si="18"/>
        <v>39.311357460345036</v>
      </c>
      <c r="K100" s="54">
        <f t="shared" si="19"/>
        <v>1108030.0000000002</v>
      </c>
      <c r="M100" s="45" t="s">
        <v>991</v>
      </c>
      <c r="N100" s="45"/>
      <c r="O100" s="45"/>
      <c r="P100" s="45"/>
      <c r="Q100" s="45"/>
      <c r="R100" s="45"/>
      <c r="S100" s="45"/>
      <c r="T100" s="45"/>
      <c r="U100" s="45"/>
      <c r="V100" s="45"/>
      <c r="W100" s="45"/>
      <c r="X100" s="45"/>
      <c r="Y100" s="45"/>
      <c r="Z100" s="56"/>
    </row>
    <row r="101" spans="1:26" outlineLevel="1">
      <c r="A101" s="7" t="s">
        <v>407</v>
      </c>
      <c r="B101" s="40" t="s">
        <v>406</v>
      </c>
      <c r="C101" s="40" t="s">
        <v>283</v>
      </c>
      <c r="D101" s="40" t="s">
        <v>235</v>
      </c>
      <c r="E101" s="40" t="s">
        <v>73</v>
      </c>
      <c r="F101" s="40" t="s">
        <v>71</v>
      </c>
      <c r="G101" s="38">
        <f>Q15</f>
        <v>1</v>
      </c>
      <c r="H101" s="54">
        <v>6000</v>
      </c>
      <c r="I101" s="53">
        <v>0</v>
      </c>
      <c r="J101" s="54">
        <f t="shared" si="18"/>
        <v>6000</v>
      </c>
      <c r="K101" s="54">
        <f t="shared" si="19"/>
        <v>6000</v>
      </c>
      <c r="M101" s="45"/>
      <c r="N101" s="45"/>
      <c r="O101" s="45"/>
      <c r="P101" s="45"/>
      <c r="Q101" s="45"/>
      <c r="R101" s="45"/>
      <c r="S101" s="45"/>
      <c r="T101" s="45"/>
      <c r="U101" s="45"/>
      <c r="V101" s="45"/>
      <c r="W101" s="45"/>
      <c r="X101" s="45"/>
      <c r="Y101" s="45"/>
      <c r="Z101" s="56"/>
    </row>
    <row r="102" spans="1:26" outlineLevel="1">
      <c r="A102" s="7" t="s">
        <v>408</v>
      </c>
      <c r="B102" s="40" t="s">
        <v>409</v>
      </c>
      <c r="C102" s="40" t="s">
        <v>216</v>
      </c>
      <c r="D102" s="40" t="s">
        <v>242</v>
      </c>
      <c r="E102" s="40" t="s">
        <v>231</v>
      </c>
      <c r="F102" s="40"/>
      <c r="G102" s="38"/>
      <c r="H102" s="54"/>
      <c r="I102" s="53">
        <v>0</v>
      </c>
      <c r="J102" s="54">
        <f t="shared" si="18"/>
        <v>0</v>
      </c>
      <c r="K102" s="54">
        <f t="shared" si="19"/>
        <v>0</v>
      </c>
      <c r="M102" s="45"/>
      <c r="N102" s="45"/>
      <c r="O102" s="45"/>
      <c r="P102" s="45"/>
      <c r="Q102" s="45"/>
      <c r="R102" s="45"/>
      <c r="S102" s="45"/>
      <c r="T102" s="45"/>
      <c r="U102" s="45"/>
      <c r="V102" s="45"/>
      <c r="W102" s="45"/>
      <c r="X102" s="45"/>
      <c r="Y102" s="45"/>
      <c r="Z102" s="56"/>
    </row>
    <row r="103" spans="1:26" outlineLevel="1">
      <c r="A103" s="7" t="s">
        <v>410</v>
      </c>
      <c r="B103" s="40" t="s">
        <v>411</v>
      </c>
      <c r="C103" s="40" t="s">
        <v>283</v>
      </c>
      <c r="D103" s="40" t="s">
        <v>242</v>
      </c>
      <c r="E103" s="40" t="s">
        <v>543</v>
      </c>
      <c r="F103" s="40" t="s">
        <v>71</v>
      </c>
      <c r="G103" s="38">
        <v>2</v>
      </c>
      <c r="H103" s="54">
        <v>30000</v>
      </c>
      <c r="I103" s="53">
        <v>0</v>
      </c>
      <c r="J103" s="54">
        <f t="shared" si="18"/>
        <v>30000</v>
      </c>
      <c r="K103" s="54">
        <f t="shared" si="19"/>
        <v>60000</v>
      </c>
      <c r="M103" s="45" t="s">
        <v>992</v>
      </c>
      <c r="N103" s="45"/>
      <c r="O103" s="45"/>
      <c r="P103" s="45"/>
      <c r="Q103" s="45"/>
      <c r="R103" s="45"/>
      <c r="S103" s="45"/>
      <c r="T103" s="45"/>
      <c r="U103" s="45"/>
      <c r="V103" s="45"/>
      <c r="W103" s="45"/>
      <c r="X103" s="45"/>
      <c r="Y103" s="45"/>
      <c r="Z103" s="56"/>
    </row>
    <row r="104" spans="1:26" outlineLevel="1">
      <c r="A104" s="7" t="s">
        <v>412</v>
      </c>
      <c r="B104" s="40" t="s">
        <v>413</v>
      </c>
      <c r="C104" s="40" t="s">
        <v>216</v>
      </c>
      <c r="D104" s="40" t="s">
        <v>242</v>
      </c>
      <c r="E104" s="40" t="s">
        <v>231</v>
      </c>
      <c r="F104" s="40" t="s">
        <v>71</v>
      </c>
      <c r="G104" s="38">
        <f>$Q$7</f>
        <v>1</v>
      </c>
      <c r="H104" s="54">
        <v>10000</v>
      </c>
      <c r="I104" s="53">
        <v>0</v>
      </c>
      <c r="J104" s="54">
        <f t="shared" si="18"/>
        <v>10000</v>
      </c>
      <c r="K104" s="54">
        <f t="shared" si="19"/>
        <v>10000</v>
      </c>
      <c r="M104" s="45"/>
      <c r="N104" s="45"/>
      <c r="O104" s="45"/>
      <c r="P104" s="45"/>
      <c r="Q104" s="45"/>
      <c r="R104" s="45"/>
      <c r="S104" s="45"/>
      <c r="T104" s="45"/>
      <c r="U104" s="45"/>
      <c r="V104" s="45"/>
      <c r="W104" s="45"/>
      <c r="X104" s="45"/>
      <c r="Y104" s="45"/>
      <c r="Z104" s="56"/>
    </row>
    <row r="105" spans="1:26" outlineLevel="1">
      <c r="A105" s="7" t="s">
        <v>414</v>
      </c>
      <c r="B105" s="40" t="s">
        <v>415</v>
      </c>
      <c r="C105" s="40" t="s">
        <v>216</v>
      </c>
      <c r="D105" s="40" t="s">
        <v>250</v>
      </c>
      <c r="E105" s="40" t="s">
        <v>231</v>
      </c>
      <c r="F105" s="40"/>
      <c r="G105" s="38"/>
      <c r="H105" s="54"/>
      <c r="I105" s="53">
        <v>0</v>
      </c>
      <c r="J105" s="54">
        <f t="shared" si="18"/>
        <v>0</v>
      </c>
      <c r="K105" s="54">
        <f t="shared" si="19"/>
        <v>0</v>
      </c>
      <c r="M105" s="45"/>
      <c r="N105" s="45"/>
      <c r="O105" s="45"/>
      <c r="P105" s="45"/>
      <c r="Q105" s="45"/>
      <c r="R105" s="45"/>
      <c r="S105" s="45"/>
      <c r="T105" s="45"/>
      <c r="U105" s="45"/>
      <c r="V105" s="45"/>
      <c r="W105" s="45"/>
      <c r="X105" s="45"/>
      <c r="Y105" s="45"/>
      <c r="Z105" s="56"/>
    </row>
    <row r="106" spans="1:26" outlineLevel="1">
      <c r="A106" s="7" t="s">
        <v>416</v>
      </c>
      <c r="B106" s="201" t="s">
        <v>406</v>
      </c>
      <c r="C106" s="40" t="s">
        <v>283</v>
      </c>
      <c r="D106" s="40" t="s">
        <v>228</v>
      </c>
      <c r="E106" s="40" t="s">
        <v>73</v>
      </c>
      <c r="F106" s="40" t="s">
        <v>71</v>
      </c>
      <c r="G106" s="38">
        <v>1</v>
      </c>
      <c r="H106" s="54">
        <v>7500</v>
      </c>
      <c r="I106" s="53">
        <v>0</v>
      </c>
      <c r="J106" s="54">
        <f t="shared" si="18"/>
        <v>7500</v>
      </c>
      <c r="K106" s="54">
        <f t="shared" si="19"/>
        <v>7500</v>
      </c>
      <c r="M106" s="45"/>
      <c r="N106" s="45"/>
      <c r="O106" s="45"/>
      <c r="P106" s="45"/>
      <c r="Q106" s="45"/>
      <c r="R106" s="45"/>
      <c r="S106" s="45"/>
      <c r="T106" s="45"/>
      <c r="U106" s="45"/>
      <c r="V106" s="45"/>
      <c r="W106" s="45"/>
      <c r="X106" s="45"/>
      <c r="Y106" s="45"/>
      <c r="Z106" s="56"/>
    </row>
    <row r="107" spans="1:26" outlineLevel="1">
      <c r="A107" s="7" t="s">
        <v>417</v>
      </c>
      <c r="B107" s="40" t="s">
        <v>418</v>
      </c>
      <c r="C107" s="40" t="s">
        <v>216</v>
      </c>
      <c r="D107" s="40" t="s">
        <v>228</v>
      </c>
      <c r="E107" s="206" t="s">
        <v>326</v>
      </c>
      <c r="F107" s="40" t="s">
        <v>61</v>
      </c>
      <c r="G107" s="38">
        <f t="shared" ref="G107" si="21">$B$8</f>
        <v>422635</v>
      </c>
      <c r="H107" s="51">
        <f>'Comparison to Other'!K11</f>
        <v>7.6967217575449256</v>
      </c>
      <c r="I107" s="53">
        <v>0</v>
      </c>
      <c r="J107" s="51">
        <f t="shared" si="18"/>
        <v>7.6967217575449256</v>
      </c>
      <c r="K107" s="210">
        <f t="shared" si="19"/>
        <v>3252903.9999999995</v>
      </c>
      <c r="M107" s="596" t="s">
        <v>985</v>
      </c>
      <c r="N107" s="596"/>
      <c r="O107" s="596"/>
      <c r="P107" s="596"/>
      <c r="Q107" s="596"/>
      <c r="R107" s="596"/>
      <c r="S107" s="596"/>
      <c r="T107" s="596"/>
      <c r="U107" s="596"/>
      <c r="V107" s="596"/>
      <c r="W107" s="596"/>
      <c r="X107" s="596"/>
      <c r="Y107" s="596"/>
      <c r="Z107" s="56"/>
    </row>
    <row r="108" spans="1:26" outlineLevel="1">
      <c r="A108" s="7" t="s">
        <v>420</v>
      </c>
      <c r="B108" s="40" t="s">
        <v>418</v>
      </c>
      <c r="C108" s="40" t="s">
        <v>216</v>
      </c>
      <c r="D108" s="40" t="s">
        <v>235</v>
      </c>
      <c r="E108" s="206" t="s">
        <v>73</v>
      </c>
      <c r="F108" s="40" t="s">
        <v>71</v>
      </c>
      <c r="G108" s="38">
        <v>1</v>
      </c>
      <c r="H108" s="54">
        <v>2000</v>
      </c>
      <c r="I108" s="53">
        <v>0</v>
      </c>
      <c r="J108" s="54">
        <f t="shared" si="18"/>
        <v>2000</v>
      </c>
      <c r="K108" s="210">
        <f t="shared" si="19"/>
        <v>2000</v>
      </c>
      <c r="M108" s="596"/>
      <c r="N108" s="45"/>
      <c r="O108" s="45"/>
      <c r="P108" s="45"/>
      <c r="Q108" s="45"/>
      <c r="R108" s="45"/>
      <c r="S108" s="45"/>
      <c r="T108" s="45"/>
      <c r="U108" s="45"/>
      <c r="V108" s="45"/>
      <c r="W108" s="45"/>
      <c r="X108" s="45"/>
      <c r="Y108" s="45"/>
      <c r="Z108" s="56"/>
    </row>
    <row r="109" spans="1:26" outlineLevel="1">
      <c r="A109" s="7" t="s">
        <v>421</v>
      </c>
      <c r="B109" s="201" t="s">
        <v>418</v>
      </c>
      <c r="C109" s="40" t="s">
        <v>283</v>
      </c>
      <c r="D109" s="40" t="s">
        <v>228</v>
      </c>
      <c r="E109" s="40" t="s">
        <v>73</v>
      </c>
      <c r="F109" s="40" t="s">
        <v>403</v>
      </c>
      <c r="G109" s="42">
        <f>$E$8</f>
        <v>390</v>
      </c>
      <c r="H109" s="54">
        <v>85</v>
      </c>
      <c r="I109" s="53">
        <v>0</v>
      </c>
      <c r="J109" s="54">
        <f t="shared" si="18"/>
        <v>85</v>
      </c>
      <c r="K109" s="54">
        <f t="shared" si="19"/>
        <v>33150</v>
      </c>
      <c r="M109" s="45"/>
      <c r="N109" s="45"/>
      <c r="O109" s="45"/>
      <c r="P109" s="45"/>
      <c r="Q109" s="45"/>
      <c r="R109" s="45"/>
      <c r="S109" s="45"/>
      <c r="T109" s="45"/>
      <c r="U109" s="45"/>
      <c r="V109" s="45"/>
      <c r="W109" s="45"/>
      <c r="X109" s="45"/>
      <c r="Y109" s="45"/>
      <c r="Z109" s="56"/>
    </row>
    <row r="110" spans="1:26" outlineLevel="1">
      <c r="A110" s="7" t="s">
        <v>422</v>
      </c>
      <c r="B110" s="40" t="s">
        <v>423</v>
      </c>
      <c r="C110" s="40" t="s">
        <v>216</v>
      </c>
      <c r="D110" s="40" t="s">
        <v>228</v>
      </c>
      <c r="E110" s="40" t="s">
        <v>231</v>
      </c>
      <c r="F110" s="40"/>
      <c r="G110" s="38"/>
      <c r="H110" s="54"/>
      <c r="I110" s="53">
        <v>0</v>
      </c>
      <c r="J110" s="54">
        <f t="shared" si="18"/>
        <v>0</v>
      </c>
      <c r="K110" s="54">
        <f t="shared" si="19"/>
        <v>0</v>
      </c>
      <c r="M110" s="45"/>
      <c r="N110" s="45"/>
      <c r="O110" s="45"/>
      <c r="P110" s="45"/>
      <c r="Q110" s="45"/>
      <c r="R110" s="45"/>
      <c r="S110" s="45"/>
      <c r="T110" s="45"/>
      <c r="U110" s="45"/>
      <c r="V110" s="45"/>
      <c r="W110" s="45"/>
      <c r="X110" s="45"/>
      <c r="Y110" s="45"/>
      <c r="Z110" s="56"/>
    </row>
    <row r="111" spans="1:26" outlineLevel="1">
      <c r="A111" s="7" t="s">
        <v>424</v>
      </c>
      <c r="B111" s="40" t="s">
        <v>425</v>
      </c>
      <c r="C111" s="40" t="s">
        <v>216</v>
      </c>
      <c r="D111" s="40" t="s">
        <v>303</v>
      </c>
      <c r="E111" s="40" t="s">
        <v>239</v>
      </c>
      <c r="F111" s="40" t="s">
        <v>403</v>
      </c>
      <c r="G111" s="42">
        <f>J3+J5</f>
        <v>342</v>
      </c>
      <c r="H111" s="54">
        <f>(30767.5+4315.5+2125+3618.75+32337.5+5985)/194</f>
        <v>407.98582474226805</v>
      </c>
      <c r="I111" s="53">
        <v>0</v>
      </c>
      <c r="J111" s="54">
        <f t="shared" si="18"/>
        <v>407.98582474226805</v>
      </c>
      <c r="K111" s="54">
        <f t="shared" si="19"/>
        <v>139531.15206185568</v>
      </c>
      <c r="L111" s="194"/>
      <c r="M111" s="45" t="s">
        <v>993</v>
      </c>
      <c r="N111" s="45"/>
      <c r="O111" s="45"/>
      <c r="P111" s="45"/>
      <c r="Q111" s="45"/>
      <c r="R111" s="45"/>
      <c r="S111" s="45"/>
      <c r="T111" s="45"/>
      <c r="U111" s="45"/>
      <c r="V111" s="45"/>
      <c r="W111" s="45"/>
      <c r="X111" s="45"/>
      <c r="Y111" s="45"/>
      <c r="Z111" s="56"/>
    </row>
    <row r="112" spans="1:26" outlineLevel="1">
      <c r="A112" s="7" t="s">
        <v>427</v>
      </c>
      <c r="B112" s="40" t="s">
        <v>428</v>
      </c>
      <c r="C112" s="40" t="s">
        <v>216</v>
      </c>
      <c r="D112" s="40" t="s">
        <v>228</v>
      </c>
      <c r="E112" s="40" t="s">
        <v>231</v>
      </c>
      <c r="F112" s="40"/>
      <c r="G112" s="38"/>
      <c r="H112" s="54"/>
      <c r="I112" s="53">
        <v>0</v>
      </c>
      <c r="J112" s="54">
        <f t="shared" si="18"/>
        <v>0</v>
      </c>
      <c r="K112" s="54">
        <f t="shared" si="19"/>
        <v>0</v>
      </c>
      <c r="M112" s="45"/>
      <c r="N112" s="45"/>
      <c r="O112" s="45"/>
      <c r="P112" s="45"/>
      <c r="Q112" s="45"/>
      <c r="R112" s="45"/>
      <c r="S112" s="45"/>
      <c r="T112" s="45"/>
      <c r="U112" s="45"/>
      <c r="V112" s="45"/>
      <c r="W112" s="45"/>
      <c r="X112" s="45"/>
      <c r="Y112" s="45"/>
      <c r="Z112" s="56"/>
    </row>
    <row r="113" spans="1:26" outlineLevel="1">
      <c r="A113" s="7" t="s">
        <v>429</v>
      </c>
      <c r="B113" s="40" t="s">
        <v>430</v>
      </c>
      <c r="C113" s="40" t="s">
        <v>216</v>
      </c>
      <c r="D113" s="40" t="s">
        <v>242</v>
      </c>
      <c r="E113" s="40" t="s">
        <v>73</v>
      </c>
      <c r="F113" s="40" t="s">
        <v>71</v>
      </c>
      <c r="G113" s="38">
        <v>1</v>
      </c>
      <c r="H113" s="54">
        <v>50000</v>
      </c>
      <c r="I113" s="53">
        <v>0</v>
      </c>
      <c r="J113" s="54">
        <f t="shared" si="18"/>
        <v>50000</v>
      </c>
      <c r="K113" s="54">
        <f t="shared" si="19"/>
        <v>50000</v>
      </c>
      <c r="M113" s="45" t="s">
        <v>994</v>
      </c>
      <c r="N113" s="45"/>
      <c r="O113" s="45"/>
      <c r="P113" s="45"/>
      <c r="Q113" s="45"/>
      <c r="R113" s="45"/>
      <c r="S113" s="45"/>
      <c r="T113" s="45"/>
      <c r="U113" s="45"/>
      <c r="V113" s="45"/>
      <c r="W113" s="45"/>
      <c r="X113" s="45"/>
      <c r="Y113" s="45"/>
      <c r="Z113" s="56"/>
    </row>
    <row r="114" spans="1:26" s="781" customFormat="1" outlineLevel="1">
      <c r="A114" s="7" t="s">
        <v>431</v>
      </c>
      <c r="B114" s="40" t="s">
        <v>432</v>
      </c>
      <c r="C114" s="40" t="s">
        <v>216</v>
      </c>
      <c r="D114" s="40" t="s">
        <v>228</v>
      </c>
      <c r="E114" s="40" t="s">
        <v>239</v>
      </c>
      <c r="F114" s="40" t="s">
        <v>62</v>
      </c>
      <c r="G114" s="38">
        <f>Q12/9</f>
        <v>36652.555555555555</v>
      </c>
      <c r="H114" s="51">
        <f>1.9*9</f>
        <v>17.099999999999998</v>
      </c>
      <c r="I114" s="53">
        <v>0</v>
      </c>
      <c r="J114" s="51">
        <f t="shared" si="18"/>
        <v>17.099999999999998</v>
      </c>
      <c r="K114" s="54">
        <f t="shared" si="19"/>
        <v>626758.69999999995</v>
      </c>
      <c r="M114" s="782"/>
      <c r="N114" s="782"/>
      <c r="O114" s="782"/>
      <c r="P114" s="782"/>
      <c r="Q114" s="782"/>
      <c r="R114" s="782"/>
      <c r="S114" s="782"/>
      <c r="T114" s="782"/>
      <c r="U114" s="782"/>
      <c r="V114" s="782"/>
      <c r="W114" s="782"/>
      <c r="X114" s="782"/>
      <c r="Y114" s="782"/>
      <c r="Z114" s="783"/>
    </row>
    <row r="115" spans="1:26" outlineLevel="1">
      <c r="A115" s="7" t="s">
        <v>435</v>
      </c>
      <c r="B115" s="40" t="s">
        <v>436</v>
      </c>
      <c r="C115" s="40" t="s">
        <v>216</v>
      </c>
      <c r="D115" s="40" t="s">
        <v>303</v>
      </c>
      <c r="E115" s="40"/>
      <c r="F115" s="40"/>
      <c r="G115" s="38">
        <v>0</v>
      </c>
      <c r="H115" s="54">
        <v>30184</v>
      </c>
      <c r="I115" s="53">
        <v>0</v>
      </c>
      <c r="J115" s="54">
        <f t="shared" si="18"/>
        <v>30184</v>
      </c>
      <c r="K115" s="54">
        <f t="shared" si="19"/>
        <v>0</v>
      </c>
      <c r="M115" s="45"/>
      <c r="N115" s="45"/>
      <c r="O115" s="45"/>
      <c r="P115" s="45"/>
      <c r="Q115" s="45"/>
      <c r="R115" s="45"/>
      <c r="S115" s="45"/>
      <c r="T115" s="45"/>
      <c r="U115" s="45"/>
      <c r="V115" s="45"/>
      <c r="W115" s="45"/>
      <c r="X115" s="45"/>
      <c r="Y115" s="45"/>
      <c r="Z115" s="56"/>
    </row>
    <row r="116" spans="1:26" outlineLevel="1">
      <c r="A116" s="7" t="s">
        <v>437</v>
      </c>
      <c r="B116" s="40" t="s">
        <v>438</v>
      </c>
      <c r="C116" s="40" t="s">
        <v>216</v>
      </c>
      <c r="D116" s="40" t="s">
        <v>303</v>
      </c>
      <c r="E116" s="40"/>
      <c r="F116" s="40"/>
      <c r="G116" s="38">
        <v>0</v>
      </c>
      <c r="H116" s="54">
        <v>1994</v>
      </c>
      <c r="I116" s="53">
        <v>0</v>
      </c>
      <c r="J116" s="54">
        <f t="shared" si="18"/>
        <v>1994</v>
      </c>
      <c r="K116" s="54">
        <f t="shared" si="19"/>
        <v>0</v>
      </c>
      <c r="M116" s="45"/>
      <c r="N116" s="45"/>
      <c r="O116" s="45"/>
      <c r="P116" s="45"/>
      <c r="Q116" s="45"/>
      <c r="R116" s="45"/>
      <c r="S116" s="45"/>
      <c r="T116" s="45"/>
      <c r="U116" s="45"/>
      <c r="V116" s="45"/>
      <c r="W116" s="45"/>
      <c r="X116" s="45"/>
      <c r="Y116" s="45"/>
      <c r="Z116" s="56"/>
    </row>
    <row r="117" spans="1:26" outlineLevel="1">
      <c r="A117" s="7" t="s">
        <v>439</v>
      </c>
      <c r="B117" s="40" t="s">
        <v>440</v>
      </c>
      <c r="C117" s="40" t="s">
        <v>216</v>
      </c>
      <c r="D117" s="40" t="s">
        <v>303</v>
      </c>
      <c r="E117" s="40" t="s">
        <v>239</v>
      </c>
      <c r="F117" s="40" t="s">
        <v>88</v>
      </c>
      <c r="G117" s="38">
        <f>E8</f>
        <v>390</v>
      </c>
      <c r="H117" s="54">
        <v>750</v>
      </c>
      <c r="I117" s="53">
        <v>0</v>
      </c>
      <c r="J117" s="51">
        <f t="shared" si="18"/>
        <v>750</v>
      </c>
      <c r="K117" s="54">
        <f t="shared" si="19"/>
        <v>292500</v>
      </c>
      <c r="L117" s="781"/>
      <c r="M117" s="782" t="s">
        <v>995</v>
      </c>
      <c r="N117" s="782"/>
      <c r="O117" s="782"/>
      <c r="P117" s="782"/>
      <c r="Q117" s="782"/>
      <c r="R117" s="782"/>
      <c r="S117" s="782"/>
      <c r="T117" s="782"/>
      <c r="U117" s="782"/>
      <c r="V117" s="782"/>
      <c r="W117" s="782"/>
      <c r="X117" s="782"/>
      <c r="Y117" s="782"/>
      <c r="Z117" s="56"/>
    </row>
    <row r="118" spans="1:26" outlineLevel="1">
      <c r="A118" s="7" t="s">
        <v>441</v>
      </c>
      <c r="B118" s="201" t="s">
        <v>440</v>
      </c>
      <c r="C118" s="40" t="s">
        <v>283</v>
      </c>
      <c r="D118" s="40" t="s">
        <v>303</v>
      </c>
      <c r="E118" s="40" t="s">
        <v>73</v>
      </c>
      <c r="F118" s="40" t="s">
        <v>108</v>
      </c>
      <c r="G118" s="38">
        <f>Q3</f>
        <v>4</v>
      </c>
      <c r="H118" s="54">
        <v>1000</v>
      </c>
      <c r="I118" s="53">
        <v>0</v>
      </c>
      <c r="J118" s="54">
        <f t="shared" si="18"/>
        <v>1000</v>
      </c>
      <c r="K118" s="54">
        <f t="shared" si="19"/>
        <v>4000</v>
      </c>
      <c r="M118" s="45"/>
      <c r="N118" s="45"/>
      <c r="O118" s="45"/>
      <c r="P118" s="45"/>
      <c r="Q118" s="45"/>
      <c r="R118" s="45"/>
      <c r="S118" s="45"/>
      <c r="T118" s="45"/>
      <c r="U118" s="45"/>
      <c r="V118" s="45"/>
      <c r="W118" s="45"/>
      <c r="X118" s="45"/>
      <c r="Y118" s="45"/>
      <c r="Z118" s="56"/>
    </row>
    <row r="119" spans="1:26" outlineLevel="1">
      <c r="A119" s="7" t="s">
        <v>442</v>
      </c>
      <c r="B119" s="40" t="s">
        <v>443</v>
      </c>
      <c r="C119" s="40" t="s">
        <v>216</v>
      </c>
      <c r="D119" s="40" t="s">
        <v>303</v>
      </c>
      <c r="E119" s="40"/>
      <c r="F119" s="40"/>
      <c r="G119" s="38"/>
      <c r="H119" s="54">
        <v>750</v>
      </c>
      <c r="I119" s="53">
        <v>0</v>
      </c>
      <c r="J119" s="51">
        <f t="shared" si="18"/>
        <v>750</v>
      </c>
      <c r="K119" s="54">
        <f t="shared" si="19"/>
        <v>0</v>
      </c>
      <c r="M119" s="45"/>
      <c r="N119" s="45"/>
      <c r="O119" s="45"/>
      <c r="P119" s="45"/>
      <c r="Q119" s="45"/>
      <c r="R119" s="45"/>
      <c r="S119" s="45"/>
      <c r="T119" s="45"/>
      <c r="U119" s="45"/>
      <c r="V119" s="45"/>
      <c r="W119" s="45"/>
      <c r="X119" s="45"/>
      <c r="Y119" s="45"/>
      <c r="Z119" s="56"/>
    </row>
    <row r="120" spans="1:26" outlineLevel="1">
      <c r="A120" s="7" t="s">
        <v>444</v>
      </c>
      <c r="B120" s="40" t="s">
        <v>445</v>
      </c>
      <c r="C120" s="40" t="s">
        <v>216</v>
      </c>
      <c r="D120" s="40" t="s">
        <v>303</v>
      </c>
      <c r="E120" s="40"/>
      <c r="F120" s="40" t="s">
        <v>61</v>
      </c>
      <c r="G120" s="38">
        <v>0</v>
      </c>
      <c r="H120" s="54">
        <v>0.182</v>
      </c>
      <c r="I120" s="53">
        <v>0</v>
      </c>
      <c r="J120" s="51">
        <f t="shared" si="18"/>
        <v>0.182</v>
      </c>
      <c r="K120" s="54">
        <f t="shared" si="19"/>
        <v>0</v>
      </c>
      <c r="M120" s="45"/>
      <c r="N120" s="45"/>
      <c r="O120" s="45"/>
      <c r="P120" s="45"/>
      <c r="Q120" s="45"/>
      <c r="R120" s="45"/>
      <c r="S120" s="45"/>
      <c r="T120" s="45"/>
      <c r="U120" s="45"/>
      <c r="V120" s="45"/>
      <c r="W120" s="45"/>
      <c r="X120" s="45"/>
      <c r="Y120" s="45"/>
      <c r="Z120" s="56"/>
    </row>
    <row r="121" spans="1:26" outlineLevel="1">
      <c r="A121" s="7" t="s">
        <v>446</v>
      </c>
      <c r="B121" s="40" t="s">
        <v>447</v>
      </c>
      <c r="C121" s="40" t="s">
        <v>216</v>
      </c>
      <c r="D121" s="40" t="s">
        <v>303</v>
      </c>
      <c r="E121" s="40" t="s">
        <v>239</v>
      </c>
      <c r="F121" s="40" t="s">
        <v>61</v>
      </c>
      <c r="G121" s="38">
        <f>1140*Q8</f>
        <v>2280</v>
      </c>
      <c r="H121" s="54">
        <v>19.54</v>
      </c>
      <c r="I121" s="53">
        <v>0</v>
      </c>
      <c r="J121" s="51">
        <f t="shared" si="18"/>
        <v>19.54</v>
      </c>
      <c r="K121" s="54">
        <f t="shared" si="19"/>
        <v>44551.199999999997</v>
      </c>
      <c r="M121" s="45"/>
      <c r="N121" s="45"/>
      <c r="O121" s="45"/>
      <c r="P121" s="45"/>
      <c r="Q121" s="45"/>
      <c r="R121" s="45"/>
      <c r="S121" s="45"/>
      <c r="T121" s="45"/>
      <c r="U121" s="45"/>
      <c r="V121" s="45"/>
      <c r="W121" s="45"/>
      <c r="X121" s="45"/>
      <c r="Y121" s="45"/>
      <c r="Z121" s="56"/>
    </row>
    <row r="122" spans="1:26" outlineLevel="1">
      <c r="A122" s="7" t="s">
        <v>448</v>
      </c>
      <c r="B122" s="40" t="s">
        <v>449</v>
      </c>
      <c r="C122" s="40" t="s">
        <v>216</v>
      </c>
      <c r="D122" s="40" t="s">
        <v>303</v>
      </c>
      <c r="E122" s="40" t="s">
        <v>44</v>
      </c>
      <c r="F122" s="40" t="s">
        <v>450</v>
      </c>
      <c r="G122" s="38">
        <f>8+6*3+7*3</f>
        <v>47</v>
      </c>
      <c r="H122" s="54">
        <v>1500</v>
      </c>
      <c r="I122" s="53">
        <v>0</v>
      </c>
      <c r="J122" s="54">
        <f t="shared" si="18"/>
        <v>1500</v>
      </c>
      <c r="K122" s="54">
        <f t="shared" si="19"/>
        <v>70500</v>
      </c>
      <c r="M122" s="45"/>
      <c r="N122" s="45"/>
      <c r="O122" s="45"/>
      <c r="P122" s="45"/>
      <c r="Q122" s="45"/>
      <c r="R122" s="45"/>
      <c r="S122" s="45"/>
      <c r="T122" s="45"/>
      <c r="U122" s="45"/>
      <c r="V122" s="45"/>
      <c r="W122" s="45"/>
      <c r="X122" s="45"/>
      <c r="Y122" s="45"/>
      <c r="Z122" s="56"/>
    </row>
    <row r="123" spans="1:26" s="764" customFormat="1" outlineLevel="1">
      <c r="A123" s="7" t="s">
        <v>451</v>
      </c>
      <c r="B123" s="40" t="s">
        <v>452</v>
      </c>
      <c r="C123" s="40" t="s">
        <v>216</v>
      </c>
      <c r="D123" s="40" t="s">
        <v>303</v>
      </c>
      <c r="E123" s="40" t="s">
        <v>73</v>
      </c>
      <c r="F123" s="40" t="s">
        <v>88</v>
      </c>
      <c r="G123" s="42">
        <f t="shared" ref="G123:G124" si="22">$E$8</f>
        <v>390</v>
      </c>
      <c r="H123" s="54">
        <v>50</v>
      </c>
      <c r="I123" s="53">
        <v>0</v>
      </c>
      <c r="J123" s="54">
        <f t="shared" si="18"/>
        <v>50</v>
      </c>
      <c r="K123" s="54">
        <f t="shared" si="19"/>
        <v>19500</v>
      </c>
      <c r="M123" s="597"/>
      <c r="N123" s="597"/>
      <c r="O123" s="597"/>
      <c r="P123" s="597"/>
      <c r="Q123" s="597"/>
      <c r="R123" s="597"/>
      <c r="S123" s="597"/>
      <c r="T123" s="597"/>
      <c r="U123" s="597"/>
      <c r="V123" s="597"/>
      <c r="W123" s="597"/>
      <c r="X123" s="597"/>
      <c r="Y123" s="597"/>
      <c r="Z123" s="836"/>
    </row>
    <row r="124" spans="1:26" s="764" customFormat="1" outlineLevel="1">
      <c r="A124" s="7" t="s">
        <v>453</v>
      </c>
      <c r="B124" s="40" t="s">
        <v>454</v>
      </c>
      <c r="C124" s="40" t="s">
        <v>216</v>
      </c>
      <c r="D124" s="40" t="s">
        <v>303</v>
      </c>
      <c r="E124" s="40" t="s">
        <v>73</v>
      </c>
      <c r="F124" s="40" t="s">
        <v>88</v>
      </c>
      <c r="G124" s="42">
        <f t="shared" si="22"/>
        <v>390</v>
      </c>
      <c r="H124" s="54">
        <v>150</v>
      </c>
      <c r="I124" s="53">
        <v>0</v>
      </c>
      <c r="J124" s="54">
        <f t="shared" si="18"/>
        <v>150</v>
      </c>
      <c r="K124" s="54">
        <f t="shared" si="19"/>
        <v>58500</v>
      </c>
      <c r="M124" s="597"/>
      <c r="N124" s="597"/>
      <c r="O124" s="597"/>
      <c r="P124" s="597"/>
      <c r="Q124" s="597"/>
      <c r="R124" s="597"/>
      <c r="S124" s="597"/>
      <c r="T124" s="597"/>
      <c r="U124" s="597"/>
      <c r="V124" s="597"/>
      <c r="W124" s="597"/>
      <c r="X124" s="597"/>
      <c r="Y124" s="597"/>
      <c r="Z124" s="836"/>
    </row>
    <row r="125" spans="1:26" outlineLevel="1">
      <c r="A125" s="7" t="s">
        <v>455</v>
      </c>
      <c r="B125" s="201" t="s">
        <v>456</v>
      </c>
      <c r="C125" s="40" t="s">
        <v>283</v>
      </c>
      <c r="D125" s="40" t="s">
        <v>228</v>
      </c>
      <c r="E125" s="40" t="s">
        <v>73</v>
      </c>
      <c r="F125" s="40" t="s">
        <v>403</v>
      </c>
      <c r="G125" s="42">
        <f>$E$8</f>
        <v>390</v>
      </c>
      <c r="H125" s="54">
        <v>85</v>
      </c>
      <c r="I125" s="53">
        <v>0</v>
      </c>
      <c r="J125" s="54">
        <f t="shared" si="18"/>
        <v>85</v>
      </c>
      <c r="K125" s="54">
        <f t="shared" si="19"/>
        <v>33150</v>
      </c>
      <c r="M125" s="45"/>
      <c r="N125" s="45"/>
      <c r="O125" s="45"/>
      <c r="P125" s="45"/>
      <c r="Q125" s="45"/>
      <c r="R125" s="45"/>
      <c r="S125" s="45"/>
      <c r="T125" s="45"/>
      <c r="U125" s="45"/>
      <c r="V125" s="45"/>
      <c r="W125" s="45"/>
      <c r="X125" s="45"/>
      <c r="Y125" s="45"/>
      <c r="Z125" s="56"/>
    </row>
    <row r="126" spans="1:26" outlineLevel="1">
      <c r="A126" s="7" t="s">
        <v>457</v>
      </c>
      <c r="B126" s="40" t="s">
        <v>456</v>
      </c>
      <c r="C126" s="40" t="s">
        <v>216</v>
      </c>
      <c r="D126" s="40" t="s">
        <v>228</v>
      </c>
      <c r="E126" s="40" t="s">
        <v>239</v>
      </c>
      <c r="F126" s="40" t="s">
        <v>61</v>
      </c>
      <c r="G126" s="38">
        <f t="shared" ref="G126" si="23">$B$8</f>
        <v>422635</v>
      </c>
      <c r="H126" s="54">
        <v>1.92</v>
      </c>
      <c r="I126" s="53">
        <v>0</v>
      </c>
      <c r="J126" s="51">
        <f t="shared" si="18"/>
        <v>1.92</v>
      </c>
      <c r="K126" s="54">
        <f t="shared" si="19"/>
        <v>811459.2</v>
      </c>
      <c r="M126" s="782"/>
      <c r="N126" s="45"/>
      <c r="O126" s="45"/>
      <c r="P126" s="45"/>
      <c r="Q126" s="45"/>
      <c r="R126" s="45"/>
      <c r="S126" s="45"/>
      <c r="T126" s="45"/>
      <c r="U126" s="45"/>
      <c r="V126" s="45"/>
      <c r="W126" s="45"/>
      <c r="X126" s="45"/>
      <c r="Y126" s="45"/>
      <c r="Z126" s="56"/>
    </row>
    <row r="127" spans="1:26" outlineLevel="1">
      <c r="A127" s="7" t="s">
        <v>459</v>
      </c>
      <c r="B127" s="40" t="s">
        <v>456</v>
      </c>
      <c r="C127" s="40" t="s">
        <v>216</v>
      </c>
      <c r="D127" s="40" t="s">
        <v>235</v>
      </c>
      <c r="E127" s="40" t="s">
        <v>73</v>
      </c>
      <c r="F127" s="40" t="s">
        <v>71</v>
      </c>
      <c r="G127" s="38">
        <v>1</v>
      </c>
      <c r="H127" s="54">
        <v>2000</v>
      </c>
      <c r="I127" s="53">
        <v>0</v>
      </c>
      <c r="J127" s="54">
        <f t="shared" si="18"/>
        <v>2000</v>
      </c>
      <c r="K127" s="54">
        <f t="shared" si="19"/>
        <v>2000</v>
      </c>
      <c r="M127" s="596"/>
      <c r="N127" s="45"/>
      <c r="O127" s="45"/>
      <c r="P127" s="45"/>
      <c r="Q127" s="45"/>
      <c r="R127" s="45"/>
      <c r="S127" s="45"/>
      <c r="T127" s="45"/>
      <c r="U127" s="45"/>
      <c r="V127" s="45"/>
      <c r="W127" s="45"/>
      <c r="X127" s="45"/>
      <c r="Y127" s="45"/>
      <c r="Z127" s="56"/>
    </row>
    <row r="128" spans="1:26" outlineLevel="1">
      <c r="A128" s="7" t="s">
        <v>460</v>
      </c>
      <c r="B128" s="40" t="s">
        <v>461</v>
      </c>
      <c r="C128" s="40" t="s">
        <v>216</v>
      </c>
      <c r="D128" s="40" t="s">
        <v>228</v>
      </c>
      <c r="E128" s="40" t="s">
        <v>231</v>
      </c>
      <c r="F128" s="40"/>
      <c r="G128" s="38"/>
      <c r="H128" s="54">
        <v>0</v>
      </c>
      <c r="I128" s="53">
        <v>0</v>
      </c>
      <c r="J128" s="54">
        <f t="shared" si="18"/>
        <v>0</v>
      </c>
      <c r="K128" s="54">
        <f t="shared" si="19"/>
        <v>0</v>
      </c>
      <c r="M128" s="45"/>
      <c r="N128" s="45"/>
      <c r="O128" s="45"/>
      <c r="P128" s="45"/>
      <c r="Q128" s="45"/>
      <c r="R128" s="45"/>
      <c r="S128" s="45"/>
      <c r="T128" s="45"/>
      <c r="U128" s="45"/>
      <c r="V128" s="45"/>
      <c r="W128" s="45"/>
      <c r="X128" s="45"/>
      <c r="Y128" s="45"/>
      <c r="Z128" s="56"/>
    </row>
    <row r="129" spans="1:26" outlineLevel="1">
      <c r="A129" s="7" t="s">
        <v>462</v>
      </c>
      <c r="B129" s="40" t="s">
        <v>463</v>
      </c>
      <c r="C129" s="40" t="s">
        <v>216</v>
      </c>
      <c r="D129" s="40" t="s">
        <v>242</v>
      </c>
      <c r="E129" s="40" t="s">
        <v>543</v>
      </c>
      <c r="F129" s="40" t="s">
        <v>71</v>
      </c>
      <c r="G129" s="38">
        <v>2</v>
      </c>
      <c r="H129" s="54">
        <v>6000</v>
      </c>
      <c r="I129" s="53">
        <v>0</v>
      </c>
      <c r="J129" s="54">
        <f t="shared" si="18"/>
        <v>6000</v>
      </c>
      <c r="K129" s="54">
        <f t="shared" si="19"/>
        <v>12000</v>
      </c>
      <c r="M129" s="45"/>
      <c r="N129" s="45"/>
      <c r="O129" s="45"/>
      <c r="P129" s="45"/>
      <c r="Q129" s="45"/>
      <c r="R129" s="45"/>
      <c r="S129" s="45"/>
      <c r="T129" s="45"/>
      <c r="U129" s="45"/>
      <c r="V129" s="45"/>
      <c r="W129" s="45"/>
      <c r="X129" s="45"/>
      <c r="Y129" s="45"/>
      <c r="Z129" s="56"/>
    </row>
    <row r="130" spans="1:26" outlineLevel="1">
      <c r="A130" s="7" t="s">
        <v>464</v>
      </c>
      <c r="B130" s="40" t="s">
        <v>465</v>
      </c>
      <c r="C130" s="40" t="s">
        <v>216</v>
      </c>
      <c r="D130" s="40" t="s">
        <v>303</v>
      </c>
      <c r="E130" s="40" t="s">
        <v>239</v>
      </c>
      <c r="F130" s="40" t="s">
        <v>61</v>
      </c>
      <c r="G130" s="38">
        <f>B8</f>
        <v>422635</v>
      </c>
      <c r="H130" s="51">
        <f>25000/'Comparison to Other'!M4</f>
        <v>0.12736322463306654</v>
      </c>
      <c r="I130" s="53">
        <v>0</v>
      </c>
      <c r="J130" s="54">
        <f t="shared" si="18"/>
        <v>0.12736322463306654</v>
      </c>
      <c r="K130" s="54">
        <f t="shared" si="19"/>
        <v>53828.156442796077</v>
      </c>
      <c r="M130" s="45"/>
      <c r="N130" s="45"/>
      <c r="O130" s="45"/>
      <c r="P130" s="45"/>
      <c r="Q130" s="45"/>
      <c r="R130" s="45"/>
      <c r="S130" s="45"/>
      <c r="T130" s="45"/>
      <c r="U130" s="45"/>
      <c r="V130" s="45"/>
      <c r="W130" s="45"/>
      <c r="X130" s="45"/>
      <c r="Y130" s="45"/>
      <c r="Z130" s="56"/>
    </row>
    <row r="131" spans="1:26" outlineLevel="1">
      <c r="A131" s="6" t="s">
        <v>466</v>
      </c>
      <c r="B131" s="47" t="s">
        <v>465</v>
      </c>
      <c r="C131" s="47" t="s">
        <v>216</v>
      </c>
      <c r="D131" s="47" t="s">
        <v>303</v>
      </c>
      <c r="E131" s="47" t="s">
        <v>73</v>
      </c>
      <c r="F131" s="47" t="s">
        <v>71</v>
      </c>
      <c r="G131" s="47">
        <v>1</v>
      </c>
      <c r="H131" s="54">
        <v>5000</v>
      </c>
      <c r="I131" s="63">
        <v>0</v>
      </c>
      <c r="J131" s="67">
        <f t="shared" si="18"/>
        <v>5000</v>
      </c>
      <c r="K131" s="67">
        <f t="shared" si="19"/>
        <v>5000</v>
      </c>
      <c r="M131" s="45"/>
      <c r="N131" s="45"/>
      <c r="O131" s="45"/>
      <c r="P131" s="45"/>
      <c r="Q131" s="45"/>
      <c r="R131" s="45"/>
      <c r="S131" s="45"/>
      <c r="T131" s="45"/>
      <c r="U131" s="45"/>
      <c r="V131" s="45"/>
      <c r="W131" s="45"/>
      <c r="X131" s="45"/>
      <c r="Y131" s="45"/>
      <c r="Z131" s="56"/>
    </row>
    <row r="132" spans="1:26">
      <c r="A132" s="1020" t="s">
        <v>391</v>
      </c>
      <c r="B132" s="65" t="s">
        <v>392</v>
      </c>
      <c r="C132" s="65"/>
      <c r="D132" s="65"/>
      <c r="E132" s="65"/>
      <c r="F132" s="65"/>
      <c r="G132" s="65"/>
      <c r="H132" s="1077"/>
      <c r="I132" s="157"/>
      <c r="J132" s="159"/>
      <c r="K132" s="159"/>
      <c r="L132" s="71">
        <f>SUM(K94:K131)</f>
        <v>7167102.1585046519</v>
      </c>
      <c r="M132" s="45"/>
      <c r="N132" s="45"/>
      <c r="O132" s="45"/>
      <c r="P132" s="45"/>
      <c r="Q132" s="45"/>
      <c r="R132" s="45"/>
      <c r="S132" s="45"/>
      <c r="T132" s="45"/>
      <c r="U132" s="45"/>
      <c r="V132" s="45"/>
      <c r="W132" s="45"/>
      <c r="X132" s="45"/>
      <c r="Y132" s="45"/>
      <c r="Z132" s="56"/>
    </row>
    <row r="133" spans="1:26" outlineLevel="1">
      <c r="A133" s="6" t="s">
        <v>469</v>
      </c>
      <c r="B133" s="47" t="s">
        <v>470</v>
      </c>
      <c r="C133" s="47" t="s">
        <v>216</v>
      </c>
      <c r="D133" s="47" t="s">
        <v>223</v>
      </c>
      <c r="E133" s="47" t="s">
        <v>231</v>
      </c>
      <c r="F133" s="47"/>
      <c r="G133" s="42"/>
      <c r="H133" s="461"/>
      <c r="I133" s="63">
        <v>0</v>
      </c>
      <c r="J133" s="67">
        <f t="shared" ref="J133:J150" si="24">H133*(1+I133)</f>
        <v>0</v>
      </c>
      <c r="K133" s="67">
        <f t="shared" ref="K133:K148" si="25">J133*G133</f>
        <v>0</v>
      </c>
      <c r="L133" s="112"/>
      <c r="M133" s="45"/>
      <c r="N133" s="45"/>
      <c r="O133" s="45"/>
      <c r="P133" s="45"/>
      <c r="Q133" s="45"/>
      <c r="R133" s="45"/>
      <c r="S133" s="45"/>
      <c r="T133" s="45"/>
      <c r="U133" s="45"/>
      <c r="V133" s="45"/>
      <c r="W133" s="45"/>
      <c r="X133" s="45"/>
      <c r="Y133" s="45"/>
      <c r="Z133" s="56"/>
    </row>
    <row r="134" spans="1:26" outlineLevel="1">
      <c r="A134" s="7" t="s">
        <v>471</v>
      </c>
      <c r="B134" s="40" t="s">
        <v>472</v>
      </c>
      <c r="C134" s="40" t="s">
        <v>216</v>
      </c>
      <c r="D134" s="40" t="s">
        <v>473</v>
      </c>
      <c r="E134" s="40" t="s">
        <v>426</v>
      </c>
      <c r="F134" s="40" t="s">
        <v>88</v>
      </c>
      <c r="G134" s="42">
        <f>E8</f>
        <v>390</v>
      </c>
      <c r="H134" s="54">
        <v>212</v>
      </c>
      <c r="I134" s="53">
        <v>0</v>
      </c>
      <c r="J134" s="54">
        <f t="shared" si="24"/>
        <v>212</v>
      </c>
      <c r="K134" s="54">
        <f t="shared" si="25"/>
        <v>82680</v>
      </c>
      <c r="M134" s="45"/>
      <c r="N134" s="45"/>
      <c r="O134" s="45"/>
      <c r="P134" s="45"/>
      <c r="Q134" s="45"/>
      <c r="R134" s="45"/>
      <c r="S134" s="45"/>
      <c r="T134" s="45"/>
      <c r="U134" s="45"/>
      <c r="V134" s="45"/>
      <c r="W134" s="45"/>
      <c r="X134" s="45"/>
      <c r="Y134" s="45"/>
      <c r="Z134" s="56"/>
    </row>
    <row r="135" spans="1:26" outlineLevel="1">
      <c r="A135" s="7" t="s">
        <v>474</v>
      </c>
      <c r="B135" s="40" t="s">
        <v>475</v>
      </c>
      <c r="C135" s="40" t="s">
        <v>216</v>
      </c>
      <c r="D135" s="40" t="s">
        <v>223</v>
      </c>
      <c r="E135" s="60" t="s">
        <v>73</v>
      </c>
      <c r="F135" s="40" t="s">
        <v>71</v>
      </c>
      <c r="G135" s="38">
        <v>1</v>
      </c>
      <c r="H135" s="54">
        <v>20000</v>
      </c>
      <c r="I135" s="53">
        <v>0</v>
      </c>
      <c r="J135" s="54">
        <f t="shared" si="24"/>
        <v>20000</v>
      </c>
      <c r="K135" s="54">
        <f t="shared" si="25"/>
        <v>20000</v>
      </c>
      <c r="M135" s="45"/>
      <c r="N135" s="45"/>
      <c r="O135" s="45"/>
      <c r="P135" s="45"/>
      <c r="Q135" s="45"/>
      <c r="R135" s="45"/>
      <c r="S135" s="45"/>
      <c r="T135" s="45"/>
      <c r="U135" s="45"/>
      <c r="V135" s="45"/>
      <c r="W135" s="45"/>
      <c r="X135" s="45"/>
      <c r="Y135" s="45"/>
      <c r="Z135" s="56"/>
    </row>
    <row r="136" spans="1:26" outlineLevel="1">
      <c r="A136" s="7" t="s">
        <v>477</v>
      </c>
      <c r="B136" s="40" t="s">
        <v>478</v>
      </c>
      <c r="C136" s="40" t="s">
        <v>216</v>
      </c>
      <c r="D136" s="40" t="s">
        <v>223</v>
      </c>
      <c r="E136" s="40" t="s">
        <v>73</v>
      </c>
      <c r="F136" s="40" t="s">
        <v>71</v>
      </c>
      <c r="G136" s="38">
        <v>1</v>
      </c>
      <c r="H136" s="54">
        <v>5000</v>
      </c>
      <c r="I136" s="53">
        <v>0</v>
      </c>
      <c r="J136" s="54">
        <f t="shared" si="24"/>
        <v>5000</v>
      </c>
      <c r="K136" s="54">
        <f t="shared" si="25"/>
        <v>5000</v>
      </c>
      <c r="M136" s="45"/>
      <c r="N136" s="45"/>
      <c r="O136" s="45"/>
      <c r="P136" s="45"/>
      <c r="Q136" s="45"/>
      <c r="R136" s="45"/>
      <c r="S136" s="45"/>
      <c r="T136" s="45"/>
      <c r="U136" s="45"/>
      <c r="V136" s="45"/>
      <c r="W136" s="45"/>
      <c r="X136" s="45"/>
      <c r="Y136" s="45"/>
      <c r="Z136" s="56"/>
    </row>
    <row r="137" spans="1:26" outlineLevel="1">
      <c r="A137" s="7" t="s">
        <v>479</v>
      </c>
      <c r="B137" s="40" t="s">
        <v>480</v>
      </c>
      <c r="C137" s="40" t="s">
        <v>216</v>
      </c>
      <c r="D137" s="40" t="s">
        <v>481</v>
      </c>
      <c r="E137" s="40" t="s">
        <v>73</v>
      </c>
      <c r="F137" s="40" t="s">
        <v>71</v>
      </c>
      <c r="G137" s="38">
        <v>1</v>
      </c>
      <c r="H137" s="54">
        <v>7000</v>
      </c>
      <c r="I137" s="53">
        <v>0</v>
      </c>
      <c r="J137" s="54">
        <f t="shared" si="24"/>
        <v>7000</v>
      </c>
      <c r="K137" s="54">
        <f t="shared" si="25"/>
        <v>7000</v>
      </c>
      <c r="M137" s="45"/>
      <c r="N137" s="45"/>
      <c r="O137" s="45"/>
      <c r="P137" s="45"/>
      <c r="Q137" s="45"/>
      <c r="R137" s="45"/>
      <c r="S137" s="45"/>
      <c r="T137" s="45"/>
      <c r="U137" s="45"/>
      <c r="V137" s="45"/>
      <c r="W137" s="45"/>
      <c r="X137" s="45"/>
      <c r="Y137" s="45"/>
      <c r="Z137" s="56"/>
    </row>
    <row r="138" spans="1:26" outlineLevel="1">
      <c r="A138" s="7" t="s">
        <v>482</v>
      </c>
      <c r="B138" s="40" t="s">
        <v>483</v>
      </c>
      <c r="C138" s="40" t="s">
        <v>216</v>
      </c>
      <c r="D138" s="40" t="s">
        <v>228</v>
      </c>
      <c r="E138" s="40" t="s">
        <v>73</v>
      </c>
      <c r="F138" s="40" t="s">
        <v>71</v>
      </c>
      <c r="G138" s="42">
        <v>1</v>
      </c>
      <c r="H138" s="54">
        <v>17500</v>
      </c>
      <c r="I138" s="53">
        <v>0</v>
      </c>
      <c r="J138" s="54">
        <f t="shared" si="24"/>
        <v>17500</v>
      </c>
      <c r="K138" s="54">
        <f t="shared" si="25"/>
        <v>17500</v>
      </c>
      <c r="M138" s="45"/>
      <c r="N138" s="45"/>
      <c r="O138" s="45"/>
      <c r="P138" s="45"/>
      <c r="Q138" s="45"/>
      <c r="R138" s="45"/>
      <c r="S138" s="45"/>
      <c r="T138" s="45"/>
      <c r="U138" s="45"/>
      <c r="V138" s="45"/>
      <c r="W138" s="45"/>
      <c r="X138" s="45"/>
      <c r="Y138" s="45"/>
      <c r="Z138" s="56"/>
    </row>
    <row r="139" spans="1:26" outlineLevel="1">
      <c r="A139" s="7" t="s">
        <v>485</v>
      </c>
      <c r="B139" s="40" t="s">
        <v>486</v>
      </c>
      <c r="C139" s="40" t="s">
        <v>216</v>
      </c>
      <c r="D139" s="40" t="s">
        <v>228</v>
      </c>
      <c r="E139" s="40" t="s">
        <v>231</v>
      </c>
      <c r="F139" s="40"/>
      <c r="G139" s="38"/>
      <c r="H139" s="54"/>
      <c r="I139" s="53">
        <v>0</v>
      </c>
      <c r="J139" s="54">
        <f t="shared" si="24"/>
        <v>0</v>
      </c>
      <c r="K139" s="54">
        <f t="shared" si="25"/>
        <v>0</v>
      </c>
      <c r="M139" s="45"/>
      <c r="N139" s="45"/>
      <c r="O139" s="45"/>
      <c r="P139" s="45"/>
      <c r="Q139" s="45"/>
      <c r="R139" s="45"/>
      <c r="S139" s="45"/>
      <c r="T139" s="45"/>
      <c r="U139" s="45"/>
      <c r="V139" s="45"/>
      <c r="W139" s="45"/>
      <c r="X139" s="45"/>
      <c r="Y139" s="45"/>
      <c r="Z139" s="56"/>
    </row>
    <row r="140" spans="1:26" outlineLevel="1">
      <c r="A140" s="7" t="s">
        <v>487</v>
      </c>
      <c r="B140" s="40" t="s">
        <v>488</v>
      </c>
      <c r="C140" s="40" t="s">
        <v>216</v>
      </c>
      <c r="D140" s="40" t="s">
        <v>228</v>
      </c>
      <c r="E140" s="40" t="s">
        <v>73</v>
      </c>
      <c r="F140" s="40" t="s">
        <v>71</v>
      </c>
      <c r="G140" s="38">
        <v>2</v>
      </c>
      <c r="H140" s="54">
        <v>3500</v>
      </c>
      <c r="I140" s="53">
        <v>0</v>
      </c>
      <c r="J140" s="54">
        <f t="shared" si="24"/>
        <v>3500</v>
      </c>
      <c r="K140" s="54">
        <f t="shared" si="25"/>
        <v>7000</v>
      </c>
      <c r="M140" s="45"/>
      <c r="N140" s="45"/>
      <c r="O140" s="45"/>
      <c r="P140" s="45"/>
      <c r="Q140" s="45"/>
      <c r="R140" s="45"/>
      <c r="S140" s="45"/>
      <c r="T140" s="45"/>
      <c r="U140" s="45"/>
      <c r="V140" s="45"/>
      <c r="W140" s="45"/>
      <c r="X140" s="45"/>
      <c r="Y140" s="45"/>
      <c r="Z140" s="56"/>
    </row>
    <row r="141" spans="1:26" outlineLevel="1">
      <c r="A141" s="7" t="s">
        <v>489</v>
      </c>
      <c r="B141" s="40" t="s">
        <v>490</v>
      </c>
      <c r="C141" s="40" t="s">
        <v>216</v>
      </c>
      <c r="D141" s="40" t="s">
        <v>242</v>
      </c>
      <c r="E141" s="40" t="s">
        <v>73</v>
      </c>
      <c r="F141" s="40" t="s">
        <v>71</v>
      </c>
      <c r="G141" s="38">
        <v>1</v>
      </c>
      <c r="H141" s="54">
        <v>3500</v>
      </c>
      <c r="I141" s="53">
        <v>0</v>
      </c>
      <c r="J141" s="54">
        <f t="shared" si="24"/>
        <v>3500</v>
      </c>
      <c r="K141" s="54">
        <f t="shared" si="25"/>
        <v>3500</v>
      </c>
      <c r="M141" s="45"/>
      <c r="N141" s="45"/>
      <c r="O141" s="45"/>
      <c r="P141" s="45"/>
      <c r="Q141" s="45"/>
      <c r="R141" s="45"/>
      <c r="S141" s="45"/>
      <c r="T141" s="45"/>
      <c r="U141" s="45"/>
      <c r="V141" s="45"/>
      <c r="W141" s="45"/>
      <c r="X141" s="45"/>
      <c r="Y141" s="45"/>
      <c r="Z141" s="56"/>
    </row>
    <row r="142" spans="1:26" outlineLevel="1">
      <c r="A142" s="7" t="s">
        <v>491</v>
      </c>
      <c r="B142" s="40" t="s">
        <v>492</v>
      </c>
      <c r="C142" s="40" t="s">
        <v>216</v>
      </c>
      <c r="D142" s="40" t="s">
        <v>242</v>
      </c>
      <c r="E142" s="40" t="s">
        <v>493</v>
      </c>
      <c r="F142" s="40" t="s">
        <v>71</v>
      </c>
      <c r="G142" s="38">
        <f>$W$8</f>
        <v>8</v>
      </c>
      <c r="H142" s="54">
        <v>3360</v>
      </c>
      <c r="I142" s="53">
        <v>0</v>
      </c>
      <c r="J142" s="54">
        <f t="shared" si="24"/>
        <v>3360</v>
      </c>
      <c r="K142" s="54">
        <f t="shared" si="25"/>
        <v>26880</v>
      </c>
      <c r="M142" s="45"/>
      <c r="N142" s="45"/>
      <c r="O142" s="45"/>
      <c r="P142" s="45"/>
      <c r="Q142" s="45"/>
      <c r="R142" s="45"/>
      <c r="S142" s="45"/>
      <c r="T142" s="45"/>
      <c r="U142" s="45"/>
      <c r="V142" s="45"/>
      <c r="W142" s="45"/>
      <c r="X142" s="45"/>
      <c r="Y142" s="45"/>
      <c r="Z142" s="56"/>
    </row>
    <row r="143" spans="1:26" outlineLevel="1">
      <c r="A143" s="7" t="s">
        <v>191</v>
      </c>
      <c r="B143" s="40" t="s">
        <v>494</v>
      </c>
      <c r="C143" s="40" t="s">
        <v>216</v>
      </c>
      <c r="D143" s="40" t="s">
        <v>223</v>
      </c>
      <c r="E143" s="40" t="s">
        <v>73</v>
      </c>
      <c r="F143" s="40" t="s">
        <v>108</v>
      </c>
      <c r="G143" s="38">
        <f>$Q$16</f>
        <v>10</v>
      </c>
      <c r="H143" s="54">
        <v>600</v>
      </c>
      <c r="I143" s="53">
        <v>0</v>
      </c>
      <c r="J143" s="54">
        <f t="shared" si="24"/>
        <v>600</v>
      </c>
      <c r="K143" s="54">
        <f t="shared" si="25"/>
        <v>6000</v>
      </c>
      <c r="M143" s="45"/>
      <c r="N143" s="45"/>
      <c r="O143" s="45"/>
      <c r="P143" s="45"/>
      <c r="Q143" s="45"/>
      <c r="R143" s="45"/>
      <c r="S143" s="45"/>
      <c r="T143" s="45"/>
      <c r="U143" s="45"/>
      <c r="V143" s="45"/>
      <c r="W143" s="45"/>
      <c r="X143" s="45"/>
      <c r="Y143" s="45"/>
      <c r="Z143" s="56"/>
    </row>
    <row r="144" spans="1:26" outlineLevel="1">
      <c r="A144" s="7" t="s">
        <v>495</v>
      </c>
      <c r="B144" s="40" t="s">
        <v>496</v>
      </c>
      <c r="C144" s="40" t="s">
        <v>216</v>
      </c>
      <c r="D144" s="40" t="s">
        <v>228</v>
      </c>
      <c r="E144" s="40" t="s">
        <v>73</v>
      </c>
      <c r="F144" s="40" t="s">
        <v>88</v>
      </c>
      <c r="G144" s="42">
        <f>$E$8</f>
        <v>390</v>
      </c>
      <c r="H144" s="54">
        <v>80</v>
      </c>
      <c r="I144" s="53">
        <v>0</v>
      </c>
      <c r="J144" s="54">
        <f t="shared" si="24"/>
        <v>80</v>
      </c>
      <c r="K144" s="54">
        <f t="shared" si="25"/>
        <v>31200</v>
      </c>
      <c r="M144" s="45"/>
      <c r="N144" s="45"/>
      <c r="O144" s="45"/>
      <c r="P144" s="45"/>
      <c r="Q144" s="45"/>
      <c r="R144" s="45"/>
      <c r="S144" s="45"/>
      <c r="T144" s="45"/>
      <c r="U144" s="45"/>
      <c r="V144" s="45"/>
      <c r="W144" s="45"/>
      <c r="X144" s="45"/>
      <c r="Y144" s="45"/>
      <c r="Z144" s="56"/>
    </row>
    <row r="145" spans="1:26" outlineLevel="1">
      <c r="A145" s="7" t="s">
        <v>497</v>
      </c>
      <c r="B145" s="40" t="s">
        <v>498</v>
      </c>
      <c r="C145" s="40" t="s">
        <v>216</v>
      </c>
      <c r="D145" s="40" t="s">
        <v>228</v>
      </c>
      <c r="E145" s="40" t="s">
        <v>426</v>
      </c>
      <c r="F145" s="40" t="s">
        <v>88</v>
      </c>
      <c r="G145" s="42">
        <f>$E$8</f>
        <v>390</v>
      </c>
      <c r="H145" s="54">
        <f>44905/195</f>
        <v>230.28205128205127</v>
      </c>
      <c r="I145" s="53">
        <v>0</v>
      </c>
      <c r="J145" s="54">
        <f t="shared" si="24"/>
        <v>230.28205128205127</v>
      </c>
      <c r="K145" s="210">
        <f t="shared" si="25"/>
        <v>89810</v>
      </c>
      <c r="M145" s="597"/>
      <c r="N145" s="45"/>
      <c r="O145" s="45"/>
      <c r="P145" s="45"/>
      <c r="Q145" s="45"/>
      <c r="R145" s="45"/>
      <c r="S145" s="45"/>
      <c r="T145" s="45"/>
      <c r="U145" s="45"/>
      <c r="V145" s="45"/>
      <c r="W145" s="45"/>
      <c r="X145" s="45"/>
      <c r="Y145" s="45"/>
      <c r="Z145" s="56"/>
    </row>
    <row r="146" spans="1:26" outlineLevel="1">
      <c r="A146" s="7" t="s">
        <v>499</v>
      </c>
      <c r="B146" s="40" t="s">
        <v>500</v>
      </c>
      <c r="C146" s="40" t="s">
        <v>216</v>
      </c>
      <c r="D146" s="40" t="s">
        <v>228</v>
      </c>
      <c r="E146" s="40" t="s">
        <v>326</v>
      </c>
      <c r="F146" s="40" t="s">
        <v>88</v>
      </c>
      <c r="G146" s="42">
        <f>$E$8</f>
        <v>390</v>
      </c>
      <c r="H146" s="54">
        <f>166000/390</f>
        <v>425.64102564102564</v>
      </c>
      <c r="I146" s="53">
        <v>0</v>
      </c>
      <c r="J146" s="54">
        <f t="shared" si="24"/>
        <v>425.64102564102564</v>
      </c>
      <c r="K146" s="54">
        <f t="shared" si="25"/>
        <v>166000</v>
      </c>
      <c r="M146" s="45"/>
      <c r="N146" s="45"/>
      <c r="O146" s="45"/>
      <c r="P146" s="45"/>
      <c r="Q146" s="45"/>
      <c r="R146" s="45"/>
      <c r="S146" s="45"/>
      <c r="T146" s="45"/>
      <c r="U146" s="45"/>
      <c r="V146" s="45"/>
      <c r="W146" s="45"/>
      <c r="X146" s="45"/>
      <c r="Y146" s="45"/>
      <c r="Z146" s="56"/>
    </row>
    <row r="147" spans="1:26" outlineLevel="1">
      <c r="A147" s="1011" t="s">
        <v>502</v>
      </c>
      <c r="B147" s="206" t="s">
        <v>503</v>
      </c>
      <c r="C147" s="206" t="s">
        <v>216</v>
      </c>
      <c r="D147" s="206" t="s">
        <v>228</v>
      </c>
      <c r="E147" s="206" t="s">
        <v>44</v>
      </c>
      <c r="F147" s="206" t="s">
        <v>186</v>
      </c>
      <c r="G147" s="207">
        <f>$Q$17</f>
        <v>58</v>
      </c>
      <c r="H147" s="54">
        <v>3000</v>
      </c>
      <c r="I147" s="209">
        <v>0</v>
      </c>
      <c r="J147" s="210">
        <f t="shared" si="24"/>
        <v>3000</v>
      </c>
      <c r="K147" s="210">
        <f t="shared" si="25"/>
        <v>174000</v>
      </c>
      <c r="M147" s="45"/>
      <c r="N147" s="45"/>
      <c r="O147" s="45"/>
      <c r="P147" s="45"/>
      <c r="Q147" s="45"/>
      <c r="R147" s="45"/>
      <c r="S147" s="45"/>
      <c r="T147" s="45"/>
      <c r="U147" s="45"/>
      <c r="V147" s="45"/>
      <c r="W147" s="45"/>
      <c r="X147" s="45"/>
      <c r="Y147" s="45"/>
      <c r="Z147" s="56"/>
    </row>
    <row r="148" spans="1:26" outlineLevel="1">
      <c r="A148" s="6" t="s">
        <v>504</v>
      </c>
      <c r="B148" s="47" t="s">
        <v>503</v>
      </c>
      <c r="C148" s="47" t="s">
        <v>216</v>
      </c>
      <c r="D148" s="47" t="s">
        <v>228</v>
      </c>
      <c r="E148" s="47" t="s">
        <v>44</v>
      </c>
      <c r="F148" s="47" t="s">
        <v>186</v>
      </c>
      <c r="G148" s="47">
        <f>$Q$18</f>
        <v>10</v>
      </c>
      <c r="H148" s="54">
        <v>9300</v>
      </c>
      <c r="I148" s="63">
        <v>0</v>
      </c>
      <c r="J148" s="67">
        <f t="shared" si="24"/>
        <v>9300</v>
      </c>
      <c r="K148" s="67">
        <f t="shared" si="25"/>
        <v>93000</v>
      </c>
      <c r="M148" s="45"/>
      <c r="N148" s="45"/>
      <c r="O148" s="45"/>
      <c r="P148" s="45"/>
      <c r="Q148" s="45"/>
      <c r="R148" s="45"/>
      <c r="S148" s="45"/>
      <c r="T148" s="45"/>
      <c r="U148" s="45"/>
      <c r="V148" s="45"/>
      <c r="W148" s="45"/>
      <c r="X148" s="45"/>
      <c r="Y148" s="45"/>
      <c r="Z148" s="56"/>
    </row>
    <row r="149" spans="1:26">
      <c r="A149" s="1020" t="s">
        <v>467</v>
      </c>
      <c r="B149" s="65" t="s">
        <v>468</v>
      </c>
      <c r="C149" s="65"/>
      <c r="D149" s="65"/>
      <c r="E149" s="65"/>
      <c r="F149" s="65"/>
      <c r="G149" s="65"/>
      <c r="H149" s="1077"/>
      <c r="I149" s="157"/>
      <c r="J149" s="159"/>
      <c r="K149" s="159"/>
      <c r="L149" s="71">
        <f>SUM(K133:K148)</f>
        <v>729570</v>
      </c>
      <c r="M149" s="45"/>
      <c r="N149" s="45"/>
      <c r="O149" s="45"/>
      <c r="P149" s="45"/>
      <c r="Q149" s="45"/>
      <c r="R149" s="45"/>
      <c r="S149" s="45"/>
      <c r="T149" s="45"/>
      <c r="U149" s="45"/>
      <c r="V149" s="45"/>
      <c r="W149" s="45"/>
      <c r="X149" s="45"/>
      <c r="Y149" s="45"/>
      <c r="Z149" s="56"/>
    </row>
    <row r="150" spans="1:26" outlineLevel="1">
      <c r="A150" s="7" t="s">
        <v>507</v>
      </c>
      <c r="B150" s="40" t="s">
        <v>508</v>
      </c>
      <c r="C150" s="40" t="s">
        <v>216</v>
      </c>
      <c r="D150" s="40" t="s">
        <v>228</v>
      </c>
      <c r="E150" s="40" t="s">
        <v>239</v>
      </c>
      <c r="F150" s="40" t="s">
        <v>88</v>
      </c>
      <c r="G150" s="38">
        <f>$E$8</f>
        <v>390</v>
      </c>
      <c r="H150" s="461">
        <f>614922.64/194</f>
        <v>3169.7043298969074</v>
      </c>
      <c r="I150" s="53">
        <v>0.05</v>
      </c>
      <c r="J150" s="54">
        <f t="shared" si="24"/>
        <v>3328.1895463917531</v>
      </c>
      <c r="K150" s="54">
        <f>J150*G150</f>
        <v>1297993.9230927837</v>
      </c>
      <c r="L150" s="112"/>
      <c r="M150" s="45"/>
      <c r="N150" s="45"/>
      <c r="O150" s="45"/>
      <c r="P150" s="45"/>
      <c r="Q150" s="45"/>
      <c r="R150" s="45"/>
      <c r="S150" s="45"/>
      <c r="T150" s="45"/>
      <c r="U150" s="45"/>
      <c r="V150" s="45"/>
      <c r="W150" s="45"/>
      <c r="X150" s="45"/>
      <c r="Y150" s="45"/>
      <c r="Z150" s="56"/>
    </row>
    <row r="151" spans="1:26" outlineLevel="1">
      <c r="A151" s="7" t="s">
        <v>996</v>
      </c>
      <c r="B151" s="40" t="s">
        <v>508</v>
      </c>
      <c r="C151" s="40" t="s">
        <v>216</v>
      </c>
      <c r="D151" s="40" t="s">
        <v>228</v>
      </c>
      <c r="E151" s="40" t="s">
        <v>73</v>
      </c>
      <c r="F151" s="40" t="s">
        <v>186</v>
      </c>
      <c r="G151" s="38">
        <v>2</v>
      </c>
      <c r="H151" s="54">
        <v>65000</v>
      </c>
      <c r="I151" s="53">
        <v>0</v>
      </c>
      <c r="J151" s="54">
        <f>H151*(1+I151)</f>
        <v>65000</v>
      </c>
      <c r="K151" s="54">
        <f>J151*G151</f>
        <v>130000</v>
      </c>
      <c r="L151" s="112"/>
      <c r="M151" s="45"/>
      <c r="N151" s="45"/>
      <c r="O151" s="45"/>
      <c r="P151" s="45"/>
      <c r="Q151" s="45"/>
      <c r="R151" s="45"/>
      <c r="S151" s="45"/>
      <c r="T151" s="45"/>
      <c r="U151" s="45"/>
      <c r="V151" s="45"/>
      <c r="W151" s="45"/>
      <c r="X151" s="45"/>
      <c r="Y151" s="45"/>
      <c r="Z151" s="56"/>
    </row>
    <row r="152" spans="1:26" outlineLevel="1">
      <c r="A152" s="6" t="s">
        <v>509</v>
      </c>
      <c r="B152" s="47" t="s">
        <v>508</v>
      </c>
      <c r="C152" s="47" t="s">
        <v>216</v>
      </c>
      <c r="D152" s="47" t="s">
        <v>228</v>
      </c>
      <c r="E152" s="47" t="s">
        <v>73</v>
      </c>
      <c r="F152" s="47" t="s">
        <v>71</v>
      </c>
      <c r="G152" s="47">
        <v>1</v>
      </c>
      <c r="H152" s="54">
        <v>15000</v>
      </c>
      <c r="I152" s="63">
        <v>0</v>
      </c>
      <c r="J152" s="67">
        <f>H152*(1+I152)</f>
        <v>15000</v>
      </c>
      <c r="K152" s="67">
        <f>J152*G152</f>
        <v>15000</v>
      </c>
      <c r="M152" s="45"/>
      <c r="N152" s="45"/>
      <c r="O152" s="45"/>
      <c r="P152" s="45"/>
      <c r="Q152" s="45"/>
      <c r="R152" s="45"/>
      <c r="S152" s="45"/>
      <c r="T152" s="45"/>
      <c r="U152" s="45"/>
      <c r="V152" s="45"/>
      <c r="W152" s="45"/>
      <c r="X152" s="45"/>
      <c r="Y152" s="45"/>
      <c r="Z152" s="56"/>
    </row>
    <row r="153" spans="1:26">
      <c r="A153" s="1020" t="s">
        <v>505</v>
      </c>
      <c r="B153" s="65" t="s">
        <v>506</v>
      </c>
      <c r="C153" s="65"/>
      <c r="D153" s="65"/>
      <c r="E153" s="65"/>
      <c r="F153" s="65"/>
      <c r="G153" s="65"/>
      <c r="H153" s="1077"/>
      <c r="I153" s="157"/>
      <c r="J153" s="159"/>
      <c r="K153" s="159"/>
      <c r="L153" s="71">
        <f>SUM(K150:K152)</f>
        <v>1442993.9230927837</v>
      </c>
      <c r="M153" s="45"/>
      <c r="N153" s="45"/>
      <c r="O153" s="45"/>
      <c r="P153" s="45"/>
      <c r="Q153" s="45"/>
      <c r="R153" s="45"/>
      <c r="S153" s="45"/>
      <c r="T153" s="45"/>
      <c r="U153" s="45"/>
      <c r="V153" s="45"/>
      <c r="W153" s="45"/>
      <c r="X153" s="45"/>
      <c r="Y153" s="45"/>
      <c r="Z153" s="56"/>
    </row>
    <row r="154" spans="1:26" outlineLevel="1">
      <c r="A154" s="6" t="s">
        <v>307</v>
      </c>
      <c r="B154" s="47" t="s">
        <v>512</v>
      </c>
      <c r="C154" s="47" t="s">
        <v>216</v>
      </c>
      <c r="D154" s="47" t="s">
        <v>309</v>
      </c>
      <c r="E154" s="47"/>
      <c r="F154" s="47" t="s">
        <v>88</v>
      </c>
      <c r="G154" s="42">
        <v>0</v>
      </c>
      <c r="H154" s="461">
        <v>79</v>
      </c>
      <c r="I154" s="63">
        <v>0</v>
      </c>
      <c r="J154" s="67">
        <f t="shared" ref="J154:J161" si="26">H154*(1+I154)</f>
        <v>79</v>
      </c>
      <c r="K154" s="67">
        <f t="shared" ref="K154:K161" si="27">J154*G154</f>
        <v>0</v>
      </c>
      <c r="M154" s="45"/>
      <c r="N154" s="45"/>
      <c r="O154" s="45"/>
      <c r="P154" s="45"/>
      <c r="Q154" s="45"/>
      <c r="R154" s="45"/>
      <c r="S154" s="45"/>
      <c r="T154" s="45"/>
      <c r="U154" s="45"/>
      <c r="V154" s="45"/>
      <c r="W154" s="45"/>
      <c r="X154" s="45"/>
      <c r="Y154" s="45"/>
      <c r="Z154" s="56"/>
    </row>
    <row r="155" spans="1:26" outlineLevel="1">
      <c r="A155" s="7" t="s">
        <v>513</v>
      </c>
      <c r="B155" s="40" t="s">
        <v>514</v>
      </c>
      <c r="C155" s="40" t="s">
        <v>216</v>
      </c>
      <c r="D155" s="40" t="s">
        <v>228</v>
      </c>
      <c r="E155" s="40" t="s">
        <v>239</v>
      </c>
      <c r="F155" s="40" t="s">
        <v>375</v>
      </c>
      <c r="G155" s="38">
        <f>$E$8</f>
        <v>390</v>
      </c>
      <c r="H155" s="54">
        <v>400</v>
      </c>
      <c r="I155" s="53">
        <v>0</v>
      </c>
      <c r="J155" s="54">
        <f t="shared" si="26"/>
        <v>400</v>
      </c>
      <c r="K155" s="54">
        <f t="shared" si="27"/>
        <v>156000</v>
      </c>
      <c r="M155" s="45"/>
      <c r="N155" s="45"/>
      <c r="O155" s="45"/>
      <c r="P155" s="45"/>
      <c r="Q155" s="45"/>
      <c r="R155" s="45"/>
      <c r="S155" s="45"/>
      <c r="T155" s="45"/>
      <c r="U155" s="45"/>
      <c r="V155" s="45"/>
      <c r="W155" s="45"/>
      <c r="X155" s="45"/>
      <c r="Y155" s="45"/>
      <c r="Z155" s="56"/>
    </row>
    <row r="156" spans="1:26" s="781" customFormat="1" outlineLevel="1">
      <c r="A156" s="7" t="s">
        <v>516</v>
      </c>
      <c r="B156" s="40" t="s">
        <v>517</v>
      </c>
      <c r="C156" s="40" t="s">
        <v>216</v>
      </c>
      <c r="D156" s="40" t="s">
        <v>228</v>
      </c>
      <c r="E156" s="40" t="s">
        <v>239</v>
      </c>
      <c r="F156" s="40" t="s">
        <v>518</v>
      </c>
      <c r="G156" s="42">
        <f>'Menu Pricing'!E9</f>
        <v>8559</v>
      </c>
      <c r="H156" s="54">
        <v>140</v>
      </c>
      <c r="I156" s="53">
        <v>0</v>
      </c>
      <c r="J156" s="54">
        <f>H156*(1+I156)</f>
        <v>140</v>
      </c>
      <c r="K156" s="54">
        <f t="shared" si="27"/>
        <v>1198260</v>
      </c>
      <c r="M156" s="1119"/>
      <c r="N156" s="1119"/>
      <c r="O156" s="1119"/>
      <c r="P156" s="1119"/>
      <c r="Q156" s="1119"/>
      <c r="R156" s="1119"/>
      <c r="S156" s="1119"/>
      <c r="T156" s="1119"/>
      <c r="U156" s="1119"/>
      <c r="V156" s="1119"/>
      <c r="W156" s="1119"/>
      <c r="X156" s="815"/>
      <c r="Y156" s="815"/>
      <c r="Z156" s="783"/>
    </row>
    <row r="157" spans="1:26" outlineLevel="1">
      <c r="A157" s="7" t="s">
        <v>520</v>
      </c>
      <c r="B157" s="40" t="s">
        <v>521</v>
      </c>
      <c r="C157" s="40" t="s">
        <v>216</v>
      </c>
      <c r="D157" s="40" t="s">
        <v>228</v>
      </c>
      <c r="E157" s="40" t="s">
        <v>239</v>
      </c>
      <c r="F157" s="40" t="s">
        <v>71</v>
      </c>
      <c r="G157" s="183">
        <v>1.5</v>
      </c>
      <c r="H157" s="54">
        <f>100000</f>
        <v>100000</v>
      </c>
      <c r="I157" s="53">
        <v>0</v>
      </c>
      <c r="J157" s="54">
        <f t="shared" si="26"/>
        <v>100000</v>
      </c>
      <c r="K157" s="54">
        <f t="shared" si="27"/>
        <v>150000</v>
      </c>
      <c r="M157" s="45" t="s">
        <v>997</v>
      </c>
      <c r="N157" s="45"/>
      <c r="O157" s="45"/>
      <c r="P157" s="45"/>
      <c r="Q157" s="45"/>
      <c r="R157" s="45"/>
      <c r="S157" s="45"/>
      <c r="T157" s="45"/>
      <c r="U157" s="45"/>
      <c r="V157" s="45"/>
      <c r="W157" s="45"/>
      <c r="X157" s="45"/>
      <c r="Y157" s="45"/>
      <c r="Z157" s="56"/>
    </row>
    <row r="158" spans="1:26" s="781" customFormat="1" outlineLevel="1">
      <c r="A158" s="7" t="s">
        <v>523</v>
      </c>
      <c r="B158" s="40" t="s">
        <v>524</v>
      </c>
      <c r="C158" s="40" t="s">
        <v>216</v>
      </c>
      <c r="D158" s="40" t="s">
        <v>228</v>
      </c>
      <c r="E158" s="40" t="s">
        <v>239</v>
      </c>
      <c r="F158" s="40" t="s">
        <v>61</v>
      </c>
      <c r="G158" s="42">
        <f>'Menu Pricing'!E21</f>
        <v>32355.899999999998</v>
      </c>
      <c r="H158" s="54">
        <v>26</v>
      </c>
      <c r="I158" s="53">
        <v>0</v>
      </c>
      <c r="J158" s="843">
        <f t="shared" si="26"/>
        <v>26</v>
      </c>
      <c r="K158" s="54">
        <f t="shared" si="27"/>
        <v>841253.39999999991</v>
      </c>
      <c r="M158" s="1119"/>
      <c r="N158" s="1119"/>
      <c r="O158" s="1119"/>
      <c r="P158" s="1119"/>
      <c r="Q158" s="1119"/>
      <c r="R158" s="1119"/>
      <c r="S158" s="1119"/>
      <c r="T158" s="1119"/>
      <c r="U158" s="1119"/>
      <c r="V158" s="1119"/>
      <c r="W158" s="1119"/>
      <c r="X158" s="1119"/>
      <c r="Y158" s="1119"/>
      <c r="Z158" s="783"/>
    </row>
    <row r="159" spans="1:26" outlineLevel="1">
      <c r="A159" s="7" t="s">
        <v>526</v>
      </c>
      <c r="B159" s="40" t="s">
        <v>527</v>
      </c>
      <c r="C159" s="40" t="s">
        <v>283</v>
      </c>
      <c r="D159" s="40" t="s">
        <v>228</v>
      </c>
      <c r="E159" s="40" t="s">
        <v>239</v>
      </c>
      <c r="F159" s="40" t="s">
        <v>71</v>
      </c>
      <c r="G159" s="183">
        <v>1.5</v>
      </c>
      <c r="H159" s="54">
        <v>35000</v>
      </c>
      <c r="I159" s="53">
        <v>0</v>
      </c>
      <c r="J159" s="54">
        <f t="shared" si="26"/>
        <v>35000</v>
      </c>
      <c r="K159" s="54">
        <f t="shared" si="27"/>
        <v>52500</v>
      </c>
      <c r="M159" s="45"/>
      <c r="N159" s="45"/>
      <c r="O159" s="45"/>
      <c r="P159" s="45"/>
      <c r="Q159" s="45"/>
      <c r="R159" s="45"/>
      <c r="S159" s="45"/>
      <c r="T159" s="45"/>
      <c r="U159" s="45"/>
      <c r="V159" s="45"/>
      <c r="W159" s="45"/>
      <c r="X159" s="45"/>
      <c r="Y159" s="45"/>
      <c r="Z159" s="56"/>
    </row>
    <row r="160" spans="1:26" outlineLevel="1">
      <c r="A160" s="7" t="s">
        <v>529</v>
      </c>
      <c r="B160" s="40" t="s">
        <v>530</v>
      </c>
      <c r="C160" s="40" t="s">
        <v>216</v>
      </c>
      <c r="D160" s="40" t="s">
        <v>242</v>
      </c>
      <c r="E160" s="40" t="s">
        <v>73</v>
      </c>
      <c r="F160" s="40" t="s">
        <v>71</v>
      </c>
      <c r="G160" s="38">
        <v>1</v>
      </c>
      <c r="H160" s="54">
        <v>15000</v>
      </c>
      <c r="I160" s="53">
        <v>0</v>
      </c>
      <c r="J160" s="54">
        <f t="shared" si="26"/>
        <v>15000</v>
      </c>
      <c r="K160" s="54">
        <f t="shared" si="27"/>
        <v>15000</v>
      </c>
      <c r="M160" s="45"/>
      <c r="N160" s="45"/>
      <c r="O160" s="45"/>
      <c r="P160" s="45"/>
      <c r="Q160" s="45"/>
      <c r="R160" s="45"/>
      <c r="S160" s="45"/>
      <c r="T160" s="45"/>
      <c r="U160" s="45"/>
      <c r="V160" s="45"/>
      <c r="W160" s="45"/>
      <c r="X160" s="45"/>
      <c r="Y160" s="45"/>
      <c r="Z160" s="56"/>
    </row>
    <row r="161" spans="1:26" outlineLevel="1">
      <c r="A161" s="6" t="s">
        <v>531</v>
      </c>
      <c r="B161" s="47" t="s">
        <v>532</v>
      </c>
      <c r="C161" s="47" t="s">
        <v>216</v>
      </c>
      <c r="D161" s="47" t="s">
        <v>242</v>
      </c>
      <c r="E161" s="47" t="s">
        <v>73</v>
      </c>
      <c r="F161" s="47" t="s">
        <v>71</v>
      </c>
      <c r="G161" s="47">
        <f>W8</f>
        <v>8</v>
      </c>
      <c r="H161" s="54">
        <v>6000</v>
      </c>
      <c r="I161" s="63">
        <v>0</v>
      </c>
      <c r="J161" s="67">
        <f t="shared" si="26"/>
        <v>6000</v>
      </c>
      <c r="K161" s="67">
        <f t="shared" si="27"/>
        <v>48000</v>
      </c>
      <c r="M161" s="45"/>
      <c r="N161" s="45"/>
      <c r="O161" s="45"/>
      <c r="P161" s="45"/>
      <c r="Q161" s="45"/>
      <c r="R161" s="45"/>
      <c r="S161" s="45"/>
      <c r="T161" s="45"/>
      <c r="U161" s="45"/>
      <c r="V161" s="45"/>
      <c r="W161" s="45"/>
      <c r="X161" s="45"/>
      <c r="Y161" s="45"/>
      <c r="Z161" s="56"/>
    </row>
    <row r="162" spans="1:26">
      <c r="A162" s="1020" t="s">
        <v>510</v>
      </c>
      <c r="B162" s="65" t="s">
        <v>511</v>
      </c>
      <c r="C162" s="65"/>
      <c r="D162" s="65"/>
      <c r="E162" s="65"/>
      <c r="F162" s="65"/>
      <c r="G162" s="65"/>
      <c r="H162" s="1077"/>
      <c r="I162" s="157"/>
      <c r="J162" s="159"/>
      <c r="K162" s="159"/>
      <c r="L162" s="71">
        <f>SUM(K154:K161)</f>
        <v>2461013.4</v>
      </c>
      <c r="M162" s="45"/>
      <c r="N162" s="45"/>
      <c r="O162" s="45"/>
      <c r="P162" s="45"/>
      <c r="Q162" s="45"/>
      <c r="R162" s="45"/>
      <c r="S162" s="45"/>
      <c r="T162" s="45"/>
      <c r="U162" s="45"/>
      <c r="V162" s="45"/>
      <c r="W162" s="45"/>
      <c r="X162" s="45"/>
      <c r="Y162" s="45"/>
      <c r="Z162" s="56"/>
    </row>
    <row r="163" spans="1:26" outlineLevel="1">
      <c r="A163" s="6" t="s">
        <v>536</v>
      </c>
      <c r="B163" s="47" t="s">
        <v>537</v>
      </c>
      <c r="C163" s="47" t="s">
        <v>216</v>
      </c>
      <c r="D163" s="47" t="s">
        <v>242</v>
      </c>
      <c r="E163" s="47" t="s">
        <v>326</v>
      </c>
      <c r="F163" s="47" t="s">
        <v>71</v>
      </c>
      <c r="G163" s="42">
        <f>$Q$7</f>
        <v>1</v>
      </c>
      <c r="H163" s="461">
        <f>'Comparison to Other'!K28</f>
        <v>253813.33333333334</v>
      </c>
      <c r="I163" s="63">
        <v>0</v>
      </c>
      <c r="J163" s="67">
        <f t="shared" ref="J163:J165" si="28">H163*(1+I163)</f>
        <v>253813.33333333334</v>
      </c>
      <c r="K163" s="67">
        <f>J163*G163</f>
        <v>253813.33333333334</v>
      </c>
      <c r="M163" s="45" t="s">
        <v>985</v>
      </c>
      <c r="N163" s="45"/>
      <c r="O163" s="45"/>
      <c r="P163" s="45"/>
      <c r="Q163" s="45"/>
      <c r="R163" s="45"/>
      <c r="S163" s="45"/>
      <c r="T163" s="45"/>
      <c r="U163" s="45"/>
      <c r="V163" s="45"/>
      <c r="W163" s="45"/>
      <c r="X163" s="45"/>
      <c r="Y163" s="45"/>
      <c r="Z163" s="56"/>
    </row>
    <row r="164" spans="1:26" outlineLevel="1">
      <c r="A164" s="7" t="s">
        <v>172</v>
      </c>
      <c r="B164" s="40" t="s">
        <v>539</v>
      </c>
      <c r="C164" s="40" t="s">
        <v>216</v>
      </c>
      <c r="D164" s="40" t="s">
        <v>473</v>
      </c>
      <c r="E164" s="40" t="s">
        <v>239</v>
      </c>
      <c r="F164" s="40" t="s">
        <v>108</v>
      </c>
      <c r="G164" s="38">
        <f>Q13</f>
        <v>375</v>
      </c>
      <c r="H164" s="54">
        <v>2250</v>
      </c>
      <c r="I164" s="53">
        <v>0</v>
      </c>
      <c r="J164" s="54">
        <f t="shared" si="28"/>
        <v>2250</v>
      </c>
      <c r="K164" s="54">
        <f>J164*G164</f>
        <v>843750</v>
      </c>
      <c r="M164" s="45"/>
      <c r="N164" s="45"/>
      <c r="O164" s="45"/>
      <c r="P164" s="45"/>
      <c r="Q164" s="45"/>
      <c r="R164" s="45"/>
      <c r="S164" s="45"/>
      <c r="T164" s="45"/>
      <c r="U164" s="45"/>
      <c r="V164" s="45"/>
      <c r="W164" s="45"/>
      <c r="X164" s="45"/>
      <c r="Y164" s="45"/>
      <c r="Z164" s="56"/>
    </row>
    <row r="165" spans="1:26" outlineLevel="1">
      <c r="A165" s="6" t="s">
        <v>541</v>
      </c>
      <c r="B165" s="47" t="s">
        <v>542</v>
      </c>
      <c r="C165" s="47" t="s">
        <v>216</v>
      </c>
      <c r="D165" s="47" t="s">
        <v>250</v>
      </c>
      <c r="E165" s="47" t="s">
        <v>239</v>
      </c>
      <c r="F165" s="47" t="s">
        <v>108</v>
      </c>
      <c r="G165" s="47">
        <f>$Q$7</f>
        <v>1</v>
      </c>
      <c r="H165" s="54">
        <v>6000</v>
      </c>
      <c r="I165" s="63">
        <v>0</v>
      </c>
      <c r="J165" s="67">
        <f t="shared" si="28"/>
        <v>6000</v>
      </c>
      <c r="K165" s="67">
        <f>J165*G165</f>
        <v>6000</v>
      </c>
      <c r="M165" s="45"/>
      <c r="N165" s="45"/>
      <c r="O165" s="45"/>
      <c r="P165" s="45"/>
      <c r="Q165" s="45"/>
      <c r="R165" s="45"/>
      <c r="S165" s="45"/>
      <c r="T165" s="45"/>
      <c r="U165" s="45"/>
      <c r="V165" s="45"/>
      <c r="W165" s="45"/>
      <c r="X165" s="45"/>
      <c r="Y165" s="45"/>
      <c r="Z165" s="56"/>
    </row>
    <row r="166" spans="1:26">
      <c r="A166" s="1020" t="s">
        <v>534</v>
      </c>
      <c r="B166" s="65" t="s">
        <v>535</v>
      </c>
      <c r="C166" s="65"/>
      <c r="D166" s="65"/>
      <c r="E166" s="65"/>
      <c r="F166" s="65"/>
      <c r="G166" s="65"/>
      <c r="H166" s="1077"/>
      <c r="I166" s="157"/>
      <c r="J166" s="159"/>
      <c r="K166" s="159"/>
      <c r="L166" s="71">
        <f>SUM(K163:K165)</f>
        <v>1103563.3333333333</v>
      </c>
      <c r="M166" s="45"/>
      <c r="N166" s="45"/>
      <c r="O166" s="45"/>
      <c r="P166" s="45"/>
      <c r="Q166" s="45"/>
      <c r="R166" s="45"/>
      <c r="S166" s="45"/>
      <c r="T166" s="45"/>
      <c r="U166" s="45"/>
      <c r="V166" s="45"/>
      <c r="W166" s="45"/>
      <c r="X166" s="45"/>
      <c r="Y166" s="45"/>
      <c r="Z166" s="56"/>
    </row>
    <row r="167" spans="1:26" outlineLevel="1">
      <c r="A167" s="6" t="s">
        <v>549</v>
      </c>
      <c r="B167" s="47" t="s">
        <v>550</v>
      </c>
      <c r="C167" s="47" t="s">
        <v>216</v>
      </c>
      <c r="D167" s="47" t="s">
        <v>228</v>
      </c>
      <c r="E167" s="47" t="s">
        <v>326</v>
      </c>
      <c r="F167" s="47" t="s">
        <v>551</v>
      </c>
      <c r="G167" s="42">
        <f>Q4</f>
        <v>12</v>
      </c>
      <c r="H167" s="461">
        <v>41250</v>
      </c>
      <c r="I167" s="63">
        <v>0</v>
      </c>
      <c r="J167" s="67">
        <f t="shared" ref="J167:J168" si="29">H167*(1+I167)</f>
        <v>41250</v>
      </c>
      <c r="K167" s="67">
        <f>J167*G167</f>
        <v>495000</v>
      </c>
      <c r="M167" s="45"/>
      <c r="N167" s="45"/>
      <c r="O167" s="45"/>
      <c r="P167" s="45"/>
      <c r="Q167" s="45"/>
      <c r="R167" s="45"/>
      <c r="S167" s="45"/>
      <c r="T167" s="45"/>
      <c r="U167" s="45"/>
      <c r="V167" s="45"/>
      <c r="W167" s="45"/>
      <c r="X167" s="45"/>
      <c r="Y167" s="45"/>
      <c r="Z167" s="56"/>
    </row>
    <row r="168" spans="1:26" outlineLevel="1">
      <c r="A168" s="6" t="s">
        <v>553</v>
      </c>
      <c r="B168" s="47" t="s">
        <v>554</v>
      </c>
      <c r="C168" s="47" t="s">
        <v>216</v>
      </c>
      <c r="D168" s="47" t="s">
        <v>242</v>
      </c>
      <c r="E168" s="47" t="s">
        <v>555</v>
      </c>
      <c r="F168" s="47" t="s">
        <v>108</v>
      </c>
      <c r="G168" s="47">
        <f>$Q$7*2</f>
        <v>2</v>
      </c>
      <c r="H168" s="54">
        <v>6500</v>
      </c>
      <c r="I168" s="63">
        <v>0</v>
      </c>
      <c r="J168" s="67">
        <f t="shared" si="29"/>
        <v>6500</v>
      </c>
      <c r="K168" s="67">
        <f>J168*G168</f>
        <v>13000</v>
      </c>
      <c r="M168" s="45"/>
      <c r="N168" s="45"/>
      <c r="O168" s="45"/>
      <c r="P168" s="45"/>
      <c r="Q168" s="45"/>
      <c r="R168" s="45"/>
      <c r="S168" s="45"/>
      <c r="T168" s="45"/>
      <c r="U168" s="45"/>
      <c r="V168" s="45"/>
      <c r="W168" s="45"/>
      <c r="X168" s="45"/>
      <c r="Y168" s="45"/>
      <c r="Z168" s="56"/>
    </row>
    <row r="169" spans="1:26">
      <c r="A169" s="1020" t="s">
        <v>547</v>
      </c>
      <c r="B169" s="65" t="s">
        <v>548</v>
      </c>
      <c r="C169" s="65"/>
      <c r="D169" s="65"/>
      <c r="E169" s="65"/>
      <c r="F169" s="65"/>
      <c r="G169" s="65"/>
      <c r="H169" s="1077"/>
      <c r="I169" s="157"/>
      <c r="J169" s="159"/>
      <c r="K169" s="159"/>
      <c r="L169" s="71">
        <f>SUM(K167:K168)</f>
        <v>508000</v>
      </c>
      <c r="M169" s="45"/>
      <c r="N169" s="45"/>
      <c r="O169" s="45"/>
      <c r="P169" s="45"/>
      <c r="Q169" s="45"/>
      <c r="R169" s="45"/>
      <c r="S169" s="45"/>
      <c r="T169" s="45"/>
      <c r="U169" s="45"/>
      <c r="V169" s="45"/>
      <c r="W169" s="45"/>
      <c r="X169" s="45"/>
      <c r="Y169" s="45"/>
      <c r="Z169" s="56"/>
    </row>
    <row r="170" spans="1:26" outlineLevel="1">
      <c r="A170" s="6" t="s">
        <v>558</v>
      </c>
      <c r="B170" s="47" t="s">
        <v>559</v>
      </c>
      <c r="C170" s="47" t="s">
        <v>216</v>
      </c>
      <c r="D170" s="47" t="s">
        <v>228</v>
      </c>
      <c r="E170" s="47" t="s">
        <v>73</v>
      </c>
      <c r="F170" s="47" t="s">
        <v>61</v>
      </c>
      <c r="G170" s="42">
        <f t="shared" ref="G170:G183" si="30">$B$8</f>
        <v>422635</v>
      </c>
      <c r="H170" s="461">
        <v>0.1</v>
      </c>
      <c r="I170" s="63">
        <v>0</v>
      </c>
      <c r="J170" s="66">
        <f t="shared" ref="J170:J172" si="31">H170*(1+I170)</f>
        <v>0.1</v>
      </c>
      <c r="K170" s="67">
        <f>J170*G170</f>
        <v>42263.5</v>
      </c>
      <c r="M170" s="45"/>
      <c r="N170" s="45"/>
      <c r="O170" s="45"/>
      <c r="P170" s="45"/>
      <c r="Q170" s="45"/>
      <c r="R170" s="45"/>
      <c r="S170" s="45"/>
      <c r="T170" s="45"/>
      <c r="U170" s="45"/>
      <c r="V170" s="45"/>
      <c r="W170" s="45"/>
      <c r="X170" s="45"/>
      <c r="Y170" s="45"/>
      <c r="Z170" s="56"/>
    </row>
    <row r="171" spans="1:26" outlineLevel="1">
      <c r="A171" s="7" t="s">
        <v>560</v>
      </c>
      <c r="B171" s="40" t="s">
        <v>561</v>
      </c>
      <c r="C171" s="40" t="s">
        <v>216</v>
      </c>
      <c r="D171" s="40" t="s">
        <v>228</v>
      </c>
      <c r="E171" s="40" t="s">
        <v>239</v>
      </c>
      <c r="F171" s="40" t="s">
        <v>61</v>
      </c>
      <c r="G171" s="38">
        <f t="shared" si="30"/>
        <v>422635</v>
      </c>
      <c r="H171" s="54">
        <v>2.65</v>
      </c>
      <c r="I171" s="53">
        <v>0</v>
      </c>
      <c r="J171" s="51">
        <f t="shared" si="31"/>
        <v>2.65</v>
      </c>
      <c r="K171" s="54">
        <f>J171*G171</f>
        <v>1119982.75</v>
      </c>
      <c r="M171" s="45"/>
      <c r="N171" s="45"/>
      <c r="O171" s="45"/>
      <c r="P171" s="45"/>
      <c r="Q171" s="45"/>
      <c r="R171" s="45"/>
      <c r="S171" s="45"/>
      <c r="T171" s="45"/>
      <c r="U171" s="45"/>
      <c r="V171" s="45"/>
      <c r="W171" s="45"/>
      <c r="X171" s="45"/>
      <c r="Y171" s="45"/>
      <c r="Z171" s="56"/>
    </row>
    <row r="172" spans="1:26" outlineLevel="1">
      <c r="A172" s="6" t="s">
        <v>562</v>
      </c>
      <c r="B172" s="47" t="s">
        <v>563</v>
      </c>
      <c r="C172" s="47" t="s">
        <v>216</v>
      </c>
      <c r="D172" s="47" t="s">
        <v>235</v>
      </c>
      <c r="E172" s="47" t="s">
        <v>543</v>
      </c>
      <c r="F172" s="47" t="s">
        <v>108</v>
      </c>
      <c r="G172" s="47">
        <f>$W$9</f>
        <v>1</v>
      </c>
      <c r="H172" s="54">
        <v>160560</v>
      </c>
      <c r="I172" s="63">
        <v>0</v>
      </c>
      <c r="J172" s="67">
        <f t="shared" si="31"/>
        <v>160560</v>
      </c>
      <c r="K172" s="67">
        <f>J172*G172</f>
        <v>160560</v>
      </c>
      <c r="M172" s="45"/>
      <c r="N172" s="45"/>
      <c r="O172" s="45"/>
      <c r="P172" s="45"/>
      <c r="Q172" s="45"/>
      <c r="R172" s="45"/>
      <c r="S172" s="45"/>
      <c r="T172" s="45"/>
      <c r="U172" s="45"/>
      <c r="V172" s="45"/>
      <c r="W172" s="45"/>
      <c r="X172" s="45"/>
      <c r="Y172" s="45"/>
      <c r="Z172" s="56"/>
    </row>
    <row r="173" spans="1:26">
      <c r="A173" s="1020" t="s">
        <v>556</v>
      </c>
      <c r="B173" s="65" t="s">
        <v>557</v>
      </c>
      <c r="C173" s="65"/>
      <c r="D173" s="65"/>
      <c r="E173" s="65"/>
      <c r="F173" s="65"/>
      <c r="G173" s="65"/>
      <c r="H173" s="1077"/>
      <c r="I173" s="157"/>
      <c r="J173" s="159"/>
      <c r="K173" s="159"/>
      <c r="L173" s="71">
        <f>SUM(K170:K172)</f>
        <v>1322806.25</v>
      </c>
      <c r="M173" s="45"/>
      <c r="N173" s="45"/>
      <c r="O173" s="45"/>
      <c r="P173" s="45"/>
      <c r="Q173" s="45"/>
      <c r="R173" s="45"/>
      <c r="S173" s="45"/>
      <c r="T173" s="45"/>
      <c r="U173" s="45"/>
      <c r="V173" s="45"/>
      <c r="W173" s="45"/>
      <c r="X173" s="45"/>
      <c r="Y173" s="45"/>
      <c r="Z173" s="56"/>
    </row>
    <row r="174" spans="1:26" outlineLevel="1">
      <c r="A174" s="6" t="s">
        <v>566</v>
      </c>
      <c r="B174" s="47" t="s">
        <v>567</v>
      </c>
      <c r="C174" s="47" t="s">
        <v>216</v>
      </c>
      <c r="D174" s="47" t="s">
        <v>228</v>
      </c>
      <c r="E174" s="47" t="s">
        <v>326</v>
      </c>
      <c r="F174" s="47" t="s">
        <v>108</v>
      </c>
      <c r="G174" s="42">
        <f>SUM(E3:E5)</f>
        <v>227</v>
      </c>
      <c r="H174" s="461">
        <v>10250</v>
      </c>
      <c r="I174" s="63">
        <v>0</v>
      </c>
      <c r="J174" s="67">
        <f t="shared" ref="J174:J178" si="32">H174*(1+I174)</f>
        <v>10250</v>
      </c>
      <c r="K174" s="67">
        <f>J174*G174</f>
        <v>2326750</v>
      </c>
      <c r="L174" s="194"/>
      <c r="M174" s="45"/>
      <c r="N174" s="45"/>
      <c r="O174" s="45"/>
      <c r="P174" s="45"/>
      <c r="Q174" s="45"/>
      <c r="R174" s="45"/>
      <c r="S174" s="45"/>
      <c r="T174" s="45"/>
      <c r="U174" s="45"/>
      <c r="V174" s="45"/>
      <c r="W174" s="45"/>
      <c r="X174" s="45"/>
      <c r="Y174" s="45"/>
      <c r="Z174" s="56"/>
    </row>
    <row r="175" spans="1:26" outlineLevel="1">
      <c r="A175" s="7" t="s">
        <v>569</v>
      </c>
      <c r="B175" s="40" t="s">
        <v>567</v>
      </c>
      <c r="C175" s="40" t="s">
        <v>216</v>
      </c>
      <c r="D175" s="40" t="s">
        <v>228</v>
      </c>
      <c r="E175" s="47" t="s">
        <v>326</v>
      </c>
      <c r="F175" s="40" t="s">
        <v>108</v>
      </c>
      <c r="G175" s="38">
        <f>SUM(E6:E7)</f>
        <v>163</v>
      </c>
      <c r="H175" s="54">
        <v>15600</v>
      </c>
      <c r="I175" s="53">
        <v>0</v>
      </c>
      <c r="J175" s="54">
        <f t="shared" si="32"/>
        <v>15600</v>
      </c>
      <c r="K175" s="54">
        <f>J175*G175</f>
        <v>2542800</v>
      </c>
      <c r="L175" s="194"/>
      <c r="M175" s="45"/>
      <c r="N175" s="45"/>
      <c r="O175" s="45"/>
      <c r="P175" s="45"/>
      <c r="Q175" s="45"/>
      <c r="R175" s="45"/>
      <c r="S175" s="45"/>
      <c r="T175" s="45"/>
      <c r="U175" s="45"/>
      <c r="V175" s="45"/>
      <c r="W175" s="45"/>
      <c r="X175" s="45"/>
      <c r="Y175" s="45"/>
      <c r="Z175" s="56"/>
    </row>
    <row r="176" spans="1:26" outlineLevel="1">
      <c r="A176" s="7" t="s">
        <v>571</v>
      </c>
      <c r="B176" s="40" t="s">
        <v>567</v>
      </c>
      <c r="C176" s="40" t="s">
        <v>216</v>
      </c>
      <c r="D176" s="40" t="s">
        <v>235</v>
      </c>
      <c r="E176" s="40" t="s">
        <v>73</v>
      </c>
      <c r="F176" s="40" t="s">
        <v>71</v>
      </c>
      <c r="G176" s="38">
        <v>1</v>
      </c>
      <c r="H176" s="54">
        <v>5000</v>
      </c>
      <c r="I176" s="53">
        <v>0</v>
      </c>
      <c r="J176" s="54">
        <f t="shared" si="32"/>
        <v>5000</v>
      </c>
      <c r="K176" s="54">
        <f>J176*G176</f>
        <v>5000</v>
      </c>
      <c r="M176" s="45"/>
      <c r="N176" s="45"/>
      <c r="O176" s="45"/>
      <c r="P176" s="45"/>
      <c r="Q176" s="45"/>
      <c r="R176" s="45"/>
      <c r="S176" s="45"/>
      <c r="T176" s="45"/>
      <c r="U176" s="45"/>
      <c r="V176" s="45"/>
      <c r="W176" s="45"/>
      <c r="X176" s="45"/>
      <c r="Y176" s="45"/>
      <c r="Z176" s="56"/>
    </row>
    <row r="177" spans="1:26" outlineLevel="1">
      <c r="A177" s="7" t="s">
        <v>572</v>
      </c>
      <c r="B177" s="40" t="s">
        <v>573</v>
      </c>
      <c r="C177" s="40" t="s">
        <v>216</v>
      </c>
      <c r="D177" s="40" t="s">
        <v>242</v>
      </c>
      <c r="E177" s="40" t="s">
        <v>73</v>
      </c>
      <c r="F177" s="40" t="s">
        <v>71</v>
      </c>
      <c r="G177" s="38">
        <v>1</v>
      </c>
      <c r="H177" s="54">
        <v>20000</v>
      </c>
      <c r="I177" s="53">
        <v>0</v>
      </c>
      <c r="J177" s="54">
        <f t="shared" si="32"/>
        <v>20000</v>
      </c>
      <c r="K177" s="54">
        <f>J177*G177</f>
        <v>20000</v>
      </c>
      <c r="L177" s="668"/>
      <c r="M177" s="45"/>
      <c r="N177" s="45"/>
      <c r="O177" s="45"/>
      <c r="P177" s="45"/>
      <c r="Q177" s="45"/>
      <c r="R177" s="45"/>
      <c r="S177" s="45"/>
      <c r="T177" s="45"/>
      <c r="U177" s="45"/>
      <c r="V177" s="45"/>
      <c r="W177" s="45"/>
      <c r="X177" s="45"/>
      <c r="Y177" s="45"/>
      <c r="Z177" s="56"/>
    </row>
    <row r="178" spans="1:26" outlineLevel="1">
      <c r="A178" s="6" t="s">
        <v>575</v>
      </c>
      <c r="B178" s="47" t="s">
        <v>576</v>
      </c>
      <c r="C178" s="47" t="s">
        <v>216</v>
      </c>
      <c r="D178" s="47" t="s">
        <v>250</v>
      </c>
      <c r="E178" s="47" t="s">
        <v>73</v>
      </c>
      <c r="F178" s="47" t="s">
        <v>71</v>
      </c>
      <c r="G178" s="47">
        <f>$Q$7</f>
        <v>1</v>
      </c>
      <c r="H178" s="54">
        <v>6000</v>
      </c>
      <c r="I178" s="63">
        <v>0</v>
      </c>
      <c r="J178" s="67">
        <f t="shared" si="32"/>
        <v>6000</v>
      </c>
      <c r="K178" s="67">
        <f>J178*G178</f>
        <v>6000</v>
      </c>
      <c r="M178" s="45"/>
      <c r="N178" s="45"/>
      <c r="O178" s="45"/>
      <c r="P178" s="45"/>
      <c r="Q178" s="45"/>
      <c r="R178" s="45"/>
      <c r="S178" s="45"/>
      <c r="T178" s="45"/>
      <c r="U178" s="45"/>
      <c r="V178" s="45"/>
      <c r="W178" s="45"/>
      <c r="X178" s="45"/>
      <c r="Y178" s="45"/>
      <c r="Z178" s="56"/>
    </row>
    <row r="179" spans="1:26">
      <c r="A179" s="1020" t="s">
        <v>564</v>
      </c>
      <c r="B179" s="65" t="s">
        <v>565</v>
      </c>
      <c r="C179" s="65"/>
      <c r="D179" s="65"/>
      <c r="E179" s="65"/>
      <c r="F179" s="65"/>
      <c r="G179" s="65"/>
      <c r="H179" s="1077"/>
      <c r="I179" s="157"/>
      <c r="J179" s="159"/>
      <c r="K179" s="159"/>
      <c r="L179" s="71">
        <f>SUM(K174:K178)</f>
        <v>4900550</v>
      </c>
      <c r="M179" s="45"/>
      <c r="N179" s="45"/>
      <c r="O179" s="45"/>
      <c r="P179" s="45"/>
      <c r="Q179" s="45"/>
      <c r="R179" s="45"/>
      <c r="S179" s="45"/>
      <c r="T179" s="45"/>
      <c r="U179" s="45"/>
      <c r="V179" s="45"/>
      <c r="W179" s="45"/>
      <c r="X179" s="45"/>
      <c r="Y179" s="45"/>
      <c r="Z179" s="56"/>
    </row>
    <row r="180" spans="1:26" outlineLevel="1">
      <c r="A180" s="6" t="s">
        <v>582</v>
      </c>
      <c r="B180" s="47" t="s">
        <v>583</v>
      </c>
      <c r="C180" s="47" t="s">
        <v>216</v>
      </c>
      <c r="D180" s="47" t="s">
        <v>228</v>
      </c>
      <c r="E180" s="47" t="s">
        <v>239</v>
      </c>
      <c r="F180" s="47" t="s">
        <v>88</v>
      </c>
      <c r="G180" s="42">
        <f>$E$8</f>
        <v>390</v>
      </c>
      <c r="H180" s="461">
        <f>AVERAGE('Comparison to Other'!H10:I10)</f>
        <v>10558.306410256409</v>
      </c>
      <c r="I180" s="63">
        <v>0</v>
      </c>
      <c r="J180" s="67">
        <f>H180*(1+I180)</f>
        <v>10558.306410256409</v>
      </c>
      <c r="K180" s="67">
        <f>J180*G180</f>
        <v>4117739.4999999995</v>
      </c>
      <c r="L180" s="112"/>
      <c r="M180" s="45" t="s">
        <v>991</v>
      </c>
      <c r="N180" s="45"/>
      <c r="O180" s="45"/>
      <c r="P180" s="45"/>
      <c r="Q180" s="45"/>
      <c r="R180" s="45"/>
      <c r="S180" s="45"/>
      <c r="T180" s="45"/>
      <c r="U180" s="45"/>
      <c r="V180" s="45"/>
      <c r="W180" s="45"/>
      <c r="X180" s="45"/>
      <c r="Y180" s="45"/>
      <c r="Z180" s="56"/>
    </row>
    <row r="181" spans="1:26" outlineLevel="1">
      <c r="A181" s="6" t="s">
        <v>586</v>
      </c>
      <c r="B181" s="47" t="s">
        <v>583</v>
      </c>
      <c r="C181" s="47" t="s">
        <v>216</v>
      </c>
      <c r="D181" s="47" t="s">
        <v>235</v>
      </c>
      <c r="E181" s="47" t="s">
        <v>73</v>
      </c>
      <c r="F181" s="47" t="s">
        <v>71</v>
      </c>
      <c r="G181" s="47">
        <v>1</v>
      </c>
      <c r="H181" s="54">
        <v>15000</v>
      </c>
      <c r="I181" s="63">
        <v>0</v>
      </c>
      <c r="J181" s="67">
        <f>H181*(1+I181)</f>
        <v>15000</v>
      </c>
      <c r="K181" s="67">
        <f>J181*G181</f>
        <v>15000</v>
      </c>
      <c r="M181" s="45"/>
      <c r="N181" s="45"/>
      <c r="O181" s="45"/>
      <c r="P181" s="45"/>
      <c r="Q181" s="45"/>
      <c r="R181" s="45"/>
      <c r="S181" s="45"/>
      <c r="T181" s="45"/>
      <c r="U181" s="45"/>
      <c r="V181" s="45"/>
      <c r="W181" s="45"/>
      <c r="X181" s="45"/>
      <c r="Y181" s="45"/>
      <c r="Z181" s="56"/>
    </row>
    <row r="182" spans="1:26">
      <c r="A182" s="1020" t="s">
        <v>577</v>
      </c>
      <c r="B182" s="65" t="s">
        <v>578</v>
      </c>
      <c r="C182" s="65"/>
      <c r="D182" s="65"/>
      <c r="E182" s="65"/>
      <c r="F182" s="65"/>
      <c r="G182" s="65"/>
      <c r="H182" s="1077"/>
      <c r="I182" s="157"/>
      <c r="J182" s="159"/>
      <c r="K182" s="159"/>
      <c r="L182" s="71">
        <f>SUM(K180:K181)</f>
        <v>4132739.4999999995</v>
      </c>
      <c r="M182" s="45"/>
      <c r="N182" s="45"/>
      <c r="O182" s="45"/>
      <c r="P182" s="45"/>
      <c r="Q182" s="45"/>
      <c r="R182" s="45"/>
      <c r="S182" s="45"/>
      <c r="T182" s="45"/>
      <c r="U182" s="45"/>
      <c r="V182" s="45"/>
      <c r="W182" s="45"/>
      <c r="X182" s="45"/>
      <c r="Y182" s="45"/>
      <c r="Z182" s="56"/>
    </row>
    <row r="183" spans="1:26" outlineLevel="1">
      <c r="A183" s="6" t="s">
        <v>590</v>
      </c>
      <c r="B183" s="47" t="s">
        <v>591</v>
      </c>
      <c r="C183" s="47" t="s">
        <v>216</v>
      </c>
      <c r="D183" s="47" t="s">
        <v>228</v>
      </c>
      <c r="E183" s="47" t="s">
        <v>312</v>
      </c>
      <c r="F183" s="47" t="s">
        <v>61</v>
      </c>
      <c r="G183" s="42">
        <f t="shared" si="30"/>
        <v>422635</v>
      </c>
      <c r="H183" s="61">
        <f>'Comparison to Other'!K9</f>
        <v>11.327125454982825</v>
      </c>
      <c r="I183" s="63">
        <v>0</v>
      </c>
      <c r="J183" s="66">
        <f t="shared" ref="J183:J198" si="33">H183*(1+I183)</f>
        <v>11.327125454982825</v>
      </c>
      <c r="K183" s="380">
        <f t="shared" ref="K183:K198" si="34">J183*G183</f>
        <v>4787239.666666666</v>
      </c>
      <c r="L183" s="194"/>
      <c r="M183" s="45" t="s">
        <v>998</v>
      </c>
      <c r="N183" s="178"/>
      <c r="O183" s="178"/>
      <c r="P183" s="45"/>
      <c r="Q183" s="45"/>
      <c r="R183" s="45"/>
      <c r="S183" s="45"/>
      <c r="T183" s="45"/>
      <c r="U183" s="45"/>
      <c r="V183" s="45"/>
      <c r="W183" s="45"/>
      <c r="X183" s="45"/>
      <c r="Y183" s="45"/>
      <c r="Z183" s="56"/>
    </row>
    <row r="184" spans="1:26" outlineLevel="1">
      <c r="A184" s="7" t="s">
        <v>594</v>
      </c>
      <c r="B184" s="40" t="s">
        <v>595</v>
      </c>
      <c r="C184" s="40" t="s">
        <v>216</v>
      </c>
      <c r="D184" s="40" t="s">
        <v>228</v>
      </c>
      <c r="E184" s="40" t="s">
        <v>239</v>
      </c>
      <c r="F184" s="40" t="s">
        <v>88</v>
      </c>
      <c r="G184" s="38">
        <f>$E$8</f>
        <v>390</v>
      </c>
      <c r="H184" s="54">
        <v>600</v>
      </c>
      <c r="I184" s="53">
        <v>0</v>
      </c>
      <c r="J184" s="54">
        <f t="shared" si="33"/>
        <v>600</v>
      </c>
      <c r="K184" s="54">
        <f t="shared" si="34"/>
        <v>234000</v>
      </c>
      <c r="M184" s="45"/>
      <c r="N184" s="45"/>
      <c r="O184" s="45"/>
      <c r="P184" s="45"/>
      <c r="Q184" s="45"/>
      <c r="R184" s="45"/>
      <c r="S184" s="45"/>
      <c r="T184" s="45"/>
      <c r="U184" s="45"/>
      <c r="V184" s="45"/>
      <c r="W184" s="45"/>
      <c r="X184" s="45"/>
      <c r="Y184" s="45"/>
      <c r="Z184" s="56"/>
    </row>
    <row r="185" spans="1:26" outlineLevel="1">
      <c r="A185" s="7" t="s">
        <v>597</v>
      </c>
      <c r="B185" s="40" t="s">
        <v>598</v>
      </c>
      <c r="C185" s="40" t="s">
        <v>216</v>
      </c>
      <c r="D185" s="40" t="s">
        <v>228</v>
      </c>
      <c r="E185" s="40" t="s">
        <v>73</v>
      </c>
      <c r="F185" s="40" t="s">
        <v>88</v>
      </c>
      <c r="G185" s="38">
        <f>$E$8</f>
        <v>390</v>
      </c>
      <c r="H185" s="54">
        <v>150</v>
      </c>
      <c r="I185" s="53">
        <v>0</v>
      </c>
      <c r="J185" s="54">
        <f t="shared" si="33"/>
        <v>150</v>
      </c>
      <c r="K185" s="54">
        <f t="shared" si="34"/>
        <v>58500</v>
      </c>
      <c r="L185" s="190"/>
      <c r="M185" s="45"/>
      <c r="N185" s="45"/>
      <c r="O185" s="45"/>
      <c r="P185" s="45"/>
      <c r="Q185" s="45"/>
      <c r="R185" s="45"/>
      <c r="S185" s="45"/>
      <c r="T185" s="45"/>
      <c r="U185" s="45"/>
      <c r="V185" s="45"/>
      <c r="W185" s="45"/>
      <c r="X185" s="45"/>
      <c r="Y185" s="45"/>
      <c r="Z185" s="56"/>
    </row>
    <row r="186" spans="1:26" outlineLevel="1">
      <c r="A186" s="7" t="s">
        <v>599</v>
      </c>
      <c r="B186" s="40" t="s">
        <v>600</v>
      </c>
      <c r="C186" s="40" t="s">
        <v>216</v>
      </c>
      <c r="D186" s="40" t="s">
        <v>228</v>
      </c>
      <c r="E186" s="40" t="s">
        <v>73</v>
      </c>
      <c r="F186" s="40" t="s">
        <v>88</v>
      </c>
      <c r="G186" s="38">
        <f>$E$8</f>
        <v>390</v>
      </c>
      <c r="H186" s="54">
        <v>125</v>
      </c>
      <c r="I186" s="53">
        <v>0</v>
      </c>
      <c r="J186" s="54">
        <f t="shared" si="33"/>
        <v>125</v>
      </c>
      <c r="K186" s="54">
        <f t="shared" si="34"/>
        <v>48750</v>
      </c>
      <c r="L186" s="112"/>
      <c r="M186" s="45"/>
      <c r="N186" s="45"/>
      <c r="O186" s="45"/>
      <c r="P186" s="45"/>
      <c r="Q186" s="45"/>
      <c r="R186" s="45"/>
      <c r="S186" s="45"/>
      <c r="T186" s="45"/>
      <c r="U186" s="45"/>
      <c r="V186" s="45"/>
      <c r="W186" s="45"/>
      <c r="X186" s="45"/>
      <c r="Y186" s="45"/>
      <c r="Z186" s="56"/>
    </row>
    <row r="187" spans="1:26" outlineLevel="1">
      <c r="A187" s="7" t="s">
        <v>601</v>
      </c>
      <c r="B187" s="40" t="s">
        <v>591</v>
      </c>
      <c r="C187" s="40" t="s">
        <v>216</v>
      </c>
      <c r="D187" s="40" t="s">
        <v>473</v>
      </c>
      <c r="E187" s="40" t="s">
        <v>73</v>
      </c>
      <c r="F187" s="40" t="s">
        <v>602</v>
      </c>
      <c r="G187" s="38">
        <f>$Q$13</f>
        <v>375</v>
      </c>
      <c r="H187" s="54">
        <v>200</v>
      </c>
      <c r="I187" s="53">
        <v>0</v>
      </c>
      <c r="J187" s="54">
        <f t="shared" si="33"/>
        <v>200</v>
      </c>
      <c r="K187" s="205">
        <f t="shared" si="34"/>
        <v>75000</v>
      </c>
      <c r="M187" s="45"/>
      <c r="N187" s="45"/>
      <c r="O187" s="45"/>
      <c r="P187" s="45"/>
      <c r="Q187" s="45"/>
      <c r="R187" s="45"/>
      <c r="S187" s="45"/>
      <c r="T187" s="45"/>
      <c r="U187" s="45"/>
      <c r="V187" s="45"/>
      <c r="W187" s="45"/>
      <c r="X187" s="45"/>
      <c r="Y187" s="45"/>
      <c r="Z187" s="56"/>
    </row>
    <row r="188" spans="1:26" outlineLevel="1">
      <c r="A188" s="7" t="s">
        <v>604</v>
      </c>
      <c r="B188" s="40" t="s">
        <v>595</v>
      </c>
      <c r="C188" s="40" t="s">
        <v>216</v>
      </c>
      <c r="D188" s="40" t="s">
        <v>473</v>
      </c>
      <c r="E188" s="40" t="s">
        <v>73</v>
      </c>
      <c r="F188" s="40" t="s">
        <v>602</v>
      </c>
      <c r="G188" s="38">
        <f>$Q$13</f>
        <v>375</v>
      </c>
      <c r="H188" s="54">
        <v>100</v>
      </c>
      <c r="I188" s="53">
        <v>0</v>
      </c>
      <c r="J188" s="54">
        <f t="shared" si="33"/>
        <v>100</v>
      </c>
      <c r="K188" s="54">
        <f t="shared" si="34"/>
        <v>37500</v>
      </c>
      <c r="M188" s="45"/>
      <c r="N188" s="45"/>
      <c r="O188" s="45"/>
      <c r="P188" s="45"/>
      <c r="Q188" s="45"/>
      <c r="R188" s="45"/>
      <c r="S188" s="45"/>
      <c r="T188" s="45"/>
      <c r="U188" s="45"/>
      <c r="V188" s="45"/>
      <c r="W188" s="45"/>
      <c r="X188" s="45"/>
      <c r="Y188" s="45"/>
      <c r="Z188" s="56"/>
    </row>
    <row r="189" spans="1:26" outlineLevel="1">
      <c r="A189" s="7" t="s">
        <v>605</v>
      </c>
      <c r="B189" s="40" t="s">
        <v>591</v>
      </c>
      <c r="C189" s="40" t="s">
        <v>216</v>
      </c>
      <c r="D189" s="40" t="s">
        <v>242</v>
      </c>
      <c r="E189" s="40" t="s">
        <v>73</v>
      </c>
      <c r="F189" s="40" t="s">
        <v>71</v>
      </c>
      <c r="G189" s="38">
        <v>1</v>
      </c>
      <c r="H189" s="54">
        <v>10000</v>
      </c>
      <c r="I189" s="53">
        <v>0</v>
      </c>
      <c r="J189" s="54">
        <f t="shared" si="33"/>
        <v>10000</v>
      </c>
      <c r="K189" s="54">
        <f t="shared" si="34"/>
        <v>10000</v>
      </c>
      <c r="M189" s="45"/>
      <c r="N189" s="45"/>
      <c r="O189" s="45"/>
      <c r="P189" s="45"/>
      <c r="Q189" s="45"/>
      <c r="R189" s="45"/>
      <c r="S189" s="45"/>
      <c r="T189" s="45"/>
      <c r="U189" s="45"/>
      <c r="V189" s="45"/>
      <c r="W189" s="45"/>
      <c r="X189" s="45"/>
      <c r="Y189" s="45"/>
      <c r="Z189" s="56"/>
    </row>
    <row r="190" spans="1:26" outlineLevel="1">
      <c r="A190" s="7" t="s">
        <v>606</v>
      </c>
      <c r="B190" s="40" t="s">
        <v>607</v>
      </c>
      <c r="C190" s="40" t="s">
        <v>216</v>
      </c>
      <c r="D190" s="40" t="s">
        <v>242</v>
      </c>
      <c r="E190" s="40" t="s">
        <v>73</v>
      </c>
      <c r="F190" s="40" t="s">
        <v>71</v>
      </c>
      <c r="G190" s="38">
        <v>1</v>
      </c>
      <c r="H190" s="54">
        <v>7500</v>
      </c>
      <c r="I190" s="53">
        <v>0</v>
      </c>
      <c r="J190" s="54">
        <f t="shared" si="33"/>
        <v>7500</v>
      </c>
      <c r="K190" s="54">
        <f t="shared" si="34"/>
        <v>7500</v>
      </c>
      <c r="M190" s="45"/>
      <c r="N190" s="45"/>
      <c r="O190" s="45"/>
      <c r="P190" s="45"/>
      <c r="Q190" s="45"/>
      <c r="R190" s="45"/>
      <c r="S190" s="45"/>
      <c r="T190" s="45"/>
      <c r="U190" s="45"/>
      <c r="V190" s="45"/>
      <c r="W190" s="45"/>
      <c r="X190" s="45"/>
      <c r="Y190" s="45"/>
      <c r="Z190" s="56"/>
    </row>
    <row r="191" spans="1:26" outlineLevel="1">
      <c r="A191" s="7" t="s">
        <v>608</v>
      </c>
      <c r="B191" s="40" t="s">
        <v>609</v>
      </c>
      <c r="C191" s="40" t="s">
        <v>216</v>
      </c>
      <c r="D191" s="40" t="s">
        <v>481</v>
      </c>
      <c r="E191" s="40" t="s">
        <v>71</v>
      </c>
      <c r="F191" s="40" t="s">
        <v>71</v>
      </c>
      <c r="G191" s="38">
        <v>1</v>
      </c>
      <c r="H191" s="54">
        <v>315398.25</v>
      </c>
      <c r="I191" s="53">
        <v>0</v>
      </c>
      <c r="J191" s="54">
        <f>H191*(1+I191)</f>
        <v>315398.25</v>
      </c>
      <c r="K191" s="54">
        <f t="shared" si="34"/>
        <v>315398.25</v>
      </c>
      <c r="M191" s="45"/>
      <c r="N191" s="45"/>
      <c r="O191" s="45"/>
      <c r="P191" s="45"/>
      <c r="Q191" s="45"/>
      <c r="R191" s="45"/>
      <c r="S191" s="45"/>
      <c r="T191" s="45"/>
      <c r="U191" s="45"/>
      <c r="V191" s="45"/>
      <c r="W191" s="45"/>
      <c r="X191" s="45"/>
      <c r="Y191" s="45"/>
      <c r="Z191" s="56"/>
    </row>
    <row r="192" spans="1:26" outlineLevel="1">
      <c r="A192" s="7" t="s">
        <v>613</v>
      </c>
      <c r="B192" s="40" t="s">
        <v>614</v>
      </c>
      <c r="C192" s="40" t="s">
        <v>216</v>
      </c>
      <c r="D192" s="40" t="s">
        <v>223</v>
      </c>
      <c r="E192" s="40" t="s">
        <v>73</v>
      </c>
      <c r="F192" s="40" t="s">
        <v>615</v>
      </c>
      <c r="G192" s="183">
        <f>$B$9</f>
        <v>15.826000000000001</v>
      </c>
      <c r="H192" s="54">
        <v>2500</v>
      </c>
      <c r="I192" s="53">
        <v>0</v>
      </c>
      <c r="J192" s="54">
        <f t="shared" si="33"/>
        <v>2500</v>
      </c>
      <c r="K192" s="205">
        <f t="shared" si="34"/>
        <v>39565</v>
      </c>
      <c r="M192" s="45"/>
      <c r="N192" s="45"/>
      <c r="O192" s="45"/>
      <c r="P192" s="45"/>
      <c r="Q192" s="45"/>
      <c r="R192" s="45"/>
      <c r="S192" s="45"/>
      <c r="T192" s="45"/>
      <c r="U192" s="45"/>
      <c r="V192" s="45"/>
      <c r="W192" s="45"/>
      <c r="X192" s="45"/>
      <c r="Y192" s="45"/>
      <c r="Z192" s="56"/>
    </row>
    <row r="193" spans="1:26" outlineLevel="1">
      <c r="A193" s="7" t="s">
        <v>617</v>
      </c>
      <c r="B193" s="40" t="s">
        <v>618</v>
      </c>
      <c r="C193" s="40" t="s">
        <v>216</v>
      </c>
      <c r="D193" s="40" t="s">
        <v>223</v>
      </c>
      <c r="E193" s="40" t="s">
        <v>73</v>
      </c>
      <c r="F193" s="40" t="s">
        <v>615</v>
      </c>
      <c r="G193" s="183">
        <f>$B$9</f>
        <v>15.826000000000001</v>
      </c>
      <c r="H193" s="54">
        <v>2500</v>
      </c>
      <c r="I193" s="53">
        <v>0</v>
      </c>
      <c r="J193" s="54">
        <f t="shared" si="33"/>
        <v>2500</v>
      </c>
      <c r="K193" s="54">
        <f t="shared" si="34"/>
        <v>39565</v>
      </c>
      <c r="M193" s="45"/>
      <c r="N193" s="45"/>
      <c r="O193" s="45"/>
      <c r="P193" s="45"/>
      <c r="Q193" s="45"/>
      <c r="R193" s="45"/>
      <c r="S193" s="45"/>
      <c r="T193" s="45"/>
      <c r="U193" s="45"/>
      <c r="V193" s="45"/>
      <c r="W193" s="45"/>
      <c r="X193" s="45"/>
      <c r="Y193" s="45"/>
      <c r="Z193" s="56"/>
    </row>
    <row r="194" spans="1:26" outlineLevel="1">
      <c r="A194" s="7" t="s">
        <v>619</v>
      </c>
      <c r="B194" s="40" t="s">
        <v>620</v>
      </c>
      <c r="C194" s="40" t="s">
        <v>216</v>
      </c>
      <c r="D194" s="40" t="s">
        <v>242</v>
      </c>
      <c r="E194" s="40" t="s">
        <v>73</v>
      </c>
      <c r="F194" s="40" t="s">
        <v>71</v>
      </c>
      <c r="G194" s="38">
        <v>4</v>
      </c>
      <c r="H194" s="54">
        <v>12500</v>
      </c>
      <c r="I194" s="53">
        <v>0</v>
      </c>
      <c r="J194" s="54">
        <f t="shared" si="33"/>
        <v>12500</v>
      </c>
      <c r="K194" s="205">
        <f t="shared" si="34"/>
        <v>50000</v>
      </c>
      <c r="M194" s="45"/>
      <c r="N194" s="45"/>
      <c r="O194" s="45"/>
      <c r="P194" s="45"/>
      <c r="Q194" s="45"/>
      <c r="R194" s="45"/>
      <c r="S194" s="45"/>
      <c r="T194" s="45"/>
      <c r="U194" s="45"/>
      <c r="V194" s="45"/>
      <c r="W194" s="45"/>
      <c r="X194" s="45"/>
      <c r="Y194" s="45"/>
      <c r="Z194" s="56"/>
    </row>
    <row r="195" spans="1:26" outlineLevel="1">
      <c r="A195" s="7" t="s">
        <v>621</v>
      </c>
      <c r="B195" s="40" t="s">
        <v>622</v>
      </c>
      <c r="C195" s="40" t="s">
        <v>216</v>
      </c>
      <c r="D195" s="40" t="s">
        <v>242</v>
      </c>
      <c r="E195" s="40" t="s">
        <v>73</v>
      </c>
      <c r="F195" s="40" t="s">
        <v>71</v>
      </c>
      <c r="G195" s="38">
        <v>4</v>
      </c>
      <c r="H195" s="54">
        <v>5000</v>
      </c>
      <c r="I195" s="53">
        <v>0</v>
      </c>
      <c r="J195" s="54">
        <f t="shared" si="33"/>
        <v>5000</v>
      </c>
      <c r="K195" s="54">
        <f t="shared" si="34"/>
        <v>20000</v>
      </c>
      <c r="M195" s="45"/>
      <c r="N195" s="45"/>
      <c r="O195" s="45"/>
      <c r="P195" s="45"/>
      <c r="Q195" s="45"/>
      <c r="R195" s="45"/>
      <c r="S195" s="45"/>
      <c r="T195" s="45"/>
      <c r="U195" s="45"/>
      <c r="V195" s="45"/>
      <c r="W195" s="45"/>
      <c r="X195" s="45"/>
      <c r="Y195" s="45"/>
      <c r="Z195" s="56"/>
    </row>
    <row r="196" spans="1:26" outlineLevel="1">
      <c r="A196" s="7" t="s">
        <v>623</v>
      </c>
      <c r="B196" s="40" t="s">
        <v>624</v>
      </c>
      <c r="C196" s="40" t="s">
        <v>216</v>
      </c>
      <c r="D196" s="40" t="s">
        <v>250</v>
      </c>
      <c r="E196" s="40" t="s">
        <v>73</v>
      </c>
      <c r="F196" s="40" t="s">
        <v>71</v>
      </c>
      <c r="G196" s="38">
        <f>$Q$7</f>
        <v>1</v>
      </c>
      <c r="H196" s="54">
        <v>2500</v>
      </c>
      <c r="I196" s="53">
        <v>0</v>
      </c>
      <c r="J196" s="54">
        <f t="shared" si="33"/>
        <v>2500</v>
      </c>
      <c r="K196" s="205">
        <f t="shared" si="34"/>
        <v>2500</v>
      </c>
      <c r="M196" s="45"/>
      <c r="N196" s="45"/>
      <c r="O196" s="45"/>
      <c r="P196" s="45"/>
      <c r="Q196" s="45"/>
      <c r="R196" s="45"/>
      <c r="S196" s="45"/>
      <c r="T196" s="45"/>
      <c r="U196" s="45"/>
      <c r="V196" s="45"/>
      <c r="W196" s="45"/>
      <c r="X196" s="45"/>
      <c r="Y196" s="45"/>
      <c r="Z196" s="56"/>
    </row>
    <row r="197" spans="1:26" outlineLevel="1">
      <c r="A197" s="7" t="s">
        <v>625</v>
      </c>
      <c r="B197" s="40" t="s">
        <v>591</v>
      </c>
      <c r="C197" s="40" t="s">
        <v>216</v>
      </c>
      <c r="D197" s="40" t="s">
        <v>235</v>
      </c>
      <c r="E197" s="40" t="s">
        <v>73</v>
      </c>
      <c r="F197" s="40" t="s">
        <v>71</v>
      </c>
      <c r="G197" s="38">
        <f>$W$9</f>
        <v>1</v>
      </c>
      <c r="H197" s="54">
        <v>14250</v>
      </c>
      <c r="I197" s="53">
        <v>0</v>
      </c>
      <c r="J197" s="54">
        <f t="shared" si="33"/>
        <v>14250</v>
      </c>
      <c r="K197" s="205">
        <f t="shared" si="34"/>
        <v>14250</v>
      </c>
      <c r="M197" s="45"/>
      <c r="N197" s="45"/>
      <c r="O197" s="45"/>
      <c r="P197" s="45"/>
      <c r="Q197" s="45"/>
      <c r="R197" s="45"/>
      <c r="S197" s="45"/>
      <c r="T197" s="45"/>
      <c r="U197" s="45"/>
      <c r="V197" s="45"/>
      <c r="W197" s="45"/>
      <c r="X197" s="45"/>
      <c r="Y197" s="45"/>
      <c r="Z197" s="56"/>
    </row>
    <row r="198" spans="1:26" outlineLevel="1">
      <c r="A198" s="6" t="s">
        <v>626</v>
      </c>
      <c r="B198" s="47" t="s">
        <v>595</v>
      </c>
      <c r="C198" s="47" t="s">
        <v>216</v>
      </c>
      <c r="D198" s="47" t="s">
        <v>235</v>
      </c>
      <c r="E198" s="47" t="s">
        <v>73</v>
      </c>
      <c r="F198" s="47" t="s">
        <v>71</v>
      </c>
      <c r="G198" s="47">
        <f>$W$9</f>
        <v>1</v>
      </c>
      <c r="H198" s="54">
        <v>1500</v>
      </c>
      <c r="I198" s="63">
        <v>0</v>
      </c>
      <c r="J198" s="67">
        <f t="shared" si="33"/>
        <v>1500</v>
      </c>
      <c r="K198" s="67">
        <f t="shared" si="34"/>
        <v>1500</v>
      </c>
      <c r="M198" s="45"/>
      <c r="N198" s="45"/>
      <c r="O198" s="45"/>
      <c r="P198" s="45"/>
      <c r="Q198" s="45"/>
      <c r="R198" s="45"/>
      <c r="S198" s="45"/>
      <c r="T198" s="45"/>
      <c r="U198" s="45"/>
      <c r="V198" s="45"/>
      <c r="W198" s="45"/>
      <c r="X198" s="45"/>
      <c r="Y198" s="45"/>
      <c r="Z198" s="56"/>
    </row>
    <row r="199" spans="1:26">
      <c r="A199" s="1020" t="s">
        <v>587</v>
      </c>
      <c r="B199" s="65" t="s">
        <v>588</v>
      </c>
      <c r="C199" s="65"/>
      <c r="D199" s="65"/>
      <c r="E199" s="65"/>
      <c r="F199" s="65"/>
      <c r="G199" s="65"/>
      <c r="H199" s="1077"/>
      <c r="I199" s="157"/>
      <c r="J199" s="159"/>
      <c r="K199" s="159"/>
      <c r="L199" s="71">
        <f>SUM(K183:K198)</f>
        <v>5741267.916666666</v>
      </c>
      <c r="M199" s="45"/>
      <c r="N199" s="45"/>
      <c r="O199" s="45"/>
      <c r="P199" s="45"/>
      <c r="Q199" s="45"/>
      <c r="R199" s="45"/>
      <c r="S199" s="45"/>
      <c r="T199" s="45"/>
      <c r="U199" s="45"/>
      <c r="V199" s="45"/>
      <c r="W199" s="45"/>
      <c r="X199" s="45"/>
      <c r="Y199" s="45"/>
      <c r="Z199" s="56"/>
    </row>
    <row r="200" spans="1:26" outlineLevel="1">
      <c r="A200" s="6" t="s">
        <v>629</v>
      </c>
      <c r="B200" s="47" t="s">
        <v>630</v>
      </c>
      <c r="C200" s="47" t="s">
        <v>283</v>
      </c>
      <c r="D200" s="47" t="s">
        <v>228</v>
      </c>
      <c r="E200" s="47" t="s">
        <v>73</v>
      </c>
      <c r="F200" s="47" t="s">
        <v>186</v>
      </c>
      <c r="G200" s="42">
        <f>$B$11</f>
        <v>4</v>
      </c>
      <c r="H200" s="461">
        <v>900</v>
      </c>
      <c r="I200" s="63">
        <v>0</v>
      </c>
      <c r="J200" s="67">
        <f t="shared" ref="J200:J202" si="35">H200*(1+I200)</f>
        <v>900</v>
      </c>
      <c r="K200" s="67">
        <f>J200*G200</f>
        <v>3600</v>
      </c>
      <c r="M200" s="45"/>
      <c r="N200" s="45"/>
      <c r="O200" s="45"/>
      <c r="P200" s="45"/>
      <c r="Q200" s="45"/>
      <c r="R200" s="45"/>
      <c r="S200" s="45"/>
      <c r="T200" s="45"/>
      <c r="U200" s="45"/>
      <c r="V200" s="45"/>
      <c r="W200" s="45"/>
      <c r="X200" s="45"/>
      <c r="Y200" s="45"/>
      <c r="Z200" s="56"/>
    </row>
    <row r="201" spans="1:26" outlineLevel="1">
      <c r="A201" s="7" t="s">
        <v>632</v>
      </c>
      <c r="B201" s="40" t="s">
        <v>633</v>
      </c>
      <c r="C201" s="40" t="s">
        <v>216</v>
      </c>
      <c r="D201" s="40" t="s">
        <v>228</v>
      </c>
      <c r="E201" s="40" t="s">
        <v>426</v>
      </c>
      <c r="F201" s="40" t="s">
        <v>61</v>
      </c>
      <c r="G201" s="38">
        <f t="shared" ref="G201" si="36">$B$8</f>
        <v>422635</v>
      </c>
      <c r="H201" s="54">
        <v>0.59</v>
      </c>
      <c r="I201" s="53">
        <v>0</v>
      </c>
      <c r="J201" s="51">
        <f t="shared" si="35"/>
        <v>0.59</v>
      </c>
      <c r="K201" s="54">
        <f>J201*G201</f>
        <v>249354.65</v>
      </c>
      <c r="M201" s="45"/>
      <c r="N201" s="45"/>
      <c r="O201" s="45"/>
      <c r="P201" s="45"/>
      <c r="Q201" s="45"/>
      <c r="R201" s="45"/>
      <c r="S201" s="45"/>
      <c r="T201" s="45"/>
      <c r="U201" s="45"/>
      <c r="V201" s="45"/>
      <c r="W201" s="45"/>
      <c r="X201" s="45"/>
      <c r="Y201" s="45"/>
      <c r="Z201" s="56"/>
    </row>
    <row r="202" spans="1:26" outlineLevel="1">
      <c r="A202" s="6" t="s">
        <v>634</v>
      </c>
      <c r="B202" s="47" t="s">
        <v>635</v>
      </c>
      <c r="C202" s="47" t="s">
        <v>216</v>
      </c>
      <c r="D202" s="47" t="s">
        <v>242</v>
      </c>
      <c r="E202" s="47" t="s">
        <v>73</v>
      </c>
      <c r="F202" s="47" t="s">
        <v>186</v>
      </c>
      <c r="G202" s="47">
        <f>$Q$7</f>
        <v>1</v>
      </c>
      <c r="H202" s="54">
        <v>800</v>
      </c>
      <c r="I202" s="63">
        <v>0</v>
      </c>
      <c r="J202" s="67">
        <f t="shared" si="35"/>
        <v>800</v>
      </c>
      <c r="K202" s="67">
        <f>J202*G202</f>
        <v>800</v>
      </c>
      <c r="M202" s="45"/>
      <c r="N202" s="45"/>
      <c r="O202" s="45"/>
      <c r="P202" s="45"/>
      <c r="Q202" s="45"/>
      <c r="R202" s="45"/>
      <c r="S202" s="45"/>
      <c r="T202" s="45"/>
      <c r="U202" s="45"/>
      <c r="V202" s="45"/>
      <c r="W202" s="45"/>
      <c r="X202" s="45"/>
      <c r="Y202" s="45"/>
      <c r="Z202" s="56"/>
    </row>
    <row r="203" spans="1:26">
      <c r="A203" s="1020" t="s">
        <v>627</v>
      </c>
      <c r="B203" s="65" t="s">
        <v>628</v>
      </c>
      <c r="C203" s="65"/>
      <c r="D203" s="65"/>
      <c r="E203" s="65"/>
      <c r="F203" s="65"/>
      <c r="G203" s="65"/>
      <c r="H203" s="1077"/>
      <c r="I203" s="157"/>
      <c r="J203" s="159"/>
      <c r="K203" s="159"/>
      <c r="L203" s="71">
        <f>SUM(K200:K202)</f>
        <v>253754.65</v>
      </c>
      <c r="M203" s="45"/>
      <c r="N203" s="45"/>
      <c r="O203" s="45"/>
      <c r="P203" s="45"/>
      <c r="Q203" s="45"/>
      <c r="R203" s="45"/>
      <c r="S203" s="45"/>
      <c r="T203" s="45"/>
      <c r="U203" s="45"/>
      <c r="V203" s="45"/>
      <c r="W203" s="45"/>
      <c r="X203" s="45"/>
      <c r="Y203" s="45"/>
      <c r="Z203" s="56"/>
    </row>
    <row r="204" spans="1:26" outlineLevel="1">
      <c r="A204" s="41" t="s">
        <v>638</v>
      </c>
      <c r="B204" s="47" t="s">
        <v>639</v>
      </c>
      <c r="C204" s="47" t="s">
        <v>216</v>
      </c>
      <c r="D204" s="47" t="s">
        <v>228</v>
      </c>
      <c r="E204" s="47" t="s">
        <v>543</v>
      </c>
      <c r="F204" s="47" t="s">
        <v>88</v>
      </c>
      <c r="G204" s="42">
        <f>$E$8</f>
        <v>390</v>
      </c>
      <c r="H204" s="461">
        <v>581</v>
      </c>
      <c r="I204" s="63">
        <v>0</v>
      </c>
      <c r="J204" s="67">
        <f t="shared" ref="J204:J206" si="37">H204*(1+I204)</f>
        <v>581</v>
      </c>
      <c r="K204" s="67">
        <f>J204*G204</f>
        <v>226590</v>
      </c>
      <c r="M204" s="45"/>
      <c r="N204" s="45"/>
      <c r="O204" s="45"/>
      <c r="P204" s="45"/>
      <c r="Q204" s="45"/>
      <c r="R204" s="45"/>
      <c r="S204" s="45"/>
      <c r="T204" s="45"/>
      <c r="U204" s="45"/>
      <c r="V204" s="45"/>
      <c r="W204" s="45"/>
      <c r="X204" s="45"/>
      <c r="Y204" s="45"/>
      <c r="Z204" s="56"/>
    </row>
    <row r="205" spans="1:26" outlineLevel="1">
      <c r="A205" s="7" t="s">
        <v>640</v>
      </c>
      <c r="B205" s="40" t="s">
        <v>641</v>
      </c>
      <c r="C205" s="40" t="s">
        <v>216</v>
      </c>
      <c r="D205" s="40" t="s">
        <v>223</v>
      </c>
      <c r="E205" s="40" t="s">
        <v>426</v>
      </c>
      <c r="F205" s="40" t="s">
        <v>88</v>
      </c>
      <c r="G205" s="38">
        <f>$E$8</f>
        <v>390</v>
      </c>
      <c r="H205" s="54">
        <v>442</v>
      </c>
      <c r="I205" s="53">
        <v>0</v>
      </c>
      <c r="J205" s="54">
        <f t="shared" si="37"/>
        <v>442</v>
      </c>
      <c r="K205" s="54">
        <f>J205*G205</f>
        <v>172380</v>
      </c>
      <c r="M205" s="45"/>
      <c r="N205" s="45"/>
      <c r="O205" s="45"/>
      <c r="P205" s="45"/>
      <c r="Q205" s="45"/>
      <c r="R205" s="45"/>
      <c r="S205" s="45"/>
      <c r="T205" s="45"/>
      <c r="U205" s="45"/>
      <c r="V205" s="45"/>
      <c r="W205" s="45"/>
      <c r="X205" s="45"/>
      <c r="Y205" s="45"/>
      <c r="Z205" s="56"/>
    </row>
    <row r="206" spans="1:26" outlineLevel="1">
      <c r="A206" s="7" t="s">
        <v>642</v>
      </c>
      <c r="B206" s="40" t="s">
        <v>643</v>
      </c>
      <c r="C206" s="40" t="s">
        <v>216</v>
      </c>
      <c r="D206" s="40" t="s">
        <v>228</v>
      </c>
      <c r="E206" s="40" t="s">
        <v>326</v>
      </c>
      <c r="F206" s="40" t="s">
        <v>61</v>
      </c>
      <c r="G206" s="38">
        <f>$B$8</f>
        <v>422635</v>
      </c>
      <c r="H206" s="54">
        <v>2.25</v>
      </c>
      <c r="I206" s="53">
        <v>0</v>
      </c>
      <c r="J206" s="51">
        <f t="shared" si="37"/>
        <v>2.25</v>
      </c>
      <c r="K206" s="54">
        <f>J206*G206</f>
        <v>950928.75</v>
      </c>
      <c r="M206" s="45"/>
      <c r="N206" s="45"/>
      <c r="O206" s="45"/>
      <c r="P206" s="45"/>
      <c r="Q206" s="45"/>
      <c r="R206" s="45"/>
      <c r="S206" s="45"/>
      <c r="T206" s="45"/>
      <c r="U206" s="45"/>
      <c r="V206" s="45"/>
      <c r="W206" s="45"/>
      <c r="X206" s="45"/>
      <c r="Y206" s="45"/>
      <c r="Z206" s="56"/>
    </row>
    <row r="207" spans="1:26" outlineLevel="1">
      <c r="A207" s="6" t="s">
        <v>999</v>
      </c>
      <c r="B207" s="47" t="s">
        <v>1000</v>
      </c>
      <c r="C207" s="47" t="s">
        <v>216</v>
      </c>
      <c r="D207" s="47" t="s">
        <v>235</v>
      </c>
      <c r="E207" s="47" t="s">
        <v>73</v>
      </c>
      <c r="F207" s="47" t="s">
        <v>71</v>
      </c>
      <c r="G207" s="47">
        <v>1</v>
      </c>
      <c r="H207" s="54">
        <v>10000</v>
      </c>
      <c r="I207" s="63">
        <v>0</v>
      </c>
      <c r="J207" s="67">
        <f t="shared" ref="J207" si="38">H207*(1+I207)</f>
        <v>10000</v>
      </c>
      <c r="K207" s="67">
        <f>J207*G207</f>
        <v>10000</v>
      </c>
      <c r="M207" s="45"/>
      <c r="N207" s="45"/>
      <c r="O207" s="45"/>
      <c r="P207" s="45"/>
      <c r="Q207" s="45"/>
      <c r="R207" s="45"/>
      <c r="S207" s="45"/>
      <c r="T207" s="45"/>
      <c r="U207" s="45"/>
      <c r="V207" s="45"/>
      <c r="W207" s="45"/>
      <c r="X207" s="45"/>
      <c r="Y207" s="45"/>
      <c r="Z207" s="56"/>
    </row>
    <row r="208" spans="1:26">
      <c r="A208" s="1020" t="s">
        <v>636</v>
      </c>
      <c r="B208" s="65" t="s">
        <v>637</v>
      </c>
      <c r="C208" s="65"/>
      <c r="D208" s="65"/>
      <c r="E208" s="65"/>
      <c r="F208" s="65"/>
      <c r="G208" s="65"/>
      <c r="H208" s="1077"/>
      <c r="I208" s="157"/>
      <c r="J208" s="159"/>
      <c r="K208" s="159"/>
      <c r="L208" s="71">
        <f>SUM(K204:K207)</f>
        <v>1359898.75</v>
      </c>
      <c r="M208" s="45"/>
      <c r="N208" s="45"/>
      <c r="O208" s="45"/>
      <c r="P208" s="45"/>
      <c r="Q208" s="45"/>
      <c r="R208" s="45"/>
      <c r="S208" s="45"/>
      <c r="T208" s="45"/>
      <c r="U208" s="45"/>
      <c r="V208" s="45"/>
      <c r="W208" s="45"/>
      <c r="X208" s="45"/>
      <c r="Y208" s="45"/>
      <c r="Z208" s="56"/>
    </row>
    <row r="209" spans="1:26" outlineLevel="1">
      <c r="A209" s="1012" t="s">
        <v>646</v>
      </c>
      <c r="B209" s="595" t="s">
        <v>647</v>
      </c>
      <c r="C209" s="595" t="s">
        <v>216</v>
      </c>
      <c r="D209" s="595" t="s">
        <v>223</v>
      </c>
      <c r="E209" s="595" t="s">
        <v>73</v>
      </c>
      <c r="F209" s="595" t="s">
        <v>615</v>
      </c>
      <c r="G209" s="1013">
        <f>$B$9</f>
        <v>15.826000000000001</v>
      </c>
      <c r="H209" s="461">
        <v>10000</v>
      </c>
      <c r="I209" s="1014">
        <v>0</v>
      </c>
      <c r="J209" s="594">
        <f t="shared" ref="J209:J217" si="39">H209*(1+I209)</f>
        <v>10000</v>
      </c>
      <c r="K209" s="594">
        <f t="shared" ref="K209:K217" si="40">J209*G209</f>
        <v>158260</v>
      </c>
      <c r="M209" s="45"/>
      <c r="N209" s="45"/>
      <c r="O209" s="45"/>
      <c r="P209" s="45"/>
      <c r="Q209" s="45"/>
      <c r="R209" s="45"/>
      <c r="S209" s="45"/>
      <c r="T209" s="45"/>
      <c r="U209" s="45"/>
      <c r="V209" s="45"/>
      <c r="W209" s="45"/>
      <c r="X209" s="45"/>
      <c r="Y209" s="45"/>
      <c r="Z209" s="56"/>
    </row>
    <row r="210" spans="1:26" outlineLevel="1">
      <c r="A210" s="1011" t="s">
        <v>648</v>
      </c>
      <c r="B210" s="206" t="s">
        <v>649</v>
      </c>
      <c r="C210" s="206" t="s">
        <v>216</v>
      </c>
      <c r="D210" s="206" t="s">
        <v>223</v>
      </c>
      <c r="E210" s="206" t="s">
        <v>73</v>
      </c>
      <c r="F210" s="206" t="s">
        <v>615</v>
      </c>
      <c r="G210" s="1015">
        <f>$B$9</f>
        <v>15.826000000000001</v>
      </c>
      <c r="H210" s="54">
        <v>3500</v>
      </c>
      <c r="I210" s="209">
        <v>0</v>
      </c>
      <c r="J210" s="210">
        <f t="shared" si="39"/>
        <v>3500</v>
      </c>
      <c r="K210" s="210">
        <f t="shared" si="40"/>
        <v>55391</v>
      </c>
      <c r="M210" s="45"/>
      <c r="N210" s="45"/>
      <c r="O210" s="45"/>
      <c r="P210" s="45"/>
      <c r="Q210" s="45"/>
      <c r="R210" s="45"/>
      <c r="S210" s="45"/>
      <c r="T210" s="45"/>
      <c r="U210" s="45"/>
      <c r="V210" s="45"/>
      <c r="W210" s="45"/>
      <c r="X210" s="45"/>
      <c r="Y210" s="45"/>
      <c r="Z210" s="56"/>
    </row>
    <row r="211" spans="1:26" outlineLevel="1">
      <c r="A211" s="1011" t="s">
        <v>650</v>
      </c>
      <c r="B211" s="206" t="s">
        <v>651</v>
      </c>
      <c r="C211" s="206" t="s">
        <v>216</v>
      </c>
      <c r="D211" s="206" t="s">
        <v>223</v>
      </c>
      <c r="E211" s="206" t="s">
        <v>73</v>
      </c>
      <c r="F211" s="206" t="s">
        <v>71</v>
      </c>
      <c r="G211" s="207">
        <v>1</v>
      </c>
      <c r="H211" s="54">
        <v>26230.782920110192</v>
      </c>
      <c r="I211" s="209">
        <v>0</v>
      </c>
      <c r="J211" s="210">
        <f t="shared" si="39"/>
        <v>26230.782920110192</v>
      </c>
      <c r="K211" s="210">
        <f t="shared" si="40"/>
        <v>26230.782920110192</v>
      </c>
      <c r="M211" s="45"/>
      <c r="N211" s="45"/>
      <c r="O211" s="45"/>
      <c r="P211" s="45"/>
      <c r="Q211" s="45"/>
      <c r="R211" s="45"/>
      <c r="S211" s="45"/>
      <c r="T211" s="45"/>
      <c r="U211" s="45"/>
      <c r="V211" s="45"/>
      <c r="W211" s="45"/>
      <c r="X211" s="45"/>
      <c r="Y211" s="45"/>
      <c r="Z211" s="56"/>
    </row>
    <row r="212" spans="1:26" outlineLevel="1">
      <c r="A212" s="1011" t="s">
        <v>652</v>
      </c>
      <c r="B212" s="206" t="s">
        <v>653</v>
      </c>
      <c r="C212" s="206" t="s">
        <v>216</v>
      </c>
      <c r="D212" s="206" t="s">
        <v>223</v>
      </c>
      <c r="E212" s="206" t="s">
        <v>6</v>
      </c>
      <c r="F212" s="206" t="s">
        <v>71</v>
      </c>
      <c r="G212" s="207">
        <v>1</v>
      </c>
      <c r="H212" s="54">
        <v>75000</v>
      </c>
      <c r="I212" s="209">
        <v>0</v>
      </c>
      <c r="J212" s="210">
        <f t="shared" si="39"/>
        <v>75000</v>
      </c>
      <c r="K212" s="210">
        <f t="shared" si="40"/>
        <v>75000</v>
      </c>
      <c r="M212" s="45"/>
      <c r="N212" s="45"/>
      <c r="O212" s="45"/>
      <c r="P212" s="45"/>
      <c r="Q212" s="45"/>
      <c r="R212" s="45"/>
      <c r="S212" s="45"/>
      <c r="T212" s="45"/>
      <c r="U212" s="45"/>
      <c r="V212" s="45"/>
      <c r="W212" s="45"/>
      <c r="X212" s="45"/>
      <c r="Y212" s="45"/>
      <c r="Z212" s="56"/>
    </row>
    <row r="213" spans="1:26" outlineLevel="1">
      <c r="A213" s="1011" t="s">
        <v>655</v>
      </c>
      <c r="B213" s="206" t="s">
        <v>656</v>
      </c>
      <c r="C213" s="206" t="s">
        <v>216</v>
      </c>
      <c r="D213" s="206" t="s">
        <v>223</v>
      </c>
      <c r="E213" s="206" t="s">
        <v>6</v>
      </c>
      <c r="F213" s="206" t="s">
        <v>71</v>
      </c>
      <c r="G213" s="207">
        <v>1</v>
      </c>
      <c r="H213" s="54">
        <v>572075</v>
      </c>
      <c r="I213" s="209">
        <v>0</v>
      </c>
      <c r="J213" s="210">
        <f t="shared" si="39"/>
        <v>572075</v>
      </c>
      <c r="K213" s="210">
        <f t="shared" si="40"/>
        <v>572075</v>
      </c>
      <c r="M213" s="45"/>
      <c r="N213" s="45"/>
      <c r="O213" s="45"/>
      <c r="P213" s="45"/>
      <c r="Q213" s="45"/>
      <c r="R213" s="45"/>
      <c r="S213" s="45"/>
      <c r="T213" s="45"/>
      <c r="U213" s="45"/>
      <c r="V213" s="45"/>
      <c r="W213" s="45"/>
      <c r="X213" s="45"/>
      <c r="Y213" s="45"/>
      <c r="Z213" s="56"/>
    </row>
    <row r="214" spans="1:26" outlineLevel="1">
      <c r="A214" s="1011" t="s">
        <v>658</v>
      </c>
      <c r="B214" s="206" t="s">
        <v>659</v>
      </c>
      <c r="C214" s="206" t="s">
        <v>216</v>
      </c>
      <c r="D214" s="206" t="s">
        <v>223</v>
      </c>
      <c r="E214" s="206" t="s">
        <v>6</v>
      </c>
      <c r="F214" s="206" t="s">
        <v>71</v>
      </c>
      <c r="G214" s="207">
        <v>1</v>
      </c>
      <c r="H214" s="54">
        <v>39022.934000000001</v>
      </c>
      <c r="I214" s="209">
        <v>0</v>
      </c>
      <c r="J214" s="210">
        <f t="shared" si="39"/>
        <v>39022.934000000001</v>
      </c>
      <c r="K214" s="210">
        <f t="shared" si="40"/>
        <v>39022.934000000001</v>
      </c>
      <c r="M214" s="45"/>
      <c r="N214" s="45"/>
      <c r="O214" s="45"/>
      <c r="P214" s="45"/>
      <c r="Q214" s="45"/>
      <c r="R214" s="45"/>
      <c r="S214" s="45"/>
      <c r="T214" s="45"/>
      <c r="U214" s="45"/>
      <c r="V214" s="45"/>
      <c r="W214" s="45"/>
      <c r="X214" s="45"/>
      <c r="Y214" s="45"/>
      <c r="Z214" s="56"/>
    </row>
    <row r="215" spans="1:26" outlineLevel="1">
      <c r="A215" s="1011" t="s">
        <v>660</v>
      </c>
      <c r="B215" s="206" t="s">
        <v>661</v>
      </c>
      <c r="C215" s="206" t="s">
        <v>216</v>
      </c>
      <c r="D215" s="206" t="s">
        <v>223</v>
      </c>
      <c r="E215" s="206" t="s">
        <v>6</v>
      </c>
      <c r="F215" s="206" t="s">
        <v>71</v>
      </c>
      <c r="G215" s="207">
        <v>1</v>
      </c>
      <c r="H215" s="54">
        <v>200000</v>
      </c>
      <c r="I215" s="209">
        <v>0</v>
      </c>
      <c r="J215" s="210">
        <f t="shared" si="39"/>
        <v>200000</v>
      </c>
      <c r="K215" s="210">
        <f t="shared" si="40"/>
        <v>200000</v>
      </c>
      <c r="M215" s="45"/>
      <c r="N215" s="45"/>
      <c r="O215" s="45"/>
      <c r="P215" s="45"/>
      <c r="Q215" s="45"/>
      <c r="R215" s="45"/>
      <c r="S215" s="45"/>
      <c r="T215" s="45"/>
      <c r="U215" s="45"/>
      <c r="V215" s="45"/>
      <c r="W215" s="45"/>
      <c r="X215" s="45"/>
      <c r="Y215" s="45"/>
      <c r="Z215" s="56"/>
    </row>
    <row r="216" spans="1:26" outlineLevel="1">
      <c r="A216" s="1011" t="s">
        <v>662</v>
      </c>
      <c r="B216" s="206" t="s">
        <v>663</v>
      </c>
      <c r="C216" s="206" t="s">
        <v>216</v>
      </c>
      <c r="D216" s="206" t="s">
        <v>223</v>
      </c>
      <c r="E216" s="206" t="s">
        <v>231</v>
      </c>
      <c r="F216" s="206"/>
      <c r="G216" s="207"/>
      <c r="H216" s="54">
        <v>0</v>
      </c>
      <c r="I216" s="209">
        <v>0</v>
      </c>
      <c r="J216" s="210">
        <f t="shared" si="39"/>
        <v>0</v>
      </c>
      <c r="K216" s="210">
        <f t="shared" si="40"/>
        <v>0</v>
      </c>
      <c r="M216" s="45"/>
      <c r="N216" s="45"/>
      <c r="O216" s="45"/>
      <c r="P216" s="45"/>
      <c r="Q216" s="45"/>
      <c r="R216" s="45"/>
      <c r="S216" s="45"/>
      <c r="T216" s="45"/>
      <c r="U216" s="45"/>
      <c r="V216" s="45"/>
      <c r="W216" s="45"/>
      <c r="X216" s="45"/>
      <c r="Y216" s="45"/>
      <c r="Z216" s="56"/>
    </row>
    <row r="217" spans="1:26" outlineLevel="1">
      <c r="A217" s="6" t="s">
        <v>664</v>
      </c>
      <c r="B217" s="47" t="s">
        <v>665</v>
      </c>
      <c r="C217" s="47" t="s">
        <v>216</v>
      </c>
      <c r="D217" s="47" t="s">
        <v>223</v>
      </c>
      <c r="E217" s="47" t="s">
        <v>73</v>
      </c>
      <c r="F217" s="47" t="s">
        <v>71</v>
      </c>
      <c r="G217" s="47">
        <v>1</v>
      </c>
      <c r="H217" s="54">
        <v>100000</v>
      </c>
      <c r="I217" s="63">
        <v>0</v>
      </c>
      <c r="J217" s="67">
        <f t="shared" si="39"/>
        <v>100000</v>
      </c>
      <c r="K217" s="67">
        <f t="shared" si="40"/>
        <v>100000</v>
      </c>
      <c r="M217" s="45" t="s">
        <v>1001</v>
      </c>
      <c r="N217" s="45"/>
      <c r="O217" s="45"/>
      <c r="P217" s="45"/>
      <c r="Q217" s="45"/>
      <c r="R217" s="45"/>
      <c r="S217" s="45"/>
      <c r="T217" s="45"/>
      <c r="U217" s="45"/>
      <c r="V217" s="45"/>
      <c r="W217" s="45"/>
      <c r="X217" s="45"/>
      <c r="Y217" s="45"/>
      <c r="Z217" s="56"/>
    </row>
    <row r="218" spans="1:26">
      <c r="A218" s="1020" t="s">
        <v>644</v>
      </c>
      <c r="B218" s="65" t="s">
        <v>645</v>
      </c>
      <c r="C218" s="65"/>
      <c r="D218" s="65"/>
      <c r="E218" s="65"/>
      <c r="F218" s="65"/>
      <c r="G218" s="65"/>
      <c r="H218" s="1077"/>
      <c r="I218" s="157"/>
      <c r="J218" s="159"/>
      <c r="K218" s="159"/>
      <c r="L218" s="71">
        <f>SUM(K209:K217)</f>
        <v>1225979.7169201102</v>
      </c>
      <c r="M218" s="45"/>
      <c r="N218" s="45"/>
      <c r="O218" s="45"/>
      <c r="P218" s="45"/>
      <c r="Q218" s="45"/>
      <c r="R218" s="45"/>
      <c r="S218" s="45"/>
      <c r="T218" s="45"/>
      <c r="U218" s="45"/>
      <c r="V218" s="45"/>
      <c r="W218" s="45"/>
      <c r="X218" s="45"/>
      <c r="Y218" s="45"/>
      <c r="Z218" s="56"/>
    </row>
    <row r="219" spans="1:26" outlineLevel="1">
      <c r="A219" s="6" t="s">
        <v>668</v>
      </c>
      <c r="B219" s="47" t="s">
        <v>669</v>
      </c>
      <c r="C219" s="47" t="s">
        <v>233</v>
      </c>
      <c r="D219" s="47" t="s">
        <v>223</v>
      </c>
      <c r="E219" s="47" t="s">
        <v>73</v>
      </c>
      <c r="F219" s="47" t="s">
        <v>71</v>
      </c>
      <c r="G219" s="42">
        <v>1</v>
      </c>
      <c r="H219" s="461">
        <v>10000</v>
      </c>
      <c r="I219" s="63">
        <v>0</v>
      </c>
      <c r="J219" s="67">
        <f t="shared" ref="J219:J254" si="41">H219*(1+I219)</f>
        <v>10000</v>
      </c>
      <c r="K219" s="67">
        <f t="shared" ref="K219:K255" si="42">J219*G219</f>
        <v>10000</v>
      </c>
      <c r="M219" s="45"/>
      <c r="N219" s="45"/>
      <c r="O219" s="45"/>
      <c r="P219" s="45"/>
      <c r="Q219" s="45"/>
      <c r="R219" s="45"/>
      <c r="S219" s="45"/>
      <c r="T219" s="45"/>
      <c r="U219" s="45"/>
      <c r="V219" s="45"/>
      <c r="W219" s="45"/>
      <c r="X219" s="45"/>
      <c r="Y219" s="45"/>
      <c r="Z219" s="56"/>
    </row>
    <row r="220" spans="1:26" outlineLevel="1">
      <c r="A220" s="7" t="s">
        <v>670</v>
      </c>
      <c r="B220" s="40" t="s">
        <v>671</v>
      </c>
      <c r="C220" s="40" t="s">
        <v>216</v>
      </c>
      <c r="D220" s="40" t="s">
        <v>238</v>
      </c>
      <c r="E220" s="40" t="s">
        <v>73</v>
      </c>
      <c r="F220" s="40" t="s">
        <v>71</v>
      </c>
      <c r="G220" s="38">
        <v>1</v>
      </c>
      <c r="H220" s="54">
        <v>15000</v>
      </c>
      <c r="I220" s="53">
        <v>0</v>
      </c>
      <c r="J220" s="54">
        <f t="shared" si="41"/>
        <v>15000</v>
      </c>
      <c r="K220" s="54">
        <f t="shared" si="42"/>
        <v>15000</v>
      </c>
      <c r="M220" s="45"/>
      <c r="N220" s="45"/>
      <c r="O220" s="45"/>
      <c r="P220" s="45"/>
      <c r="Q220" s="45"/>
      <c r="R220" s="45"/>
      <c r="S220" s="45"/>
      <c r="T220" s="45"/>
      <c r="U220" s="45"/>
      <c r="V220" s="45"/>
      <c r="W220" s="45"/>
      <c r="X220" s="45"/>
      <c r="Y220" s="45"/>
      <c r="Z220" s="56"/>
    </row>
    <row r="221" spans="1:26" outlineLevel="1">
      <c r="A221" s="7" t="s">
        <v>672</v>
      </c>
      <c r="B221" s="40" t="s">
        <v>673</v>
      </c>
      <c r="C221" s="40" t="s">
        <v>216</v>
      </c>
      <c r="D221" s="40" t="s">
        <v>223</v>
      </c>
      <c r="E221" s="40" t="s">
        <v>73</v>
      </c>
      <c r="F221" s="40" t="s">
        <v>71</v>
      </c>
      <c r="G221" s="38">
        <v>1</v>
      </c>
      <c r="H221" s="54">
        <v>25000</v>
      </c>
      <c r="I221" s="53">
        <v>0</v>
      </c>
      <c r="J221" s="54">
        <f t="shared" si="41"/>
        <v>25000</v>
      </c>
      <c r="K221" s="54">
        <f t="shared" si="42"/>
        <v>25000</v>
      </c>
      <c r="M221" s="45"/>
      <c r="N221" s="45"/>
      <c r="O221" s="45"/>
      <c r="P221" s="45"/>
      <c r="Q221" s="45"/>
      <c r="R221" s="45"/>
      <c r="S221" s="45"/>
      <c r="T221" s="45"/>
      <c r="U221" s="45"/>
      <c r="V221" s="45"/>
      <c r="W221" s="45"/>
      <c r="X221" s="45"/>
      <c r="Y221" s="45"/>
      <c r="Z221" s="56"/>
    </row>
    <row r="222" spans="1:26" outlineLevel="1">
      <c r="A222" s="1011" t="s">
        <v>674</v>
      </c>
      <c r="B222" s="206" t="s">
        <v>675</v>
      </c>
      <c r="C222" s="206" t="s">
        <v>216</v>
      </c>
      <c r="D222" s="206" t="s">
        <v>223</v>
      </c>
      <c r="E222" s="206" t="s">
        <v>6</v>
      </c>
      <c r="F222" s="206" t="s">
        <v>71</v>
      </c>
      <c r="G222" s="207">
        <v>1</v>
      </c>
      <c r="H222" s="54">
        <v>750562.84300000011</v>
      </c>
      <c r="I222" s="209">
        <v>0</v>
      </c>
      <c r="J222" s="210">
        <f t="shared" si="41"/>
        <v>750562.84300000011</v>
      </c>
      <c r="K222" s="210">
        <f t="shared" si="42"/>
        <v>750562.84300000011</v>
      </c>
      <c r="M222" s="45"/>
      <c r="N222" s="45"/>
      <c r="O222" s="45"/>
      <c r="P222" s="45"/>
      <c r="Q222" s="45"/>
      <c r="R222" s="45"/>
      <c r="S222" s="45"/>
      <c r="T222" s="45"/>
      <c r="U222" s="45"/>
      <c r="V222" s="45"/>
      <c r="W222" s="45"/>
      <c r="X222" s="45"/>
      <c r="Y222" s="45"/>
      <c r="Z222" s="56"/>
    </row>
    <row r="223" spans="1:26" outlineLevel="1">
      <c r="A223" s="7" t="s">
        <v>676</v>
      </c>
      <c r="B223" s="40" t="s">
        <v>677</v>
      </c>
      <c r="C223" s="40" t="s">
        <v>216</v>
      </c>
      <c r="D223" s="40" t="s">
        <v>223</v>
      </c>
      <c r="E223" s="40" t="s">
        <v>543</v>
      </c>
      <c r="F223" s="40" t="s">
        <v>61</v>
      </c>
      <c r="G223" s="38">
        <f>W10</f>
        <v>243608.62</v>
      </c>
      <c r="H223" s="51">
        <v>0.17</v>
      </c>
      <c r="I223" s="53">
        <v>0</v>
      </c>
      <c r="J223" s="51">
        <f t="shared" si="41"/>
        <v>0.17</v>
      </c>
      <c r="K223" s="54">
        <f t="shared" si="42"/>
        <v>41413.465400000001</v>
      </c>
      <c r="M223" s="45"/>
      <c r="N223" s="45"/>
      <c r="O223" s="45"/>
      <c r="P223" s="45"/>
      <c r="Q223" s="45"/>
      <c r="R223" s="45"/>
      <c r="S223" s="45"/>
      <c r="T223" s="45"/>
      <c r="U223" s="45"/>
      <c r="V223" s="45"/>
      <c r="W223" s="45"/>
      <c r="X223" s="45"/>
      <c r="Y223" s="45"/>
      <c r="Z223" s="56"/>
    </row>
    <row r="224" spans="1:26" outlineLevel="1">
      <c r="A224" s="7" t="s">
        <v>149</v>
      </c>
      <c r="B224" s="40" t="s">
        <v>678</v>
      </c>
      <c r="C224" s="40" t="s">
        <v>216</v>
      </c>
      <c r="D224" s="40" t="s">
        <v>238</v>
      </c>
      <c r="E224" s="40" t="s">
        <v>44</v>
      </c>
      <c r="F224" s="40" t="s">
        <v>148</v>
      </c>
      <c r="G224" s="38">
        <f>9350+458</f>
        <v>9808</v>
      </c>
      <c r="H224" s="843">
        <v>8.5</v>
      </c>
      <c r="I224" s="53">
        <v>0</v>
      </c>
      <c r="J224" s="51">
        <f t="shared" si="41"/>
        <v>8.5</v>
      </c>
      <c r="K224" s="54">
        <f t="shared" si="42"/>
        <v>83368</v>
      </c>
      <c r="M224" s="45"/>
      <c r="N224" s="45"/>
      <c r="O224" s="45"/>
      <c r="P224" s="45"/>
      <c r="Q224" s="45"/>
      <c r="R224" s="45"/>
      <c r="S224" s="45"/>
      <c r="T224" s="45"/>
      <c r="U224" s="45"/>
      <c r="V224" s="45"/>
      <c r="W224" s="45"/>
      <c r="X224" s="45"/>
      <c r="Y224" s="45"/>
      <c r="Z224" s="56"/>
    </row>
    <row r="225" spans="1:26" outlineLevel="1">
      <c r="A225" s="7" t="s">
        <v>679</v>
      </c>
      <c r="B225" s="40" t="s">
        <v>680</v>
      </c>
      <c r="C225" s="40" t="s">
        <v>216</v>
      </c>
      <c r="D225" s="40" t="s">
        <v>242</v>
      </c>
      <c r="E225" s="40" t="s">
        <v>44</v>
      </c>
      <c r="F225" s="40" t="s">
        <v>61</v>
      </c>
      <c r="G225" s="38">
        <v>4638</v>
      </c>
      <c r="H225" s="843">
        <v>10</v>
      </c>
      <c r="I225" s="53">
        <v>0</v>
      </c>
      <c r="J225" s="54">
        <f t="shared" si="41"/>
        <v>10</v>
      </c>
      <c r="K225" s="54">
        <f t="shared" si="42"/>
        <v>46380</v>
      </c>
      <c r="M225" s="45"/>
      <c r="N225" s="45"/>
      <c r="O225" s="45"/>
      <c r="P225" s="45"/>
      <c r="Q225" s="45"/>
      <c r="R225" s="45"/>
      <c r="S225" s="45"/>
      <c r="T225" s="45"/>
      <c r="U225" s="45"/>
      <c r="V225" s="45"/>
      <c r="W225" s="45"/>
      <c r="X225" s="45"/>
      <c r="Y225" s="45"/>
      <c r="Z225" s="56"/>
    </row>
    <row r="226" spans="1:26" outlineLevel="1">
      <c r="A226" s="7" t="s">
        <v>681</v>
      </c>
      <c r="B226" s="40" t="s">
        <v>682</v>
      </c>
      <c r="C226" s="40" t="s">
        <v>216</v>
      </c>
      <c r="D226" s="40" t="s">
        <v>223</v>
      </c>
      <c r="E226" s="40" t="s">
        <v>6</v>
      </c>
      <c r="F226" s="40" t="s">
        <v>71</v>
      </c>
      <c r="G226" s="38">
        <v>1</v>
      </c>
      <c r="H226" s="54">
        <v>102649</v>
      </c>
      <c r="I226" s="53">
        <v>0</v>
      </c>
      <c r="J226" s="54">
        <f t="shared" si="41"/>
        <v>102649</v>
      </c>
      <c r="K226" s="54">
        <f t="shared" si="42"/>
        <v>102649</v>
      </c>
      <c r="M226" s="45"/>
      <c r="N226" s="45"/>
      <c r="O226" s="45"/>
      <c r="P226" s="45"/>
      <c r="Q226" s="45"/>
      <c r="R226" s="45"/>
      <c r="S226" s="45"/>
      <c r="T226" s="45"/>
      <c r="U226" s="45"/>
      <c r="V226" s="45"/>
      <c r="W226" s="45"/>
      <c r="X226" s="45"/>
      <c r="Y226" s="45"/>
      <c r="Z226" s="56"/>
    </row>
    <row r="227" spans="1:26" outlineLevel="1">
      <c r="A227" s="7" t="s">
        <v>683</v>
      </c>
      <c r="B227" s="40" t="s">
        <v>684</v>
      </c>
      <c r="C227" s="40" t="s">
        <v>216</v>
      </c>
      <c r="D227" s="40" t="s">
        <v>223</v>
      </c>
      <c r="E227" s="40" t="s">
        <v>6</v>
      </c>
      <c r="F227" s="40" t="s">
        <v>71</v>
      </c>
      <c r="G227" s="38">
        <v>1</v>
      </c>
      <c r="H227" s="54">
        <v>203844.06</v>
      </c>
      <c r="I227" s="53">
        <v>0</v>
      </c>
      <c r="J227" s="54">
        <f t="shared" si="41"/>
        <v>203844.06</v>
      </c>
      <c r="K227" s="54">
        <f t="shared" si="42"/>
        <v>203844.06</v>
      </c>
      <c r="M227" s="45"/>
      <c r="N227" s="45"/>
      <c r="O227" s="45"/>
      <c r="P227" s="45"/>
      <c r="Q227" s="45"/>
      <c r="R227" s="45"/>
      <c r="S227" s="45"/>
      <c r="T227" s="45"/>
      <c r="U227" s="45"/>
      <c r="V227" s="45"/>
      <c r="W227" s="45"/>
      <c r="X227" s="45"/>
      <c r="Y227" s="45"/>
      <c r="Z227" s="56"/>
    </row>
    <row r="228" spans="1:26" outlineLevel="1">
      <c r="A228" s="52" t="s">
        <v>685</v>
      </c>
      <c r="B228" s="40" t="s">
        <v>686</v>
      </c>
      <c r="C228" s="40" t="s">
        <v>216</v>
      </c>
      <c r="D228" s="40" t="s">
        <v>223</v>
      </c>
      <c r="E228" s="40" t="s">
        <v>6</v>
      </c>
      <c r="F228" s="40" t="s">
        <v>71</v>
      </c>
      <c r="G228" s="38">
        <v>1</v>
      </c>
      <c r="H228" s="54">
        <v>318423</v>
      </c>
      <c r="I228" s="53">
        <v>0</v>
      </c>
      <c r="J228" s="54">
        <f t="shared" si="41"/>
        <v>318423</v>
      </c>
      <c r="K228" s="54">
        <f t="shared" si="42"/>
        <v>318423</v>
      </c>
      <c r="M228" s="45"/>
      <c r="N228" s="45"/>
      <c r="O228" s="45"/>
      <c r="P228" s="45"/>
      <c r="Q228" s="45"/>
      <c r="R228" s="45"/>
      <c r="S228" s="45"/>
      <c r="T228" s="45"/>
      <c r="U228" s="45"/>
      <c r="V228" s="45"/>
      <c r="W228" s="45"/>
      <c r="X228" s="45"/>
      <c r="Y228" s="45"/>
      <c r="Z228" s="56"/>
    </row>
    <row r="229" spans="1:26" outlineLevel="1">
      <c r="A229" s="7" t="s">
        <v>687</v>
      </c>
      <c r="B229" s="40" t="s">
        <v>688</v>
      </c>
      <c r="C229" s="40" t="s">
        <v>216</v>
      </c>
      <c r="D229" s="40" t="s">
        <v>238</v>
      </c>
      <c r="E229" s="40" t="s">
        <v>231</v>
      </c>
      <c r="F229" s="40"/>
      <c r="G229" s="38"/>
      <c r="H229" s="54"/>
      <c r="I229" s="53">
        <v>0</v>
      </c>
      <c r="J229" s="54">
        <f t="shared" si="41"/>
        <v>0</v>
      </c>
      <c r="K229" s="54">
        <f t="shared" si="42"/>
        <v>0</v>
      </c>
      <c r="M229" s="45"/>
      <c r="N229" s="45"/>
      <c r="O229" s="45"/>
      <c r="P229" s="45"/>
      <c r="Q229" s="45"/>
      <c r="R229" s="45"/>
      <c r="S229" s="45"/>
      <c r="T229" s="45"/>
      <c r="U229" s="45"/>
      <c r="V229" s="45"/>
      <c r="W229" s="45"/>
      <c r="X229" s="45"/>
      <c r="Y229" s="45"/>
      <c r="Z229" s="56"/>
    </row>
    <row r="230" spans="1:26" ht="14.25" customHeight="1" outlineLevel="1">
      <c r="A230" s="7" t="s">
        <v>689</v>
      </c>
      <c r="B230" s="40" t="s">
        <v>690</v>
      </c>
      <c r="C230" s="40" t="s">
        <v>216</v>
      </c>
      <c r="D230" s="40" t="s">
        <v>242</v>
      </c>
      <c r="E230" s="40" t="s">
        <v>73</v>
      </c>
      <c r="F230" s="40" t="s">
        <v>71</v>
      </c>
      <c r="G230" s="38">
        <f>$Q$7</f>
        <v>1</v>
      </c>
      <c r="H230" s="54">
        <v>10000</v>
      </c>
      <c r="I230" s="53">
        <v>0</v>
      </c>
      <c r="J230" s="54">
        <f t="shared" si="41"/>
        <v>10000</v>
      </c>
      <c r="K230" s="54">
        <f t="shared" si="42"/>
        <v>10000</v>
      </c>
      <c r="M230" s="45"/>
      <c r="N230" s="45"/>
      <c r="O230" s="45"/>
      <c r="P230" s="45"/>
      <c r="Q230" s="45"/>
      <c r="R230" s="45"/>
      <c r="S230" s="45"/>
      <c r="T230" s="45"/>
      <c r="U230" s="45"/>
      <c r="V230" s="45"/>
      <c r="W230" s="45"/>
      <c r="X230" s="45"/>
      <c r="Y230" s="45"/>
      <c r="Z230" s="56"/>
    </row>
    <row r="231" spans="1:26" outlineLevel="1">
      <c r="A231" s="7" t="s">
        <v>691</v>
      </c>
      <c r="B231" s="40" t="s">
        <v>692</v>
      </c>
      <c r="C231" s="40" t="s">
        <v>216</v>
      </c>
      <c r="D231" s="40" t="s">
        <v>223</v>
      </c>
      <c r="E231" s="40" t="s">
        <v>543</v>
      </c>
      <c r="F231" s="40" t="s">
        <v>61</v>
      </c>
      <c r="G231" s="38">
        <f>W10+W11</f>
        <v>389068.62</v>
      </c>
      <c r="H231" s="51">
        <v>0.17</v>
      </c>
      <c r="I231" s="53">
        <v>0</v>
      </c>
      <c r="J231" s="51">
        <f t="shared" si="41"/>
        <v>0.17</v>
      </c>
      <c r="K231" s="54">
        <f t="shared" si="42"/>
        <v>66141.665399999998</v>
      </c>
      <c r="M231" s="45"/>
      <c r="N231" s="45"/>
      <c r="O231" s="45"/>
      <c r="P231" s="45"/>
      <c r="Q231" s="45"/>
      <c r="R231" s="45"/>
      <c r="S231" s="45"/>
      <c r="T231" s="45"/>
      <c r="U231" s="45"/>
      <c r="V231" s="45"/>
      <c r="W231" s="45"/>
      <c r="X231" s="45"/>
      <c r="Y231" s="45"/>
      <c r="Z231" s="56"/>
    </row>
    <row r="232" spans="1:26" outlineLevel="1">
      <c r="A232" s="7" t="s">
        <v>693</v>
      </c>
      <c r="B232" s="40" t="s">
        <v>694</v>
      </c>
      <c r="C232" s="40" t="s">
        <v>216</v>
      </c>
      <c r="D232" s="40" t="s">
        <v>223</v>
      </c>
      <c r="E232" s="40" t="s">
        <v>6</v>
      </c>
      <c r="F232" s="40" t="s">
        <v>71</v>
      </c>
      <c r="G232" s="38">
        <v>1</v>
      </c>
      <c r="H232" s="54">
        <v>146626</v>
      </c>
      <c r="I232" s="53">
        <v>0</v>
      </c>
      <c r="J232" s="54">
        <f t="shared" si="41"/>
        <v>146626</v>
      </c>
      <c r="K232" s="54">
        <f t="shared" si="42"/>
        <v>146626</v>
      </c>
      <c r="M232" s="45"/>
      <c r="N232" s="45"/>
      <c r="O232" s="45"/>
      <c r="P232" s="45"/>
      <c r="Q232" s="45"/>
      <c r="R232" s="45"/>
      <c r="S232" s="45"/>
      <c r="T232" s="45"/>
      <c r="U232" s="45"/>
      <c r="V232" s="45"/>
      <c r="W232" s="45"/>
      <c r="X232" s="45"/>
      <c r="Y232" s="45"/>
      <c r="Z232" s="56"/>
    </row>
    <row r="233" spans="1:26" outlineLevel="1">
      <c r="A233" s="7" t="s">
        <v>696</v>
      </c>
      <c r="B233" s="40" t="s">
        <v>697</v>
      </c>
      <c r="C233" s="40" t="s">
        <v>216</v>
      </c>
      <c r="D233" s="40" t="s">
        <v>238</v>
      </c>
      <c r="E233" s="40" t="s">
        <v>6</v>
      </c>
      <c r="F233" s="40" t="s">
        <v>108</v>
      </c>
      <c r="G233" s="38">
        <v>14</v>
      </c>
      <c r="H233" s="54">
        <v>2500</v>
      </c>
      <c r="I233" s="53">
        <v>0</v>
      </c>
      <c r="J233" s="54">
        <f t="shared" si="41"/>
        <v>2500</v>
      </c>
      <c r="K233" s="54">
        <f t="shared" si="42"/>
        <v>35000</v>
      </c>
      <c r="M233" s="45"/>
      <c r="N233" s="45"/>
      <c r="O233" s="45"/>
      <c r="P233" s="45"/>
      <c r="Q233" s="45"/>
      <c r="R233" s="45"/>
      <c r="S233" s="45"/>
      <c r="T233" s="45"/>
      <c r="U233" s="45"/>
      <c r="V233" s="45"/>
      <c r="W233" s="45"/>
      <c r="X233" s="45"/>
      <c r="Y233" s="45"/>
      <c r="Z233" s="56"/>
    </row>
    <row r="234" spans="1:26" ht="14.25" customHeight="1" outlineLevel="1">
      <c r="A234" s="7" t="s">
        <v>698</v>
      </c>
      <c r="B234" s="40" t="s">
        <v>699</v>
      </c>
      <c r="C234" s="40" t="s">
        <v>283</v>
      </c>
      <c r="D234" s="40" t="s">
        <v>238</v>
      </c>
      <c r="E234" s="40" t="s">
        <v>6</v>
      </c>
      <c r="F234" s="40" t="s">
        <v>71</v>
      </c>
      <c r="G234" s="38">
        <v>1</v>
      </c>
      <c r="H234" s="54">
        <v>15000</v>
      </c>
      <c r="I234" s="53">
        <v>0</v>
      </c>
      <c r="J234" s="54">
        <f t="shared" si="41"/>
        <v>15000</v>
      </c>
      <c r="K234" s="54">
        <f t="shared" si="42"/>
        <v>15000</v>
      </c>
      <c r="M234" s="45"/>
      <c r="N234" s="45"/>
      <c r="O234" s="45"/>
      <c r="P234" s="45"/>
      <c r="Q234" s="45"/>
      <c r="R234" s="45"/>
      <c r="S234" s="45"/>
      <c r="T234" s="45"/>
      <c r="U234" s="45"/>
      <c r="V234" s="45"/>
      <c r="W234" s="45"/>
      <c r="X234" s="45"/>
      <c r="Y234" s="45"/>
      <c r="Z234" s="56"/>
    </row>
    <row r="235" spans="1:26" outlineLevel="1">
      <c r="A235" s="7" t="s">
        <v>700</v>
      </c>
      <c r="B235" s="40" t="s">
        <v>701</v>
      </c>
      <c r="C235" s="40" t="s">
        <v>216</v>
      </c>
      <c r="D235" s="40" t="s">
        <v>223</v>
      </c>
      <c r="E235" s="40" t="s">
        <v>44</v>
      </c>
      <c r="F235" s="40" t="s">
        <v>148</v>
      </c>
      <c r="G235" s="38">
        <v>250</v>
      </c>
      <c r="H235" s="54">
        <v>80</v>
      </c>
      <c r="I235" s="53">
        <v>0</v>
      </c>
      <c r="J235" s="54">
        <f t="shared" si="41"/>
        <v>80</v>
      </c>
      <c r="K235" s="54">
        <f t="shared" si="42"/>
        <v>20000</v>
      </c>
      <c r="M235" s="45"/>
      <c r="N235" s="45"/>
      <c r="O235" s="45"/>
      <c r="P235" s="45"/>
      <c r="Q235" s="45"/>
      <c r="R235" s="45"/>
      <c r="S235" s="45"/>
      <c r="T235" s="45"/>
      <c r="U235" s="45"/>
      <c r="V235" s="45"/>
      <c r="W235" s="45"/>
      <c r="X235" s="45"/>
      <c r="Y235" s="45"/>
      <c r="Z235" s="56"/>
    </row>
    <row r="236" spans="1:26" outlineLevel="1">
      <c r="A236" s="7" t="s">
        <v>161</v>
      </c>
      <c r="B236" s="40" t="s">
        <v>703</v>
      </c>
      <c r="C236" s="40" t="s">
        <v>216</v>
      </c>
      <c r="D236" s="40" t="s">
        <v>242</v>
      </c>
      <c r="E236" s="40" t="s">
        <v>6</v>
      </c>
      <c r="F236" s="40" t="s">
        <v>148</v>
      </c>
      <c r="G236" s="38">
        <v>1</v>
      </c>
      <c r="H236" s="54">
        <v>25500</v>
      </c>
      <c r="I236" s="53">
        <v>0</v>
      </c>
      <c r="J236" s="54">
        <f t="shared" si="41"/>
        <v>25500</v>
      </c>
      <c r="K236" s="54">
        <f t="shared" si="42"/>
        <v>25500</v>
      </c>
      <c r="M236" s="45"/>
      <c r="N236" s="45"/>
      <c r="O236" s="45"/>
      <c r="P236" s="45"/>
      <c r="Q236" s="45"/>
      <c r="R236" s="45"/>
      <c r="S236" s="45"/>
      <c r="T236" s="45"/>
      <c r="U236" s="45"/>
      <c r="V236" s="45"/>
      <c r="W236" s="45"/>
      <c r="X236" s="45"/>
      <c r="Y236" s="45"/>
      <c r="Z236" s="56"/>
    </row>
    <row r="237" spans="1:26" outlineLevel="1">
      <c r="A237" s="7" t="s">
        <v>704</v>
      </c>
      <c r="B237" s="40" t="s">
        <v>703</v>
      </c>
      <c r="C237" s="40" t="s">
        <v>216</v>
      </c>
      <c r="D237" s="40" t="s">
        <v>242</v>
      </c>
      <c r="E237" s="40" t="s">
        <v>6</v>
      </c>
      <c r="F237" s="40" t="s">
        <v>108</v>
      </c>
      <c r="G237" s="38">
        <f>$Q$7*2</f>
        <v>2</v>
      </c>
      <c r="H237" s="54">
        <v>1950</v>
      </c>
      <c r="I237" s="53">
        <v>0</v>
      </c>
      <c r="J237" s="54">
        <f t="shared" si="41"/>
        <v>1950</v>
      </c>
      <c r="K237" s="54">
        <f t="shared" si="42"/>
        <v>3900</v>
      </c>
      <c r="M237" s="45"/>
      <c r="N237" s="45"/>
      <c r="O237" s="45"/>
      <c r="P237" s="45"/>
      <c r="Q237" s="45"/>
      <c r="R237" s="45"/>
      <c r="S237" s="45"/>
      <c r="T237" s="45"/>
      <c r="U237" s="45"/>
      <c r="V237" s="45"/>
      <c r="W237" s="45"/>
      <c r="X237" s="45"/>
      <c r="Y237" s="45"/>
      <c r="Z237" s="56"/>
    </row>
    <row r="238" spans="1:26" outlineLevel="1">
      <c r="A238" s="7" t="s">
        <v>705</v>
      </c>
      <c r="B238" s="40" t="s">
        <v>706</v>
      </c>
      <c r="C238" s="40" t="s">
        <v>216</v>
      </c>
      <c r="D238" s="40" t="s">
        <v>223</v>
      </c>
      <c r="E238" s="40" t="s">
        <v>71</v>
      </c>
      <c r="F238" s="40" t="s">
        <v>108</v>
      </c>
      <c r="G238" s="38">
        <v>4</v>
      </c>
      <c r="H238" s="54">
        <v>25000</v>
      </c>
      <c r="I238" s="53">
        <v>0</v>
      </c>
      <c r="J238" s="54">
        <f t="shared" si="41"/>
        <v>25000</v>
      </c>
      <c r="K238" s="54">
        <f t="shared" si="42"/>
        <v>100000</v>
      </c>
      <c r="M238" s="45"/>
      <c r="N238" s="45"/>
      <c r="O238" s="45"/>
      <c r="P238" s="45"/>
      <c r="Q238" s="45"/>
      <c r="R238" s="45"/>
      <c r="S238" s="45"/>
      <c r="T238" s="45"/>
      <c r="U238" s="45"/>
      <c r="V238" s="45"/>
      <c r="W238" s="45"/>
      <c r="X238" s="45"/>
      <c r="Y238" s="45"/>
      <c r="Z238" s="56"/>
    </row>
    <row r="239" spans="1:26" outlineLevel="1">
      <c r="A239" s="7" t="s">
        <v>707</v>
      </c>
      <c r="B239" s="40" t="s">
        <v>708</v>
      </c>
      <c r="C239" s="40" t="s">
        <v>216</v>
      </c>
      <c r="D239" s="40" t="s">
        <v>223</v>
      </c>
      <c r="E239" s="40" t="s">
        <v>71</v>
      </c>
      <c r="F239" s="40" t="s">
        <v>108</v>
      </c>
      <c r="G239" s="38">
        <v>2</v>
      </c>
      <c r="H239" s="54">
        <v>4500</v>
      </c>
      <c r="I239" s="53">
        <v>0</v>
      </c>
      <c r="J239" s="54">
        <f t="shared" si="41"/>
        <v>4500</v>
      </c>
      <c r="K239" s="54">
        <f t="shared" si="42"/>
        <v>9000</v>
      </c>
      <c r="M239" s="45"/>
      <c r="N239" s="45"/>
      <c r="O239" s="45"/>
      <c r="P239" s="45"/>
      <c r="Q239" s="45"/>
      <c r="R239" s="45"/>
      <c r="S239" s="45"/>
      <c r="T239" s="45"/>
      <c r="U239" s="45"/>
      <c r="V239" s="45"/>
      <c r="W239" s="45"/>
      <c r="X239" s="45"/>
      <c r="Y239" s="45"/>
      <c r="Z239" s="56"/>
    </row>
    <row r="240" spans="1:26" outlineLevel="1">
      <c r="A240" s="7" t="s">
        <v>709</v>
      </c>
      <c r="B240" s="40" t="s">
        <v>710</v>
      </c>
      <c r="C240" s="40" t="s">
        <v>216</v>
      </c>
      <c r="D240" s="40" t="s">
        <v>223</v>
      </c>
      <c r="E240" s="40" t="s">
        <v>73</v>
      </c>
      <c r="F240" s="47" t="s">
        <v>88</v>
      </c>
      <c r="G240" s="42">
        <f>$E$8</f>
        <v>390</v>
      </c>
      <c r="H240" s="54">
        <v>50</v>
      </c>
      <c r="I240" s="53">
        <v>0</v>
      </c>
      <c r="J240" s="54">
        <f t="shared" si="41"/>
        <v>50</v>
      </c>
      <c r="K240" s="54">
        <f t="shared" si="42"/>
        <v>19500</v>
      </c>
      <c r="M240" s="45"/>
      <c r="N240" s="45"/>
      <c r="O240" s="45"/>
      <c r="P240" s="45"/>
      <c r="Q240" s="45"/>
      <c r="R240" s="45"/>
      <c r="S240" s="45"/>
      <c r="T240" s="45"/>
      <c r="U240" s="45"/>
      <c r="V240" s="45"/>
      <c r="W240" s="45"/>
      <c r="X240" s="45"/>
      <c r="Y240" s="45"/>
      <c r="Z240" s="56"/>
    </row>
    <row r="241" spans="1:26" outlineLevel="1">
      <c r="A241" s="7" t="s">
        <v>711</v>
      </c>
      <c r="B241" s="40" t="s">
        <v>712</v>
      </c>
      <c r="C241" s="40" t="s">
        <v>216</v>
      </c>
      <c r="D241" s="40" t="s">
        <v>223</v>
      </c>
      <c r="E241" s="40" t="s">
        <v>6</v>
      </c>
      <c r="F241" s="40" t="s">
        <v>108</v>
      </c>
      <c r="G241" s="38">
        <f>$Q$7*2</f>
        <v>2</v>
      </c>
      <c r="H241" s="54">
        <v>1950</v>
      </c>
      <c r="I241" s="53">
        <v>0</v>
      </c>
      <c r="J241" s="54">
        <f t="shared" si="41"/>
        <v>1950</v>
      </c>
      <c r="K241" s="54">
        <f t="shared" si="42"/>
        <v>3900</v>
      </c>
      <c r="M241" s="45"/>
      <c r="N241" s="45"/>
      <c r="O241" s="45"/>
      <c r="P241" s="45"/>
      <c r="Q241" s="45"/>
      <c r="R241" s="45"/>
      <c r="S241" s="45"/>
      <c r="T241" s="45"/>
      <c r="U241" s="45"/>
      <c r="V241" s="45"/>
      <c r="W241" s="45"/>
      <c r="X241" s="45"/>
      <c r="Y241" s="45"/>
      <c r="Z241" s="56"/>
    </row>
    <row r="242" spans="1:26" outlineLevel="1">
      <c r="A242" s="7" t="s">
        <v>713</v>
      </c>
      <c r="B242" s="40" t="s">
        <v>714</v>
      </c>
      <c r="C242" s="40" t="s">
        <v>216</v>
      </c>
      <c r="D242" s="40" t="s">
        <v>223</v>
      </c>
      <c r="E242" s="40" t="s">
        <v>73</v>
      </c>
      <c r="F242" s="40" t="s">
        <v>615</v>
      </c>
      <c r="G242" s="183">
        <f>$B$9</f>
        <v>15.826000000000001</v>
      </c>
      <c r="H242" s="54">
        <v>5000</v>
      </c>
      <c r="I242" s="53">
        <v>0</v>
      </c>
      <c r="J242" s="54">
        <f t="shared" si="41"/>
        <v>5000</v>
      </c>
      <c r="K242" s="54">
        <f t="shared" si="42"/>
        <v>79130</v>
      </c>
      <c r="M242" s="45"/>
      <c r="N242" s="45"/>
      <c r="O242" s="45"/>
      <c r="P242" s="45"/>
      <c r="Q242" s="45"/>
      <c r="R242" s="45"/>
      <c r="S242" s="45"/>
      <c r="T242" s="45"/>
      <c r="U242" s="45"/>
      <c r="V242" s="45"/>
      <c r="W242" s="45"/>
      <c r="X242" s="45"/>
      <c r="Y242" s="45"/>
      <c r="Z242" s="56"/>
    </row>
    <row r="243" spans="1:26" outlineLevel="1">
      <c r="A243" s="1011" t="s">
        <v>715</v>
      </c>
      <c r="B243" s="206" t="s">
        <v>716</v>
      </c>
      <c r="C243" s="206" t="s">
        <v>216</v>
      </c>
      <c r="D243" s="206" t="s">
        <v>223</v>
      </c>
      <c r="E243" s="206" t="s">
        <v>6</v>
      </c>
      <c r="F243" s="206" t="s">
        <v>71</v>
      </c>
      <c r="G243" s="207">
        <v>1</v>
      </c>
      <c r="H243" s="54">
        <v>296090</v>
      </c>
      <c r="I243" s="209">
        <v>0</v>
      </c>
      <c r="J243" s="210">
        <f t="shared" si="41"/>
        <v>296090</v>
      </c>
      <c r="K243" s="210">
        <f t="shared" si="42"/>
        <v>296090</v>
      </c>
      <c r="M243" s="45"/>
      <c r="N243" s="45"/>
      <c r="O243" s="45"/>
      <c r="P243" s="45"/>
      <c r="Q243" s="45"/>
      <c r="R243" s="45"/>
      <c r="S243" s="45"/>
      <c r="T243" s="45"/>
      <c r="U243" s="45"/>
      <c r="V243" s="45"/>
      <c r="W243" s="45"/>
      <c r="X243" s="45"/>
      <c r="Y243" s="45"/>
      <c r="Z243" s="56"/>
    </row>
    <row r="244" spans="1:26" outlineLevel="1">
      <c r="A244" s="1011" t="s">
        <v>718</v>
      </c>
      <c r="B244" s="206" t="s">
        <v>719</v>
      </c>
      <c r="C244" s="206" t="s">
        <v>216</v>
      </c>
      <c r="D244" s="206" t="s">
        <v>223</v>
      </c>
      <c r="E244" s="206" t="s">
        <v>369</v>
      </c>
      <c r="F244" s="206" t="s">
        <v>71</v>
      </c>
      <c r="G244" s="207">
        <v>1</v>
      </c>
      <c r="H244" s="54">
        <v>0</v>
      </c>
      <c r="I244" s="209">
        <v>0</v>
      </c>
      <c r="J244" s="210">
        <f t="shared" si="41"/>
        <v>0</v>
      </c>
      <c r="K244" s="210">
        <f t="shared" si="42"/>
        <v>0</v>
      </c>
      <c r="M244" s="45"/>
      <c r="N244" s="45"/>
      <c r="O244" s="45"/>
      <c r="P244" s="45"/>
      <c r="Q244" s="45"/>
      <c r="R244" s="45"/>
      <c r="S244" s="45"/>
      <c r="T244" s="45"/>
      <c r="U244" s="45"/>
      <c r="V244" s="45"/>
      <c r="W244" s="45"/>
      <c r="X244" s="45"/>
      <c r="Y244" s="45"/>
      <c r="Z244" s="56"/>
    </row>
    <row r="245" spans="1:26" outlineLevel="1">
      <c r="A245" s="1011" t="s">
        <v>720</v>
      </c>
      <c r="B245" s="206" t="s">
        <v>721</v>
      </c>
      <c r="C245" s="206" t="s">
        <v>216</v>
      </c>
      <c r="D245" s="206" t="s">
        <v>223</v>
      </c>
      <c r="E245" s="206" t="s">
        <v>73</v>
      </c>
      <c r="F245" s="206" t="s">
        <v>71</v>
      </c>
      <c r="G245" s="207">
        <v>1</v>
      </c>
      <c r="H245" s="54">
        <v>100231.34217691</v>
      </c>
      <c r="I245" s="209">
        <v>0</v>
      </c>
      <c r="J245" s="210">
        <f t="shared" si="41"/>
        <v>100231.34217691</v>
      </c>
      <c r="K245" s="210">
        <f t="shared" si="42"/>
        <v>100231.34217691</v>
      </c>
      <c r="M245" s="45"/>
      <c r="N245" s="45"/>
      <c r="O245" s="45"/>
      <c r="P245" s="45"/>
      <c r="Q245" s="45"/>
      <c r="R245" s="45"/>
      <c r="S245" s="45"/>
      <c r="T245" s="45"/>
      <c r="U245" s="45"/>
      <c r="V245" s="45"/>
      <c r="W245" s="45"/>
      <c r="X245" s="45"/>
      <c r="Y245" s="45"/>
      <c r="Z245" s="56"/>
    </row>
    <row r="246" spans="1:26" outlineLevel="1">
      <c r="A246" s="7" t="s">
        <v>722</v>
      </c>
      <c r="B246" s="40" t="s">
        <v>723</v>
      </c>
      <c r="C246" s="40" t="s">
        <v>283</v>
      </c>
      <c r="D246" s="40" t="s">
        <v>242</v>
      </c>
      <c r="E246" s="40" t="s">
        <v>73</v>
      </c>
      <c r="F246" s="40" t="s">
        <v>71</v>
      </c>
      <c r="G246" s="38">
        <v>1</v>
      </c>
      <c r="H246" s="54">
        <v>75000</v>
      </c>
      <c r="I246" s="53">
        <v>0</v>
      </c>
      <c r="J246" s="54">
        <f t="shared" si="41"/>
        <v>75000</v>
      </c>
      <c r="K246" s="54">
        <f t="shared" si="42"/>
        <v>75000</v>
      </c>
      <c r="M246" s="45"/>
      <c r="N246" s="45"/>
      <c r="O246" s="45"/>
      <c r="P246" s="45"/>
      <c r="Q246" s="45"/>
      <c r="R246" s="45"/>
      <c r="S246" s="45"/>
      <c r="T246" s="45"/>
      <c r="U246" s="45"/>
      <c r="V246" s="45"/>
      <c r="W246" s="45"/>
      <c r="X246" s="45"/>
      <c r="Y246" s="45"/>
      <c r="Z246" s="56"/>
    </row>
    <row r="247" spans="1:26" outlineLevel="1">
      <c r="A247" s="7" t="s">
        <v>724</v>
      </c>
      <c r="B247" s="40" t="s">
        <v>725</v>
      </c>
      <c r="C247" s="40" t="s">
        <v>283</v>
      </c>
      <c r="D247" s="40" t="s">
        <v>228</v>
      </c>
      <c r="E247" s="40" t="s">
        <v>73</v>
      </c>
      <c r="F247" s="40" t="s">
        <v>71</v>
      </c>
      <c r="G247" s="38">
        <v>1</v>
      </c>
      <c r="H247" s="54">
        <v>7000</v>
      </c>
      <c r="I247" s="53">
        <v>0</v>
      </c>
      <c r="J247" s="54">
        <f t="shared" si="41"/>
        <v>7000</v>
      </c>
      <c r="K247" s="54">
        <f t="shared" si="42"/>
        <v>7000</v>
      </c>
      <c r="M247" s="45"/>
      <c r="N247" s="45"/>
      <c r="O247" s="45"/>
      <c r="P247" s="45"/>
      <c r="Q247" s="45"/>
      <c r="R247" s="45"/>
      <c r="S247" s="45"/>
      <c r="T247" s="45"/>
      <c r="U247" s="45"/>
      <c r="V247" s="45"/>
      <c r="W247" s="45"/>
      <c r="X247" s="45"/>
      <c r="Y247" s="45"/>
      <c r="Z247" s="56"/>
    </row>
    <row r="248" spans="1:26" s="781" customFormat="1" outlineLevel="1">
      <c r="A248" s="7" t="s">
        <v>726</v>
      </c>
      <c r="B248" s="40" t="s">
        <v>727</v>
      </c>
      <c r="C248" s="40" t="s">
        <v>216</v>
      </c>
      <c r="D248" s="40" t="s">
        <v>223</v>
      </c>
      <c r="E248" s="40" t="s">
        <v>312</v>
      </c>
      <c r="F248" s="40" t="s">
        <v>61</v>
      </c>
      <c r="G248" s="666">
        <v>304972.92</v>
      </c>
      <c r="H248" s="51">
        <f>'Comparison to Other'!K13</f>
        <v>7.5062347612153033</v>
      </c>
      <c r="I248" s="53">
        <v>0</v>
      </c>
      <c r="J248" s="51">
        <f t="shared" si="41"/>
        <v>7.5062347612153033</v>
      </c>
      <c r="K248" s="54">
        <f t="shared" si="42"/>
        <v>2289198.3333333335</v>
      </c>
      <c r="M248" s="45" t="s">
        <v>1002</v>
      </c>
      <c r="N248" s="782"/>
      <c r="O248" s="782"/>
      <c r="P248" s="782"/>
      <c r="Q248" s="782"/>
      <c r="R248" s="782"/>
      <c r="S248" s="782"/>
      <c r="T248" s="782"/>
      <c r="U248" s="782"/>
      <c r="V248" s="782"/>
      <c r="W248" s="782"/>
      <c r="X248" s="782"/>
      <c r="Y248" s="782"/>
      <c r="Z248" s="783"/>
    </row>
    <row r="249" spans="1:26" outlineLevel="1">
      <c r="A249" s="7" t="s">
        <v>729</v>
      </c>
      <c r="B249" s="40" t="s">
        <v>727</v>
      </c>
      <c r="C249" s="40" t="s">
        <v>216</v>
      </c>
      <c r="D249" s="40" t="s">
        <v>223</v>
      </c>
      <c r="E249" s="40" t="s">
        <v>73</v>
      </c>
      <c r="F249" s="40" t="s">
        <v>71</v>
      </c>
      <c r="G249" s="38">
        <v>1</v>
      </c>
      <c r="H249" s="54">
        <v>10000</v>
      </c>
      <c r="I249" s="53">
        <v>0</v>
      </c>
      <c r="J249" s="54">
        <f t="shared" si="41"/>
        <v>10000</v>
      </c>
      <c r="K249" s="54">
        <f t="shared" si="42"/>
        <v>10000</v>
      </c>
      <c r="M249" s="45"/>
      <c r="N249" s="45"/>
      <c r="O249" s="45"/>
      <c r="P249" s="45"/>
      <c r="Q249" s="45"/>
      <c r="R249" s="45"/>
      <c r="S249" s="45"/>
      <c r="T249" s="45"/>
      <c r="U249" s="45"/>
      <c r="V249" s="45"/>
      <c r="W249" s="45"/>
      <c r="X249" s="45"/>
      <c r="Y249" s="45"/>
      <c r="Z249" s="56"/>
    </row>
    <row r="250" spans="1:26" outlineLevel="1">
      <c r="A250" s="7" t="s">
        <v>730</v>
      </c>
      <c r="B250" s="40" t="s">
        <v>731</v>
      </c>
      <c r="C250" s="40" t="s">
        <v>216</v>
      </c>
      <c r="D250" s="40" t="s">
        <v>223</v>
      </c>
      <c r="E250" s="40" t="s">
        <v>326</v>
      </c>
      <c r="F250" s="40" t="s">
        <v>71</v>
      </c>
      <c r="G250" s="38">
        <v>0</v>
      </c>
      <c r="H250" s="54">
        <f>'Park Options'!E7</f>
        <v>39687</v>
      </c>
      <c r="I250" s="53">
        <v>0</v>
      </c>
      <c r="J250" s="54">
        <f t="shared" si="41"/>
        <v>39687</v>
      </c>
      <c r="K250" s="54">
        <f t="shared" si="42"/>
        <v>0</v>
      </c>
      <c r="M250" s="45"/>
      <c r="N250" s="45"/>
      <c r="O250" s="45"/>
      <c r="P250" s="45"/>
      <c r="Q250" s="45"/>
      <c r="R250" s="45"/>
      <c r="S250" s="45"/>
      <c r="T250" s="45"/>
      <c r="U250" s="45"/>
      <c r="V250" s="45"/>
      <c r="W250" s="45"/>
      <c r="X250" s="45"/>
      <c r="Y250" s="45"/>
      <c r="Z250" s="56"/>
    </row>
    <row r="251" spans="1:26" outlineLevel="1">
      <c r="A251" s="7" t="s">
        <v>732</v>
      </c>
      <c r="B251" s="40" t="s">
        <v>673</v>
      </c>
      <c r="C251" s="40" t="s">
        <v>216</v>
      </c>
      <c r="D251" s="40" t="s">
        <v>481</v>
      </c>
      <c r="E251" s="40" t="s">
        <v>733</v>
      </c>
      <c r="F251" s="40" t="s">
        <v>71</v>
      </c>
      <c r="G251" s="38">
        <v>1</v>
      </c>
      <c r="H251" s="54">
        <v>25000</v>
      </c>
      <c r="I251" s="53">
        <v>0</v>
      </c>
      <c r="J251" s="54">
        <f t="shared" si="41"/>
        <v>25000</v>
      </c>
      <c r="K251" s="54">
        <f t="shared" si="42"/>
        <v>25000</v>
      </c>
      <c r="M251" s="45"/>
      <c r="N251" s="45"/>
      <c r="O251" s="45"/>
      <c r="P251" s="45"/>
      <c r="Q251" s="45"/>
      <c r="R251" s="45"/>
      <c r="S251" s="45"/>
      <c r="T251" s="45"/>
      <c r="U251" s="45"/>
      <c r="V251" s="45"/>
      <c r="W251" s="45"/>
      <c r="X251" s="45"/>
      <c r="Y251" s="45"/>
      <c r="Z251" s="56"/>
    </row>
    <row r="252" spans="1:26" outlineLevel="1">
      <c r="A252" s="1011" t="s">
        <v>734</v>
      </c>
      <c r="B252" s="206" t="s">
        <v>675</v>
      </c>
      <c r="C252" s="206" t="s">
        <v>216</v>
      </c>
      <c r="D252" s="206" t="s">
        <v>481</v>
      </c>
      <c r="E252" s="206" t="s">
        <v>6</v>
      </c>
      <c r="F252" s="206" t="s">
        <v>71</v>
      </c>
      <c r="G252" s="207">
        <v>1</v>
      </c>
      <c r="H252" s="54">
        <v>1006389.799</v>
      </c>
      <c r="I252" s="209">
        <v>0</v>
      </c>
      <c r="J252" s="210">
        <f t="shared" si="41"/>
        <v>1006389.799</v>
      </c>
      <c r="K252" s="210">
        <f t="shared" si="42"/>
        <v>1006389.799</v>
      </c>
      <c r="M252" s="45"/>
      <c r="N252" s="45"/>
      <c r="O252" s="45"/>
      <c r="P252" s="45"/>
      <c r="Q252" s="45"/>
      <c r="R252" s="45"/>
      <c r="S252" s="45"/>
      <c r="T252" s="45"/>
      <c r="U252" s="45"/>
      <c r="V252" s="45"/>
      <c r="W252" s="45"/>
      <c r="X252" s="45"/>
      <c r="Y252" s="45"/>
      <c r="Z252" s="56"/>
    </row>
    <row r="253" spans="1:26" outlineLevel="1">
      <c r="A253" s="1011" t="s">
        <v>736</v>
      </c>
      <c r="B253" s="206" t="s">
        <v>682</v>
      </c>
      <c r="C253" s="206" t="s">
        <v>216</v>
      </c>
      <c r="D253" s="206" t="s">
        <v>481</v>
      </c>
      <c r="E253" s="206" t="s">
        <v>6</v>
      </c>
      <c r="F253" s="206" t="s">
        <v>71</v>
      </c>
      <c r="G253" s="207">
        <v>1</v>
      </c>
      <c r="H253" s="54">
        <v>135330</v>
      </c>
      <c r="I253" s="209">
        <v>0</v>
      </c>
      <c r="J253" s="210">
        <f t="shared" si="41"/>
        <v>135330</v>
      </c>
      <c r="K253" s="210">
        <f t="shared" si="42"/>
        <v>135330</v>
      </c>
      <c r="M253" s="45"/>
      <c r="N253" s="45"/>
      <c r="O253" s="45"/>
      <c r="P253" s="45"/>
      <c r="Q253" s="45"/>
      <c r="R253" s="45"/>
      <c r="S253" s="45"/>
      <c r="T253" s="45"/>
      <c r="U253" s="45"/>
      <c r="V253" s="45"/>
      <c r="W253" s="45"/>
      <c r="X253" s="45"/>
      <c r="Y253" s="45"/>
      <c r="Z253" s="56"/>
    </row>
    <row r="254" spans="1:26" outlineLevel="1">
      <c r="A254" s="1011" t="s">
        <v>737</v>
      </c>
      <c r="B254" s="206" t="s">
        <v>686</v>
      </c>
      <c r="C254" s="206" t="s">
        <v>216</v>
      </c>
      <c r="D254" s="206" t="s">
        <v>481</v>
      </c>
      <c r="E254" s="206" t="s">
        <v>6</v>
      </c>
      <c r="F254" s="206" t="s">
        <v>71</v>
      </c>
      <c r="G254" s="207">
        <v>1</v>
      </c>
      <c r="H254" s="54">
        <v>173092</v>
      </c>
      <c r="I254" s="209">
        <v>0</v>
      </c>
      <c r="J254" s="210">
        <f t="shared" si="41"/>
        <v>173092</v>
      </c>
      <c r="K254" s="210">
        <f t="shared" si="42"/>
        <v>173092</v>
      </c>
      <c r="M254" s="45"/>
      <c r="N254" s="45"/>
      <c r="O254" s="45"/>
      <c r="P254" s="45"/>
      <c r="Q254" s="45"/>
      <c r="R254" s="45"/>
      <c r="S254" s="45"/>
      <c r="T254" s="45"/>
      <c r="U254" s="45"/>
      <c r="V254" s="45"/>
      <c r="W254" s="45"/>
      <c r="X254" s="45"/>
      <c r="Y254" s="45"/>
      <c r="Z254" s="56"/>
    </row>
    <row r="255" spans="1:26" outlineLevel="1">
      <c r="A255" s="6" t="s">
        <v>1003</v>
      </c>
      <c r="B255" s="47" t="s">
        <v>1004</v>
      </c>
      <c r="C255" s="47" t="s">
        <v>216</v>
      </c>
      <c r="D255" s="47" t="s">
        <v>1005</v>
      </c>
      <c r="E255" s="47" t="s">
        <v>6</v>
      </c>
      <c r="F255" s="47" t="s">
        <v>71</v>
      </c>
      <c r="G255" s="47">
        <v>1</v>
      </c>
      <c r="H255" s="54">
        <v>0</v>
      </c>
      <c r="I255" s="63">
        <v>0</v>
      </c>
      <c r="J255" s="67">
        <f t="shared" ref="J255" si="43">H255*(1+I255)</f>
        <v>0</v>
      </c>
      <c r="K255" s="67">
        <f t="shared" si="42"/>
        <v>0</v>
      </c>
      <c r="M255" s="45"/>
      <c r="N255" s="45"/>
      <c r="O255" s="45"/>
      <c r="P255" s="45"/>
      <c r="Q255" s="45"/>
      <c r="R255" s="45"/>
      <c r="S255" s="45"/>
      <c r="T255" s="45"/>
      <c r="U255" s="45"/>
      <c r="V255" s="45"/>
      <c r="W255" s="45"/>
      <c r="X255" s="45"/>
      <c r="Y255" s="45"/>
      <c r="Z255" s="56"/>
    </row>
    <row r="256" spans="1:26">
      <c r="A256" s="1020" t="s">
        <v>666</v>
      </c>
      <c r="B256" s="65" t="s">
        <v>667</v>
      </c>
      <c r="C256" s="65"/>
      <c r="D256" s="65"/>
      <c r="E256" s="65"/>
      <c r="F256" s="65"/>
      <c r="G256" s="65"/>
      <c r="H256" s="1077"/>
      <c r="I256" s="157"/>
      <c r="J256" s="159"/>
      <c r="K256" s="159"/>
      <c r="L256" s="71">
        <f>SUM(K219:K255)</f>
        <v>6247669.5083102435</v>
      </c>
      <c r="M256" s="45"/>
      <c r="N256" s="45"/>
      <c r="O256" s="45"/>
      <c r="P256" s="45"/>
      <c r="Q256" s="45"/>
      <c r="R256" s="45"/>
      <c r="S256" s="45"/>
      <c r="T256" s="45"/>
      <c r="U256" s="45"/>
      <c r="V256" s="45"/>
      <c r="W256" s="45"/>
      <c r="X256" s="45"/>
      <c r="Y256" s="45"/>
      <c r="Z256" s="56"/>
    </row>
    <row r="257" spans="1:26" outlineLevel="1">
      <c r="A257" s="6" t="s">
        <v>740</v>
      </c>
      <c r="B257" s="47" t="s">
        <v>741</v>
      </c>
      <c r="C257" s="47" t="s">
        <v>283</v>
      </c>
      <c r="D257" s="47"/>
      <c r="E257" s="47" t="s">
        <v>742</v>
      </c>
      <c r="F257" s="47" t="s">
        <v>88</v>
      </c>
      <c r="G257" s="42">
        <f>$E$8</f>
        <v>390</v>
      </c>
      <c r="H257" s="461">
        <f>112356/312</f>
        <v>360.11538461538464</v>
      </c>
      <c r="I257" s="63">
        <v>0</v>
      </c>
      <c r="J257" s="66">
        <f t="shared" ref="J257:J273" si="44">H257*(1+I257)</f>
        <v>360.11538461538464</v>
      </c>
      <c r="K257" s="67">
        <f t="shared" ref="K257:K273" si="45">J257*G257</f>
        <v>140445</v>
      </c>
      <c r="M257" s="45"/>
      <c r="N257" s="45"/>
      <c r="O257" s="45"/>
      <c r="P257" s="45"/>
      <c r="Q257" s="45"/>
      <c r="R257" s="45"/>
      <c r="S257" s="45"/>
      <c r="T257" s="45"/>
      <c r="U257" s="45"/>
      <c r="V257" s="199"/>
      <c r="W257" s="45"/>
      <c r="X257" s="45"/>
      <c r="Y257" s="45"/>
      <c r="Z257" s="56"/>
    </row>
    <row r="258" spans="1:26" outlineLevel="1">
      <c r="A258" s="1012" t="s">
        <v>1006</v>
      </c>
      <c r="B258" s="595"/>
      <c r="C258" s="595"/>
      <c r="D258" s="595"/>
      <c r="E258" s="595" t="s">
        <v>73</v>
      </c>
      <c r="F258" s="595" t="s">
        <v>71</v>
      </c>
      <c r="G258" s="1016">
        <v>1</v>
      </c>
      <c r="H258" s="54">
        <v>50000</v>
      </c>
      <c r="I258" s="1014">
        <v>0</v>
      </c>
      <c r="J258" s="594">
        <f t="shared" ref="J258" si="46">H258*(1+I258)</f>
        <v>50000</v>
      </c>
      <c r="K258" s="594">
        <f t="shared" si="45"/>
        <v>50000</v>
      </c>
      <c r="M258" s="45"/>
      <c r="N258" s="45"/>
      <c r="O258" s="45"/>
      <c r="P258" s="45"/>
      <c r="Q258" s="45"/>
      <c r="R258" s="45"/>
      <c r="S258" s="45"/>
      <c r="T258" s="45"/>
      <c r="U258" s="45"/>
      <c r="V258" s="199"/>
      <c r="W258" s="45"/>
      <c r="X258" s="45"/>
      <c r="Y258" s="45"/>
      <c r="Z258" s="56"/>
    </row>
    <row r="259" spans="1:26" outlineLevel="1">
      <c r="A259" s="7" t="s">
        <v>744</v>
      </c>
      <c r="B259" s="40" t="s">
        <v>745</v>
      </c>
      <c r="C259" s="40" t="s">
        <v>283</v>
      </c>
      <c r="D259" s="40" t="s">
        <v>481</v>
      </c>
      <c r="E259" s="40" t="s">
        <v>231</v>
      </c>
      <c r="F259" s="40"/>
      <c r="G259" s="38"/>
      <c r="H259" s="54"/>
      <c r="I259" s="53">
        <v>0</v>
      </c>
      <c r="J259" s="51">
        <f t="shared" si="44"/>
        <v>0</v>
      </c>
      <c r="K259" s="54">
        <f t="shared" si="45"/>
        <v>0</v>
      </c>
      <c r="M259" s="45"/>
      <c r="N259" s="45"/>
      <c r="O259" s="45"/>
      <c r="P259" s="45"/>
      <c r="Q259" s="45"/>
      <c r="R259" s="45"/>
      <c r="S259" s="45"/>
      <c r="T259" s="45"/>
      <c r="U259" s="45"/>
      <c r="V259" s="45"/>
      <c r="W259" s="45"/>
      <c r="X259" s="45"/>
      <c r="Y259" s="45"/>
      <c r="Z259" s="56"/>
    </row>
    <row r="260" spans="1:26" outlineLevel="1">
      <c r="A260" s="1011" t="s">
        <v>746</v>
      </c>
      <c r="B260" s="206" t="s">
        <v>745</v>
      </c>
      <c r="C260" s="206" t="s">
        <v>216</v>
      </c>
      <c r="D260" s="206" t="s">
        <v>223</v>
      </c>
      <c r="E260" s="206" t="s">
        <v>6</v>
      </c>
      <c r="F260" s="206" t="s">
        <v>71</v>
      </c>
      <c r="G260" s="207">
        <v>1</v>
      </c>
      <c r="H260" s="54">
        <v>672740.64999999991</v>
      </c>
      <c r="I260" s="209">
        <v>0</v>
      </c>
      <c r="J260" s="210">
        <f t="shared" si="44"/>
        <v>672740.64999999991</v>
      </c>
      <c r="K260" s="210">
        <f t="shared" si="45"/>
        <v>672740.64999999991</v>
      </c>
      <c r="M260" s="45"/>
      <c r="N260" s="45"/>
      <c r="O260" s="45"/>
      <c r="P260" s="45"/>
      <c r="Q260" s="45"/>
      <c r="R260" s="45"/>
      <c r="S260" s="45"/>
      <c r="T260" s="45"/>
      <c r="U260" s="45"/>
      <c r="V260" s="45"/>
      <c r="W260" s="45"/>
      <c r="X260" s="45"/>
      <c r="Y260" s="45"/>
      <c r="Z260" s="56"/>
    </row>
    <row r="261" spans="1:26" outlineLevel="1">
      <c r="A261" s="1011" t="s">
        <v>748</v>
      </c>
      <c r="B261" s="206" t="s">
        <v>749</v>
      </c>
      <c r="C261" s="206" t="s">
        <v>216</v>
      </c>
      <c r="D261" s="206" t="s">
        <v>223</v>
      </c>
      <c r="E261" s="206" t="s">
        <v>6</v>
      </c>
      <c r="F261" s="206" t="s">
        <v>71</v>
      </c>
      <c r="G261" s="207">
        <v>1</v>
      </c>
      <c r="H261" s="54">
        <v>387072</v>
      </c>
      <c r="I261" s="209">
        <v>0</v>
      </c>
      <c r="J261" s="210">
        <f t="shared" si="44"/>
        <v>387072</v>
      </c>
      <c r="K261" s="210">
        <f t="shared" si="45"/>
        <v>387072</v>
      </c>
      <c r="M261" s="45"/>
      <c r="N261" s="45"/>
      <c r="O261" s="45"/>
      <c r="P261" s="45"/>
      <c r="Q261" s="45"/>
      <c r="R261" s="45"/>
      <c r="S261" s="45"/>
      <c r="T261" s="45"/>
      <c r="U261" s="45"/>
      <c r="V261" s="45"/>
      <c r="W261" s="45"/>
      <c r="X261" s="45"/>
      <c r="Y261" s="45"/>
      <c r="Z261" s="56"/>
    </row>
    <row r="262" spans="1:26" outlineLevel="1">
      <c r="A262" s="7" t="s">
        <v>751</v>
      </c>
      <c r="B262" s="40" t="s">
        <v>752</v>
      </c>
      <c r="C262" s="40" t="s">
        <v>216</v>
      </c>
      <c r="D262" s="40" t="s">
        <v>223</v>
      </c>
      <c r="E262" s="40" t="s">
        <v>73</v>
      </c>
      <c r="F262" s="40" t="s">
        <v>71</v>
      </c>
      <c r="G262" s="38">
        <v>1</v>
      </c>
      <c r="H262" s="54">
        <v>25000</v>
      </c>
      <c r="I262" s="53">
        <v>0</v>
      </c>
      <c r="J262" s="54">
        <f t="shared" si="44"/>
        <v>25000</v>
      </c>
      <c r="K262" s="54">
        <f t="shared" si="45"/>
        <v>25000</v>
      </c>
      <c r="M262" s="45"/>
      <c r="N262" s="45"/>
      <c r="O262" s="45"/>
      <c r="P262" s="45"/>
      <c r="Q262" s="45"/>
      <c r="R262" s="45"/>
      <c r="S262" s="45"/>
      <c r="T262" s="45"/>
      <c r="U262" s="45"/>
      <c r="V262" s="45"/>
      <c r="W262" s="45"/>
      <c r="X262" s="45"/>
      <c r="Y262" s="45"/>
      <c r="Z262" s="56"/>
    </row>
    <row r="263" spans="1:26" outlineLevel="1">
      <c r="A263" s="7" t="s">
        <v>753</v>
      </c>
      <c r="B263" s="40" t="s">
        <v>754</v>
      </c>
      <c r="C263" s="40" t="s">
        <v>283</v>
      </c>
      <c r="D263" s="40" t="s">
        <v>223</v>
      </c>
      <c r="E263" s="40" t="s">
        <v>73</v>
      </c>
      <c r="F263" s="40" t="s">
        <v>71</v>
      </c>
      <c r="G263" s="38">
        <v>1</v>
      </c>
      <c r="H263" s="54">
        <f>5000*3</f>
        <v>15000</v>
      </c>
      <c r="I263" s="53">
        <v>0</v>
      </c>
      <c r="J263" s="54">
        <f t="shared" si="44"/>
        <v>15000</v>
      </c>
      <c r="K263" s="54">
        <f t="shared" si="45"/>
        <v>15000</v>
      </c>
      <c r="M263" s="45"/>
      <c r="N263" s="45"/>
      <c r="O263" s="45"/>
      <c r="P263" s="45"/>
      <c r="Q263" s="45"/>
      <c r="R263" s="45"/>
      <c r="S263" s="45"/>
      <c r="T263" s="45"/>
      <c r="U263" s="45"/>
      <c r="V263" s="45"/>
      <c r="W263" s="45"/>
      <c r="X263" s="45"/>
      <c r="Y263" s="45"/>
      <c r="Z263" s="56"/>
    </row>
    <row r="264" spans="1:26" outlineLevel="1">
      <c r="A264" s="7" t="s">
        <v>755</v>
      </c>
      <c r="B264" s="40" t="s">
        <v>756</v>
      </c>
      <c r="C264" s="40" t="s">
        <v>216</v>
      </c>
      <c r="D264" s="40" t="s">
        <v>481</v>
      </c>
      <c r="E264" s="40" t="s">
        <v>757</v>
      </c>
      <c r="F264" s="40" t="s">
        <v>148</v>
      </c>
      <c r="G264" s="38">
        <v>1400</v>
      </c>
      <c r="H264" s="54">
        <v>218</v>
      </c>
      <c r="I264" s="53">
        <v>0</v>
      </c>
      <c r="J264" s="54">
        <f t="shared" si="44"/>
        <v>218</v>
      </c>
      <c r="K264" s="54">
        <f t="shared" si="45"/>
        <v>305200</v>
      </c>
      <c r="M264" s="45"/>
      <c r="N264" s="45"/>
      <c r="O264" s="45"/>
      <c r="P264" s="45"/>
      <c r="Q264" s="45"/>
      <c r="R264" s="45"/>
      <c r="S264" s="45"/>
      <c r="T264" s="45"/>
      <c r="U264" s="45"/>
      <c r="V264" s="45"/>
      <c r="W264" s="45"/>
      <c r="X264" s="45"/>
      <c r="Y264" s="45"/>
      <c r="Z264" s="56"/>
    </row>
    <row r="265" spans="1:26" outlineLevel="1">
      <c r="A265" s="7" t="s">
        <v>759</v>
      </c>
      <c r="B265" s="40" t="s">
        <v>760</v>
      </c>
      <c r="C265" s="40" t="s">
        <v>216</v>
      </c>
      <c r="D265" s="40" t="s">
        <v>223</v>
      </c>
      <c r="E265" s="40" t="s">
        <v>6</v>
      </c>
      <c r="F265" s="40" t="s">
        <v>71</v>
      </c>
      <c r="G265" s="38">
        <v>1</v>
      </c>
      <c r="H265" s="54">
        <v>499016</v>
      </c>
      <c r="I265" s="53">
        <v>0</v>
      </c>
      <c r="J265" s="54">
        <f t="shared" si="44"/>
        <v>499016</v>
      </c>
      <c r="K265" s="54">
        <f t="shared" si="45"/>
        <v>499016</v>
      </c>
      <c r="M265" s="45"/>
      <c r="N265" s="45"/>
      <c r="O265" s="45"/>
      <c r="P265" s="45"/>
      <c r="Q265" s="45"/>
      <c r="R265" s="45"/>
      <c r="S265" s="45"/>
      <c r="T265" s="45"/>
      <c r="U265" s="45"/>
      <c r="V265" s="45"/>
      <c r="W265" s="45"/>
      <c r="X265" s="45"/>
      <c r="Y265" s="45"/>
      <c r="Z265" s="56"/>
    </row>
    <row r="266" spans="1:26" outlineLevel="1">
      <c r="A266" s="7" t="s">
        <v>762</v>
      </c>
      <c r="B266" s="40" t="s">
        <v>763</v>
      </c>
      <c r="C266" s="40" t="s">
        <v>283</v>
      </c>
      <c r="D266" s="40" t="s">
        <v>223</v>
      </c>
      <c r="E266" s="40" t="s">
        <v>73</v>
      </c>
      <c r="F266" s="40" t="s">
        <v>71</v>
      </c>
      <c r="G266" s="38">
        <v>1</v>
      </c>
      <c r="H266" s="54">
        <v>50000</v>
      </c>
      <c r="I266" s="53">
        <v>0</v>
      </c>
      <c r="J266" s="54">
        <f t="shared" si="44"/>
        <v>50000</v>
      </c>
      <c r="K266" s="54">
        <f t="shared" si="45"/>
        <v>50000</v>
      </c>
      <c r="M266" s="45"/>
      <c r="N266" s="45"/>
      <c r="O266" s="45"/>
      <c r="P266" s="45"/>
      <c r="Q266" s="45"/>
      <c r="R266" s="45"/>
      <c r="S266" s="45"/>
      <c r="T266" s="45"/>
      <c r="U266" s="45"/>
      <c r="V266" s="45"/>
      <c r="W266" s="45"/>
      <c r="X266" s="45"/>
      <c r="Y266" s="45"/>
      <c r="Z266" s="56"/>
    </row>
    <row r="267" spans="1:26" outlineLevel="1">
      <c r="A267" s="7" t="s">
        <v>764</v>
      </c>
      <c r="B267" s="40" t="s">
        <v>765</v>
      </c>
      <c r="C267" s="40" t="s">
        <v>216</v>
      </c>
      <c r="D267" s="40" t="s">
        <v>223</v>
      </c>
      <c r="E267" s="40" t="s">
        <v>231</v>
      </c>
      <c r="F267" s="40"/>
      <c r="G267" s="38"/>
      <c r="H267" s="54"/>
      <c r="I267" s="53">
        <v>0</v>
      </c>
      <c r="J267" s="54">
        <f t="shared" si="44"/>
        <v>0</v>
      </c>
      <c r="K267" s="54">
        <f t="shared" si="45"/>
        <v>0</v>
      </c>
      <c r="M267" s="45"/>
      <c r="N267" s="45"/>
      <c r="O267" s="45"/>
      <c r="P267" s="45"/>
      <c r="Q267" s="45"/>
      <c r="R267" s="45"/>
      <c r="S267" s="45"/>
      <c r="T267" s="45"/>
      <c r="U267" s="45"/>
      <c r="V267" s="45"/>
      <c r="W267" s="45"/>
      <c r="X267" s="45"/>
      <c r="Y267" s="45"/>
      <c r="Z267" s="56"/>
    </row>
    <row r="268" spans="1:26" outlineLevel="1">
      <c r="A268" s="7" t="s">
        <v>766</v>
      </c>
      <c r="B268" s="40" t="s">
        <v>767</v>
      </c>
      <c r="C268" s="40" t="s">
        <v>216</v>
      </c>
      <c r="D268" s="40" t="s">
        <v>223</v>
      </c>
      <c r="E268" s="40" t="s">
        <v>231</v>
      </c>
      <c r="F268" s="40"/>
      <c r="G268" s="38"/>
      <c r="H268" s="54"/>
      <c r="I268" s="53">
        <v>0</v>
      </c>
      <c r="J268" s="54">
        <f t="shared" si="44"/>
        <v>0</v>
      </c>
      <c r="K268" s="54">
        <f t="shared" si="45"/>
        <v>0</v>
      </c>
      <c r="M268" s="45"/>
      <c r="N268" s="45"/>
      <c r="O268" s="45"/>
      <c r="P268" s="45"/>
      <c r="Q268" s="45"/>
      <c r="R268" s="45"/>
      <c r="S268" s="45"/>
      <c r="T268" s="45"/>
      <c r="U268" s="45"/>
      <c r="V268" s="45"/>
      <c r="W268" s="45"/>
      <c r="X268" s="45"/>
      <c r="Y268" s="45"/>
      <c r="Z268" s="56"/>
    </row>
    <row r="269" spans="1:26" outlineLevel="1">
      <c r="A269" s="7" t="s">
        <v>768</v>
      </c>
      <c r="B269" s="40" t="s">
        <v>769</v>
      </c>
      <c r="C269" s="40" t="s">
        <v>216</v>
      </c>
      <c r="D269" s="40" t="s">
        <v>223</v>
      </c>
      <c r="E269" s="40" t="s">
        <v>231</v>
      </c>
      <c r="F269" s="40"/>
      <c r="G269" s="38"/>
      <c r="H269" s="54"/>
      <c r="I269" s="53">
        <v>0</v>
      </c>
      <c r="J269" s="54">
        <f t="shared" si="44"/>
        <v>0</v>
      </c>
      <c r="K269" s="54">
        <f t="shared" si="45"/>
        <v>0</v>
      </c>
      <c r="M269" s="45"/>
      <c r="N269" s="45"/>
      <c r="O269" s="45"/>
      <c r="P269" s="45"/>
      <c r="Q269" s="45"/>
      <c r="R269" s="45"/>
      <c r="S269" s="45"/>
      <c r="T269" s="45"/>
      <c r="U269" s="45"/>
      <c r="V269" s="45"/>
      <c r="W269" s="45"/>
      <c r="X269" s="45"/>
      <c r="Y269" s="45"/>
      <c r="Z269" s="56"/>
    </row>
    <row r="270" spans="1:26" outlineLevel="1">
      <c r="A270" s="1011" t="s">
        <v>770</v>
      </c>
      <c r="B270" s="206" t="s">
        <v>745</v>
      </c>
      <c r="C270" s="206" t="s">
        <v>216</v>
      </c>
      <c r="D270" s="206" t="s">
        <v>481</v>
      </c>
      <c r="E270" s="206" t="s">
        <v>6</v>
      </c>
      <c r="F270" s="206" t="s">
        <v>71</v>
      </c>
      <c r="G270" s="207">
        <v>1</v>
      </c>
      <c r="H270" s="54">
        <v>1635293.2857142854</v>
      </c>
      <c r="I270" s="209">
        <v>0</v>
      </c>
      <c r="J270" s="210">
        <f t="shared" si="44"/>
        <v>1635293.2857142854</v>
      </c>
      <c r="K270" s="210">
        <f t="shared" si="45"/>
        <v>1635293.2857142854</v>
      </c>
      <c r="M270" s="45"/>
      <c r="N270" s="45"/>
      <c r="O270" s="45"/>
      <c r="P270" s="45"/>
      <c r="Q270" s="45"/>
      <c r="R270" s="45"/>
      <c r="S270" s="45"/>
      <c r="T270" s="45"/>
      <c r="U270" s="45"/>
      <c r="V270" s="45"/>
      <c r="W270" s="45"/>
      <c r="X270" s="45"/>
      <c r="Y270" s="45"/>
      <c r="Z270" s="56"/>
    </row>
    <row r="271" spans="1:26" outlineLevel="1">
      <c r="A271" s="1011" t="s">
        <v>771</v>
      </c>
      <c r="B271" s="206" t="s">
        <v>749</v>
      </c>
      <c r="C271" s="206" t="s">
        <v>216</v>
      </c>
      <c r="D271" s="206" t="s">
        <v>481</v>
      </c>
      <c r="E271" s="206" t="s">
        <v>6</v>
      </c>
      <c r="F271" s="206" t="s">
        <v>71</v>
      </c>
      <c r="G271" s="207">
        <v>1</v>
      </c>
      <c r="H271" s="54">
        <v>436684.17999999993</v>
      </c>
      <c r="I271" s="209">
        <v>0</v>
      </c>
      <c r="J271" s="210">
        <f t="shared" si="44"/>
        <v>436684.17999999993</v>
      </c>
      <c r="K271" s="210">
        <f t="shared" si="45"/>
        <v>436684.17999999993</v>
      </c>
      <c r="M271" s="45"/>
      <c r="N271" s="45"/>
      <c r="O271" s="45"/>
      <c r="P271" s="45"/>
      <c r="Q271" s="45"/>
      <c r="R271" s="45"/>
      <c r="S271" s="45"/>
      <c r="T271" s="45"/>
      <c r="U271" s="45"/>
      <c r="V271" s="45"/>
      <c r="W271" s="45"/>
      <c r="X271" s="45"/>
      <c r="Y271" s="45"/>
      <c r="Z271" s="56"/>
    </row>
    <row r="272" spans="1:26" outlineLevel="1">
      <c r="A272" s="1011" t="s">
        <v>772</v>
      </c>
      <c r="B272" s="206" t="s">
        <v>752</v>
      </c>
      <c r="C272" s="206" t="s">
        <v>216</v>
      </c>
      <c r="D272" s="206" t="s">
        <v>481</v>
      </c>
      <c r="E272" s="206" t="s">
        <v>6</v>
      </c>
      <c r="F272" s="206" t="s">
        <v>71</v>
      </c>
      <c r="G272" s="207">
        <v>1</v>
      </c>
      <c r="H272" s="54">
        <v>700949.5</v>
      </c>
      <c r="I272" s="209">
        <v>0</v>
      </c>
      <c r="J272" s="210">
        <f t="shared" si="44"/>
        <v>700949.5</v>
      </c>
      <c r="K272" s="210">
        <f t="shared" si="45"/>
        <v>700949.5</v>
      </c>
      <c r="M272" s="45"/>
      <c r="N272" s="45"/>
      <c r="O272" s="45"/>
      <c r="P272" s="45"/>
      <c r="Q272" s="45"/>
      <c r="R272" s="45"/>
      <c r="S272" s="45"/>
      <c r="T272" s="45"/>
      <c r="U272" s="45"/>
      <c r="V272" s="45"/>
      <c r="W272" s="45"/>
      <c r="X272" s="45"/>
      <c r="Y272" s="45"/>
      <c r="Z272" s="56"/>
    </row>
    <row r="273" spans="1:26" outlineLevel="1">
      <c r="A273" s="6" t="s">
        <v>773</v>
      </c>
      <c r="B273" s="47" t="s">
        <v>760</v>
      </c>
      <c r="C273" s="47" t="s">
        <v>216</v>
      </c>
      <c r="D273" s="47" t="s">
        <v>481</v>
      </c>
      <c r="E273" s="47" t="s">
        <v>6</v>
      </c>
      <c r="F273" s="47" t="s">
        <v>71</v>
      </c>
      <c r="G273" s="47">
        <v>1</v>
      </c>
      <c r="H273" s="54">
        <v>744064.26</v>
      </c>
      <c r="I273" s="63">
        <v>0</v>
      </c>
      <c r="J273" s="67">
        <f t="shared" si="44"/>
        <v>744064.26</v>
      </c>
      <c r="K273" s="67">
        <f t="shared" si="45"/>
        <v>744064.26</v>
      </c>
      <c r="M273" s="346"/>
      <c r="N273" s="45"/>
      <c r="O273" s="45"/>
      <c r="P273" s="45"/>
      <c r="Q273" s="45"/>
      <c r="R273" s="45"/>
      <c r="S273" s="45"/>
      <c r="T273" s="45"/>
      <c r="U273" s="45"/>
      <c r="V273" s="45"/>
      <c r="W273" s="45"/>
      <c r="X273" s="45"/>
      <c r="Y273" s="45"/>
      <c r="Z273" s="56"/>
    </row>
    <row r="274" spans="1:26">
      <c r="A274" s="1020" t="s">
        <v>738</v>
      </c>
      <c r="B274" s="65" t="s">
        <v>739</v>
      </c>
      <c r="C274" s="65"/>
      <c r="D274" s="65"/>
      <c r="E274" s="65"/>
      <c r="F274" s="65"/>
      <c r="G274" s="65"/>
      <c r="H274" s="1077"/>
      <c r="I274" s="157"/>
      <c r="J274" s="159"/>
      <c r="K274" s="159"/>
      <c r="L274" s="71">
        <f>SUM(K257:K273)</f>
        <v>5661464.8757142853</v>
      </c>
      <c r="M274" s="45"/>
      <c r="N274" s="45"/>
      <c r="O274" s="45"/>
      <c r="P274" s="45"/>
      <c r="Q274" s="45"/>
      <c r="R274" s="45"/>
      <c r="S274" s="45"/>
      <c r="T274" s="45"/>
      <c r="U274" s="45"/>
      <c r="V274" s="178"/>
      <c r="W274" s="45"/>
      <c r="X274" s="45"/>
      <c r="Y274" s="45"/>
      <c r="Z274" s="56"/>
    </row>
    <row r="275" spans="1:26" outlineLevel="1">
      <c r="A275" s="6" t="s">
        <v>776</v>
      </c>
      <c r="B275" s="47" t="s">
        <v>777</v>
      </c>
      <c r="C275" s="47" t="s">
        <v>283</v>
      </c>
      <c r="D275" s="47" t="s">
        <v>481</v>
      </c>
      <c r="E275" s="47" t="s">
        <v>73</v>
      </c>
      <c r="F275" s="47" t="s">
        <v>71</v>
      </c>
      <c r="G275" s="47">
        <v>1</v>
      </c>
      <c r="H275" s="461">
        <v>15000</v>
      </c>
      <c r="I275" s="63">
        <v>0</v>
      </c>
      <c r="J275" s="67">
        <f>H275*(1+I275)</f>
        <v>15000</v>
      </c>
      <c r="K275" s="67">
        <f>J275*G275</f>
        <v>15000</v>
      </c>
      <c r="M275" s="45"/>
      <c r="N275" s="45"/>
      <c r="O275" s="45"/>
      <c r="P275" s="45"/>
      <c r="Q275" s="45"/>
      <c r="R275" s="45"/>
      <c r="S275" s="45"/>
      <c r="T275" s="45"/>
      <c r="U275" s="45"/>
      <c r="V275" s="45"/>
      <c r="W275" s="45"/>
      <c r="X275" s="45"/>
      <c r="Y275" s="45"/>
      <c r="Z275" s="56"/>
    </row>
    <row r="276" spans="1:26">
      <c r="A276" s="1020" t="s">
        <v>774</v>
      </c>
      <c r="B276" s="65" t="s">
        <v>775</v>
      </c>
      <c r="C276" s="65"/>
      <c r="D276" s="65"/>
      <c r="E276" s="65"/>
      <c r="F276" s="65"/>
      <c r="G276" s="65"/>
      <c r="H276" s="1077"/>
      <c r="I276" s="157"/>
      <c r="J276" s="159"/>
      <c r="K276" s="159"/>
      <c r="L276" s="71">
        <f>SUM(K275)</f>
        <v>15000</v>
      </c>
      <c r="M276" s="45"/>
      <c r="N276" s="45"/>
      <c r="O276" s="45"/>
      <c r="P276" s="45"/>
      <c r="Q276" s="45"/>
      <c r="R276" s="45"/>
      <c r="S276" s="45"/>
      <c r="T276" s="45"/>
      <c r="U276" s="45"/>
      <c r="V276" s="45"/>
      <c r="W276" s="45"/>
      <c r="X276" s="45"/>
      <c r="Y276" s="45"/>
      <c r="Z276" s="56"/>
    </row>
    <row r="277" spans="1:26" outlineLevel="1">
      <c r="A277" s="6" t="s">
        <v>780</v>
      </c>
      <c r="B277" s="47" t="s">
        <v>781</v>
      </c>
      <c r="C277" s="47" t="s">
        <v>216</v>
      </c>
      <c r="D277" s="47"/>
      <c r="E277" s="47" t="s">
        <v>239</v>
      </c>
      <c r="F277" s="47" t="s">
        <v>61</v>
      </c>
      <c r="G277" s="42">
        <f>B8</f>
        <v>422635</v>
      </c>
      <c r="H277" s="61">
        <v>3.71</v>
      </c>
      <c r="I277" s="63">
        <v>0</v>
      </c>
      <c r="J277" s="66">
        <f t="shared" ref="J277:J279" si="47">H277*(1+I277)</f>
        <v>3.71</v>
      </c>
      <c r="K277" s="67">
        <f>J277*G277</f>
        <v>1567975.85</v>
      </c>
      <c r="M277" s="45"/>
      <c r="N277" s="45"/>
      <c r="O277" s="45"/>
      <c r="P277" s="45"/>
      <c r="Q277" s="45"/>
      <c r="R277" s="45"/>
      <c r="S277" s="45"/>
      <c r="T277" s="45"/>
      <c r="U277" s="45"/>
      <c r="V277" s="45"/>
      <c r="W277" s="45"/>
      <c r="X277" s="45"/>
      <c r="Y277" s="45"/>
      <c r="Z277" s="56"/>
    </row>
    <row r="278" spans="1:26" outlineLevel="1">
      <c r="A278" s="7" t="s">
        <v>783</v>
      </c>
      <c r="B278" s="40" t="s">
        <v>784</v>
      </c>
      <c r="C278" s="40" t="s">
        <v>283</v>
      </c>
      <c r="D278" s="40"/>
      <c r="E278" s="40" t="s">
        <v>73</v>
      </c>
      <c r="F278" s="40" t="s">
        <v>71</v>
      </c>
      <c r="G278" s="38">
        <v>1</v>
      </c>
      <c r="H278" s="54">
        <v>100000</v>
      </c>
      <c r="I278" s="53">
        <v>0</v>
      </c>
      <c r="J278" s="54">
        <f t="shared" si="47"/>
        <v>100000</v>
      </c>
      <c r="K278" s="54">
        <f>J278*G278</f>
        <v>100000</v>
      </c>
      <c r="M278" s="45"/>
      <c r="N278" s="45"/>
      <c r="O278" s="45"/>
      <c r="P278" s="45"/>
      <c r="Q278" s="45"/>
      <c r="R278" s="45"/>
      <c r="S278" s="45"/>
      <c r="T278" s="45"/>
      <c r="U278" s="45"/>
      <c r="V278" s="45"/>
      <c r="W278" s="45"/>
      <c r="X278" s="45"/>
      <c r="Y278" s="45"/>
      <c r="Z278" s="56"/>
    </row>
    <row r="279" spans="1:26" outlineLevel="1">
      <c r="A279" s="6" t="s">
        <v>786</v>
      </c>
      <c r="B279" s="47" t="s">
        <v>787</v>
      </c>
      <c r="C279" s="47" t="s">
        <v>283</v>
      </c>
      <c r="D279" s="47"/>
      <c r="E279" s="47" t="s">
        <v>73</v>
      </c>
      <c r="F279" s="47" t="s">
        <v>71</v>
      </c>
      <c r="G279" s="47">
        <v>1</v>
      </c>
      <c r="H279" s="54">
        <v>50000</v>
      </c>
      <c r="I279" s="63">
        <v>0</v>
      </c>
      <c r="J279" s="67">
        <f t="shared" si="47"/>
        <v>50000</v>
      </c>
      <c r="K279" s="67">
        <f>J279*G279</f>
        <v>50000</v>
      </c>
      <c r="M279" s="45"/>
      <c r="N279" s="45"/>
      <c r="O279" s="45"/>
      <c r="P279" s="45"/>
      <c r="Q279" s="45"/>
      <c r="R279" s="45"/>
      <c r="S279" s="45"/>
      <c r="T279" s="45"/>
      <c r="U279" s="45"/>
      <c r="V279" s="45"/>
      <c r="W279" s="45"/>
      <c r="X279" s="45"/>
      <c r="Y279" s="45"/>
      <c r="Z279" s="56"/>
    </row>
    <row r="280" spans="1:26">
      <c r="A280" s="1020" t="s">
        <v>778</v>
      </c>
      <c r="B280" s="65" t="s">
        <v>779</v>
      </c>
      <c r="C280" s="65"/>
      <c r="D280" s="65"/>
      <c r="E280" s="65"/>
      <c r="F280" s="65"/>
      <c r="G280" s="65"/>
      <c r="H280" s="1077"/>
      <c r="I280" s="157"/>
      <c r="J280" s="159"/>
      <c r="K280" s="159"/>
      <c r="L280" s="71">
        <f>SUM(K277:K279)</f>
        <v>1717975.85</v>
      </c>
      <c r="M280" s="45"/>
      <c r="N280" s="45"/>
      <c r="O280" s="45"/>
      <c r="P280" s="45"/>
      <c r="Q280" s="45"/>
      <c r="R280" s="45"/>
      <c r="S280" s="45"/>
      <c r="T280" s="45"/>
      <c r="U280" s="45"/>
      <c r="V280" s="45"/>
      <c r="W280" s="45"/>
      <c r="X280" s="45"/>
      <c r="Y280" s="45"/>
      <c r="Z280" s="56"/>
    </row>
    <row r="281" spans="1:26" outlineLevel="1">
      <c r="A281" s="6" t="s">
        <v>790</v>
      </c>
      <c r="B281" s="47" t="s">
        <v>791</v>
      </c>
      <c r="C281" s="47" t="s">
        <v>216</v>
      </c>
      <c r="D281" s="47"/>
      <c r="E281" s="47" t="s">
        <v>426</v>
      </c>
      <c r="F281" s="47" t="s">
        <v>71</v>
      </c>
      <c r="G281" s="185">
        <f>$B$9</f>
        <v>15.826000000000001</v>
      </c>
      <c r="H281" s="461">
        <v>9000</v>
      </c>
      <c r="I281" s="63">
        <v>0</v>
      </c>
      <c r="J281" s="67">
        <f t="shared" ref="J281:J289" si="48">H281*(1+I281)</f>
        <v>9000</v>
      </c>
      <c r="K281" s="67">
        <f t="shared" ref="K281:K289" si="49">J281*G281</f>
        <v>142434</v>
      </c>
      <c r="M281" s="45"/>
      <c r="N281" s="45"/>
      <c r="O281" s="45"/>
      <c r="P281" s="45"/>
      <c r="Q281" s="45"/>
      <c r="R281" s="45"/>
      <c r="S281" s="45"/>
      <c r="T281" s="45"/>
      <c r="U281" s="45"/>
      <c r="V281" s="45"/>
      <c r="W281" s="45"/>
      <c r="X281" s="45"/>
      <c r="Y281" s="45"/>
      <c r="Z281" s="56"/>
    </row>
    <row r="282" spans="1:26" outlineLevel="1">
      <c r="A282" s="7" t="s">
        <v>792</v>
      </c>
      <c r="B282" s="40" t="s">
        <v>793</v>
      </c>
      <c r="C282" s="40" t="s">
        <v>216</v>
      </c>
      <c r="D282" s="40"/>
      <c r="E282" s="40" t="s">
        <v>73</v>
      </c>
      <c r="F282" s="40" t="s">
        <v>71</v>
      </c>
      <c r="G282" s="183">
        <f>G281</f>
        <v>15.826000000000001</v>
      </c>
      <c r="H282" s="54">
        <v>1000</v>
      </c>
      <c r="I282" s="53">
        <v>0</v>
      </c>
      <c r="J282" s="54">
        <f t="shared" si="48"/>
        <v>1000</v>
      </c>
      <c r="K282" s="54">
        <f t="shared" si="49"/>
        <v>15826</v>
      </c>
      <c r="M282" s="45"/>
      <c r="N282" s="45"/>
      <c r="O282" s="45"/>
      <c r="P282" s="45"/>
      <c r="Q282" s="45"/>
      <c r="R282" s="45"/>
      <c r="S282" s="45"/>
      <c r="T282" s="45"/>
      <c r="U282" s="45"/>
      <c r="V282" s="45"/>
      <c r="W282" s="45"/>
      <c r="X282" s="45"/>
      <c r="Y282" s="45"/>
      <c r="Z282" s="56"/>
    </row>
    <row r="283" spans="1:26" outlineLevel="1">
      <c r="A283" s="7" t="s">
        <v>795</v>
      </c>
      <c r="B283" s="40" t="s">
        <v>796</v>
      </c>
      <c r="C283" s="40" t="s">
        <v>216</v>
      </c>
      <c r="D283" s="40"/>
      <c r="E283" s="40" t="s">
        <v>73</v>
      </c>
      <c r="F283" s="40" t="s">
        <v>71</v>
      </c>
      <c r="G283" s="183">
        <v>1</v>
      </c>
      <c r="H283" s="54">
        <v>7500</v>
      </c>
      <c r="I283" s="53">
        <v>0</v>
      </c>
      <c r="J283" s="54">
        <f t="shared" si="48"/>
        <v>7500</v>
      </c>
      <c r="K283" s="54">
        <f t="shared" si="49"/>
        <v>7500</v>
      </c>
      <c r="M283" s="45"/>
      <c r="N283" s="45"/>
      <c r="O283" s="45"/>
      <c r="P283" s="45"/>
      <c r="Q283" s="45"/>
      <c r="R283" s="45"/>
      <c r="S283" s="45"/>
      <c r="T283" s="45"/>
      <c r="U283" s="45"/>
      <c r="V283" s="45"/>
      <c r="W283" s="45"/>
      <c r="X283" s="45"/>
      <c r="Y283" s="45"/>
      <c r="Z283" s="56"/>
    </row>
    <row r="284" spans="1:26" outlineLevel="1">
      <c r="A284" s="7" t="s">
        <v>797</v>
      </c>
      <c r="B284" s="40" t="s">
        <v>798</v>
      </c>
      <c r="C284" s="40" t="s">
        <v>216</v>
      </c>
      <c r="D284" s="40"/>
      <c r="E284" s="40" t="s">
        <v>426</v>
      </c>
      <c r="F284" s="40" t="s">
        <v>71</v>
      </c>
      <c r="G284" s="183">
        <f t="shared" ref="G284:G289" si="50">$B$9</f>
        <v>15.826000000000001</v>
      </c>
      <c r="H284" s="54">
        <v>5775</v>
      </c>
      <c r="I284" s="53">
        <v>0</v>
      </c>
      <c r="J284" s="54">
        <f t="shared" si="48"/>
        <v>5775</v>
      </c>
      <c r="K284" s="54">
        <f t="shared" si="49"/>
        <v>91395.150000000009</v>
      </c>
      <c r="M284" s="45"/>
      <c r="N284" s="45"/>
      <c r="O284" s="45"/>
      <c r="P284" s="45"/>
      <c r="Q284" s="45"/>
      <c r="R284" s="45"/>
      <c r="S284" s="45"/>
      <c r="T284" s="45"/>
      <c r="U284" s="45"/>
      <c r="V284" s="45"/>
      <c r="W284" s="45"/>
      <c r="X284" s="45"/>
      <c r="Y284" s="45"/>
      <c r="Z284" s="56"/>
    </row>
    <row r="285" spans="1:26" outlineLevel="1">
      <c r="A285" s="7" t="s">
        <v>799</v>
      </c>
      <c r="B285" s="40" t="s">
        <v>800</v>
      </c>
      <c r="C285" s="40" t="s">
        <v>216</v>
      </c>
      <c r="D285" s="40"/>
      <c r="E285" s="40" t="s">
        <v>426</v>
      </c>
      <c r="F285" s="40" t="s">
        <v>71</v>
      </c>
      <c r="G285" s="183">
        <f t="shared" si="50"/>
        <v>15.826000000000001</v>
      </c>
      <c r="H285" s="54">
        <v>5000</v>
      </c>
      <c r="I285" s="53">
        <v>0</v>
      </c>
      <c r="J285" s="54">
        <f t="shared" si="48"/>
        <v>5000</v>
      </c>
      <c r="K285" s="54">
        <f t="shared" si="49"/>
        <v>79130</v>
      </c>
      <c r="M285" s="45"/>
      <c r="N285" s="45"/>
      <c r="O285" s="45"/>
      <c r="P285" s="45"/>
      <c r="Q285" s="45"/>
      <c r="R285" s="45"/>
      <c r="S285" s="45"/>
      <c r="T285" s="45"/>
      <c r="U285" s="45"/>
      <c r="V285" s="45"/>
      <c r="W285" s="45"/>
      <c r="X285" s="45"/>
      <c r="Y285" s="45"/>
      <c r="Z285" s="56"/>
    </row>
    <row r="286" spans="1:26" outlineLevel="1">
      <c r="A286" s="7" t="s">
        <v>801</v>
      </c>
      <c r="B286" s="40" t="s">
        <v>802</v>
      </c>
      <c r="C286" s="40" t="s">
        <v>216</v>
      </c>
      <c r="D286" s="40"/>
      <c r="E286" s="40" t="s">
        <v>426</v>
      </c>
      <c r="F286" s="40" t="s">
        <v>71</v>
      </c>
      <c r="G286" s="183">
        <f t="shared" si="50"/>
        <v>15.826000000000001</v>
      </c>
      <c r="H286" s="54">
        <v>5000</v>
      </c>
      <c r="I286" s="53">
        <v>0</v>
      </c>
      <c r="J286" s="54">
        <f t="shared" si="48"/>
        <v>5000</v>
      </c>
      <c r="K286" s="54">
        <f t="shared" si="49"/>
        <v>79130</v>
      </c>
      <c r="M286" s="45"/>
      <c r="N286" s="45"/>
      <c r="O286" s="45"/>
      <c r="P286" s="45"/>
      <c r="Q286" s="45"/>
      <c r="R286" s="45"/>
      <c r="S286" s="45"/>
      <c r="T286" s="45"/>
      <c r="U286" s="45"/>
      <c r="V286" s="45"/>
      <c r="W286" s="45"/>
      <c r="X286" s="45"/>
      <c r="Y286" s="45"/>
      <c r="Z286" s="56"/>
    </row>
    <row r="287" spans="1:26" outlineLevel="1">
      <c r="A287" s="7" t="s">
        <v>803</v>
      </c>
      <c r="B287" s="40" t="s">
        <v>804</v>
      </c>
      <c r="C287" s="40" t="s">
        <v>216</v>
      </c>
      <c r="D287" s="40"/>
      <c r="E287" s="40" t="s">
        <v>73</v>
      </c>
      <c r="F287" s="40" t="s">
        <v>71</v>
      </c>
      <c r="G287" s="183">
        <f t="shared" si="50"/>
        <v>15.826000000000001</v>
      </c>
      <c r="H287" s="54">
        <v>1000</v>
      </c>
      <c r="I287" s="53">
        <v>0</v>
      </c>
      <c r="J287" s="54">
        <f t="shared" si="48"/>
        <v>1000</v>
      </c>
      <c r="K287" s="54">
        <f t="shared" si="49"/>
        <v>15826</v>
      </c>
      <c r="M287" s="45"/>
      <c r="N287" s="45"/>
      <c r="O287" s="45"/>
      <c r="P287" s="45"/>
      <c r="Q287" s="45"/>
      <c r="R287" s="45"/>
      <c r="S287" s="45"/>
      <c r="T287" s="45"/>
      <c r="U287" s="45"/>
      <c r="V287" s="45"/>
      <c r="W287" s="45"/>
      <c r="X287" s="45"/>
      <c r="Y287" s="45"/>
      <c r="Z287" s="56"/>
    </row>
    <row r="288" spans="1:26" outlineLevel="1">
      <c r="A288" s="7" t="s">
        <v>805</v>
      </c>
      <c r="B288" s="40" t="s">
        <v>806</v>
      </c>
      <c r="C288" s="40" t="s">
        <v>216</v>
      </c>
      <c r="D288" s="40"/>
      <c r="E288" s="40" t="s">
        <v>73</v>
      </c>
      <c r="F288" s="40" t="s">
        <v>71</v>
      </c>
      <c r="G288" s="183">
        <f t="shared" si="50"/>
        <v>15.826000000000001</v>
      </c>
      <c r="H288" s="54">
        <v>1000</v>
      </c>
      <c r="I288" s="53">
        <v>0</v>
      </c>
      <c r="J288" s="54">
        <f t="shared" si="48"/>
        <v>1000</v>
      </c>
      <c r="K288" s="54">
        <f t="shared" si="49"/>
        <v>15826</v>
      </c>
      <c r="M288" s="45"/>
      <c r="N288" s="45"/>
      <c r="O288" s="45"/>
      <c r="P288" s="45"/>
      <c r="Q288" s="45"/>
      <c r="R288" s="45"/>
      <c r="S288" s="45"/>
      <c r="T288" s="45"/>
      <c r="U288" s="45"/>
      <c r="V288" s="45"/>
      <c r="W288" s="45"/>
      <c r="X288" s="45"/>
      <c r="Y288" s="45"/>
      <c r="Z288" s="56"/>
    </row>
    <row r="289" spans="1:26" outlineLevel="1">
      <c r="A289" s="6" t="s">
        <v>807</v>
      </c>
      <c r="B289" s="47" t="s">
        <v>808</v>
      </c>
      <c r="C289" s="47" t="s">
        <v>216</v>
      </c>
      <c r="D289" s="47"/>
      <c r="E289" s="47" t="s">
        <v>426</v>
      </c>
      <c r="F289" s="47" t="s">
        <v>71</v>
      </c>
      <c r="G289" s="47">
        <f t="shared" si="50"/>
        <v>15.826000000000001</v>
      </c>
      <c r="H289" s="54">
        <v>2500</v>
      </c>
      <c r="I289" s="63">
        <v>0</v>
      </c>
      <c r="J289" s="67">
        <f t="shared" si="48"/>
        <v>2500</v>
      </c>
      <c r="K289" s="67">
        <f t="shared" si="49"/>
        <v>39565</v>
      </c>
      <c r="M289" s="45"/>
      <c r="N289" s="45"/>
      <c r="O289" s="45"/>
      <c r="P289" s="45"/>
      <c r="Q289" s="45"/>
      <c r="R289" s="45"/>
      <c r="S289" s="45"/>
      <c r="T289" s="45"/>
      <c r="U289" s="45"/>
      <c r="V289" s="45"/>
      <c r="W289" s="45"/>
      <c r="X289" s="45"/>
      <c r="Y289" s="45"/>
      <c r="Z289" s="56"/>
    </row>
    <row r="290" spans="1:26">
      <c r="A290" s="1020" t="s">
        <v>788</v>
      </c>
      <c r="B290" s="65" t="s">
        <v>789</v>
      </c>
      <c r="C290" s="65"/>
      <c r="D290" s="65"/>
      <c r="E290" s="65"/>
      <c r="F290" s="65"/>
      <c r="G290" s="65"/>
      <c r="H290" s="1077"/>
      <c r="I290" s="157"/>
      <c r="J290" s="159"/>
      <c r="K290" s="159"/>
      <c r="L290" s="71">
        <f>SUM(K281:K289)</f>
        <v>486632.15</v>
      </c>
      <c r="M290" s="45"/>
      <c r="N290" s="45"/>
      <c r="O290" s="45"/>
      <c r="P290" s="45"/>
      <c r="Q290" s="45"/>
      <c r="R290" s="45"/>
      <c r="S290" s="45"/>
      <c r="T290" s="45"/>
      <c r="U290" s="45"/>
      <c r="V290" s="45"/>
      <c r="W290" s="45"/>
      <c r="X290" s="45"/>
      <c r="Y290" s="45"/>
      <c r="Z290" s="56"/>
    </row>
    <row r="291" spans="1:26" outlineLevel="1">
      <c r="A291" s="6" t="s">
        <v>818</v>
      </c>
      <c r="B291" s="47"/>
      <c r="C291" s="47"/>
      <c r="D291" s="47"/>
      <c r="E291" s="47"/>
      <c r="F291" s="47"/>
      <c r="G291" s="198">
        <v>0</v>
      </c>
      <c r="H291" s="461"/>
      <c r="I291" s="63"/>
      <c r="J291" s="66"/>
      <c r="K291" s="67">
        <f>G291*SUM(K22:K289)</f>
        <v>0</v>
      </c>
      <c r="M291" s="45"/>
      <c r="N291" s="45"/>
      <c r="O291" s="45"/>
      <c r="P291" s="45"/>
      <c r="Q291" s="45"/>
      <c r="R291" s="45"/>
      <c r="S291" s="45"/>
      <c r="T291" s="45"/>
      <c r="U291" s="45"/>
      <c r="V291" s="45"/>
      <c r="W291" s="45"/>
      <c r="X291" s="45"/>
      <c r="Y291" s="45"/>
      <c r="Z291" s="56"/>
    </row>
    <row r="292" spans="1:26" outlineLevel="1">
      <c r="A292" s="6" t="s">
        <v>817</v>
      </c>
      <c r="B292" s="47"/>
      <c r="C292" s="47"/>
      <c r="D292" s="47"/>
      <c r="E292" s="47"/>
      <c r="F292" s="47"/>
      <c r="G292" s="47">
        <v>0.01</v>
      </c>
      <c r="H292" s="54"/>
      <c r="I292" s="63"/>
      <c r="J292" s="67"/>
      <c r="K292" s="67">
        <f>SUM(K22:K289,K294:K307)*G292</f>
        <v>632953.90666965954</v>
      </c>
      <c r="M292" s="45"/>
      <c r="N292" s="45"/>
      <c r="O292" s="45"/>
      <c r="P292" s="45"/>
      <c r="Q292" s="45"/>
      <c r="R292" s="45"/>
      <c r="S292" s="45"/>
      <c r="T292" s="45"/>
      <c r="U292" s="45"/>
      <c r="V292" s="45"/>
      <c r="W292" s="45"/>
      <c r="X292" s="45"/>
      <c r="Y292" s="45"/>
      <c r="Z292" s="56"/>
    </row>
    <row r="293" spans="1:26">
      <c r="A293" s="1020" t="s">
        <v>817</v>
      </c>
      <c r="B293" s="65" t="s">
        <v>817</v>
      </c>
      <c r="C293" s="65"/>
      <c r="D293" s="65"/>
      <c r="E293" s="65"/>
      <c r="F293" s="65"/>
      <c r="G293" s="65"/>
      <c r="H293" s="1077"/>
      <c r="I293" s="157"/>
      <c r="J293" s="159"/>
      <c r="K293" s="159"/>
      <c r="L293" s="71">
        <f>SUM(K291:K292)</f>
        <v>632953.90666965954</v>
      </c>
      <c r="M293" s="45"/>
      <c r="N293" s="45"/>
      <c r="O293" s="45"/>
      <c r="P293" s="45"/>
      <c r="Q293" s="45"/>
      <c r="R293" s="45"/>
      <c r="S293" s="45"/>
      <c r="T293" s="45"/>
      <c r="U293" s="45"/>
      <c r="V293" s="45"/>
      <c r="W293" s="45"/>
      <c r="X293" s="45"/>
      <c r="Y293" s="45"/>
      <c r="Z293" s="56"/>
    </row>
    <row r="294" spans="1:26" outlineLevel="1">
      <c r="A294" s="6" t="s">
        <v>822</v>
      </c>
      <c r="B294" s="47" t="s">
        <v>823</v>
      </c>
      <c r="C294" s="47" t="s">
        <v>216</v>
      </c>
      <c r="D294" s="47"/>
      <c r="E294" s="47" t="s">
        <v>824</v>
      </c>
      <c r="F294" s="47" t="s">
        <v>71</v>
      </c>
      <c r="G294" s="42">
        <v>2</v>
      </c>
      <c r="H294" s="461">
        <v>10000</v>
      </c>
      <c r="I294" s="63">
        <v>0</v>
      </c>
      <c r="J294" s="67">
        <f t="shared" ref="J294:J307" si="51">H294*(1+I294)</f>
        <v>10000</v>
      </c>
      <c r="K294" s="67">
        <f t="shared" ref="K294:K307" si="52">J294*G294</f>
        <v>20000</v>
      </c>
      <c r="M294" s="45"/>
      <c r="N294" s="45"/>
      <c r="O294" s="45"/>
      <c r="P294" s="45"/>
      <c r="Q294" s="45"/>
      <c r="R294" s="45"/>
      <c r="S294" s="45"/>
      <c r="T294" s="45"/>
      <c r="U294" s="45"/>
      <c r="V294" s="45"/>
      <c r="W294" s="45"/>
      <c r="X294" s="45"/>
      <c r="Y294" s="45"/>
      <c r="Z294" s="56"/>
    </row>
    <row r="295" spans="1:26" outlineLevel="1">
      <c r="A295" s="7" t="s">
        <v>825</v>
      </c>
      <c r="B295" s="40" t="s">
        <v>826</v>
      </c>
      <c r="C295" s="40" t="s">
        <v>216</v>
      </c>
      <c r="D295" s="40"/>
      <c r="E295" s="40" t="s">
        <v>231</v>
      </c>
      <c r="F295" s="40"/>
      <c r="G295" s="38"/>
      <c r="H295" s="54">
        <v>0</v>
      </c>
      <c r="I295" s="53">
        <v>0</v>
      </c>
      <c r="J295" s="54">
        <f t="shared" si="51"/>
        <v>0</v>
      </c>
      <c r="K295" s="67">
        <f t="shared" si="52"/>
        <v>0</v>
      </c>
      <c r="M295" s="45"/>
      <c r="N295" s="45"/>
      <c r="O295" s="45"/>
      <c r="P295" s="45"/>
      <c r="Q295" s="45"/>
      <c r="R295" s="45"/>
      <c r="S295" s="45"/>
      <c r="T295" s="45"/>
      <c r="U295" s="45"/>
      <c r="V295" s="45"/>
      <c r="W295" s="45"/>
      <c r="X295" s="45"/>
      <c r="Y295" s="45"/>
      <c r="Z295" s="56"/>
    </row>
    <row r="296" spans="1:26" outlineLevel="1">
      <c r="A296" s="7" t="s">
        <v>827</v>
      </c>
      <c r="B296" s="40" t="s">
        <v>828</v>
      </c>
      <c r="C296" s="40" t="s">
        <v>216</v>
      </c>
      <c r="D296" s="40"/>
      <c r="E296" s="40" t="s">
        <v>73</v>
      </c>
      <c r="F296" s="40" t="s">
        <v>71</v>
      </c>
      <c r="G296" s="38">
        <v>1</v>
      </c>
      <c r="H296" s="54">
        <v>20000</v>
      </c>
      <c r="I296" s="53">
        <v>0</v>
      </c>
      <c r="J296" s="54">
        <f t="shared" si="51"/>
        <v>20000</v>
      </c>
      <c r="K296" s="54">
        <f t="shared" si="52"/>
        <v>20000</v>
      </c>
      <c r="M296" s="45"/>
      <c r="N296" s="45"/>
      <c r="O296" s="45"/>
      <c r="P296" s="45"/>
      <c r="Q296" s="45"/>
      <c r="R296" s="45"/>
      <c r="S296" s="45"/>
      <c r="T296" s="45"/>
      <c r="U296" s="45"/>
      <c r="V296" s="45"/>
      <c r="W296" s="45"/>
      <c r="X296" s="45"/>
      <c r="Y296" s="45"/>
      <c r="Z296" s="56"/>
    </row>
    <row r="297" spans="1:26" outlineLevel="1">
      <c r="A297" s="7" t="s">
        <v>829</v>
      </c>
      <c r="B297" s="40" t="s">
        <v>830</v>
      </c>
      <c r="C297" s="40" t="s">
        <v>216</v>
      </c>
      <c r="D297" s="40"/>
      <c r="E297" s="40" t="s">
        <v>73</v>
      </c>
      <c r="F297" s="40" t="s">
        <v>71</v>
      </c>
      <c r="G297" s="38">
        <v>1</v>
      </c>
      <c r="H297" s="54">
        <v>20000</v>
      </c>
      <c r="I297" s="53">
        <v>0</v>
      </c>
      <c r="J297" s="54">
        <f t="shared" si="51"/>
        <v>20000</v>
      </c>
      <c r="K297" s="54">
        <f t="shared" si="52"/>
        <v>20000</v>
      </c>
      <c r="M297" s="45"/>
      <c r="N297" s="45"/>
      <c r="O297" s="45"/>
      <c r="P297" s="45"/>
      <c r="Q297" s="45"/>
      <c r="R297" s="45"/>
      <c r="S297" s="45"/>
      <c r="T297" s="45"/>
      <c r="U297" s="45"/>
      <c r="V297" s="45"/>
      <c r="W297" s="45"/>
      <c r="X297" s="45"/>
      <c r="Y297" s="45"/>
      <c r="Z297" s="56"/>
    </row>
    <row r="298" spans="1:26" outlineLevel="1">
      <c r="A298" s="9" t="s">
        <v>831</v>
      </c>
      <c r="B298" s="40" t="s">
        <v>832</v>
      </c>
      <c r="C298" s="40" t="s">
        <v>216</v>
      </c>
      <c r="D298" s="40"/>
      <c r="E298" s="40" t="s">
        <v>543</v>
      </c>
      <c r="F298" s="40" t="s">
        <v>71</v>
      </c>
      <c r="G298" s="38">
        <v>2</v>
      </c>
      <c r="H298" s="54">
        <v>47324</v>
      </c>
      <c r="I298" s="53">
        <v>0</v>
      </c>
      <c r="J298" s="54">
        <f t="shared" si="51"/>
        <v>47324</v>
      </c>
      <c r="K298" s="54">
        <f t="shared" si="52"/>
        <v>94648</v>
      </c>
      <c r="M298" s="45"/>
      <c r="N298" s="45"/>
      <c r="O298" s="45"/>
      <c r="P298" s="45"/>
      <c r="Q298" s="45"/>
      <c r="R298" s="45"/>
      <c r="S298" s="45"/>
      <c r="T298" s="45"/>
      <c r="U298" s="45"/>
      <c r="V298" s="45"/>
      <c r="W298" s="45"/>
      <c r="X298" s="45"/>
      <c r="Y298" s="45"/>
      <c r="Z298" s="56"/>
    </row>
    <row r="299" spans="1:26" outlineLevel="1">
      <c r="A299" s="9" t="s">
        <v>833</v>
      </c>
      <c r="B299" s="40" t="s">
        <v>834</v>
      </c>
      <c r="C299" s="40" t="s">
        <v>216</v>
      </c>
      <c r="D299" s="40"/>
      <c r="E299" s="40" t="s">
        <v>73</v>
      </c>
      <c r="F299" s="40" t="s">
        <v>71</v>
      </c>
      <c r="G299" s="38">
        <v>1</v>
      </c>
      <c r="H299" s="54">
        <v>25000</v>
      </c>
      <c r="I299" s="53">
        <v>0</v>
      </c>
      <c r="J299" s="54">
        <f t="shared" si="51"/>
        <v>25000</v>
      </c>
      <c r="K299" s="54">
        <f t="shared" si="52"/>
        <v>25000</v>
      </c>
      <c r="M299" s="45"/>
      <c r="N299" s="45"/>
      <c r="O299" s="45"/>
      <c r="P299" s="45"/>
      <c r="Q299" s="45"/>
      <c r="R299" s="45"/>
      <c r="S299" s="45"/>
      <c r="T299" s="45"/>
      <c r="U299" s="45"/>
      <c r="V299" s="45"/>
      <c r="W299" s="45"/>
      <c r="X299" s="45"/>
      <c r="Y299" s="45"/>
      <c r="Z299" s="56"/>
    </row>
    <row r="300" spans="1:26" outlineLevel="1">
      <c r="A300" s="9" t="s">
        <v>835</v>
      </c>
      <c r="B300" s="40" t="s">
        <v>836</v>
      </c>
      <c r="C300" s="40" t="s">
        <v>216</v>
      </c>
      <c r="D300" s="40"/>
      <c r="E300" s="40" t="s">
        <v>73</v>
      </c>
      <c r="F300" s="40" t="s">
        <v>71</v>
      </c>
      <c r="G300" s="38">
        <v>1</v>
      </c>
      <c r="H300" s="54">
        <v>15000</v>
      </c>
      <c r="I300" s="53">
        <v>0</v>
      </c>
      <c r="J300" s="54">
        <f t="shared" si="51"/>
        <v>15000</v>
      </c>
      <c r="K300" s="54">
        <f t="shared" si="52"/>
        <v>15000</v>
      </c>
      <c r="M300" s="45"/>
      <c r="N300" s="45"/>
      <c r="O300" s="45"/>
      <c r="P300" s="45"/>
      <c r="Q300" s="45"/>
      <c r="R300" s="45"/>
      <c r="S300" s="45"/>
      <c r="T300" s="45"/>
      <c r="U300" s="45"/>
      <c r="V300" s="45"/>
      <c r="W300" s="45"/>
      <c r="X300" s="45"/>
      <c r="Y300" s="45"/>
      <c r="Z300" s="56"/>
    </row>
    <row r="301" spans="1:26" outlineLevel="1">
      <c r="A301" s="9" t="s">
        <v>837</v>
      </c>
      <c r="B301" s="40" t="s">
        <v>838</v>
      </c>
      <c r="C301" s="40" t="s">
        <v>216</v>
      </c>
      <c r="D301" s="40"/>
      <c r="E301" s="40" t="s">
        <v>73</v>
      </c>
      <c r="F301" s="40" t="s">
        <v>71</v>
      </c>
      <c r="G301" s="38">
        <v>1</v>
      </c>
      <c r="H301" s="54">
        <v>5000</v>
      </c>
      <c r="I301" s="53">
        <v>0</v>
      </c>
      <c r="J301" s="54">
        <f t="shared" si="51"/>
        <v>5000</v>
      </c>
      <c r="K301" s="54">
        <f t="shared" si="52"/>
        <v>5000</v>
      </c>
      <c r="M301" s="45"/>
      <c r="N301" s="45"/>
      <c r="O301" s="45"/>
      <c r="P301" s="45"/>
      <c r="Q301" s="45"/>
      <c r="R301" s="45"/>
      <c r="S301" s="45"/>
      <c r="T301" s="45"/>
      <c r="U301" s="45"/>
      <c r="V301" s="45"/>
      <c r="W301" s="45"/>
      <c r="X301" s="45"/>
      <c r="Y301" s="45"/>
      <c r="Z301" s="56"/>
    </row>
    <row r="302" spans="1:26" outlineLevel="1">
      <c r="A302" s="9" t="s">
        <v>839</v>
      </c>
      <c r="B302" s="40" t="s">
        <v>840</v>
      </c>
      <c r="C302" s="40" t="s">
        <v>216</v>
      </c>
      <c r="D302" s="40"/>
      <c r="E302" s="40" t="s">
        <v>231</v>
      </c>
      <c r="F302" s="40"/>
      <c r="G302" s="38"/>
      <c r="H302" s="54"/>
      <c r="I302" s="53">
        <v>0</v>
      </c>
      <c r="J302" s="54">
        <f t="shared" si="51"/>
        <v>0</v>
      </c>
      <c r="K302" s="54">
        <f t="shared" si="52"/>
        <v>0</v>
      </c>
      <c r="M302" s="45"/>
      <c r="N302" s="45"/>
      <c r="O302" s="45"/>
      <c r="P302" s="45"/>
      <c r="Q302" s="45"/>
      <c r="R302" s="45"/>
      <c r="S302" s="45"/>
      <c r="T302" s="45"/>
      <c r="U302" s="45"/>
      <c r="V302" s="45"/>
      <c r="W302" s="45"/>
      <c r="X302" s="45"/>
      <c r="Y302" s="45"/>
      <c r="Z302" s="56"/>
    </row>
    <row r="303" spans="1:26" outlineLevel="1">
      <c r="A303" s="7" t="s">
        <v>841</v>
      </c>
      <c r="B303" s="40" t="s">
        <v>842</v>
      </c>
      <c r="C303" s="40" t="s">
        <v>216</v>
      </c>
      <c r="D303" s="40"/>
      <c r="E303" s="40" t="s">
        <v>73</v>
      </c>
      <c r="F303" s="40" t="s">
        <v>71</v>
      </c>
      <c r="G303" s="38">
        <v>1</v>
      </c>
      <c r="H303" s="54">
        <v>1000000</v>
      </c>
      <c r="I303" s="53">
        <v>0</v>
      </c>
      <c r="J303" s="54">
        <f t="shared" si="51"/>
        <v>1000000</v>
      </c>
      <c r="K303" s="54">
        <f t="shared" si="52"/>
        <v>1000000</v>
      </c>
      <c r="M303" s="45"/>
      <c r="N303" s="45"/>
      <c r="O303" s="45"/>
      <c r="P303" s="45"/>
      <c r="Q303" s="45"/>
      <c r="R303" s="45"/>
      <c r="S303" s="45"/>
      <c r="T303" s="45"/>
      <c r="U303" s="45"/>
      <c r="V303" s="45"/>
      <c r="W303" s="45"/>
      <c r="X303" s="45"/>
      <c r="Y303" s="45"/>
      <c r="Z303" s="56"/>
    </row>
    <row r="304" spans="1:26" outlineLevel="1">
      <c r="A304" s="7" t="s">
        <v>843</v>
      </c>
      <c r="B304" s="40" t="s">
        <v>844</v>
      </c>
      <c r="C304" s="40" t="s">
        <v>216</v>
      </c>
      <c r="D304" s="40"/>
      <c r="E304" s="40" t="s">
        <v>733</v>
      </c>
      <c r="F304" s="40" t="s">
        <v>71</v>
      </c>
      <c r="G304" s="38">
        <v>1</v>
      </c>
      <c r="H304" s="54">
        <v>200000</v>
      </c>
      <c r="I304" s="53">
        <v>0</v>
      </c>
      <c r="J304" s="54">
        <f t="shared" si="51"/>
        <v>200000</v>
      </c>
      <c r="K304" s="54">
        <f t="shared" si="52"/>
        <v>200000</v>
      </c>
      <c r="M304" s="45"/>
      <c r="N304" s="45"/>
      <c r="O304" s="45"/>
      <c r="P304" s="45"/>
      <c r="Q304" s="45"/>
      <c r="R304" s="45"/>
      <c r="S304" s="45"/>
      <c r="T304" s="45"/>
      <c r="U304" s="45"/>
      <c r="V304" s="45"/>
      <c r="W304" s="45"/>
      <c r="X304" s="45"/>
      <c r="Y304" s="45"/>
      <c r="Z304" s="56"/>
    </row>
    <row r="305" spans="1:26" outlineLevel="1">
      <c r="A305" s="9" t="s">
        <v>846</v>
      </c>
      <c r="B305" s="40" t="s">
        <v>630</v>
      </c>
      <c r="C305" s="40" t="s">
        <v>216</v>
      </c>
      <c r="D305" s="40"/>
      <c r="E305" s="40" t="s">
        <v>73</v>
      </c>
      <c r="F305" s="40" t="s">
        <v>71</v>
      </c>
      <c r="G305" s="38">
        <v>1</v>
      </c>
      <c r="H305" s="54">
        <v>25000</v>
      </c>
      <c r="I305" s="53">
        <v>0</v>
      </c>
      <c r="J305" s="54">
        <f t="shared" si="51"/>
        <v>25000</v>
      </c>
      <c r="K305" s="54">
        <f t="shared" si="52"/>
        <v>25000</v>
      </c>
      <c r="M305" s="45"/>
      <c r="N305" s="45"/>
      <c r="O305" s="45"/>
      <c r="P305" s="45"/>
      <c r="Q305" s="45"/>
      <c r="R305" s="45"/>
      <c r="S305" s="45"/>
      <c r="T305" s="45"/>
      <c r="U305" s="45"/>
      <c r="V305" s="45"/>
      <c r="W305" s="45"/>
      <c r="X305" s="45"/>
      <c r="Y305" s="45"/>
      <c r="Z305" s="56"/>
    </row>
    <row r="306" spans="1:26" outlineLevel="1">
      <c r="A306" s="9" t="s">
        <v>847</v>
      </c>
      <c r="B306" s="40" t="s">
        <v>848</v>
      </c>
      <c r="C306" s="40" t="s">
        <v>216</v>
      </c>
      <c r="D306" s="40"/>
      <c r="E306" s="40" t="s">
        <v>73</v>
      </c>
      <c r="F306" s="40" t="s">
        <v>71</v>
      </c>
      <c r="G306" s="38">
        <v>1</v>
      </c>
      <c r="H306" s="54">
        <v>2500</v>
      </c>
      <c r="I306" s="53">
        <v>0</v>
      </c>
      <c r="J306" s="54">
        <f t="shared" si="51"/>
        <v>2500</v>
      </c>
      <c r="K306" s="54">
        <f t="shared" si="52"/>
        <v>2500</v>
      </c>
      <c r="M306" s="45"/>
      <c r="N306" s="45"/>
      <c r="O306" s="45"/>
      <c r="P306" s="45"/>
      <c r="Q306" s="45"/>
      <c r="R306" s="45"/>
      <c r="S306" s="45"/>
      <c r="T306" s="45"/>
      <c r="U306" s="45"/>
      <c r="V306" s="45"/>
      <c r="W306" s="45"/>
      <c r="X306" s="45"/>
      <c r="Y306" s="45"/>
      <c r="Z306" s="56"/>
    </row>
    <row r="307" spans="1:26" outlineLevel="1">
      <c r="A307" s="6" t="s">
        <v>849</v>
      </c>
      <c r="B307" s="47" t="s">
        <v>850</v>
      </c>
      <c r="C307" s="47" t="s">
        <v>216</v>
      </c>
      <c r="D307" s="47"/>
      <c r="E307" s="47" t="s">
        <v>73</v>
      </c>
      <c r="F307" s="47" t="s">
        <v>71</v>
      </c>
      <c r="G307" s="47">
        <v>2</v>
      </c>
      <c r="H307" s="54">
        <v>1500</v>
      </c>
      <c r="I307" s="63">
        <v>0</v>
      </c>
      <c r="J307" s="67">
        <f t="shared" si="51"/>
        <v>1500</v>
      </c>
      <c r="K307" s="67">
        <f t="shared" si="52"/>
        <v>3000</v>
      </c>
      <c r="M307" s="45"/>
      <c r="N307" s="45"/>
      <c r="O307" s="45"/>
      <c r="P307" s="45"/>
      <c r="Q307" s="45"/>
      <c r="R307" s="45"/>
      <c r="S307" s="45"/>
      <c r="T307" s="45"/>
      <c r="U307" s="45"/>
      <c r="V307" s="45"/>
      <c r="W307" s="45"/>
      <c r="X307" s="45"/>
      <c r="Y307" s="45"/>
      <c r="Z307" s="56"/>
    </row>
    <row r="308" spans="1:26">
      <c r="A308" s="1020" t="s">
        <v>820</v>
      </c>
      <c r="B308" s="65" t="s">
        <v>821</v>
      </c>
      <c r="C308" s="65"/>
      <c r="D308" s="65"/>
      <c r="E308" s="65"/>
      <c r="F308" s="65"/>
      <c r="G308" s="65"/>
      <c r="H308" s="1077"/>
      <c r="I308" s="157"/>
      <c r="J308" s="159"/>
      <c r="K308" s="159"/>
      <c r="L308" s="71">
        <f>SUM(K294:K307)</f>
        <v>1430148</v>
      </c>
      <c r="M308" s="45"/>
      <c r="N308" s="45"/>
      <c r="O308" s="45"/>
      <c r="P308" s="45"/>
      <c r="Q308" s="45"/>
      <c r="R308" s="45"/>
      <c r="S308" s="45"/>
      <c r="T308" s="45"/>
      <c r="U308" s="45"/>
      <c r="V308" s="45"/>
      <c r="W308" s="45"/>
      <c r="X308" s="45"/>
      <c r="Y308" s="45"/>
      <c r="Z308" s="56"/>
    </row>
    <row r="309" spans="1:26" outlineLevel="1">
      <c r="A309" s="6" t="s">
        <v>851</v>
      </c>
      <c r="B309" s="47" t="s">
        <v>853</v>
      </c>
      <c r="C309" s="47"/>
      <c r="D309" s="47"/>
      <c r="E309" s="47"/>
      <c r="F309" s="47"/>
      <c r="G309" s="198">
        <v>0.05</v>
      </c>
      <c r="H309" s="461"/>
      <c r="I309" s="63"/>
      <c r="J309" s="67"/>
      <c r="K309" s="67">
        <f>G309*SUM(K20:K308)</f>
        <v>3389277.9134544739</v>
      </c>
      <c r="M309" s="597"/>
      <c r="N309" s="45"/>
      <c r="O309" s="45"/>
      <c r="P309" s="45"/>
      <c r="Q309" s="45"/>
      <c r="R309" s="45"/>
      <c r="S309" s="45"/>
      <c r="T309" s="45"/>
      <c r="U309" s="45"/>
      <c r="V309" s="45"/>
      <c r="W309" s="45"/>
      <c r="X309" s="45"/>
      <c r="Y309" s="45"/>
      <c r="Z309" s="56"/>
    </row>
    <row r="310" spans="1:26">
      <c r="A310" s="1020" t="s">
        <v>851</v>
      </c>
      <c r="B310" s="65" t="s">
        <v>852</v>
      </c>
      <c r="C310" s="65"/>
      <c r="D310" s="65"/>
      <c r="E310" s="65"/>
      <c r="F310" s="65"/>
      <c r="G310" s="65"/>
      <c r="H310" s="1077"/>
      <c r="I310" s="157"/>
      <c r="J310" s="159"/>
      <c r="K310" s="159"/>
      <c r="L310" s="71">
        <f>SUM(K309)</f>
        <v>3389277.9134544739</v>
      </c>
      <c r="M310" s="45"/>
      <c r="N310" s="45"/>
      <c r="O310" s="45"/>
      <c r="P310" s="45"/>
      <c r="Q310" s="45"/>
      <c r="R310" s="45"/>
      <c r="S310" s="45"/>
      <c r="T310" s="45"/>
      <c r="U310" s="45"/>
      <c r="V310" s="45"/>
      <c r="W310" s="45"/>
      <c r="X310" s="45"/>
      <c r="Y310" s="45"/>
      <c r="Z310" s="56"/>
    </row>
    <row r="311" spans="1:26" outlineLevel="1">
      <c r="A311" s="6" t="s">
        <v>855</v>
      </c>
      <c r="B311" s="47" t="s">
        <v>857</v>
      </c>
      <c r="C311" s="47" t="s">
        <v>858</v>
      </c>
      <c r="D311" s="47"/>
      <c r="E311" s="47"/>
      <c r="F311" s="47"/>
      <c r="G311" s="47">
        <v>1.0517828618950701E-2</v>
      </c>
      <c r="H311" s="461"/>
      <c r="I311" s="63"/>
      <c r="J311" s="67"/>
      <c r="K311" s="67">
        <f>Insurance_Bonds!F46</f>
        <v>358550.35059543158</v>
      </c>
      <c r="M311" s="597"/>
      <c r="N311" s="45"/>
      <c r="O311" s="45"/>
      <c r="P311" s="45"/>
      <c r="Q311" s="45"/>
      <c r="R311" s="45"/>
      <c r="S311" s="45"/>
      <c r="T311" s="45"/>
      <c r="U311" s="45"/>
      <c r="V311" s="45"/>
      <c r="W311" s="45"/>
      <c r="X311" s="45"/>
      <c r="Y311" s="45"/>
      <c r="Z311" s="56"/>
    </row>
    <row r="312" spans="1:26">
      <c r="A312" s="1020" t="s">
        <v>855</v>
      </c>
      <c r="B312" s="65" t="s">
        <v>856</v>
      </c>
      <c r="C312" s="65"/>
      <c r="D312" s="65"/>
      <c r="E312" s="65"/>
      <c r="F312" s="65"/>
      <c r="G312" s="65"/>
      <c r="H312" s="1077"/>
      <c r="I312" s="157"/>
      <c r="J312" s="159"/>
      <c r="K312" s="159"/>
      <c r="L312" s="71">
        <f>SUM(K311)</f>
        <v>358550.35059543158</v>
      </c>
      <c r="M312" s="597"/>
      <c r="N312" s="45"/>
      <c r="O312" s="45"/>
      <c r="P312" s="45"/>
      <c r="Q312" s="45"/>
      <c r="R312" s="45"/>
      <c r="S312" s="45"/>
      <c r="T312" s="45"/>
      <c r="U312" s="45"/>
      <c r="V312" s="45"/>
      <c r="W312" s="45"/>
      <c r="X312" s="45"/>
      <c r="Y312" s="45"/>
      <c r="Z312" s="56"/>
    </row>
    <row r="313" spans="1:26" outlineLevel="1">
      <c r="A313" s="6" t="s">
        <v>860</v>
      </c>
      <c r="B313" s="47" t="s">
        <v>861</v>
      </c>
      <c r="C313" s="47"/>
      <c r="D313" s="47"/>
      <c r="E313" s="47"/>
      <c r="F313" s="47" t="s">
        <v>862</v>
      </c>
      <c r="G313" s="187">
        <v>3.03</v>
      </c>
      <c r="H313" s="461"/>
      <c r="I313" s="198">
        <v>9.095617511087643E-3</v>
      </c>
      <c r="J313" s="66"/>
      <c r="K313" s="67">
        <f>Insurance_Bonds!F44</f>
        <v>648527.58279310993</v>
      </c>
      <c r="M313" s="597"/>
      <c r="N313" s="45"/>
      <c r="O313" s="45"/>
      <c r="P313" s="45"/>
      <c r="Q313" s="45"/>
      <c r="R313" s="45"/>
      <c r="S313" s="45"/>
      <c r="T313" s="45"/>
      <c r="U313" s="45"/>
      <c r="V313" s="45"/>
      <c r="W313" s="45"/>
      <c r="X313" s="45"/>
      <c r="Y313" s="45"/>
      <c r="Z313" s="56"/>
    </row>
    <row r="314" spans="1:26" outlineLevel="1">
      <c r="A314" s="9" t="s">
        <v>863</v>
      </c>
      <c r="B314" s="40" t="s">
        <v>861</v>
      </c>
      <c r="C314" s="40"/>
      <c r="D314" s="40"/>
      <c r="E314" s="40"/>
      <c r="F314" s="40" t="s">
        <v>864</v>
      </c>
      <c r="G314" s="53">
        <v>0.05</v>
      </c>
      <c r="H314" s="54"/>
      <c r="I314" s="53"/>
      <c r="J314" s="51"/>
      <c r="K314" s="205"/>
      <c r="M314" s="597"/>
      <c r="N314" s="45"/>
      <c r="O314" s="45"/>
      <c r="P314" s="45"/>
      <c r="Q314" s="45"/>
      <c r="R314" s="45"/>
      <c r="S314" s="45"/>
      <c r="T314" s="45"/>
      <c r="U314" s="45"/>
      <c r="V314" s="45"/>
      <c r="W314" s="45"/>
      <c r="X314" s="45"/>
      <c r="Y314" s="45"/>
      <c r="Z314" s="56"/>
    </row>
    <row r="315" spans="1:26" outlineLevel="1">
      <c r="A315" s="6" t="s">
        <v>865</v>
      </c>
      <c r="B315" s="47" t="s">
        <v>861</v>
      </c>
      <c r="C315" s="47"/>
      <c r="D315" s="47"/>
      <c r="E315" s="47"/>
      <c r="F315" s="47" t="s">
        <v>866</v>
      </c>
      <c r="G315" s="47">
        <v>0.95</v>
      </c>
      <c r="H315" s="54"/>
      <c r="I315" s="63"/>
      <c r="J315" s="67"/>
      <c r="K315" s="67"/>
      <c r="M315" s="597"/>
      <c r="N315" s="45"/>
      <c r="O315" s="45"/>
      <c r="P315" s="45"/>
      <c r="Q315" s="45"/>
      <c r="R315" s="45"/>
      <c r="S315" s="45"/>
      <c r="T315" s="45"/>
      <c r="U315" s="45"/>
      <c r="V315" s="45"/>
      <c r="W315" s="45"/>
      <c r="X315" s="45"/>
      <c r="Y315" s="45"/>
      <c r="Z315" s="56"/>
    </row>
    <row r="316" spans="1:26">
      <c r="A316" s="1020" t="s">
        <v>859</v>
      </c>
      <c r="B316" s="65" t="s">
        <v>856</v>
      </c>
      <c r="C316" s="65"/>
      <c r="D316" s="65"/>
      <c r="E316" s="65"/>
      <c r="F316" s="65"/>
      <c r="G316" s="65"/>
      <c r="H316" s="1077"/>
      <c r="I316" s="157"/>
      <c r="J316" s="159"/>
      <c r="K316" s="159"/>
      <c r="L316" s="71">
        <f>SUM(K313:K315)</f>
        <v>648527.58279310993</v>
      </c>
      <c r="M316" s="597"/>
      <c r="N316" s="45"/>
      <c r="O316" s="45"/>
      <c r="P316" s="45"/>
      <c r="Q316" s="45"/>
      <c r="R316" s="45"/>
      <c r="S316" s="45"/>
      <c r="T316" s="45"/>
      <c r="U316" s="45"/>
      <c r="V316" s="45"/>
      <c r="W316" s="45"/>
      <c r="X316" s="45"/>
      <c r="Y316" s="45"/>
      <c r="Z316" s="56"/>
    </row>
    <row r="317" spans="1:26" outlineLevel="1">
      <c r="A317" s="3" t="s">
        <v>869</v>
      </c>
      <c r="B317" s="60" t="s">
        <v>868</v>
      </c>
      <c r="C317" s="60"/>
      <c r="D317" s="60"/>
      <c r="E317" s="60"/>
      <c r="F317" s="60"/>
      <c r="G317" s="188">
        <v>0.02</v>
      </c>
      <c r="H317" s="461"/>
      <c r="I317" s="148"/>
      <c r="J317" s="149"/>
      <c r="K317" s="1073">
        <f>SUM(K22:K308,K311:K315)*G317</f>
        <v>1298708.4501404832</v>
      </c>
      <c r="M317" s="597"/>
      <c r="N317" s="45"/>
      <c r="O317" s="45"/>
      <c r="P317" s="45"/>
      <c r="Q317" s="45"/>
      <c r="R317" s="45"/>
      <c r="S317" s="45"/>
      <c r="T317" s="45"/>
      <c r="U317" s="45"/>
      <c r="V317" s="45"/>
      <c r="W317" s="45"/>
      <c r="X317" s="45"/>
      <c r="Y317" s="45"/>
      <c r="Z317" s="56"/>
    </row>
    <row r="318" spans="1:26" outlineLevel="1">
      <c r="A318" s="6" t="s">
        <v>867</v>
      </c>
      <c r="B318" s="47" t="s">
        <v>868</v>
      </c>
      <c r="C318" s="47"/>
      <c r="D318" s="47"/>
      <c r="E318" s="47"/>
      <c r="F318" s="47"/>
      <c r="G318" s="198">
        <v>0.06</v>
      </c>
      <c r="H318" s="54"/>
      <c r="I318" s="63"/>
      <c r="J318" s="67"/>
      <c r="K318" s="67">
        <f>SUM(K22:K308,K311:K314)*G318</f>
        <v>3896125.3504214492</v>
      </c>
      <c r="M318" s="597"/>
      <c r="N318" s="45"/>
      <c r="O318" s="45"/>
      <c r="P318" s="45"/>
      <c r="Q318" s="45"/>
      <c r="R318" s="45"/>
      <c r="S318" s="45"/>
      <c r="T318" s="45"/>
      <c r="U318" s="45"/>
      <c r="V318" s="45"/>
      <c r="W318" s="45"/>
      <c r="X318" s="45"/>
      <c r="Y318" s="45"/>
      <c r="Z318" s="56"/>
    </row>
    <row r="319" spans="1:26">
      <c r="A319" s="1020" t="s">
        <v>867</v>
      </c>
      <c r="B319" s="65" t="s">
        <v>868</v>
      </c>
      <c r="C319" s="65"/>
      <c r="D319" s="65"/>
      <c r="E319" s="65"/>
      <c r="F319" s="65"/>
      <c r="G319" s="65"/>
      <c r="H319" s="1077"/>
      <c r="I319" s="157"/>
      <c r="J319" s="159"/>
      <c r="K319" s="159"/>
      <c r="L319" s="71">
        <f>SUM(K317:K318)</f>
        <v>5194833.8005619328</v>
      </c>
      <c r="M319" s="597"/>
      <c r="N319" s="45"/>
      <c r="O319" s="45"/>
      <c r="P319" s="45"/>
      <c r="Q319" s="45"/>
      <c r="R319" s="45"/>
      <c r="S319" s="45"/>
      <c r="T319" s="45"/>
      <c r="U319" s="45"/>
      <c r="V319" s="45"/>
      <c r="W319" s="45"/>
      <c r="X319" s="45"/>
      <c r="Y319" s="45"/>
      <c r="Z319" s="56"/>
    </row>
    <row r="320" spans="1:26">
      <c r="A320" s="4"/>
      <c r="B320" s="151"/>
      <c r="C320" s="151"/>
      <c r="D320" s="151"/>
      <c r="E320" s="151"/>
      <c r="F320" s="151"/>
      <c r="G320" s="152"/>
      <c r="H320" s="461"/>
      <c r="I320" s="154"/>
      <c r="J320" s="153"/>
      <c r="K320" s="884"/>
      <c r="L320" s="1010"/>
      <c r="M320" s="1008"/>
      <c r="N320" s="1009"/>
      <c r="O320" s="1009"/>
      <c r="P320" s="1009"/>
      <c r="Q320" s="1009"/>
      <c r="R320" s="1009"/>
      <c r="S320" s="1009"/>
      <c r="T320" s="1009"/>
      <c r="U320" s="1009"/>
      <c r="V320" s="1009"/>
      <c r="W320" s="1009"/>
      <c r="X320" s="1009"/>
      <c r="Y320" s="1009"/>
      <c r="Z320" s="56"/>
    </row>
    <row r="321" spans="1:26" ht="15" thickBot="1">
      <c r="A321" s="16" t="s">
        <v>870</v>
      </c>
      <c r="B321" s="17"/>
      <c r="C321" s="17"/>
      <c r="D321" s="17"/>
      <c r="E321" s="17"/>
      <c r="F321" s="17"/>
      <c r="G321" s="17"/>
      <c r="H321" s="18"/>
      <c r="I321" s="19"/>
      <c r="J321" s="20"/>
      <c r="K321" s="20"/>
      <c r="L321" s="21">
        <f>SUM(L20:L320)</f>
        <v>77376747.916494429</v>
      </c>
      <c r="M321" s="15"/>
      <c r="N321" s="15"/>
      <c r="O321" s="15"/>
      <c r="P321" s="15"/>
      <c r="Q321" s="15"/>
      <c r="R321" s="15"/>
      <c r="S321" s="15"/>
      <c r="T321" s="15"/>
      <c r="U321" s="15"/>
      <c r="V321" s="15"/>
      <c r="W321" s="15"/>
      <c r="X321" s="15"/>
      <c r="Y321" s="15"/>
      <c r="Z321" s="56"/>
    </row>
    <row r="322" spans="1:26">
      <c r="G322" s="56"/>
      <c r="H322" s="56"/>
      <c r="I322" s="189"/>
      <c r="L322" s="190">
        <f>SUM(K20:K321)-L321</f>
        <v>0</v>
      </c>
      <c r="M322" s="190"/>
    </row>
    <row r="323" spans="1:26">
      <c r="A323" s="10" t="s">
        <v>214</v>
      </c>
      <c r="B323" s="88" t="s">
        <v>215</v>
      </c>
      <c r="C323" s="88"/>
      <c r="D323" s="88"/>
      <c r="E323" s="191">
        <f t="shared" ref="E323:E358" si="53">_xlfn.XLOOKUP(A323,$A$20:$A$321,$L$20:$L$321)</f>
        <v>0</v>
      </c>
    </row>
    <row r="324" spans="1:26">
      <c r="A324" s="11" t="s">
        <v>219</v>
      </c>
      <c r="B324" s="86" t="s">
        <v>220</v>
      </c>
      <c r="C324" s="86"/>
      <c r="D324" s="86"/>
      <c r="E324" s="192">
        <f t="shared" si="53"/>
        <v>12000</v>
      </c>
    </row>
    <row r="325" spans="1:26">
      <c r="A325" s="11" t="s">
        <v>224</v>
      </c>
      <c r="B325" s="86" t="s">
        <v>225</v>
      </c>
      <c r="C325" s="86"/>
      <c r="D325" s="86"/>
      <c r="E325" s="192">
        <f t="shared" si="53"/>
        <v>2270799.4980623308</v>
      </c>
      <c r="K325" s="194"/>
      <c r="L325" s="190"/>
      <c r="M325" s="200"/>
    </row>
    <row r="326" spans="1:26">
      <c r="A326" s="11" t="s">
        <v>259</v>
      </c>
      <c r="B326" s="86" t="s">
        <v>260</v>
      </c>
      <c r="C326" s="86"/>
      <c r="D326" s="86"/>
      <c r="E326" s="192" t="e">
        <f t="shared" si="53"/>
        <v>#N/A</v>
      </c>
      <c r="K326" s="883"/>
      <c r="L326" s="989"/>
    </row>
    <row r="327" spans="1:26">
      <c r="A327" s="11" t="s">
        <v>269</v>
      </c>
      <c r="B327" s="86" t="s">
        <v>270</v>
      </c>
      <c r="C327" s="86"/>
      <c r="D327" s="86"/>
      <c r="E327" s="192">
        <f t="shared" si="53"/>
        <v>314000</v>
      </c>
      <c r="L327" s="845"/>
    </row>
    <row r="328" spans="1:26">
      <c r="A328" s="11" t="s">
        <v>284</v>
      </c>
      <c r="B328" s="86" t="s">
        <v>285</v>
      </c>
      <c r="C328" s="86"/>
      <c r="D328" s="86"/>
      <c r="E328" s="192">
        <f t="shared" si="53"/>
        <v>716686.6</v>
      </c>
      <c r="L328" s="190"/>
    </row>
    <row r="329" spans="1:26">
      <c r="A329" s="11" t="s">
        <v>305</v>
      </c>
      <c r="B329" s="86" t="s">
        <v>306</v>
      </c>
      <c r="C329" s="86"/>
      <c r="D329" s="86"/>
      <c r="E329" s="192">
        <f t="shared" si="53"/>
        <v>9207821.4833333325</v>
      </c>
      <c r="L329" s="190"/>
    </row>
    <row r="330" spans="1:26">
      <c r="A330" s="11" t="s">
        <v>335</v>
      </c>
      <c r="B330" s="86" t="s">
        <v>336</v>
      </c>
      <c r="C330" s="86"/>
      <c r="D330" s="86"/>
      <c r="E330" s="192">
        <f t="shared" si="53"/>
        <v>2196003.1030282238</v>
      </c>
      <c r="L330" s="112"/>
    </row>
    <row r="331" spans="1:26">
      <c r="A331" s="11" t="s">
        <v>362</v>
      </c>
      <c r="B331" s="86" t="s">
        <v>363</v>
      </c>
      <c r="C331" s="86"/>
      <c r="D331" s="86"/>
      <c r="E331" s="192">
        <f t="shared" si="53"/>
        <v>669950</v>
      </c>
      <c r="L331" s="112"/>
    </row>
    <row r="332" spans="1:26">
      <c r="A332" s="11" t="s">
        <v>391</v>
      </c>
      <c r="B332" s="86" t="s">
        <v>392</v>
      </c>
      <c r="C332" s="86"/>
      <c r="D332" s="86"/>
      <c r="E332" s="192">
        <f t="shared" si="53"/>
        <v>7167102.1585046519</v>
      </c>
      <c r="K332" s="194"/>
      <c r="L332" s="997"/>
    </row>
    <row r="333" spans="1:26">
      <c r="A333" s="11" t="s">
        <v>467</v>
      </c>
      <c r="B333" s="86" t="s">
        <v>468</v>
      </c>
      <c r="C333" s="86"/>
      <c r="D333" s="86"/>
      <c r="E333" s="192">
        <f t="shared" si="53"/>
        <v>729570</v>
      </c>
      <c r="K333" s="194"/>
      <c r="L333" s="112"/>
    </row>
    <row r="334" spans="1:26">
      <c r="A334" s="13" t="s">
        <v>505</v>
      </c>
      <c r="B334" s="101" t="s">
        <v>506</v>
      </c>
      <c r="C334" s="101"/>
      <c r="D334" s="101"/>
      <c r="E334" s="193">
        <f t="shared" si="53"/>
        <v>1442993.9230927837</v>
      </c>
      <c r="K334" s="194"/>
      <c r="L334" s="112"/>
    </row>
    <row r="335" spans="1:26">
      <c r="A335" s="10" t="s">
        <v>510</v>
      </c>
      <c r="B335" s="88" t="s">
        <v>511</v>
      </c>
      <c r="C335" s="88"/>
      <c r="D335" s="88"/>
      <c r="E335" s="191">
        <f t="shared" si="53"/>
        <v>2461013.4</v>
      </c>
      <c r="L335" s="112"/>
    </row>
    <row r="336" spans="1:26">
      <c r="A336" s="11" t="s">
        <v>534</v>
      </c>
      <c r="B336" s="86" t="s">
        <v>535</v>
      </c>
      <c r="C336" s="86"/>
      <c r="D336" s="86"/>
      <c r="E336" s="192">
        <f t="shared" si="53"/>
        <v>1103563.3333333333</v>
      </c>
    </row>
    <row r="337" spans="1:12">
      <c r="A337" s="11" t="s">
        <v>546</v>
      </c>
      <c r="B337" s="86" t="s">
        <v>545</v>
      </c>
      <c r="C337" s="86"/>
      <c r="D337" s="86"/>
      <c r="E337" s="192" t="e">
        <f t="shared" si="53"/>
        <v>#N/A</v>
      </c>
      <c r="L337" s="190"/>
    </row>
    <row r="338" spans="1:12">
      <c r="A338" s="11" t="s">
        <v>547</v>
      </c>
      <c r="B338" s="86" t="s">
        <v>548</v>
      </c>
      <c r="C338" s="86"/>
      <c r="D338" s="86"/>
      <c r="E338" s="192">
        <f t="shared" si="53"/>
        <v>508000</v>
      </c>
      <c r="L338" s="112"/>
    </row>
    <row r="339" spans="1:12">
      <c r="A339" s="11" t="s">
        <v>556</v>
      </c>
      <c r="B339" s="86" t="s">
        <v>557</v>
      </c>
      <c r="C339" s="86"/>
      <c r="D339" s="86"/>
      <c r="E339" s="192">
        <f t="shared" si="53"/>
        <v>1322806.25</v>
      </c>
    </row>
    <row r="340" spans="1:12">
      <c r="A340" s="11" t="s">
        <v>564</v>
      </c>
      <c r="B340" s="86" t="s">
        <v>565</v>
      </c>
      <c r="C340" s="86"/>
      <c r="D340" s="86"/>
      <c r="E340" s="192">
        <f t="shared" si="53"/>
        <v>4900550</v>
      </c>
      <c r="L340" s="112"/>
    </row>
    <row r="341" spans="1:12">
      <c r="A341" s="11" t="s">
        <v>577</v>
      </c>
      <c r="B341" s="86" t="s">
        <v>578</v>
      </c>
      <c r="C341" s="86"/>
      <c r="D341" s="86"/>
      <c r="E341" s="192">
        <f t="shared" si="53"/>
        <v>4132739.4999999995</v>
      </c>
    </row>
    <row r="342" spans="1:12">
      <c r="A342" s="11" t="s">
        <v>587</v>
      </c>
      <c r="B342" s="86" t="s">
        <v>588</v>
      </c>
      <c r="C342" s="86"/>
      <c r="D342" s="86"/>
      <c r="E342" s="192">
        <f t="shared" si="53"/>
        <v>5741267.916666666</v>
      </c>
    </row>
    <row r="343" spans="1:12">
      <c r="A343" s="11" t="s">
        <v>627</v>
      </c>
      <c r="B343" s="86" t="s">
        <v>628</v>
      </c>
      <c r="C343" s="86"/>
      <c r="D343" s="86"/>
      <c r="E343" s="192">
        <f t="shared" si="53"/>
        <v>253754.65</v>
      </c>
    </row>
    <row r="344" spans="1:12">
      <c r="A344" s="11" t="s">
        <v>636</v>
      </c>
      <c r="B344" s="86" t="s">
        <v>637</v>
      </c>
      <c r="C344" s="86"/>
      <c r="D344" s="86"/>
      <c r="E344" s="192">
        <f t="shared" si="53"/>
        <v>1359898.75</v>
      </c>
    </row>
    <row r="345" spans="1:12">
      <c r="A345" s="11" t="s">
        <v>644</v>
      </c>
      <c r="B345" s="86" t="s">
        <v>645</v>
      </c>
      <c r="C345" s="86"/>
      <c r="D345" s="86"/>
      <c r="E345" s="192">
        <f t="shared" si="53"/>
        <v>1225979.7169201102</v>
      </c>
    </row>
    <row r="346" spans="1:12">
      <c r="A346" s="13" t="s">
        <v>666</v>
      </c>
      <c r="B346" s="101" t="s">
        <v>667</v>
      </c>
      <c r="C346" s="101"/>
      <c r="D346" s="101"/>
      <c r="E346" s="193">
        <f t="shared" si="53"/>
        <v>6247669.5083102435</v>
      </c>
    </row>
    <row r="347" spans="1:12">
      <c r="A347" s="10" t="s">
        <v>738</v>
      </c>
      <c r="B347" s="88" t="s">
        <v>739</v>
      </c>
      <c r="C347" s="88"/>
      <c r="D347" s="88"/>
      <c r="E347" s="191">
        <f t="shared" si="53"/>
        <v>5661464.8757142853</v>
      </c>
    </row>
    <row r="348" spans="1:12">
      <c r="A348" s="11" t="s">
        <v>774</v>
      </c>
      <c r="B348" s="86" t="s">
        <v>775</v>
      </c>
      <c r="C348" s="86"/>
      <c r="D348" s="86"/>
      <c r="E348" s="192">
        <f t="shared" si="53"/>
        <v>15000</v>
      </c>
    </row>
    <row r="349" spans="1:12">
      <c r="A349" s="11" t="s">
        <v>778</v>
      </c>
      <c r="B349" s="86" t="s">
        <v>779</v>
      </c>
      <c r="C349" s="86"/>
      <c r="D349" s="86"/>
      <c r="E349" s="192">
        <f t="shared" si="53"/>
        <v>1717975.85</v>
      </c>
    </row>
    <row r="350" spans="1:12">
      <c r="A350" s="11" t="s">
        <v>788</v>
      </c>
      <c r="B350" s="86" t="s">
        <v>789</v>
      </c>
      <c r="C350" s="86"/>
      <c r="D350" s="86"/>
      <c r="E350" s="192">
        <f t="shared" si="53"/>
        <v>486632.15</v>
      </c>
    </row>
    <row r="351" spans="1:12">
      <c r="A351" s="11" t="s">
        <v>809</v>
      </c>
      <c r="B351" s="86"/>
      <c r="C351" s="86"/>
      <c r="D351" s="86"/>
      <c r="E351" s="192" t="e">
        <f t="shared" si="53"/>
        <v>#N/A</v>
      </c>
    </row>
    <row r="352" spans="1:12">
      <c r="A352" s="11" t="s">
        <v>817</v>
      </c>
      <c r="B352" s="86"/>
      <c r="C352" s="86"/>
      <c r="D352" s="86"/>
      <c r="E352" s="192">
        <f t="shared" si="53"/>
        <v>0</v>
      </c>
    </row>
    <row r="353" spans="1:6">
      <c r="A353" s="11" t="s">
        <v>820</v>
      </c>
      <c r="B353" s="86"/>
      <c r="C353" s="86"/>
      <c r="D353" s="86"/>
      <c r="E353" s="192">
        <f t="shared" si="53"/>
        <v>1430148</v>
      </c>
    </row>
    <row r="354" spans="1:6">
      <c r="A354" s="11" t="s">
        <v>851</v>
      </c>
      <c r="B354" s="86" t="s">
        <v>852</v>
      </c>
      <c r="C354" s="86"/>
      <c r="D354" s="86"/>
      <c r="E354" s="192">
        <f t="shared" si="53"/>
        <v>0</v>
      </c>
    </row>
    <row r="355" spans="1:6">
      <c r="A355" s="11" t="s">
        <v>855</v>
      </c>
      <c r="B355" s="86" t="s">
        <v>856</v>
      </c>
      <c r="C355" s="86"/>
      <c r="D355" s="86"/>
      <c r="E355" s="192">
        <f t="shared" si="53"/>
        <v>0</v>
      </c>
    </row>
    <row r="356" spans="1:6">
      <c r="A356" s="11" t="s">
        <v>859</v>
      </c>
      <c r="B356" s="86" t="s">
        <v>856</v>
      </c>
      <c r="C356" s="86"/>
      <c r="D356" s="86"/>
      <c r="E356" s="192">
        <f t="shared" si="53"/>
        <v>648527.58279310993</v>
      </c>
    </row>
    <row r="357" spans="1:6">
      <c r="A357" s="11" t="s">
        <v>867</v>
      </c>
      <c r="B357" s="86" t="s">
        <v>868</v>
      </c>
      <c r="C357" s="86"/>
      <c r="D357" s="86"/>
      <c r="E357" s="192">
        <f t="shared" si="53"/>
        <v>0</v>
      </c>
    </row>
    <row r="358" spans="1:6">
      <c r="A358" s="12" t="s">
        <v>870</v>
      </c>
      <c r="B358" s="101"/>
      <c r="C358" s="101"/>
      <c r="D358" s="101"/>
      <c r="E358" s="193">
        <f t="shared" si="53"/>
        <v>77376747.916494429</v>
      </c>
    </row>
    <row r="359" spans="1:6">
      <c r="B359" s="55"/>
      <c r="C359" s="55"/>
      <c r="D359" s="55"/>
      <c r="E359" s="194" t="e">
        <f>SUM(E323:E334,E335:E346,E347:E357)-E358</f>
        <v>#N/A</v>
      </c>
    </row>
    <row r="363" spans="1:6">
      <c r="F363" s="23" t="s">
        <v>203</v>
      </c>
    </row>
    <row r="364" spans="1:6">
      <c r="A364" s="14"/>
      <c r="B364" s="22"/>
      <c r="C364" s="22"/>
      <c r="D364" s="22"/>
      <c r="E364" s="22"/>
      <c r="F364" s="23" t="s">
        <v>119</v>
      </c>
    </row>
    <row r="365" spans="1:6">
      <c r="A365" s="14" t="s">
        <v>872</v>
      </c>
      <c r="B365" s="22" t="s">
        <v>215</v>
      </c>
      <c r="C365" s="22"/>
      <c r="D365" s="22"/>
      <c r="E365" s="22"/>
      <c r="F365" s="24">
        <f t="shared" ref="F365:F395" si="54">SUMIF($B$20:$B$321,B365,$L$20:$L$321)</f>
        <v>3857213.6954538627</v>
      </c>
    </row>
    <row r="366" spans="1:6">
      <c r="A366" s="14" t="s">
        <v>873</v>
      </c>
      <c r="B366" s="22" t="s">
        <v>220</v>
      </c>
      <c r="C366" s="22"/>
      <c r="D366" s="22"/>
      <c r="E366" s="22"/>
      <c r="F366" s="24">
        <f t="shared" si="54"/>
        <v>12000</v>
      </c>
    </row>
    <row r="367" spans="1:6">
      <c r="A367" s="14" t="s">
        <v>874</v>
      </c>
      <c r="B367" s="22" t="s">
        <v>225</v>
      </c>
      <c r="C367" s="22"/>
      <c r="D367" s="22"/>
      <c r="E367" s="22"/>
      <c r="F367" s="24">
        <f t="shared" si="54"/>
        <v>2270799.4980623308</v>
      </c>
    </row>
    <row r="368" spans="1:6">
      <c r="A368" s="14" t="s">
        <v>875</v>
      </c>
      <c r="B368" s="22" t="s">
        <v>270</v>
      </c>
      <c r="C368" s="22"/>
      <c r="D368" s="22"/>
      <c r="E368" s="22"/>
      <c r="F368" s="24">
        <f t="shared" si="54"/>
        <v>314000</v>
      </c>
    </row>
    <row r="369" spans="1:6">
      <c r="A369" s="14" t="s">
        <v>876</v>
      </c>
      <c r="B369" s="22" t="s">
        <v>285</v>
      </c>
      <c r="C369" s="22"/>
      <c r="D369" s="22"/>
      <c r="E369" s="22"/>
      <c r="F369" s="24">
        <f t="shared" si="54"/>
        <v>716686.6</v>
      </c>
    </row>
    <row r="370" spans="1:6">
      <c r="A370" s="14" t="s">
        <v>877</v>
      </c>
      <c r="B370" s="22" t="s">
        <v>306</v>
      </c>
      <c r="C370" s="22"/>
      <c r="D370" s="22"/>
      <c r="E370" s="22"/>
      <c r="F370" s="24">
        <f t="shared" si="54"/>
        <v>9207821.4833333325</v>
      </c>
    </row>
    <row r="371" spans="1:6">
      <c r="A371" s="14" t="s">
        <v>878</v>
      </c>
      <c r="B371" s="22" t="s">
        <v>336</v>
      </c>
      <c r="C371" s="22"/>
      <c r="D371" s="22"/>
      <c r="E371" s="22"/>
      <c r="F371" s="24">
        <f t="shared" si="54"/>
        <v>2196003.1030282238</v>
      </c>
    </row>
    <row r="372" spans="1:6">
      <c r="A372" s="14" t="s">
        <v>879</v>
      </c>
      <c r="B372" s="22" t="s">
        <v>363</v>
      </c>
      <c r="C372" s="22"/>
      <c r="D372" s="22"/>
      <c r="E372" s="22"/>
      <c r="F372" s="24">
        <f t="shared" si="54"/>
        <v>669950</v>
      </c>
    </row>
    <row r="373" spans="1:6">
      <c r="A373" s="14" t="s">
        <v>880</v>
      </c>
      <c r="B373" s="22" t="s">
        <v>392</v>
      </c>
      <c r="C373" s="22"/>
      <c r="D373" s="22"/>
      <c r="E373" s="22"/>
      <c r="F373" s="24">
        <f t="shared" si="54"/>
        <v>7167102.1585046519</v>
      </c>
    </row>
    <row r="374" spans="1:6">
      <c r="A374" s="14" t="s">
        <v>881</v>
      </c>
      <c r="B374" s="22" t="s">
        <v>468</v>
      </c>
      <c r="C374" s="22"/>
      <c r="D374" s="22"/>
      <c r="E374" s="22"/>
      <c r="F374" s="24">
        <f t="shared" si="54"/>
        <v>729570</v>
      </c>
    </row>
    <row r="375" spans="1:6">
      <c r="A375" s="14" t="s">
        <v>882</v>
      </c>
      <c r="B375" s="22" t="s">
        <v>506</v>
      </c>
      <c r="C375" s="22"/>
      <c r="D375" s="22"/>
      <c r="E375" s="22"/>
      <c r="F375" s="24">
        <f t="shared" si="54"/>
        <v>1442993.9230927837</v>
      </c>
    </row>
    <row r="376" spans="1:6">
      <c r="A376" s="14" t="s">
        <v>883</v>
      </c>
      <c r="B376" s="22" t="s">
        <v>511</v>
      </c>
      <c r="C376" s="22"/>
      <c r="D376" s="22"/>
      <c r="E376" s="22"/>
      <c r="F376" s="24">
        <f t="shared" si="54"/>
        <v>2461013.4</v>
      </c>
    </row>
    <row r="377" spans="1:6">
      <c r="A377" s="14" t="s">
        <v>884</v>
      </c>
      <c r="B377" s="22" t="s">
        <v>535</v>
      </c>
      <c r="C377" s="22"/>
      <c r="D377" s="22"/>
      <c r="E377" s="22"/>
      <c r="F377" s="24">
        <f t="shared" si="54"/>
        <v>1103563.3333333333</v>
      </c>
    </row>
    <row r="378" spans="1:6">
      <c r="A378" s="14" t="s">
        <v>885</v>
      </c>
      <c r="B378" s="22" t="s">
        <v>548</v>
      </c>
      <c r="C378" s="22"/>
      <c r="D378" s="22"/>
      <c r="E378" s="22"/>
      <c r="F378" s="24">
        <f t="shared" si="54"/>
        <v>508000</v>
      </c>
    </row>
    <row r="379" spans="1:6">
      <c r="A379" s="14" t="s">
        <v>886</v>
      </c>
      <c r="B379" s="22" t="s">
        <v>557</v>
      </c>
      <c r="C379" s="22"/>
      <c r="D379" s="22"/>
      <c r="E379" s="22"/>
      <c r="F379" s="24">
        <f t="shared" si="54"/>
        <v>1322806.25</v>
      </c>
    </row>
    <row r="380" spans="1:6">
      <c r="A380" s="14" t="s">
        <v>887</v>
      </c>
      <c r="B380" s="22" t="s">
        <v>565</v>
      </c>
      <c r="C380" s="22"/>
      <c r="D380" s="22"/>
      <c r="E380" s="22"/>
      <c r="F380" s="24">
        <f t="shared" si="54"/>
        <v>4900550</v>
      </c>
    </row>
    <row r="381" spans="1:6">
      <c r="A381" s="14" t="s">
        <v>888</v>
      </c>
      <c r="B381" s="22" t="s">
        <v>578</v>
      </c>
      <c r="C381" s="22"/>
      <c r="D381" s="22"/>
      <c r="E381" s="22"/>
      <c r="F381" s="24">
        <f t="shared" si="54"/>
        <v>4132739.4999999995</v>
      </c>
    </row>
    <row r="382" spans="1:6">
      <c r="A382" s="14" t="s">
        <v>889</v>
      </c>
      <c r="B382" s="22" t="s">
        <v>588</v>
      </c>
      <c r="C382" s="22"/>
      <c r="D382" s="22"/>
      <c r="E382" s="22"/>
      <c r="F382" s="24">
        <f t="shared" si="54"/>
        <v>5741267.916666666</v>
      </c>
    </row>
    <row r="383" spans="1:6">
      <c r="A383" s="14" t="s">
        <v>890</v>
      </c>
      <c r="B383" s="22" t="s">
        <v>628</v>
      </c>
      <c r="C383" s="22"/>
      <c r="D383" s="22"/>
      <c r="E383" s="22"/>
      <c r="F383" s="24">
        <f t="shared" si="54"/>
        <v>253754.65</v>
      </c>
    </row>
    <row r="384" spans="1:6">
      <c r="A384" s="14" t="s">
        <v>891</v>
      </c>
      <c r="B384" s="22" t="s">
        <v>637</v>
      </c>
      <c r="C384" s="22"/>
      <c r="D384" s="22"/>
      <c r="E384" s="22"/>
      <c r="F384" s="24">
        <f t="shared" si="54"/>
        <v>1359898.75</v>
      </c>
    </row>
    <row r="385" spans="1:7">
      <c r="A385" s="14" t="s">
        <v>892</v>
      </c>
      <c r="B385" s="22" t="s">
        <v>645</v>
      </c>
      <c r="C385" s="22"/>
      <c r="D385" s="22"/>
      <c r="E385" s="22"/>
      <c r="F385" s="24">
        <f t="shared" si="54"/>
        <v>1225979.7169201102</v>
      </c>
    </row>
    <row r="386" spans="1:7">
      <c r="A386" s="14" t="s">
        <v>893</v>
      </c>
      <c r="B386" s="22" t="s">
        <v>667</v>
      </c>
      <c r="C386" s="22"/>
      <c r="D386" s="22"/>
      <c r="E386" s="22"/>
      <c r="F386" s="24">
        <f t="shared" si="54"/>
        <v>6247669.5083102435</v>
      </c>
    </row>
    <row r="387" spans="1:7">
      <c r="A387" s="14" t="s">
        <v>894</v>
      </c>
      <c r="B387" s="22" t="s">
        <v>739</v>
      </c>
      <c r="C387" s="22"/>
      <c r="D387" s="22"/>
      <c r="E387" s="22"/>
      <c r="F387" s="24">
        <f t="shared" si="54"/>
        <v>5661464.8757142853</v>
      </c>
    </row>
    <row r="388" spans="1:7">
      <c r="A388" s="14" t="s">
        <v>895</v>
      </c>
      <c r="B388" s="22" t="s">
        <v>775</v>
      </c>
      <c r="C388" s="22"/>
      <c r="D388" s="22"/>
      <c r="E388" s="22"/>
      <c r="F388" s="24">
        <f t="shared" si="54"/>
        <v>15000</v>
      </c>
    </row>
    <row r="389" spans="1:7">
      <c r="A389" s="14" t="s">
        <v>896</v>
      </c>
      <c r="B389" s="22" t="s">
        <v>779</v>
      </c>
      <c r="C389" s="22"/>
      <c r="D389" s="22"/>
      <c r="E389" s="22"/>
      <c r="F389" s="24">
        <f t="shared" si="54"/>
        <v>1717975.85</v>
      </c>
    </row>
    <row r="390" spans="1:7">
      <c r="A390" s="14" t="s">
        <v>897</v>
      </c>
      <c r="B390" s="22" t="s">
        <v>789</v>
      </c>
      <c r="C390" s="22"/>
      <c r="D390" s="22"/>
      <c r="E390" s="22"/>
      <c r="F390" s="24">
        <f t="shared" si="54"/>
        <v>486632.15</v>
      </c>
    </row>
    <row r="391" spans="1:7">
      <c r="A391" s="14" t="s">
        <v>817</v>
      </c>
      <c r="B391" s="22" t="s">
        <v>817</v>
      </c>
      <c r="C391" s="22"/>
      <c r="D391" s="22"/>
      <c r="E391" s="22"/>
      <c r="F391" s="24">
        <f t="shared" si="54"/>
        <v>632953.90666965954</v>
      </c>
    </row>
    <row r="392" spans="1:7">
      <c r="A392" s="14" t="s">
        <v>821</v>
      </c>
      <c r="B392" s="22" t="s">
        <v>821</v>
      </c>
      <c r="C392" s="22"/>
      <c r="D392" s="22"/>
      <c r="E392" s="22"/>
      <c r="F392" s="24">
        <f t="shared" si="54"/>
        <v>1430148</v>
      </c>
    </row>
    <row r="393" spans="1:7">
      <c r="A393" s="14" t="s">
        <v>898</v>
      </c>
      <c r="B393" s="22" t="s">
        <v>856</v>
      </c>
      <c r="C393" s="22"/>
      <c r="D393" s="22"/>
      <c r="E393" s="22"/>
      <c r="F393" s="24">
        <f t="shared" si="54"/>
        <v>1007077.9333885415</v>
      </c>
    </row>
    <row r="394" spans="1:7">
      <c r="A394" s="14" t="s">
        <v>899</v>
      </c>
      <c r="B394" s="22" t="s">
        <v>852</v>
      </c>
      <c r="C394" s="22"/>
      <c r="D394" s="22"/>
      <c r="E394" s="22"/>
      <c r="F394" s="24">
        <f t="shared" si="54"/>
        <v>3389277.9134544739</v>
      </c>
    </row>
    <row r="395" spans="1:7">
      <c r="A395" s="14" t="s">
        <v>900</v>
      </c>
      <c r="B395" s="22" t="s">
        <v>868</v>
      </c>
      <c r="C395" s="22"/>
      <c r="D395" s="22"/>
      <c r="E395" s="22"/>
      <c r="F395" s="24">
        <f t="shared" si="54"/>
        <v>5194833.8005619328</v>
      </c>
    </row>
    <row r="396" spans="1:7">
      <c r="A396" s="14" t="s">
        <v>119</v>
      </c>
      <c r="B396" s="22"/>
      <c r="C396" s="22"/>
      <c r="D396" s="22"/>
      <c r="E396" s="22"/>
      <c r="F396" s="25">
        <f>SUM(F365:F395)</f>
        <v>77376747.916494429</v>
      </c>
    </row>
    <row r="397" spans="1:7">
      <c r="A397" s="26" t="s">
        <v>901</v>
      </c>
      <c r="B397" s="27"/>
      <c r="C397" s="27"/>
      <c r="D397" s="27"/>
      <c r="E397" s="27"/>
      <c r="F397" s="28">
        <f>$L$321-F396</f>
        <v>0</v>
      </c>
    </row>
    <row r="399" spans="1:7">
      <c r="A399" s="29" t="s">
        <v>902</v>
      </c>
      <c r="B399" s="22"/>
      <c r="C399" s="22"/>
      <c r="D399" s="22"/>
      <c r="E399" s="22"/>
      <c r="F399" s="22"/>
      <c r="G399" s="14"/>
    </row>
    <row r="400" spans="1:7">
      <c r="A400" s="29" t="s">
        <v>903</v>
      </c>
      <c r="B400" s="22"/>
      <c r="C400" s="22"/>
      <c r="D400" s="22"/>
      <c r="E400" s="22"/>
      <c r="F400" s="22"/>
      <c r="G400" s="14"/>
    </row>
    <row r="401" spans="1:7">
      <c r="A401" s="14" t="s">
        <v>431</v>
      </c>
      <c r="B401" s="22" t="s">
        <v>432</v>
      </c>
      <c r="C401" s="22"/>
      <c r="D401" s="22"/>
      <c r="E401" s="22"/>
      <c r="F401" s="24">
        <f t="shared" ref="F401:F411" si="55">SUMIF($B$20:$B$321,B401,$K$20:$K$321)</f>
        <v>626758.69999999995</v>
      </c>
      <c r="G401" s="22" t="s">
        <v>392</v>
      </c>
    </row>
    <row r="402" spans="1:7">
      <c r="A402" s="14" t="s">
        <v>435</v>
      </c>
      <c r="B402" s="22" t="s">
        <v>436</v>
      </c>
      <c r="C402" s="22"/>
      <c r="D402" s="22"/>
      <c r="E402" s="22"/>
      <c r="F402" s="24">
        <f t="shared" si="55"/>
        <v>0</v>
      </c>
      <c r="G402" s="22" t="s">
        <v>392</v>
      </c>
    </row>
    <row r="403" spans="1:7">
      <c r="A403" s="14" t="s">
        <v>437</v>
      </c>
      <c r="B403" s="22" t="s">
        <v>438</v>
      </c>
      <c r="C403" s="22"/>
      <c r="D403" s="22"/>
      <c r="E403" s="22"/>
      <c r="F403" s="24">
        <f t="shared" si="55"/>
        <v>0</v>
      </c>
      <c r="G403" s="22" t="s">
        <v>392</v>
      </c>
    </row>
    <row r="404" spans="1:7">
      <c r="A404" s="14" t="s">
        <v>439</v>
      </c>
      <c r="B404" s="22" t="s">
        <v>440</v>
      </c>
      <c r="C404" s="22"/>
      <c r="D404" s="22"/>
      <c r="E404" s="22"/>
      <c r="F404" s="24">
        <f t="shared" si="55"/>
        <v>296500</v>
      </c>
      <c r="G404" s="22" t="s">
        <v>392</v>
      </c>
    </row>
    <row r="405" spans="1:7">
      <c r="A405" s="14" t="s">
        <v>441</v>
      </c>
      <c r="B405" s="22" t="s">
        <v>904</v>
      </c>
      <c r="C405" s="22"/>
      <c r="D405" s="22"/>
      <c r="E405" s="22"/>
      <c r="F405" s="24">
        <f t="shared" si="55"/>
        <v>0</v>
      </c>
      <c r="G405" s="22" t="s">
        <v>392</v>
      </c>
    </row>
    <row r="406" spans="1:7">
      <c r="A406" s="14" t="s">
        <v>442</v>
      </c>
      <c r="B406" s="22" t="s">
        <v>443</v>
      </c>
      <c r="C406" s="22"/>
      <c r="D406" s="22"/>
      <c r="E406" s="22"/>
      <c r="F406" s="24">
        <f t="shared" si="55"/>
        <v>0</v>
      </c>
      <c r="G406" s="22" t="s">
        <v>392</v>
      </c>
    </row>
    <row r="407" spans="1:7">
      <c r="A407" s="14" t="s">
        <v>444</v>
      </c>
      <c r="B407" s="22" t="s">
        <v>445</v>
      </c>
      <c r="C407" s="22"/>
      <c r="D407" s="22"/>
      <c r="E407" s="22"/>
      <c r="F407" s="24">
        <f t="shared" si="55"/>
        <v>0</v>
      </c>
      <c r="G407" s="22" t="s">
        <v>392</v>
      </c>
    </row>
    <row r="408" spans="1:7">
      <c r="A408" s="14" t="s">
        <v>905</v>
      </c>
      <c r="B408" s="22" t="s">
        <v>447</v>
      </c>
      <c r="C408" s="22"/>
      <c r="D408" s="22"/>
      <c r="E408" s="22"/>
      <c r="F408" s="24">
        <f t="shared" si="55"/>
        <v>44551.199999999997</v>
      </c>
      <c r="G408" s="22" t="s">
        <v>392</v>
      </c>
    </row>
    <row r="409" spans="1:7">
      <c r="A409" s="14" t="s">
        <v>906</v>
      </c>
      <c r="B409" s="22" t="s">
        <v>449</v>
      </c>
      <c r="C409" s="22"/>
      <c r="D409" s="22"/>
      <c r="E409" s="22"/>
      <c r="F409" s="24">
        <f t="shared" si="55"/>
        <v>70500</v>
      </c>
      <c r="G409" s="22" t="s">
        <v>392</v>
      </c>
    </row>
    <row r="410" spans="1:7">
      <c r="A410" s="14" t="s">
        <v>507</v>
      </c>
      <c r="B410" s="22" t="s">
        <v>508</v>
      </c>
      <c r="C410" s="22"/>
      <c r="D410" s="22"/>
      <c r="E410" s="22"/>
      <c r="F410" s="24">
        <f t="shared" si="55"/>
        <v>1442993.9230927837</v>
      </c>
      <c r="G410" s="22" t="s">
        <v>506</v>
      </c>
    </row>
    <row r="411" spans="1:7" ht="16.149999999999999">
      <c r="A411" s="14" t="s">
        <v>513</v>
      </c>
      <c r="B411" s="22" t="s">
        <v>514</v>
      </c>
      <c r="C411" s="22"/>
      <c r="D411" s="22"/>
      <c r="E411" s="22"/>
      <c r="F411" s="30">
        <f t="shared" si="55"/>
        <v>156000</v>
      </c>
      <c r="G411" s="22" t="s">
        <v>511</v>
      </c>
    </row>
    <row r="412" spans="1:7">
      <c r="A412" s="14" t="s">
        <v>907</v>
      </c>
      <c r="B412" s="22"/>
      <c r="C412" s="22"/>
      <c r="D412" s="22"/>
      <c r="E412" s="22"/>
      <c r="F412" s="25">
        <f>SUM(F401:F411)</f>
        <v>2637303.8230927838</v>
      </c>
      <c r="G412" s="14"/>
    </row>
    <row r="413" spans="1:7">
      <c r="A413" s="14"/>
      <c r="B413" s="22"/>
      <c r="C413" s="22"/>
      <c r="D413" s="22"/>
      <c r="E413" s="22"/>
      <c r="F413" s="22"/>
      <c r="G413" s="14"/>
    </row>
    <row r="414" spans="1:7">
      <c r="A414" s="14"/>
      <c r="B414" s="22"/>
      <c r="C414" s="22"/>
      <c r="D414" s="22"/>
      <c r="E414" s="22"/>
      <c r="F414" s="14"/>
      <c r="G414" s="14"/>
    </row>
    <row r="415" spans="1:7">
      <c r="A415" s="29" t="s">
        <v>908</v>
      </c>
      <c r="B415" s="22"/>
      <c r="C415" s="22"/>
      <c r="D415" s="22"/>
      <c r="E415" s="22"/>
      <c r="F415" s="22"/>
      <c r="G415" s="14"/>
    </row>
    <row r="416" spans="1:7">
      <c r="A416" s="26" t="s">
        <v>909</v>
      </c>
      <c r="B416" s="22"/>
      <c r="C416" s="22"/>
      <c r="D416" s="22"/>
      <c r="E416" s="22"/>
      <c r="F416" s="22"/>
      <c r="G416" s="14"/>
    </row>
    <row r="417" spans="1:7">
      <c r="A417" s="14" t="s">
        <v>910</v>
      </c>
      <c r="B417" s="22">
        <v>2</v>
      </c>
      <c r="C417" s="22"/>
      <c r="D417" s="22"/>
      <c r="E417" s="22"/>
      <c r="F417" s="24">
        <f t="shared" ref="F417:F422" si="56">SUMIF($B$20:$B$321,B417,$L$20:$L$321)</f>
        <v>12000</v>
      </c>
      <c r="G417" s="14"/>
    </row>
    <row r="418" spans="1:7">
      <c r="A418" s="14" t="s">
        <v>911</v>
      </c>
      <c r="B418" s="22">
        <v>31</v>
      </c>
      <c r="C418" s="22"/>
      <c r="D418" s="22"/>
      <c r="E418" s="22"/>
      <c r="F418" s="24">
        <f t="shared" si="56"/>
        <v>1225979.7169201102</v>
      </c>
      <c r="G418" s="14"/>
    </row>
    <row r="419" spans="1:7">
      <c r="A419" s="14" t="s">
        <v>912</v>
      </c>
      <c r="B419" s="22">
        <v>32</v>
      </c>
      <c r="C419" s="22"/>
      <c r="D419" s="22"/>
      <c r="E419" s="22"/>
      <c r="F419" s="24">
        <f t="shared" si="56"/>
        <v>6247669.5083102435</v>
      </c>
      <c r="G419" s="14"/>
    </row>
    <row r="420" spans="1:7">
      <c r="A420" s="14" t="s">
        <v>913</v>
      </c>
      <c r="B420" s="22">
        <v>33</v>
      </c>
      <c r="C420" s="22"/>
      <c r="D420" s="22"/>
      <c r="E420" s="22"/>
      <c r="F420" s="24">
        <f t="shared" si="56"/>
        <v>5661464.8757142853</v>
      </c>
      <c r="G420" s="14"/>
    </row>
    <row r="421" spans="1:7">
      <c r="A421" s="14" t="s">
        <v>914</v>
      </c>
      <c r="B421" s="22">
        <v>34</v>
      </c>
      <c r="C421" s="22"/>
      <c r="D421" s="22"/>
      <c r="E421" s="22"/>
      <c r="F421" s="24">
        <f t="shared" si="56"/>
        <v>15000</v>
      </c>
      <c r="G421" s="14"/>
    </row>
    <row r="422" spans="1:7">
      <c r="A422" s="14" t="s">
        <v>915</v>
      </c>
      <c r="B422" s="22">
        <v>48</v>
      </c>
      <c r="C422" s="22"/>
      <c r="D422" s="22"/>
      <c r="E422" s="22"/>
      <c r="F422" s="24">
        <f t="shared" si="56"/>
        <v>1717975.85</v>
      </c>
      <c r="G422" s="14"/>
    </row>
    <row r="423" spans="1:7">
      <c r="A423" s="14"/>
      <c r="B423" s="22"/>
      <c r="C423" s="22"/>
      <c r="D423" s="22"/>
      <c r="E423" s="22"/>
      <c r="F423" s="24"/>
      <c r="G423" s="14"/>
    </row>
    <row r="424" spans="1:7">
      <c r="A424" s="26" t="s">
        <v>916</v>
      </c>
      <c r="B424" s="22"/>
      <c r="C424" s="22"/>
      <c r="D424" s="22"/>
      <c r="E424" s="22"/>
      <c r="F424" s="24"/>
      <c r="G424" s="14"/>
    </row>
    <row r="425" spans="1:7">
      <c r="A425" s="14" t="s">
        <v>172</v>
      </c>
      <c r="B425" s="22" t="s">
        <v>539</v>
      </c>
      <c r="C425" s="22"/>
      <c r="D425" s="22"/>
      <c r="E425" s="22"/>
      <c r="F425" s="24">
        <f t="shared" ref="F425:F432" si="57">SUMIF($B$20:$B$321,B425,$K$20:$K$321)</f>
        <v>843750</v>
      </c>
      <c r="G425" s="14"/>
    </row>
    <row r="426" spans="1:7">
      <c r="A426" s="14" t="s">
        <v>307</v>
      </c>
      <c r="B426" s="22" t="s">
        <v>308</v>
      </c>
      <c r="C426" s="22"/>
      <c r="D426" s="22"/>
      <c r="E426" s="22"/>
      <c r="F426" s="24">
        <f t="shared" si="57"/>
        <v>0</v>
      </c>
      <c r="G426" s="14"/>
    </row>
    <row r="427" spans="1:7">
      <c r="A427" s="14" t="s">
        <v>917</v>
      </c>
      <c r="B427" s="22"/>
      <c r="C427" s="22"/>
      <c r="D427" s="22"/>
      <c r="E427" s="22"/>
      <c r="F427" s="24">
        <f t="shared" si="57"/>
        <v>0</v>
      </c>
      <c r="G427" s="14"/>
    </row>
    <row r="428" spans="1:7">
      <c r="A428" s="14" t="s">
        <v>918</v>
      </c>
      <c r="B428" s="22"/>
      <c r="C428" s="22"/>
      <c r="D428" s="22"/>
      <c r="E428" s="22"/>
      <c r="F428" s="24">
        <f t="shared" si="57"/>
        <v>0</v>
      </c>
      <c r="G428" s="14"/>
    </row>
    <row r="429" spans="1:7">
      <c r="A429" s="14" t="s">
        <v>536</v>
      </c>
      <c r="B429" s="22" t="s">
        <v>537</v>
      </c>
      <c r="C429" s="22"/>
      <c r="D429" s="22"/>
      <c r="E429" s="22"/>
      <c r="F429" s="24">
        <f t="shared" si="57"/>
        <v>253813.33333333334</v>
      </c>
      <c r="G429" s="14"/>
    </row>
    <row r="430" spans="1:7">
      <c r="A430" s="14" t="s">
        <v>479</v>
      </c>
      <c r="B430" s="22" t="s">
        <v>919</v>
      </c>
      <c r="C430" s="22"/>
      <c r="D430" s="22"/>
      <c r="E430" s="22"/>
      <c r="F430" s="24">
        <f t="shared" si="57"/>
        <v>0</v>
      </c>
      <c r="G430" s="14"/>
    </row>
    <row r="431" spans="1:7">
      <c r="A431" s="14" t="s">
        <v>608</v>
      </c>
      <c r="B431" s="22" t="s">
        <v>920</v>
      </c>
      <c r="C431" s="22"/>
      <c r="D431" s="22"/>
      <c r="E431" s="22"/>
      <c r="F431" s="24">
        <f t="shared" si="57"/>
        <v>0</v>
      </c>
      <c r="G431" s="14"/>
    </row>
    <row r="432" spans="1:7">
      <c r="A432" s="14" t="s">
        <v>234</v>
      </c>
      <c r="B432" s="22" t="s">
        <v>227</v>
      </c>
      <c r="C432" s="22"/>
      <c r="D432" s="22"/>
      <c r="E432" s="14"/>
      <c r="F432" s="24">
        <f t="shared" si="57"/>
        <v>1398798.575</v>
      </c>
      <c r="G432" s="14"/>
    </row>
    <row r="433" spans="1:7">
      <c r="A433" s="29" t="s">
        <v>921</v>
      </c>
      <c r="B433" s="23"/>
      <c r="C433" s="23"/>
      <c r="D433" s="23"/>
      <c r="E433" s="29"/>
      <c r="F433" s="31">
        <f>SUM(F417:F432)</f>
        <v>17376451.859277971</v>
      </c>
      <c r="G433" s="14"/>
    </row>
    <row r="434" spans="1:7">
      <c r="A434" s="14"/>
      <c r="B434" s="22"/>
      <c r="C434" s="22"/>
      <c r="D434" s="22"/>
      <c r="E434" s="14"/>
      <c r="F434" s="14"/>
      <c r="G434" s="14"/>
    </row>
    <row r="435" spans="1:7">
      <c r="A435" s="14"/>
      <c r="B435" s="14"/>
      <c r="C435" s="14"/>
      <c r="D435" s="14"/>
      <c r="E435" s="14"/>
      <c r="F435" s="14"/>
      <c r="G435" s="14"/>
    </row>
    <row r="436" spans="1:7">
      <c r="A436" s="14" t="s">
        <v>732</v>
      </c>
      <c r="B436" s="22" t="s">
        <v>922</v>
      </c>
      <c r="C436" s="22"/>
      <c r="D436" s="22"/>
      <c r="E436" s="32" t="s">
        <v>923</v>
      </c>
      <c r="F436" s="22"/>
      <c r="G436" s="14"/>
    </row>
    <row r="437" spans="1:7">
      <c r="A437" s="14" t="s">
        <v>734</v>
      </c>
      <c r="B437" s="22" t="s">
        <v>924</v>
      </c>
      <c r="C437" s="22"/>
      <c r="D437" s="22"/>
      <c r="E437" s="32" t="s">
        <v>923</v>
      </c>
      <c r="F437" s="22"/>
      <c r="G437" s="14"/>
    </row>
    <row r="438" spans="1:7">
      <c r="A438" s="14" t="s">
        <v>736</v>
      </c>
      <c r="B438" s="22" t="s">
        <v>925</v>
      </c>
      <c r="C438" s="22"/>
      <c r="D438" s="22"/>
      <c r="E438" s="32" t="s">
        <v>923</v>
      </c>
      <c r="F438" s="22"/>
      <c r="G438" s="14"/>
    </row>
    <row r="439" spans="1:7">
      <c r="A439" s="14" t="s">
        <v>737</v>
      </c>
      <c r="B439" s="22" t="s">
        <v>926</v>
      </c>
      <c r="C439" s="22"/>
      <c r="D439" s="22"/>
      <c r="E439" s="32" t="s">
        <v>923</v>
      </c>
      <c r="F439" s="22"/>
      <c r="G439" s="14"/>
    </row>
    <row r="440" spans="1:7">
      <c r="A440" s="14" t="s">
        <v>751</v>
      </c>
      <c r="B440" s="22" t="s">
        <v>927</v>
      </c>
      <c r="C440" s="22"/>
      <c r="D440" s="22"/>
      <c r="E440" s="32" t="s">
        <v>928</v>
      </c>
      <c r="F440" s="22"/>
      <c r="G440" s="14"/>
    </row>
    <row r="441" spans="1:7">
      <c r="A441" s="14" t="s">
        <v>770</v>
      </c>
      <c r="B441" s="22" t="s">
        <v>929</v>
      </c>
      <c r="C441" s="22"/>
      <c r="D441" s="22"/>
      <c r="E441" s="32" t="s">
        <v>928</v>
      </c>
      <c r="F441" s="22"/>
      <c r="G441" s="14"/>
    </row>
    <row r="442" spans="1:7">
      <c r="A442" s="14" t="s">
        <v>771</v>
      </c>
      <c r="B442" s="22" t="s">
        <v>930</v>
      </c>
      <c r="C442" s="22"/>
      <c r="D442" s="22"/>
      <c r="E442" s="32" t="s">
        <v>928</v>
      </c>
      <c r="F442" s="22"/>
      <c r="G442" s="14"/>
    </row>
    <row r="443" spans="1:7">
      <c r="A443" s="14" t="s">
        <v>773</v>
      </c>
      <c r="B443" s="22" t="s">
        <v>931</v>
      </c>
      <c r="C443" s="22"/>
      <c r="D443" s="22"/>
      <c r="E443" s="32" t="s">
        <v>928</v>
      </c>
      <c r="F443" s="14"/>
      <c r="G443" s="14"/>
    </row>
    <row r="444" spans="1:7">
      <c r="A444" s="14" t="s">
        <v>776</v>
      </c>
      <c r="B444" s="22" t="s">
        <v>932</v>
      </c>
      <c r="C444" s="22"/>
      <c r="D444" s="22"/>
      <c r="E444" s="32" t="s">
        <v>933</v>
      </c>
      <c r="F444" s="14"/>
      <c r="G444" s="14"/>
    </row>
    <row r="445" spans="1:7">
      <c r="A445" s="14" t="s">
        <v>234</v>
      </c>
      <c r="B445" s="22" t="s">
        <v>227</v>
      </c>
      <c r="C445" s="22"/>
      <c r="D445" s="22"/>
      <c r="E445" s="22"/>
      <c r="F445" s="14"/>
      <c r="G445" s="14"/>
    </row>
    <row r="446" spans="1:7">
      <c r="A446" s="14"/>
      <c r="B446" s="22"/>
      <c r="C446" s="22"/>
      <c r="D446" s="22"/>
      <c r="E446" s="22"/>
      <c r="F446" s="14"/>
      <c r="G446" s="14"/>
    </row>
    <row r="447" spans="1:7">
      <c r="A447" s="29" t="s">
        <v>934</v>
      </c>
      <c r="B447" s="22"/>
      <c r="C447" s="22"/>
      <c r="D447" s="22"/>
      <c r="E447" s="22"/>
      <c r="F447" s="14"/>
      <c r="G447" s="14"/>
    </row>
    <row r="448" spans="1:7">
      <c r="A448" s="29" t="s">
        <v>935</v>
      </c>
      <c r="B448" s="22"/>
      <c r="C448" s="22"/>
      <c r="D448" s="22"/>
      <c r="E448" s="22"/>
      <c r="F448" s="14"/>
      <c r="G448" s="14"/>
    </row>
    <row r="449" spans="1:7">
      <c r="A449" s="14" t="s">
        <v>479</v>
      </c>
      <c r="B449" s="22" t="s">
        <v>919</v>
      </c>
      <c r="C449" s="22"/>
      <c r="D449" s="22"/>
      <c r="E449" s="22"/>
      <c r="F449" s="24">
        <f t="shared" ref="F449:F459" si="58">SUMIF($B$20:$B$321,B449,$K$20:$K$321)</f>
        <v>0</v>
      </c>
      <c r="G449" s="14"/>
    </row>
    <row r="450" spans="1:7">
      <c r="A450" s="14" t="s">
        <v>608</v>
      </c>
      <c r="B450" s="22" t="s">
        <v>920</v>
      </c>
      <c r="C450" s="22"/>
      <c r="D450" s="22"/>
      <c r="E450" s="22"/>
      <c r="F450" s="24">
        <f t="shared" si="58"/>
        <v>0</v>
      </c>
      <c r="G450" s="14"/>
    </row>
    <row r="451" spans="1:7">
      <c r="A451" s="14" t="s">
        <v>732</v>
      </c>
      <c r="B451" s="22" t="s">
        <v>922</v>
      </c>
      <c r="C451" s="22"/>
      <c r="D451" s="22"/>
      <c r="E451" s="22"/>
      <c r="F451" s="24">
        <f t="shared" si="58"/>
        <v>0</v>
      </c>
      <c r="G451" s="14"/>
    </row>
    <row r="452" spans="1:7">
      <c r="A452" s="14" t="s">
        <v>734</v>
      </c>
      <c r="B452" s="22" t="s">
        <v>924</v>
      </c>
      <c r="C452" s="22"/>
      <c r="D452" s="22"/>
      <c r="E452" s="22"/>
      <c r="F452" s="24">
        <f t="shared" si="58"/>
        <v>0</v>
      </c>
      <c r="G452" s="14"/>
    </row>
    <row r="453" spans="1:7">
      <c r="A453" s="14" t="s">
        <v>736</v>
      </c>
      <c r="B453" s="22" t="s">
        <v>925</v>
      </c>
      <c r="C453" s="22"/>
      <c r="D453" s="22"/>
      <c r="E453" s="22"/>
      <c r="F453" s="24">
        <f t="shared" si="58"/>
        <v>0</v>
      </c>
      <c r="G453" s="14"/>
    </row>
    <row r="454" spans="1:7">
      <c r="A454" s="14" t="s">
        <v>737</v>
      </c>
      <c r="B454" s="22" t="s">
        <v>926</v>
      </c>
      <c r="C454" s="22"/>
      <c r="D454" s="22"/>
      <c r="E454" s="22"/>
      <c r="F454" s="24">
        <f t="shared" si="58"/>
        <v>0</v>
      </c>
      <c r="G454" s="14"/>
    </row>
    <row r="455" spans="1:7">
      <c r="A455" s="14" t="s">
        <v>770</v>
      </c>
      <c r="B455" s="22" t="s">
        <v>929</v>
      </c>
      <c r="C455" s="22"/>
      <c r="D455" s="22"/>
      <c r="E455" s="22"/>
      <c r="F455" s="24">
        <f t="shared" si="58"/>
        <v>0</v>
      </c>
      <c r="G455" s="14"/>
    </row>
    <row r="456" spans="1:7">
      <c r="A456" s="14" t="s">
        <v>771</v>
      </c>
      <c r="B456" s="22" t="s">
        <v>930</v>
      </c>
      <c r="C456" s="22"/>
      <c r="D456" s="22"/>
      <c r="E456" s="22"/>
      <c r="F456" s="24">
        <f t="shared" si="58"/>
        <v>0</v>
      </c>
      <c r="G456" s="14"/>
    </row>
    <row r="457" spans="1:7">
      <c r="A457" s="14" t="s">
        <v>751</v>
      </c>
      <c r="B457" s="22" t="s">
        <v>927</v>
      </c>
      <c r="C457" s="22"/>
      <c r="D457" s="22"/>
      <c r="E457" s="22"/>
      <c r="F457" s="24">
        <f t="shared" si="58"/>
        <v>0</v>
      </c>
      <c r="G457" s="14"/>
    </row>
    <row r="458" spans="1:7">
      <c r="A458" s="14" t="s">
        <v>773</v>
      </c>
      <c r="B458" s="22" t="s">
        <v>931</v>
      </c>
      <c r="C458" s="22"/>
      <c r="D458" s="22"/>
      <c r="E458" s="22"/>
      <c r="F458" s="24">
        <f t="shared" si="58"/>
        <v>0</v>
      </c>
      <c r="G458" s="14"/>
    </row>
    <row r="459" spans="1:7">
      <c r="A459" s="14" t="s">
        <v>776</v>
      </c>
      <c r="B459" s="22" t="s">
        <v>932</v>
      </c>
      <c r="C459" s="22"/>
      <c r="D459" s="22"/>
      <c r="E459" s="22"/>
      <c r="F459" s="24">
        <f t="shared" si="58"/>
        <v>0</v>
      </c>
      <c r="G459" s="14"/>
    </row>
    <row r="460" spans="1:7">
      <c r="A460" s="14"/>
      <c r="B460" s="22"/>
      <c r="C460" s="22"/>
      <c r="D460" s="22"/>
      <c r="E460" s="22"/>
      <c r="F460" s="14"/>
      <c r="G460" s="14"/>
    </row>
    <row r="461" spans="1:7">
      <c r="A461" s="29" t="s">
        <v>936</v>
      </c>
      <c r="B461" s="22"/>
      <c r="C461" s="22"/>
      <c r="D461" s="22"/>
      <c r="E461" s="22"/>
      <c r="F461" s="14"/>
      <c r="G461" s="14"/>
    </row>
    <row r="462" spans="1:7">
      <c r="A462" s="26" t="s">
        <v>909</v>
      </c>
      <c r="B462" s="22"/>
      <c r="C462" s="22"/>
      <c r="D462" s="22"/>
      <c r="E462" s="22"/>
      <c r="F462" s="14"/>
      <c r="G462" s="14"/>
    </row>
    <row r="463" spans="1:7">
      <c r="A463" s="14" t="s">
        <v>259</v>
      </c>
      <c r="B463" s="22" t="s">
        <v>260</v>
      </c>
      <c r="C463" s="22"/>
      <c r="D463" s="22"/>
      <c r="E463" s="22"/>
      <c r="F463" s="24">
        <f>SUMIF($B$20:$B$321,B463,$K$20:$K$321)</f>
        <v>0</v>
      </c>
      <c r="G463" s="14"/>
    </row>
    <row r="464" spans="1:7">
      <c r="A464" s="14"/>
      <c r="B464" s="22"/>
      <c r="C464" s="22"/>
      <c r="D464" s="22"/>
      <c r="E464" s="22"/>
      <c r="F464" s="14"/>
      <c r="G464" s="14"/>
    </row>
    <row r="465" spans="1:7">
      <c r="A465" s="26" t="s">
        <v>916</v>
      </c>
      <c r="B465" s="22"/>
      <c r="C465" s="22"/>
      <c r="D465" s="22"/>
      <c r="E465" s="22"/>
      <c r="F465" s="14"/>
      <c r="G465" s="14"/>
    </row>
    <row r="466" spans="1:7">
      <c r="A466" s="14" t="s">
        <v>234</v>
      </c>
      <c r="B466" s="22" t="s">
        <v>227</v>
      </c>
      <c r="C466" s="22"/>
      <c r="D466" s="22"/>
      <c r="E466" s="22"/>
      <c r="F466" s="24">
        <f t="shared" ref="F466:F497" si="59">SUMIF($B$20:$B$321,B466,$K$20:$K$321)</f>
        <v>1398798.575</v>
      </c>
      <c r="G466" s="14"/>
    </row>
    <row r="467" spans="1:7">
      <c r="A467" s="14" t="s">
        <v>240</v>
      </c>
      <c r="B467" s="22" t="s">
        <v>241</v>
      </c>
      <c r="C467" s="22"/>
      <c r="D467" s="22"/>
      <c r="E467" s="22"/>
      <c r="F467" s="24">
        <f t="shared" si="59"/>
        <v>2500</v>
      </c>
      <c r="G467" s="14"/>
    </row>
    <row r="468" spans="1:7">
      <c r="A468" s="14" t="s">
        <v>243</v>
      </c>
      <c r="B468" s="22" t="s">
        <v>244</v>
      </c>
      <c r="C468" s="22"/>
      <c r="D468" s="22"/>
      <c r="E468" s="22"/>
      <c r="F468" s="24">
        <f t="shared" si="59"/>
        <v>35000</v>
      </c>
      <c r="G468" s="14"/>
    </row>
    <row r="469" spans="1:7">
      <c r="A469" s="14" t="s">
        <v>248</v>
      </c>
      <c r="B469" s="22" t="s">
        <v>249</v>
      </c>
      <c r="C469" s="22"/>
      <c r="D469" s="22"/>
      <c r="E469" s="22"/>
      <c r="F469" s="24">
        <f t="shared" si="59"/>
        <v>7500</v>
      </c>
      <c r="G469" s="14"/>
    </row>
    <row r="470" spans="1:7">
      <c r="A470" s="14" t="s">
        <v>256</v>
      </c>
      <c r="B470" s="22" t="s">
        <v>257</v>
      </c>
      <c r="C470" s="22"/>
      <c r="D470" s="22"/>
      <c r="E470" s="22"/>
      <c r="F470" s="24">
        <f t="shared" si="59"/>
        <v>70606.233062330633</v>
      </c>
      <c r="G470" s="14"/>
    </row>
    <row r="471" spans="1:7">
      <c r="A471" s="14" t="s">
        <v>279</v>
      </c>
      <c r="B471" s="22" t="s">
        <v>280</v>
      </c>
      <c r="C471" s="22"/>
      <c r="D471" s="22"/>
      <c r="E471" s="22"/>
      <c r="F471" s="24">
        <f t="shared" si="59"/>
        <v>40000</v>
      </c>
      <c r="G471" s="14"/>
    </row>
    <row r="472" spans="1:7">
      <c r="A472" s="14" t="s">
        <v>937</v>
      </c>
      <c r="B472" s="22" t="s">
        <v>282</v>
      </c>
      <c r="C472" s="22"/>
      <c r="D472" s="22"/>
      <c r="E472" s="22"/>
      <c r="F472" s="24">
        <f t="shared" si="59"/>
        <v>15000</v>
      </c>
      <c r="G472" s="14"/>
    </row>
    <row r="473" spans="1:7">
      <c r="A473" s="14" t="s">
        <v>294</v>
      </c>
      <c r="B473" s="22" t="s">
        <v>295</v>
      </c>
      <c r="C473" s="22"/>
      <c r="D473" s="22"/>
      <c r="E473" s="22"/>
      <c r="F473" s="24">
        <f t="shared" si="59"/>
        <v>0</v>
      </c>
      <c r="G473" s="14"/>
    </row>
    <row r="474" spans="1:7">
      <c r="A474" s="14" t="s">
        <v>296</v>
      </c>
      <c r="B474" s="22" t="s">
        <v>297</v>
      </c>
      <c r="C474" s="22"/>
      <c r="D474" s="22"/>
      <c r="E474" s="22"/>
      <c r="F474" s="24">
        <f t="shared" si="59"/>
        <v>2000</v>
      </c>
      <c r="G474" s="14"/>
    </row>
    <row r="475" spans="1:7">
      <c r="A475" s="14" t="s">
        <v>315</v>
      </c>
      <c r="B475" s="22" t="s">
        <v>316</v>
      </c>
      <c r="C475" s="22"/>
      <c r="D475" s="22"/>
      <c r="E475" s="22"/>
      <c r="F475" s="24">
        <f t="shared" si="59"/>
        <v>15000</v>
      </c>
      <c r="G475" s="14"/>
    </row>
    <row r="476" spans="1:7">
      <c r="A476" s="14" t="s">
        <v>317</v>
      </c>
      <c r="B476" s="22" t="s">
        <v>318</v>
      </c>
      <c r="C476" s="22"/>
      <c r="D476" s="22"/>
      <c r="E476" s="22"/>
      <c r="F476" s="24">
        <f t="shared" si="59"/>
        <v>20000</v>
      </c>
      <c r="G476" s="14"/>
    </row>
    <row r="477" spans="1:7">
      <c r="A477" s="14" t="s">
        <v>319</v>
      </c>
      <c r="B477" s="22" t="s">
        <v>320</v>
      </c>
      <c r="C477" s="22"/>
      <c r="D477" s="22"/>
      <c r="E477" s="22"/>
      <c r="F477" s="24">
        <f t="shared" si="59"/>
        <v>0</v>
      </c>
      <c r="G477" s="14"/>
    </row>
    <row r="478" spans="1:7">
      <c r="A478" s="14" t="s">
        <v>321</v>
      </c>
      <c r="B478" s="22" t="s">
        <v>322</v>
      </c>
      <c r="C478" s="22"/>
      <c r="D478" s="22"/>
      <c r="E478" s="22"/>
      <c r="F478" s="24">
        <f t="shared" si="59"/>
        <v>0</v>
      </c>
      <c r="G478" s="14"/>
    </row>
    <row r="479" spans="1:7">
      <c r="A479" s="14" t="s">
        <v>331</v>
      </c>
      <c r="B479" s="22" t="s">
        <v>332</v>
      </c>
      <c r="C479" s="22"/>
      <c r="D479" s="22"/>
      <c r="E479" s="22"/>
      <c r="F479" s="24">
        <f t="shared" si="59"/>
        <v>9600</v>
      </c>
      <c r="G479" s="14"/>
    </row>
    <row r="480" spans="1:7">
      <c r="A480" s="14" t="s">
        <v>344</v>
      </c>
      <c r="B480" s="22" t="s">
        <v>345</v>
      </c>
      <c r="C480" s="22"/>
      <c r="D480" s="22"/>
      <c r="E480" s="22"/>
      <c r="F480" s="24">
        <f t="shared" si="59"/>
        <v>15000</v>
      </c>
      <c r="G480" s="14"/>
    </row>
    <row r="481" spans="1:7">
      <c r="A481" s="14" t="s">
        <v>346</v>
      </c>
      <c r="B481" s="22" t="s">
        <v>345</v>
      </c>
      <c r="C481" s="22"/>
      <c r="D481" s="22"/>
      <c r="E481" s="22"/>
      <c r="F481" s="24">
        <f t="shared" si="59"/>
        <v>15000</v>
      </c>
      <c r="G481" s="14"/>
    </row>
    <row r="482" spans="1:7">
      <c r="A482" s="14" t="s">
        <v>378</v>
      </c>
      <c r="B482" s="22" t="s">
        <v>379</v>
      </c>
      <c r="C482" s="22"/>
      <c r="D482" s="22"/>
      <c r="E482" s="22"/>
      <c r="F482" s="24">
        <f t="shared" si="59"/>
        <v>0</v>
      </c>
      <c r="G482" s="14"/>
    </row>
    <row r="483" spans="1:7">
      <c r="A483" s="14" t="s">
        <v>380</v>
      </c>
      <c r="B483" s="22" t="s">
        <v>381</v>
      </c>
      <c r="C483" s="22"/>
      <c r="D483" s="22"/>
      <c r="E483" s="22"/>
      <c r="F483" s="24">
        <f t="shared" si="59"/>
        <v>0</v>
      </c>
      <c r="G483" s="14"/>
    </row>
    <row r="484" spans="1:7">
      <c r="A484" s="14" t="s">
        <v>407</v>
      </c>
      <c r="B484" s="22" t="s">
        <v>406</v>
      </c>
      <c r="C484" s="22"/>
      <c r="D484" s="22"/>
      <c r="E484" s="22"/>
      <c r="F484" s="24">
        <f t="shared" si="59"/>
        <v>1121530.0000000002</v>
      </c>
      <c r="G484" s="14"/>
    </row>
    <row r="485" spans="1:7">
      <c r="A485" s="14" t="s">
        <v>412</v>
      </c>
      <c r="B485" s="22" t="s">
        <v>406</v>
      </c>
      <c r="C485" s="22"/>
      <c r="D485" s="22"/>
      <c r="E485" s="22"/>
      <c r="F485" s="24">
        <f t="shared" si="59"/>
        <v>1121530.0000000002</v>
      </c>
      <c r="G485" s="14"/>
    </row>
    <row r="486" spans="1:7">
      <c r="A486" s="14" t="s">
        <v>938</v>
      </c>
      <c r="B486" s="22" t="s">
        <v>406</v>
      </c>
      <c r="C486" s="22"/>
      <c r="D486" s="22"/>
      <c r="E486" s="22"/>
      <c r="F486" s="24">
        <f t="shared" si="59"/>
        <v>1121530.0000000002</v>
      </c>
      <c r="G486" s="14"/>
    </row>
    <row r="487" spans="1:7">
      <c r="A487" s="14" t="s">
        <v>471</v>
      </c>
      <c r="B487" s="22" t="s">
        <v>472</v>
      </c>
      <c r="C487" s="22"/>
      <c r="D487" s="22"/>
      <c r="E487" s="22"/>
      <c r="F487" s="24">
        <f t="shared" si="59"/>
        <v>82680</v>
      </c>
      <c r="G487" s="14"/>
    </row>
    <row r="488" spans="1:7">
      <c r="A488" s="14" t="s">
        <v>489</v>
      </c>
      <c r="B488" s="22" t="s">
        <v>490</v>
      </c>
      <c r="C488" s="22"/>
      <c r="D488" s="22"/>
      <c r="E488" s="22"/>
      <c r="F488" s="24">
        <f t="shared" si="59"/>
        <v>3500</v>
      </c>
      <c r="G488" s="14"/>
    </row>
    <row r="489" spans="1:7">
      <c r="A489" s="14" t="s">
        <v>491</v>
      </c>
      <c r="B489" s="22" t="s">
        <v>492</v>
      </c>
      <c r="C489" s="22"/>
      <c r="D489" s="22"/>
      <c r="E489" s="22"/>
      <c r="F489" s="24">
        <f t="shared" si="59"/>
        <v>26880</v>
      </c>
      <c r="G489" s="14"/>
    </row>
    <row r="490" spans="1:7">
      <c r="A490" s="14" t="s">
        <v>531</v>
      </c>
      <c r="B490" s="22" t="s">
        <v>532</v>
      </c>
      <c r="C490" s="22"/>
      <c r="D490" s="22"/>
      <c r="E490" s="22"/>
      <c r="F490" s="24">
        <f t="shared" si="59"/>
        <v>48000</v>
      </c>
      <c r="G490" s="14"/>
    </row>
    <row r="491" spans="1:7">
      <c r="A491" s="14" t="s">
        <v>536</v>
      </c>
      <c r="B491" s="22" t="s">
        <v>537</v>
      </c>
      <c r="C491" s="22"/>
      <c r="D491" s="22"/>
      <c r="E491" s="22"/>
      <c r="F491" s="24">
        <f t="shared" si="59"/>
        <v>253813.33333333334</v>
      </c>
      <c r="G491" s="14"/>
    </row>
    <row r="492" spans="1:7">
      <c r="A492" s="14" t="s">
        <v>172</v>
      </c>
      <c r="B492" s="22" t="s">
        <v>539</v>
      </c>
      <c r="C492" s="22"/>
      <c r="D492" s="22"/>
      <c r="E492" s="22"/>
      <c r="F492" s="24">
        <f t="shared" si="59"/>
        <v>843750</v>
      </c>
      <c r="G492" s="14"/>
    </row>
    <row r="493" spans="1:7">
      <c r="A493" s="14" t="s">
        <v>541</v>
      </c>
      <c r="B493" s="22" t="s">
        <v>542</v>
      </c>
      <c r="C493" s="22"/>
      <c r="D493" s="22"/>
      <c r="E493" s="22"/>
      <c r="F493" s="24">
        <f t="shared" si="59"/>
        <v>6000</v>
      </c>
      <c r="G493" s="14"/>
    </row>
    <row r="494" spans="1:7">
      <c r="A494" s="14" t="s">
        <v>553</v>
      </c>
      <c r="B494" s="22" t="s">
        <v>554</v>
      </c>
      <c r="C494" s="22"/>
      <c r="D494" s="22"/>
      <c r="E494" s="22"/>
      <c r="F494" s="24">
        <f t="shared" si="59"/>
        <v>13000</v>
      </c>
      <c r="G494" s="14"/>
    </row>
    <row r="495" spans="1:7">
      <c r="A495" s="14" t="s">
        <v>572</v>
      </c>
      <c r="B495" s="22" t="s">
        <v>573</v>
      </c>
      <c r="C495" s="22"/>
      <c r="D495" s="22"/>
      <c r="E495" s="22"/>
      <c r="F495" s="24">
        <f t="shared" si="59"/>
        <v>20000</v>
      </c>
      <c r="G495" s="14"/>
    </row>
    <row r="496" spans="1:7">
      <c r="A496" s="14" t="s">
        <v>575</v>
      </c>
      <c r="B496" s="22" t="s">
        <v>576</v>
      </c>
      <c r="C496" s="22"/>
      <c r="D496" s="22"/>
      <c r="E496" s="22"/>
      <c r="F496" s="24">
        <f t="shared" si="59"/>
        <v>6000</v>
      </c>
      <c r="G496" s="14"/>
    </row>
    <row r="497" spans="1:7">
      <c r="A497" s="14" t="s">
        <v>601</v>
      </c>
      <c r="B497" s="22" t="s">
        <v>591</v>
      </c>
      <c r="C497" s="22"/>
      <c r="D497" s="22"/>
      <c r="E497" s="22"/>
      <c r="F497" s="24">
        <f t="shared" si="59"/>
        <v>4886489.666666666</v>
      </c>
      <c r="G497" s="14"/>
    </row>
    <row r="498" spans="1:7">
      <c r="A498" s="14" t="s">
        <v>604</v>
      </c>
      <c r="B498" s="22" t="s">
        <v>595</v>
      </c>
      <c r="C498" s="22"/>
      <c r="D498" s="22"/>
      <c r="E498" s="22"/>
      <c r="F498" s="24">
        <f t="shared" ref="F498:F515" si="60">SUMIF($B$20:$B$321,B498,$K$20:$K$321)</f>
        <v>273000</v>
      </c>
      <c r="G498" s="14"/>
    </row>
    <row r="499" spans="1:7">
      <c r="A499" s="14" t="s">
        <v>605</v>
      </c>
      <c r="B499" s="22" t="s">
        <v>591</v>
      </c>
      <c r="C499" s="22"/>
      <c r="D499" s="22"/>
      <c r="E499" s="22"/>
      <c r="F499" s="24">
        <f t="shared" si="60"/>
        <v>4886489.666666666</v>
      </c>
      <c r="G499" s="14"/>
    </row>
    <row r="500" spans="1:7">
      <c r="A500" s="14" t="s">
        <v>606</v>
      </c>
      <c r="B500" s="22" t="s">
        <v>607</v>
      </c>
      <c r="C500" s="22"/>
      <c r="D500" s="22"/>
      <c r="E500" s="22"/>
      <c r="F500" s="24">
        <f t="shared" si="60"/>
        <v>7500</v>
      </c>
      <c r="G500" s="14"/>
    </row>
    <row r="501" spans="1:7">
      <c r="A501" s="14" t="s">
        <v>619</v>
      </c>
      <c r="B501" s="22" t="s">
        <v>620</v>
      </c>
      <c r="C501" s="22"/>
      <c r="D501" s="22"/>
      <c r="E501" s="22"/>
      <c r="F501" s="24">
        <f t="shared" si="60"/>
        <v>50000</v>
      </c>
      <c r="G501" s="14"/>
    </row>
    <row r="502" spans="1:7">
      <c r="A502" s="14" t="s">
        <v>621</v>
      </c>
      <c r="B502" s="22" t="s">
        <v>622</v>
      </c>
      <c r="C502" s="22"/>
      <c r="D502" s="22"/>
      <c r="E502" s="22"/>
      <c r="F502" s="24">
        <f t="shared" si="60"/>
        <v>20000</v>
      </c>
      <c r="G502" s="14"/>
    </row>
    <row r="503" spans="1:7">
      <c r="A503" s="14" t="s">
        <v>623</v>
      </c>
      <c r="B503" s="22" t="s">
        <v>624</v>
      </c>
      <c r="C503" s="22"/>
      <c r="D503" s="22"/>
      <c r="E503" s="22"/>
      <c r="F503" s="24">
        <f t="shared" si="60"/>
        <v>2500</v>
      </c>
      <c r="G503" s="14"/>
    </row>
    <row r="504" spans="1:7">
      <c r="A504" s="14" t="s">
        <v>625</v>
      </c>
      <c r="B504" s="22" t="s">
        <v>591</v>
      </c>
      <c r="C504" s="22"/>
      <c r="D504" s="22"/>
      <c r="E504" s="22"/>
      <c r="F504" s="24">
        <f t="shared" si="60"/>
        <v>4886489.666666666</v>
      </c>
      <c r="G504" s="14"/>
    </row>
    <row r="505" spans="1:7">
      <c r="A505" s="14" t="s">
        <v>626</v>
      </c>
      <c r="B505" s="22" t="s">
        <v>595</v>
      </c>
      <c r="C505" s="22"/>
      <c r="D505" s="22"/>
      <c r="E505" s="22"/>
      <c r="F505" s="24">
        <f t="shared" si="60"/>
        <v>273000</v>
      </c>
      <c r="G505" s="14"/>
    </row>
    <row r="506" spans="1:7">
      <c r="A506" s="14" t="s">
        <v>679</v>
      </c>
      <c r="B506" s="22" t="s">
        <v>680</v>
      </c>
      <c r="C506" s="22"/>
      <c r="D506" s="22"/>
      <c r="E506" s="22"/>
      <c r="F506" s="24">
        <f t="shared" si="60"/>
        <v>46380</v>
      </c>
      <c r="G506" s="14"/>
    </row>
    <row r="507" spans="1:7">
      <c r="A507" s="14" t="s">
        <v>689</v>
      </c>
      <c r="B507" s="22" t="s">
        <v>690</v>
      </c>
      <c r="C507" s="22"/>
      <c r="D507" s="22"/>
      <c r="E507" s="22"/>
      <c r="F507" s="24">
        <f t="shared" si="60"/>
        <v>10000</v>
      </c>
      <c r="G507" s="14"/>
    </row>
    <row r="508" spans="1:7">
      <c r="A508" s="14" t="s">
        <v>161</v>
      </c>
      <c r="B508" s="22" t="s">
        <v>703</v>
      </c>
      <c r="C508" s="22"/>
      <c r="D508" s="22"/>
      <c r="E508" s="22"/>
      <c r="F508" s="24">
        <f t="shared" si="60"/>
        <v>29400</v>
      </c>
      <c r="G508" s="14"/>
    </row>
    <row r="509" spans="1:7">
      <c r="A509" s="14" t="s">
        <v>722</v>
      </c>
      <c r="B509" s="22" t="s">
        <v>723</v>
      </c>
      <c r="C509" s="22"/>
      <c r="D509" s="22"/>
      <c r="E509" s="22"/>
      <c r="F509" s="24">
        <f t="shared" si="60"/>
        <v>75000</v>
      </c>
      <c r="G509" s="14"/>
    </row>
    <row r="510" spans="1:7">
      <c r="A510" s="14" t="s">
        <v>827</v>
      </c>
      <c r="B510" s="22" t="s">
        <v>828</v>
      </c>
      <c r="C510" s="22"/>
      <c r="D510" s="22"/>
      <c r="E510" s="22"/>
      <c r="F510" s="24">
        <f t="shared" si="60"/>
        <v>20000</v>
      </c>
      <c r="G510" s="14"/>
    </row>
    <row r="511" spans="1:7">
      <c r="A511" s="14" t="s">
        <v>829</v>
      </c>
      <c r="B511" s="22" t="s">
        <v>830</v>
      </c>
      <c r="C511" s="22"/>
      <c r="D511" s="22"/>
      <c r="E511" s="22"/>
      <c r="F511" s="24">
        <f t="shared" si="60"/>
        <v>20000</v>
      </c>
      <c r="G511" s="14"/>
    </row>
    <row r="512" spans="1:7">
      <c r="A512" s="14" t="s">
        <v>831</v>
      </c>
      <c r="B512" s="22" t="s">
        <v>832</v>
      </c>
      <c r="C512" s="22"/>
      <c r="D512" s="22"/>
      <c r="E512" s="22"/>
      <c r="F512" s="24">
        <f t="shared" si="60"/>
        <v>94648</v>
      </c>
      <c r="G512" s="14"/>
    </row>
    <row r="513" spans="1:7">
      <c r="A513" s="14" t="s">
        <v>939</v>
      </c>
      <c r="B513" s="22" t="s">
        <v>834</v>
      </c>
      <c r="C513" s="22"/>
      <c r="D513" s="22"/>
      <c r="E513" s="22"/>
      <c r="F513" s="24">
        <f t="shared" si="60"/>
        <v>25000</v>
      </c>
      <c r="G513" s="14"/>
    </row>
    <row r="514" spans="1:7">
      <c r="A514" s="14" t="s">
        <v>846</v>
      </c>
      <c r="B514" s="22" t="s">
        <v>630</v>
      </c>
      <c r="C514" s="22"/>
      <c r="D514" s="22"/>
      <c r="E514" s="22"/>
      <c r="F514" s="24">
        <f t="shared" si="60"/>
        <v>28600</v>
      </c>
      <c r="G514" s="14"/>
    </row>
    <row r="515" spans="1:7">
      <c r="A515" s="14" t="s">
        <v>847</v>
      </c>
      <c r="B515" s="22" t="s">
        <v>848</v>
      </c>
      <c r="C515" s="22"/>
      <c r="D515" s="22"/>
      <c r="E515" s="22"/>
      <c r="F515" s="24">
        <f t="shared" si="60"/>
        <v>2500</v>
      </c>
      <c r="G515" s="14"/>
    </row>
  </sheetData>
  <autoFilter ref="A19:M359" xr:uid="{705B4724-39A6-4B76-8B6A-9DAEE3A59253}"/>
  <mergeCells count="4">
    <mergeCell ref="M156:W156"/>
    <mergeCell ref="M158:Y158"/>
    <mergeCell ref="M73:Y73"/>
    <mergeCell ref="M74:Y74"/>
  </mergeCells>
  <phoneticPr fontId="7" type="noConversion"/>
  <conditionalFormatting sqref="A2:B11 V3:X18 S4:U18 M20:Y64 H21:L21 H23:L23 H34:L34 H40:L40 H50:L50 H64:L64 N67:Y67 M68:Y72 M73 M75:Y82 H78:L78 M84:Y106 H93:L93 M118:Y155 H132:L132 H149:L149 H153:L153 M159:Y163 H162:L162 M165:Y166 H166:L166 M168:Y190 H169:L169 H173:L173 H179:L179 H182:L182 M192:Y319 H199:L199 H203:L203 H208:L208 H218:L218 H256:L256 H274:L274 H276:L276 H280:L280 H290:L290 H293:L293 H308:L308 H310:L310 H312:L312 H316:L316 H319:L319 A320:Y320 A321:L321">
    <cfRule type="expression" dxfId="183" priority="15">
      <formula>MOD(ROW(),2)</formula>
    </cfRule>
  </conditionalFormatting>
  <conditionalFormatting sqref="A13:B17">
    <cfRule type="expression" dxfId="182" priority="19">
      <formula>MOD(ROW(),2)=0</formula>
    </cfRule>
  </conditionalFormatting>
  <conditionalFormatting sqref="A20:K319 H20:H320">
    <cfRule type="expression" dxfId="181" priority="1">
      <formula>MOD(ROW(),2)</formula>
    </cfRule>
  </conditionalFormatting>
  <conditionalFormatting sqref="D3:F7">
    <cfRule type="expression" dxfId="180" priority="33">
      <formula>MOD(ROW(),2)=0</formula>
    </cfRule>
  </conditionalFormatting>
  <conditionalFormatting sqref="D10:F16">
    <cfRule type="expression" dxfId="179" priority="25">
      <formula>MOD(ROW(),2)</formula>
    </cfRule>
  </conditionalFormatting>
  <conditionalFormatting sqref="D15:F15">
    <cfRule type="expression" dxfId="178" priority="32">
      <formula>MOD(ROW(),2)=0</formula>
    </cfRule>
  </conditionalFormatting>
  <conditionalFormatting sqref="E359">
    <cfRule type="cellIs" dxfId="177" priority="27" operator="lessThan">
      <formula>0</formula>
    </cfRule>
    <cfRule type="cellIs" dxfId="176" priority="28" operator="greaterThan">
      <formula>0</formula>
    </cfRule>
  </conditionalFormatting>
  <conditionalFormatting sqref="H3:O7">
    <cfRule type="expression" dxfId="175" priority="16">
      <formula>MOD(ROW(),2)</formula>
    </cfRule>
  </conditionalFormatting>
  <conditionalFormatting sqref="L322:M322">
    <cfRule type="cellIs" dxfId="174" priority="26" operator="lessThan">
      <formula>0</formula>
    </cfRule>
    <cfRule type="cellIs" dxfId="173" priority="30" operator="greaterThan">
      <formula>0</formula>
    </cfRule>
  </conditionalFormatting>
  <conditionalFormatting sqref="M65:M67 M83 M107 M108:Y113 M114 M115:Y116 M117 M156 M157:Y157 M158 M164 M167 M191">
    <cfRule type="expression" dxfId="172" priority="21">
      <formula>MOD(ROW(),2)</formula>
    </cfRule>
  </conditionalFormatting>
  <conditionalFormatting sqref="P5:R18">
    <cfRule type="expression" dxfId="171" priority="20">
      <formula>MOD(ROW(),2)</formula>
    </cfRule>
  </conditionalFormatting>
  <conditionalFormatting sqref="P1:X3">
    <cfRule type="expression" dxfId="170" priority="31">
      <formula>MOD(ROW(),2)</formula>
    </cfRule>
  </conditionalFormatting>
  <dataValidations count="2">
    <dataValidation type="list" allowBlank="1" showInputMessage="1" showErrorMessage="1" sqref="B4" xr:uid="{1EB02471-41A2-41E3-8A0E-C3A1FBE3E288}">
      <formula1>"Urban, Market, Senior, Afforable"</formula1>
    </dataValidation>
    <dataValidation type="list" allowBlank="1" showInputMessage="1" showErrorMessage="1" sqref="B3" xr:uid="{B7659A7E-72A0-4EB0-B610-5ECD2AB5ACE7}">
      <formula1>"Level 1, Level 2, Level 3"</formula1>
    </dataValidation>
  </dataValidations>
  <printOptions horizontalCentered="1"/>
  <pageMargins left="0.25" right="0.25" top="0.7" bottom="0.5" header="0.35" footer="0.05"/>
  <pageSetup paperSize="3" scale="50" fitToHeight="0" orientation="landscape" horizontalDpi="1200" verticalDpi="1200" r:id="rId1"/>
  <headerFooter>
    <oddHeader>&amp;R&amp;G</oddHeader>
  </headerFooter>
  <rowBreaks count="4" manualBreakCount="4">
    <brk id="78" max="24" man="1"/>
    <brk id="162" max="24" man="1"/>
    <brk id="218" max="24" man="1"/>
    <brk id="290" max="24"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A200-E36D-48E9-B88E-F55DE8A49CDB}">
  <sheetPr>
    <tabColor theme="6"/>
    <pageSetUpPr fitToPage="1"/>
  </sheetPr>
  <dimension ref="A2:E21"/>
  <sheetViews>
    <sheetView zoomScaleNormal="100" workbookViewId="0">
      <selection activeCell="E18" sqref="E18"/>
    </sheetView>
  </sheetViews>
  <sheetFormatPr defaultRowHeight="14.45"/>
  <cols>
    <col min="1" max="1" width="29.42578125" customWidth="1"/>
    <col min="2" max="4" width="16.42578125" bestFit="1" customWidth="1"/>
    <col min="5" max="5" width="87.140625" bestFit="1" customWidth="1"/>
  </cols>
  <sheetData>
    <row r="2" spans="1:5" ht="15" thickBot="1">
      <c r="A2" s="33" t="s">
        <v>1007</v>
      </c>
      <c r="B2" s="34" t="s">
        <v>38</v>
      </c>
      <c r="C2" s="35" t="s">
        <v>39</v>
      </c>
      <c r="D2" s="34" t="s">
        <v>1008</v>
      </c>
      <c r="E2" s="34" t="s">
        <v>1009</v>
      </c>
    </row>
    <row r="3" spans="1:5">
      <c r="A3" s="986" t="s">
        <v>1010</v>
      </c>
      <c r="B3" s="1102">
        <f>'Level 2 - Transmitted (2)'!K25</f>
        <v>1672098.2750000001</v>
      </c>
      <c r="C3" s="1103">
        <f>'Level 3'!K24</f>
        <v>1381298.575</v>
      </c>
      <c r="D3" s="987">
        <f>B3-C3</f>
        <v>290799.70000000019</v>
      </c>
      <c r="E3" s="993" t="s">
        <v>1011</v>
      </c>
    </row>
    <row r="4" spans="1:5">
      <c r="A4" s="986" t="str">
        <f>'Level 2 - Transmitted (2)'!A45</f>
        <v>Elevator Shaft</v>
      </c>
      <c r="B4" s="1102">
        <f>'Level 2 - Transmitted (2)'!K45</f>
        <v>129600</v>
      </c>
      <c r="C4" s="1103">
        <f>'Level 3'!K35</f>
        <v>168000</v>
      </c>
      <c r="D4" s="987">
        <f>B4-C4</f>
        <v>-38400</v>
      </c>
      <c r="E4" s="994" t="s">
        <v>1012</v>
      </c>
    </row>
    <row r="5" spans="1:5">
      <c r="A5" s="988" t="str">
        <f>'Level 3'!A41</f>
        <v>Structural Steel</v>
      </c>
      <c r="B5" s="1102">
        <f>'Level 2 - Transmitted (2)'!K51</f>
        <v>240254.57560000001</v>
      </c>
      <c r="C5" s="1103">
        <f>'Level 3'!K41</f>
        <v>298082.59999999998</v>
      </c>
      <c r="D5" s="987">
        <f>B5-C5</f>
        <v>-57828.024399999966</v>
      </c>
      <c r="E5" s="994" t="s">
        <v>1013</v>
      </c>
    </row>
    <row r="6" spans="1:5">
      <c r="A6" s="988" t="str">
        <f>'Level 3'!A52</f>
        <v xml:space="preserve">Framing </v>
      </c>
      <c r="B6" s="1102">
        <f>'Comparison to Previous'!K48</f>
        <v>7607430</v>
      </c>
      <c r="C6" s="1103">
        <f>'Comparison to Previous'!R48</f>
        <v>7487665.333333333</v>
      </c>
      <c r="D6" s="987">
        <f>B6-C6</f>
        <v>119764.66666666698</v>
      </c>
      <c r="E6" s="994" t="s">
        <v>1014</v>
      </c>
    </row>
    <row r="7" spans="1:5">
      <c r="A7" s="988" t="str">
        <f>'Comparison to Previous'!A61</f>
        <v xml:space="preserve">Insulation </v>
      </c>
      <c r="B7" s="1102">
        <f>'Comparison to Previous'!K61</f>
        <v>1056587.5</v>
      </c>
      <c r="C7" s="1103">
        <f>'Comparison to Previous'!R61</f>
        <v>1005655</v>
      </c>
      <c r="D7" s="987">
        <f t="shared" ref="D7:D20" si="0">B7-C7</f>
        <v>50932.5</v>
      </c>
      <c r="E7" s="994" t="s">
        <v>1014</v>
      </c>
    </row>
    <row r="8" spans="1:5">
      <c r="A8" s="988" t="str">
        <f>'Level 3'!A117</f>
        <v>Hall Flooring</v>
      </c>
      <c r="B8" s="1102">
        <f>'Comparison to Previous'!K114</f>
        <v>217606.95</v>
      </c>
      <c r="C8" s="1103">
        <f>'Level 3'!K117</f>
        <v>292500</v>
      </c>
      <c r="D8" s="987">
        <f t="shared" si="0"/>
        <v>-74893.049999999988</v>
      </c>
      <c r="E8" s="994" t="s">
        <v>1015</v>
      </c>
    </row>
    <row r="9" spans="1:5">
      <c r="A9" s="988" t="str">
        <f>'Comparison to Previous'!A148</f>
        <v>Appliances - Laundry Room</v>
      </c>
      <c r="B9" s="1102">
        <f>'Comparison to Previous'!K148</f>
        <v>0</v>
      </c>
      <c r="C9" s="1103">
        <f>'Comparison to Previous'!R148</f>
        <v>130000</v>
      </c>
      <c r="D9" s="987">
        <f t="shared" si="0"/>
        <v>-130000</v>
      </c>
      <c r="E9" s="994" t="s">
        <v>1016</v>
      </c>
    </row>
    <row r="10" spans="1:5">
      <c r="A10" s="988" t="str">
        <f>'Comparison to Previous'!A177</f>
        <v>HVAC Standard</v>
      </c>
      <c r="B10" s="1102">
        <f>'Comparison to Previous'!K177</f>
        <v>3851250</v>
      </c>
      <c r="C10" s="1103">
        <f>'Comparison to Previous'!R177</f>
        <v>4117739.4999999995</v>
      </c>
      <c r="D10" s="987">
        <f t="shared" ref="D10:D15" si="1">B10-C10</f>
        <v>-266489.49999999953</v>
      </c>
      <c r="E10" s="994" t="s">
        <v>1017</v>
      </c>
    </row>
    <row r="11" spans="1:5">
      <c r="A11" s="988" t="str">
        <f>'Comparison to Previous'!A180</f>
        <v>Electrical</v>
      </c>
      <c r="B11" s="1102">
        <f>'Comparison to Previous'!K180</f>
        <v>4251708.1000000006</v>
      </c>
      <c r="C11" s="1103">
        <f>'Comparison to Previous'!R180</f>
        <v>4787239.666666666</v>
      </c>
      <c r="D11" s="987">
        <f t="shared" si="1"/>
        <v>-535531.56666666549</v>
      </c>
      <c r="E11" s="994" t="s">
        <v>1017</v>
      </c>
    </row>
    <row r="12" spans="1:5">
      <c r="A12" s="988" t="str">
        <f>'Comparison to Previous'!A211</f>
        <v>Mass Grading</v>
      </c>
      <c r="B12" s="1102">
        <f>'Comparison to Previous'!K211</f>
        <v>876756</v>
      </c>
      <c r="C12" s="1103">
        <f>'Comparison to Previous'!R211</f>
        <v>572075</v>
      </c>
      <c r="D12" s="987">
        <f t="shared" si="1"/>
        <v>304681</v>
      </c>
      <c r="E12" s="994"/>
    </row>
    <row r="13" spans="1:5">
      <c r="A13" s="988" t="str">
        <f>'Comparison to Previous'!A236</f>
        <v>Entry Security Gates</v>
      </c>
      <c r="B13" s="1102">
        <f>'Comparison to Previous'!K236</f>
        <v>192000</v>
      </c>
      <c r="C13" s="1103">
        <f>'Comparison to Previous'!R236</f>
        <v>100000</v>
      </c>
      <c r="D13" s="987">
        <f t="shared" si="1"/>
        <v>92000</v>
      </c>
      <c r="E13" s="994"/>
    </row>
    <row r="14" spans="1:5">
      <c r="A14" s="988" t="str">
        <f>'Comparison to Previous'!A246</f>
        <v>Site Landscaping</v>
      </c>
      <c r="B14" s="1102">
        <f>'Comparison to Previous'!K246</f>
        <v>3662724.7691999995</v>
      </c>
      <c r="C14" s="1103">
        <f>'Comparison to Previous'!R246</f>
        <v>2289198.3333333335</v>
      </c>
      <c r="D14" s="987">
        <f t="shared" si="1"/>
        <v>1373526.435866666</v>
      </c>
      <c r="E14" s="994"/>
    </row>
    <row r="15" spans="1:5">
      <c r="A15" s="988" t="str">
        <f>'Comparison to Previous'!A250</f>
        <v>Offsite Paving</v>
      </c>
      <c r="B15" s="1102">
        <f>'Comparison to Previous'!K250</f>
        <v>795028.78</v>
      </c>
      <c r="C15" s="1103">
        <f>'Level 3'!H252</f>
        <v>1006389.799</v>
      </c>
      <c r="D15" s="987">
        <f t="shared" si="1"/>
        <v>-211361.01899999997</v>
      </c>
      <c r="E15" s="994"/>
    </row>
    <row r="16" spans="1:5">
      <c r="A16" s="988" t="str">
        <f>'Comparison to Previous'!A267</f>
        <v>Off Site Water</v>
      </c>
      <c r="B16" s="1102">
        <f>'Comparison to Previous'!K267</f>
        <v>2362698.4</v>
      </c>
      <c r="C16" s="1103">
        <f>'Comparison to Previous'!R267</f>
        <v>1635293.2857142854</v>
      </c>
      <c r="D16" s="987">
        <f t="shared" si="0"/>
        <v>727405.11428571446</v>
      </c>
      <c r="E16" s="987"/>
    </row>
    <row r="17" spans="1:5">
      <c r="A17" s="988" t="str">
        <f>'Comparison to Previous'!A268</f>
        <v>Off Site Sewer</v>
      </c>
      <c r="B17" s="1102">
        <f>'Comparison to Previous'!K268</f>
        <v>1073770.8499999999</v>
      </c>
      <c r="C17" s="1103">
        <f>'Comparison to Previous'!R268</f>
        <v>436684.17999999993</v>
      </c>
      <c r="D17" s="987">
        <f t="shared" ref="D17:D18" si="2">B17-C17</f>
        <v>637086.66999999993</v>
      </c>
      <c r="E17" s="987"/>
    </row>
    <row r="18" spans="1:5">
      <c r="A18" s="988" t="str">
        <f>'Comparison to Previous'!A274</f>
        <v>Solar PV System</v>
      </c>
      <c r="B18" s="1102">
        <f>'Comparison to Previous'!K274</f>
        <v>399750</v>
      </c>
      <c r="C18" s="1103">
        <f>'Comparison to Previous'!R274</f>
        <v>1567975.85</v>
      </c>
      <c r="D18" s="987">
        <f t="shared" si="2"/>
        <v>-1168225.8500000001</v>
      </c>
      <c r="E18" s="987"/>
    </row>
    <row r="19" spans="1:5">
      <c r="A19" s="988" t="str">
        <f>'Comparison to Previous'!A289</f>
        <v>Bid Risk</v>
      </c>
      <c r="B19" s="1102">
        <f>'Comparison to Previous'!K289</f>
        <v>1254667.1409720625</v>
      </c>
      <c r="C19" s="1103">
        <f>'Comparison to Previous'!R289</f>
        <v>632953.90666965954</v>
      </c>
      <c r="D19" s="1103">
        <f>B19-C19</f>
        <v>621713.23430240294</v>
      </c>
      <c r="E19" s="987"/>
    </row>
    <row r="20" spans="1:5">
      <c r="A20" s="990"/>
      <c r="B20" s="1104"/>
      <c r="C20" s="1105"/>
      <c r="D20" s="991">
        <f t="shared" si="0"/>
        <v>0</v>
      </c>
      <c r="E20" s="991"/>
    </row>
    <row r="21" spans="1:5">
      <c r="A21" s="487" t="s">
        <v>119</v>
      </c>
      <c r="B21" s="487"/>
      <c r="C21" s="487"/>
      <c r="D21" s="992">
        <f>SUM(D3:D20)</f>
        <v>1735180.3110547853</v>
      </c>
      <c r="E21" s="487"/>
    </row>
  </sheetData>
  <pageMargins left="0.7" right="0.7" top="0.75" bottom="0.75" header="0.3" footer="0.3"/>
  <pageSetup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E7B2-2937-4506-BB83-843DC5B18DF5}">
  <dimension ref="A1:AI319"/>
  <sheetViews>
    <sheetView topLeftCell="A246" zoomScale="70" zoomScaleNormal="70" workbookViewId="0">
      <selection activeCell="T286" sqref="T286"/>
    </sheetView>
  </sheetViews>
  <sheetFormatPr defaultColWidth="9.140625" defaultRowHeight="14.45" outlineLevelRow="1"/>
  <cols>
    <col min="1" max="1" width="44.5703125" style="55" customWidth="1"/>
    <col min="2" max="2" width="1.5703125" style="55" customWidth="1"/>
    <col min="3" max="4" width="25.5703125" style="55" hidden="1" customWidth="1"/>
    <col min="5" max="5" width="1.5703125" style="55" hidden="1" customWidth="1"/>
    <col min="6" max="6" width="20.28515625" style="55" hidden="1" customWidth="1"/>
    <col min="7" max="7" width="16.42578125" style="55" hidden="1" customWidth="1"/>
    <col min="8" max="8" width="15.7109375" style="190" hidden="1" customWidth="1"/>
    <col min="9" max="9" width="19.140625" style="190" hidden="1" customWidth="1"/>
    <col min="10" max="10" width="1.5703125" style="55" customWidth="1"/>
    <col min="11" max="11" width="23.7109375" style="55" customWidth="1"/>
    <col min="12" max="12" width="27.85546875" style="55" customWidth="1"/>
    <col min="13" max="13" width="0.7109375" style="55" hidden="1" customWidth="1"/>
    <col min="14" max="14" width="15.7109375" style="190" hidden="1" customWidth="1"/>
    <col min="15" max="15" width="0.7109375" style="55" hidden="1" customWidth="1"/>
    <col min="16" max="16" width="16.5703125" style="190" hidden="1" customWidth="1"/>
    <col min="17" max="17" width="1.5703125" style="55" customWidth="1"/>
    <col min="18" max="18" width="20.140625" style="55" customWidth="1"/>
    <col min="19" max="19" width="15.85546875" style="55" bestFit="1" customWidth="1"/>
    <col min="20" max="20" width="17.7109375" style="55" bestFit="1" customWidth="1"/>
    <col min="21" max="21" width="21.42578125" style="55" customWidth="1"/>
    <col min="22" max="22" width="88.140625" style="55" customWidth="1"/>
    <col min="23" max="23" width="42.85546875" style="55" customWidth="1"/>
    <col min="24" max="24" width="8.7109375" style="55" bestFit="1" customWidth="1"/>
    <col min="25" max="25" width="11.140625" style="55" bestFit="1" customWidth="1"/>
    <col min="26" max="26" width="9.140625" style="55" bestFit="1" customWidth="1"/>
    <col min="27" max="27" width="16.42578125" style="55" bestFit="1" customWidth="1"/>
    <col min="28" max="28" width="6" style="55" bestFit="1" customWidth="1"/>
    <col min="29" max="30" width="11.42578125" style="55" customWidth="1"/>
    <col min="31" max="32" width="17.7109375" style="55" customWidth="1"/>
    <col min="33" max="33" width="16.42578125" style="55" bestFit="1" customWidth="1"/>
    <col min="34" max="34" width="9.140625" style="55"/>
    <col min="35" max="35" width="13.140625" style="55" bestFit="1" customWidth="1"/>
    <col min="36" max="16384" width="9.140625" style="55"/>
  </cols>
  <sheetData>
    <row r="1" spans="1:35" ht="27.75" customHeight="1">
      <c r="A1" s="593" t="s">
        <v>1018</v>
      </c>
      <c r="C1" s="600" t="s">
        <v>37</v>
      </c>
      <c r="D1" s="363"/>
      <c r="F1" s="698" t="s">
        <v>1019</v>
      </c>
      <c r="G1" s="699"/>
      <c r="H1" s="699"/>
      <c r="I1" s="699"/>
      <c r="K1" s="610" t="s">
        <v>38</v>
      </c>
      <c r="L1" s="598"/>
      <c r="M1" s="598"/>
      <c r="N1" s="598"/>
      <c r="O1" s="598"/>
      <c r="P1" s="598"/>
      <c r="R1" s="610" t="s">
        <v>39</v>
      </c>
      <c r="S1" s="598"/>
      <c r="T1" s="598"/>
      <c r="U1" s="598"/>
    </row>
    <row r="2" spans="1:35" ht="15.75" customHeight="1">
      <c r="A2" s="453"/>
      <c r="C2" s="601"/>
      <c r="D2" s="602"/>
      <c r="F2" s="95"/>
      <c r="I2" s="604"/>
      <c r="K2" s="95"/>
      <c r="P2" s="604"/>
      <c r="R2" s="95"/>
      <c r="T2" s="190"/>
      <c r="U2" s="604"/>
    </row>
    <row r="3" spans="1:35" ht="15" customHeight="1">
      <c r="A3" s="453"/>
      <c r="C3" s="605" t="s">
        <v>1020</v>
      </c>
      <c r="D3" s="636"/>
      <c r="F3" s="605" t="s">
        <v>1020</v>
      </c>
      <c r="G3" s="599"/>
      <c r="H3" s="663" t="s">
        <v>1021</v>
      </c>
      <c r="I3" s="606" t="s">
        <v>85</v>
      </c>
      <c r="K3" s="605" t="s">
        <v>1020</v>
      </c>
      <c r="L3" s="599"/>
      <c r="M3" s="599"/>
      <c r="N3" s="664"/>
      <c r="O3" s="599"/>
      <c r="P3" s="606"/>
      <c r="R3" s="605" t="s">
        <v>1020</v>
      </c>
      <c r="S3" s="599"/>
      <c r="T3" s="664" t="s">
        <v>1021</v>
      </c>
      <c r="U3" s="606" t="s">
        <v>85</v>
      </c>
      <c r="Z3" s="358"/>
      <c r="AA3" s="358"/>
    </row>
    <row r="4" spans="1:35" ht="15" customHeight="1">
      <c r="A4" s="453"/>
      <c r="C4" s="641" t="s">
        <v>157</v>
      </c>
      <c r="D4" s="657">
        <v>5</v>
      </c>
      <c r="F4" s="641" t="s">
        <v>157</v>
      </c>
      <c r="G4" s="642">
        <v>4</v>
      </c>
      <c r="H4" s="643">
        <f>D4-G4</f>
        <v>1</v>
      </c>
      <c r="I4" s="644">
        <f>H4/D4</f>
        <v>0.2</v>
      </c>
      <c r="K4" s="641" t="s">
        <v>157</v>
      </c>
      <c r="L4" s="642">
        <v>4</v>
      </c>
      <c r="M4" s="114"/>
      <c r="N4" s="643"/>
      <c r="O4" s="114"/>
      <c r="P4" s="644"/>
      <c r="R4" s="641" t="s">
        <v>157</v>
      </c>
      <c r="S4" s="642">
        <v>4</v>
      </c>
      <c r="T4" s="643">
        <f>L4-S4</f>
        <v>0</v>
      </c>
      <c r="U4" s="644">
        <f>T4/L4</f>
        <v>0</v>
      </c>
      <c r="Z4" s="358"/>
      <c r="AA4" s="358"/>
    </row>
    <row r="5" spans="1:35" ht="15" customHeight="1">
      <c r="A5" s="453"/>
      <c r="C5" s="645" t="s">
        <v>139</v>
      </c>
      <c r="D5" s="658">
        <v>431911</v>
      </c>
      <c r="F5" s="645" t="s">
        <v>139</v>
      </c>
      <c r="G5" s="646">
        <f>'Level 1.1 UPDATE A'!B8</f>
        <v>426549</v>
      </c>
      <c r="H5" s="647">
        <f t="shared" ref="H5:H6" si="0">D5-G5</f>
        <v>5362</v>
      </c>
      <c r="I5" s="269">
        <f>H5/D5</f>
        <v>1.2414594673439666E-2</v>
      </c>
      <c r="K5" s="645" t="s">
        <v>139</v>
      </c>
      <c r="L5" s="646">
        <f>'Level 1.1 UPDATE B'!B8</f>
        <v>426549</v>
      </c>
      <c r="M5" s="45"/>
      <c r="N5" s="647"/>
      <c r="O5" s="45"/>
      <c r="P5" s="269"/>
      <c r="R5" s="645" t="s">
        <v>139</v>
      </c>
      <c r="S5" s="646">
        <f>'Level 3'!B8</f>
        <v>422635</v>
      </c>
      <c r="T5" s="647">
        <f>L5-S5</f>
        <v>3914</v>
      </c>
      <c r="U5" s="269">
        <f t="shared" ref="U5:U6" si="1">T5/L5</f>
        <v>9.1759680599415305E-3</v>
      </c>
      <c r="W5" s="1101"/>
      <c r="Z5" s="358"/>
      <c r="AA5" s="358"/>
    </row>
    <row r="6" spans="1:35" ht="15" customHeight="1">
      <c r="A6" s="453"/>
      <c r="C6" s="645" t="s">
        <v>103</v>
      </c>
      <c r="D6" s="659">
        <f>'Level 1'!$E$8</f>
        <v>390</v>
      </c>
      <c r="F6" s="645" t="s">
        <v>103</v>
      </c>
      <c r="G6" s="648">
        <f>'Level 1'!$E$8</f>
        <v>390</v>
      </c>
      <c r="H6" s="647">
        <f t="shared" si="0"/>
        <v>0</v>
      </c>
      <c r="I6" s="269">
        <f>H6/D6</f>
        <v>0</v>
      </c>
      <c r="K6" s="645" t="s">
        <v>103</v>
      </c>
      <c r="L6" s="648">
        <f>'Level 1'!$E$8</f>
        <v>390</v>
      </c>
      <c r="M6" s="45"/>
      <c r="N6" s="647"/>
      <c r="O6" s="45"/>
      <c r="P6" s="269"/>
      <c r="R6" s="645" t="s">
        <v>103</v>
      </c>
      <c r="S6" s="648">
        <f>'Level 3'!J8</f>
        <v>390</v>
      </c>
      <c r="T6" s="647">
        <f>L6-S6</f>
        <v>0</v>
      </c>
      <c r="U6" s="269">
        <f t="shared" si="1"/>
        <v>0</v>
      </c>
      <c r="Y6" s="56"/>
      <c r="Z6" s="358"/>
      <c r="AA6" s="881"/>
      <c r="AB6" s="56"/>
      <c r="AE6" s="56"/>
      <c r="AF6" s="56"/>
    </row>
    <row r="7" spans="1:35" ht="15" customHeight="1">
      <c r="A7" s="453"/>
      <c r="C7" s="95"/>
      <c r="D7" s="96"/>
      <c r="F7" s="95"/>
      <c r="I7" s="607"/>
      <c r="K7" s="95"/>
      <c r="P7" s="607"/>
      <c r="R7" s="95"/>
      <c r="T7" s="190"/>
      <c r="U7" s="607"/>
      <c r="X7" s="56"/>
      <c r="Y7" s="56"/>
      <c r="Z7" s="881"/>
      <c r="AA7" s="881"/>
      <c r="AB7" s="56"/>
      <c r="AE7" s="881"/>
      <c r="AF7" s="881"/>
      <c r="AG7" s="351"/>
    </row>
    <row r="8" spans="1:35" ht="15" customHeight="1">
      <c r="A8" s="453"/>
      <c r="C8" s="649" t="s">
        <v>177</v>
      </c>
      <c r="D8" s="660">
        <f>D317</f>
        <v>84590981.353507102</v>
      </c>
      <c r="F8" s="649" t="s">
        <v>177</v>
      </c>
      <c r="G8" s="650">
        <f>G317</f>
        <v>82551538.366786778</v>
      </c>
      <c r="H8" s="651">
        <f>D8-G8</f>
        <v>2039442.9867203236</v>
      </c>
      <c r="I8" s="644">
        <f>H8/D8</f>
        <v>2.4109461246199022E-2</v>
      </c>
      <c r="K8" s="649" t="s">
        <v>177</v>
      </c>
      <c r="L8" s="650">
        <f>L317</f>
        <v>79847909.010550961</v>
      </c>
      <c r="M8" s="114"/>
      <c r="N8" s="651"/>
      <c r="O8" s="114"/>
      <c r="P8" s="644"/>
      <c r="R8" s="649" t="s">
        <v>177</v>
      </c>
      <c r="S8" s="650">
        <f>S317</f>
        <v>77376747.916494429</v>
      </c>
      <c r="T8" s="651">
        <f>L8-S8</f>
        <v>2471161.0940565318</v>
      </c>
      <c r="U8" s="644">
        <f>T8/L8</f>
        <v>3.0948350741783318E-2</v>
      </c>
      <c r="X8" s="56"/>
      <c r="Y8" s="56"/>
      <c r="Z8" s="881"/>
      <c r="AA8" s="968"/>
      <c r="AB8" s="56"/>
      <c r="AE8" s="881"/>
      <c r="AF8" s="881"/>
      <c r="AG8" s="351"/>
    </row>
    <row r="9" spans="1:35" ht="15.75" customHeight="1">
      <c r="A9" s="453"/>
      <c r="C9" s="652" t="s">
        <v>190</v>
      </c>
      <c r="D9" s="661">
        <f>D8/D5</f>
        <v>195.85280614179101</v>
      </c>
      <c r="F9" s="652" t="s">
        <v>190</v>
      </c>
      <c r="G9" s="653">
        <f>G8/G5</f>
        <v>193.53354096900188</v>
      </c>
      <c r="H9" s="654">
        <f t="shared" ref="H9:H10" si="2">D9-G9</f>
        <v>2.3192651727891302</v>
      </c>
      <c r="I9" s="269">
        <f>H9/D9</f>
        <v>1.1841878696953969E-2</v>
      </c>
      <c r="K9" s="652" t="s">
        <v>190</v>
      </c>
      <c r="L9" s="653">
        <f>L8/L5</f>
        <v>187.19516165915513</v>
      </c>
      <c r="M9" s="45"/>
      <c r="N9" s="654"/>
      <c r="O9" s="45"/>
      <c r="P9" s="269"/>
      <c r="R9" s="652" t="s">
        <v>190</v>
      </c>
      <c r="S9" s="653">
        <f>S8/S5</f>
        <v>183.08173226659986</v>
      </c>
      <c r="T9" s="654">
        <f>L9-S9</f>
        <v>4.1134293925552754</v>
      </c>
      <c r="U9" s="269">
        <f>T9/L9</f>
        <v>2.1974015546646478E-2</v>
      </c>
      <c r="X9" s="56"/>
      <c r="Y9" s="56"/>
      <c r="Z9" s="881"/>
      <c r="AA9" s="968"/>
      <c r="AB9" s="56"/>
      <c r="AE9" s="881"/>
      <c r="AF9" s="881"/>
      <c r="AG9" s="351"/>
    </row>
    <row r="10" spans="1:35" ht="15.75" customHeight="1">
      <c r="A10" s="453"/>
      <c r="C10" s="652" t="s">
        <v>184</v>
      </c>
      <c r="D10" s="662">
        <f>D8/D6</f>
        <v>216899.95218847974</v>
      </c>
      <c r="F10" s="652" t="s">
        <v>184</v>
      </c>
      <c r="G10" s="655">
        <f>G8/G6</f>
        <v>211670.61119688916</v>
      </c>
      <c r="H10" s="656">
        <f t="shared" si="2"/>
        <v>5229.3409915905795</v>
      </c>
      <c r="I10" s="269">
        <f>H10/D10</f>
        <v>2.4109461246199053E-2</v>
      </c>
      <c r="K10" s="652" t="s">
        <v>184</v>
      </c>
      <c r="L10" s="655">
        <f>L8/L6</f>
        <v>204738.22823218195</v>
      </c>
      <c r="M10" s="45"/>
      <c r="N10" s="656"/>
      <c r="O10" s="45"/>
      <c r="P10" s="269"/>
      <c r="R10" s="652" t="s">
        <v>184</v>
      </c>
      <c r="S10" s="655">
        <f>S8/S6</f>
        <v>198401.9177346011</v>
      </c>
      <c r="T10" s="656">
        <f>L10-S10</f>
        <v>6336.3104975808528</v>
      </c>
      <c r="U10" s="269">
        <f>T10/L10</f>
        <v>3.0948350741783329E-2</v>
      </c>
      <c r="X10" s="56"/>
      <c r="Y10" s="56"/>
      <c r="Z10" s="881"/>
      <c r="AA10" s="968"/>
      <c r="AB10" s="56"/>
      <c r="AC10" s="56"/>
      <c r="AE10" s="881"/>
      <c r="AF10" s="881"/>
      <c r="AG10" s="351"/>
    </row>
    <row r="11" spans="1:35" ht="15" customHeight="1" thickBot="1">
      <c r="A11" s="453"/>
      <c r="C11" s="95"/>
      <c r="D11" s="96"/>
      <c r="F11" s="95"/>
      <c r="I11" s="604"/>
      <c r="K11" s="95"/>
      <c r="P11" s="604"/>
      <c r="R11" s="95"/>
      <c r="T11" s="190"/>
      <c r="U11" s="604"/>
      <c r="W11" s="880"/>
      <c r="X11" s="880"/>
      <c r="Y11" s="56"/>
      <c r="Z11" s="881"/>
      <c r="AA11" s="968"/>
      <c r="AB11" s="56"/>
      <c r="AD11" s="880"/>
      <c r="AE11" s="351"/>
      <c r="AF11" s="351"/>
      <c r="AG11" s="351"/>
      <c r="AI11" s="351"/>
    </row>
    <row r="12" spans="1:35" ht="15" hidden="1" customHeight="1" thickBot="1">
      <c r="A12" s="453"/>
      <c r="C12" s="95"/>
      <c r="D12" s="96"/>
      <c r="F12" s="95"/>
      <c r="I12" s="604"/>
      <c r="K12" s="611"/>
      <c r="L12" s="190"/>
      <c r="M12" s="190"/>
      <c r="O12" s="190"/>
      <c r="P12" s="604"/>
      <c r="R12" s="611"/>
      <c r="S12" s="190"/>
      <c r="T12" s="190"/>
      <c r="U12" s="604"/>
      <c r="Z12" s="358"/>
      <c r="AA12" s="763"/>
    </row>
    <row r="13" spans="1:35" ht="17.25" hidden="1" customHeight="1" thickBot="1">
      <c r="A13" s="453"/>
      <c r="C13" s="601"/>
      <c r="D13" s="602"/>
      <c r="F13" s="95"/>
      <c r="H13" s="291" t="s">
        <v>1022</v>
      </c>
      <c r="I13" s="291" t="s">
        <v>1022</v>
      </c>
      <c r="K13" s="95"/>
      <c r="N13" s="291" t="s">
        <v>1022</v>
      </c>
      <c r="P13" s="291" t="s">
        <v>1022</v>
      </c>
      <c r="R13" s="95"/>
      <c r="T13" s="291" t="s">
        <v>1022</v>
      </c>
      <c r="U13" s="291" t="s">
        <v>1022</v>
      </c>
      <c r="Z13" s="358"/>
      <c r="AA13" s="763"/>
    </row>
    <row r="14" spans="1:35" ht="16.5" hidden="1" customHeight="1" thickBot="1">
      <c r="A14" s="453"/>
      <c r="C14" s="603"/>
      <c r="D14" s="295"/>
      <c r="F14" s="137"/>
      <c r="G14" s="139"/>
      <c r="H14" s="608">
        <v>50000</v>
      </c>
      <c r="I14" s="609">
        <v>0.05</v>
      </c>
      <c r="K14" s="137"/>
      <c r="L14" s="138"/>
      <c r="M14" s="138"/>
      <c r="N14" s="608">
        <v>50000</v>
      </c>
      <c r="O14" s="138"/>
      <c r="P14" s="609">
        <v>0.05</v>
      </c>
      <c r="R14" s="137"/>
      <c r="S14" s="138"/>
      <c r="T14" s="608">
        <v>50000</v>
      </c>
      <c r="U14" s="609">
        <v>0.05</v>
      </c>
      <c r="Z14" s="358"/>
      <c r="AA14" s="763"/>
    </row>
    <row r="15" spans="1:35" ht="15" thickBot="1">
      <c r="A15" s="291" t="s">
        <v>202</v>
      </c>
      <c r="C15" s="364" t="s">
        <v>212</v>
      </c>
      <c r="D15" s="367" t="s">
        <v>119</v>
      </c>
      <c r="F15" s="704" t="s">
        <v>212</v>
      </c>
      <c r="G15" s="705" t="s">
        <v>119</v>
      </c>
      <c r="H15" s="706" t="s">
        <v>1023</v>
      </c>
      <c r="I15" s="706" t="s">
        <v>1024</v>
      </c>
      <c r="K15" s="707" t="s">
        <v>212</v>
      </c>
      <c r="L15" s="708" t="s">
        <v>119</v>
      </c>
      <c r="M15" s="709"/>
      <c r="N15" s="710" t="s">
        <v>1023</v>
      </c>
      <c r="O15" s="709"/>
      <c r="P15" s="710" t="s">
        <v>1024</v>
      </c>
      <c r="R15" s="707" t="s">
        <v>212</v>
      </c>
      <c r="S15" s="708" t="s">
        <v>119</v>
      </c>
      <c r="T15" s="710" t="s">
        <v>1023</v>
      </c>
      <c r="U15" s="710" t="s">
        <v>1024</v>
      </c>
      <c r="Z15" s="358"/>
      <c r="AA15" s="763"/>
      <c r="AI15" s="351"/>
    </row>
    <row r="16" spans="1:35" outlineLevel="1">
      <c r="A16" s="612" t="s">
        <v>214</v>
      </c>
      <c r="C16" s="629">
        <f>'Level 1'!K21</f>
        <v>4240149</v>
      </c>
      <c r="D16" s="96"/>
      <c r="F16" s="629">
        <f>VLOOKUP(A16,'Level 1.1 UPDATE A'!$A$21:$K$292,11,FALSE)</f>
        <v>4080000.0000000005</v>
      </c>
      <c r="G16" s="96"/>
      <c r="H16" s="296">
        <f>C16-F16</f>
        <v>160148.99999999953</v>
      </c>
      <c r="I16" s="297">
        <f t="shared" ref="I16" si="3">IF(D16=0,0,H16/D16)</f>
        <v>0</v>
      </c>
      <c r="K16" s="629">
        <f>VLOOKUP(A16,'Level 2 - Transmitted (2)'!$A$21:$K$335,11,FALSE)</f>
        <v>3849810.3029161878</v>
      </c>
      <c r="L16" s="96"/>
      <c r="N16" s="296">
        <f>C16-K16</f>
        <v>390338.69708381221</v>
      </c>
      <c r="P16" s="297">
        <f t="shared" ref="P16" si="4">IF(D16=0,0,N16/D16)</f>
        <v>0</v>
      </c>
      <c r="R16" s="629">
        <f>VLOOKUP(A16,'Level 3'!$A$20:$K$319,11,FALSE)</f>
        <v>3857213.6954538627</v>
      </c>
      <c r="S16" s="96"/>
      <c r="T16" s="296">
        <f>K16-R16</f>
        <v>-7403.3925376748666</v>
      </c>
      <c r="U16" s="297">
        <f t="shared" ref="U16:U29" si="5">IF(K16=0,0,T16/K16)</f>
        <v>-1.9230538533461974E-3</v>
      </c>
      <c r="AA16" s="351"/>
    </row>
    <row r="17" spans="1:33">
      <c r="A17" s="613" t="s">
        <v>214</v>
      </c>
      <c r="C17" s="630"/>
      <c r="D17" s="327">
        <f>'Level 1'!L20</f>
        <v>4240149</v>
      </c>
      <c r="F17" s="630"/>
      <c r="G17" s="327">
        <f>VLOOKUP(A17,'Level 1.1 UPDATE A'!$A$20:$L$330,12,FALSE)</f>
        <v>4080000.0000000005</v>
      </c>
      <c r="H17" s="328">
        <f>D17-G17</f>
        <v>160148.99999999953</v>
      </c>
      <c r="I17" s="329">
        <f>IF(D17=0,0,H17/D17)</f>
        <v>3.7769663283059043E-2</v>
      </c>
      <c r="K17" s="630"/>
      <c r="L17" s="327">
        <f>K16</f>
        <v>3849810.3029161878</v>
      </c>
      <c r="M17" s="388"/>
      <c r="N17" s="328">
        <f>D17-L17</f>
        <v>390338.69708381221</v>
      </c>
      <c r="O17" s="388"/>
      <c r="P17" s="329">
        <f>IF(D17=0,0,N17/D17)</f>
        <v>9.205777841387465E-2</v>
      </c>
      <c r="R17" s="630"/>
      <c r="S17" s="327">
        <f>VLOOKUP(A17,'Level 3'!$A$21:$L$320,12,FALSE)</f>
        <v>3857213.6954538627</v>
      </c>
      <c r="T17" s="328">
        <f>L17-S17</f>
        <v>-7403.3925376748666</v>
      </c>
      <c r="U17" s="329">
        <f t="shared" si="5"/>
        <v>0</v>
      </c>
      <c r="V17" s="103"/>
      <c r="AA17" s="351"/>
    </row>
    <row r="18" spans="1:33" outlineLevel="1">
      <c r="A18" s="614" t="s">
        <v>221</v>
      </c>
      <c r="C18" s="631">
        <f>'Level 1'!K23</f>
        <v>12000</v>
      </c>
      <c r="D18" s="615"/>
      <c r="F18" s="631">
        <f>VLOOKUP(A18,'Level 1.1 UPDATE A'!$A$21:$K$292,11,FALSE)</f>
        <v>12000</v>
      </c>
      <c r="G18" s="615"/>
      <c r="H18" s="617">
        <f>C18-F18</f>
        <v>0</v>
      </c>
      <c r="I18" s="618">
        <f t="shared" ref="I18:I85" si="6">IF(D18=0,0,H18/D18)</f>
        <v>0</v>
      </c>
      <c r="K18" s="631">
        <f>VLOOKUP(A18,'Level 2 - Transmitted (2)'!$A$20:$K$335,11,FALSE)</f>
        <v>12000</v>
      </c>
      <c r="L18" s="615"/>
      <c r="M18" s="619"/>
      <c r="N18" s="617">
        <f>C18-K18</f>
        <v>0</v>
      </c>
      <c r="O18" s="619"/>
      <c r="P18" s="618">
        <f t="shared" ref="P18:P85" si="7">IF(D18=0,0,N18/D18)</f>
        <v>0</v>
      </c>
      <c r="R18" s="631">
        <f>VLOOKUP(A18,'Level 3'!$A$20:$K$319,11,FALSE)</f>
        <v>12000</v>
      </c>
      <c r="S18" s="615"/>
      <c r="T18" s="617">
        <f>K18-R18</f>
        <v>0</v>
      </c>
      <c r="U18" s="618">
        <f t="shared" si="5"/>
        <v>0</v>
      </c>
      <c r="V18" s="84"/>
      <c r="AA18" s="351"/>
    </row>
    <row r="19" spans="1:33">
      <c r="A19" s="613" t="s">
        <v>219</v>
      </c>
      <c r="C19" s="630"/>
      <c r="D19" s="327">
        <f>'Level 1'!L22</f>
        <v>12000</v>
      </c>
      <c r="F19" s="630"/>
      <c r="G19" s="327">
        <f>VLOOKUP(A19,'Level 1.1 UPDATE A'!$A$20:$L$330,12,FALSE)</f>
        <v>12000</v>
      </c>
      <c r="H19" s="328">
        <f>D19-G19</f>
        <v>0</v>
      </c>
      <c r="I19" s="329">
        <f t="shared" si="6"/>
        <v>0</v>
      </c>
      <c r="K19" s="630"/>
      <c r="L19" s="327">
        <f>K18</f>
        <v>12000</v>
      </c>
      <c r="M19" s="388"/>
      <c r="N19" s="328">
        <f>D19-L19</f>
        <v>0</v>
      </c>
      <c r="O19" s="388"/>
      <c r="P19" s="329">
        <f t="shared" si="7"/>
        <v>0</v>
      </c>
      <c r="R19" s="630"/>
      <c r="S19" s="327">
        <f>VLOOKUP(A19,'Level 3'!$A$21:$L$320,12,FALSE)</f>
        <v>12000</v>
      </c>
      <c r="T19" s="328">
        <f>L19-S19</f>
        <v>0</v>
      </c>
      <c r="U19" s="329">
        <f t="shared" si="5"/>
        <v>0</v>
      </c>
      <c r="V19" s="84"/>
      <c r="AG19" s="351"/>
    </row>
    <row r="20" spans="1:33" outlineLevel="1">
      <c r="A20" s="614" t="s">
        <v>226</v>
      </c>
      <c r="C20" s="631">
        <f>'Level 1'!K25</f>
        <v>2063622.8800000001</v>
      </c>
      <c r="D20" s="615"/>
      <c r="F20" s="631">
        <f>VLOOKUP(A20,'Level 1.1 UPDATE A'!$A$21:$K$292,11,FALSE)</f>
        <v>1795622.4000000001</v>
      </c>
      <c r="G20" s="615"/>
      <c r="H20" s="617">
        <f t="shared" ref="H20:H29" si="8">C20-F20</f>
        <v>268000.48</v>
      </c>
      <c r="I20" s="618">
        <f t="shared" si="6"/>
        <v>0</v>
      </c>
      <c r="K20" s="631">
        <f>VLOOKUP(A20,'Level 2 - Transmitted (2)'!$A$20:$K$335,11,FALSE)</f>
        <v>1672098.2750000001</v>
      </c>
      <c r="L20" s="615"/>
      <c r="M20" s="619"/>
      <c r="N20" s="617">
        <f>C20-K20</f>
        <v>391524.60499999998</v>
      </c>
      <c r="O20" s="619"/>
      <c r="P20" s="618">
        <f t="shared" si="7"/>
        <v>0</v>
      </c>
      <c r="R20" s="631">
        <f>VLOOKUP(A20,'Level 3'!$A$20:$K$319,11,FALSE)</f>
        <v>1381298.575</v>
      </c>
      <c r="S20" s="615"/>
      <c r="T20" s="617">
        <f t="shared" ref="T20:T29" si="9">K20-R20</f>
        <v>290799.70000000019</v>
      </c>
      <c r="U20" s="618">
        <f t="shared" si="5"/>
        <v>0.17391304347826098</v>
      </c>
      <c r="V20" s="84"/>
    </row>
    <row r="21" spans="1:33" outlineLevel="1">
      <c r="A21" s="311" t="s">
        <v>230</v>
      </c>
      <c r="C21" s="629">
        <f>'Level 1'!K26</f>
        <v>0</v>
      </c>
      <c r="D21" s="96"/>
      <c r="F21" s="629">
        <f>VLOOKUP(A21,'Level 1.1 UPDATE A'!$A$21:$K$292,11,FALSE)</f>
        <v>0</v>
      </c>
      <c r="G21" s="96"/>
      <c r="H21" s="296">
        <f t="shared" si="8"/>
        <v>0</v>
      </c>
      <c r="I21" s="297">
        <f t="shared" si="6"/>
        <v>0</v>
      </c>
      <c r="K21" s="629">
        <f>VLOOKUP(A21,'Level 2 - Transmitted (2)'!$A$20:$K$335,11,FALSE)</f>
        <v>0</v>
      </c>
      <c r="L21" s="96"/>
      <c r="N21" s="296">
        <f t="shared" ref="N21:N29" si="10">C21-K21</f>
        <v>0</v>
      </c>
      <c r="P21" s="297">
        <f t="shared" si="7"/>
        <v>0</v>
      </c>
      <c r="R21" s="629">
        <f>VLOOKUP(A21,'Level 3'!$A$20:$K$319,11,FALSE)</f>
        <v>0</v>
      </c>
      <c r="S21" s="96"/>
      <c r="T21" s="296">
        <f t="shared" si="9"/>
        <v>0</v>
      </c>
      <c r="U21" s="297">
        <f t="shared" si="5"/>
        <v>0</v>
      </c>
      <c r="V21" s="84"/>
    </row>
    <row r="22" spans="1:33" outlineLevel="1">
      <c r="A22" s="311" t="s">
        <v>232</v>
      </c>
      <c r="C22" s="629">
        <f>'Level 1'!K27</f>
        <v>7500</v>
      </c>
      <c r="D22" s="96"/>
      <c r="F22" s="629">
        <f>VLOOKUP(A22,'Level 1.1 UPDATE A'!$A$21:$K$292,11,FALSE)</f>
        <v>7500</v>
      </c>
      <c r="G22" s="96"/>
      <c r="H22" s="296">
        <f t="shared" si="8"/>
        <v>0</v>
      </c>
      <c r="I22" s="297">
        <f t="shared" si="6"/>
        <v>0</v>
      </c>
      <c r="K22" s="629">
        <f>VLOOKUP(A22,'Level 2 - Transmitted (2)'!$A$20:$K$335,11,FALSE)</f>
        <v>7500</v>
      </c>
      <c r="L22" s="96"/>
      <c r="N22" s="296">
        <f t="shared" si="10"/>
        <v>0</v>
      </c>
      <c r="P22" s="297">
        <f t="shared" si="7"/>
        <v>0</v>
      </c>
      <c r="R22" s="629">
        <f>VLOOKUP(A22,'Level 3'!$A$20:$K$319,11,FALSE)</f>
        <v>7500</v>
      </c>
      <c r="S22" s="96"/>
      <c r="T22" s="296">
        <f t="shared" si="9"/>
        <v>0</v>
      </c>
      <c r="U22" s="297">
        <f t="shared" si="5"/>
        <v>0</v>
      </c>
      <c r="V22" s="84"/>
    </row>
    <row r="23" spans="1:33" outlineLevel="1">
      <c r="A23" s="311" t="s">
        <v>234</v>
      </c>
      <c r="C23" s="629">
        <f>'Level 1'!K28</f>
        <v>3597</v>
      </c>
      <c r="D23" s="96"/>
      <c r="F23" s="629">
        <f>VLOOKUP(A23,'Level 1.1 UPDATE A'!$A$21:$K$292,11,FALSE)</f>
        <v>3597</v>
      </c>
      <c r="G23" s="96"/>
      <c r="H23" s="296">
        <f t="shared" si="8"/>
        <v>0</v>
      </c>
      <c r="I23" s="297">
        <f t="shared" si="6"/>
        <v>0</v>
      </c>
      <c r="K23" s="629">
        <f>VLOOKUP(A23,'Level 2 - Transmitted (2)'!$A$20:$K$335,11,FALSE)</f>
        <v>10000</v>
      </c>
      <c r="L23" s="96"/>
      <c r="N23" s="296">
        <f t="shared" si="10"/>
        <v>-6403</v>
      </c>
      <c r="P23" s="297">
        <f t="shared" si="7"/>
        <v>0</v>
      </c>
      <c r="R23" s="629">
        <f>VLOOKUP(A23,'Level 3'!$A$20:$K$319,11,FALSE)</f>
        <v>10000</v>
      </c>
      <c r="S23" s="96"/>
      <c r="T23" s="296">
        <f t="shared" si="9"/>
        <v>0</v>
      </c>
      <c r="U23" s="297">
        <f t="shared" si="5"/>
        <v>0</v>
      </c>
      <c r="V23" s="84"/>
    </row>
    <row r="24" spans="1:33" outlineLevel="1">
      <c r="A24" s="311" t="s">
        <v>236</v>
      </c>
      <c r="C24" s="629">
        <f>'Level 1'!K29</f>
        <v>38608.5</v>
      </c>
      <c r="D24" s="96"/>
      <c r="F24" s="629">
        <f>VLOOKUP(A24,'Level 1.1 UPDATE A'!$A$21:$K$292,11,FALSE)</f>
        <v>38608.5</v>
      </c>
      <c r="G24" s="96"/>
      <c r="H24" s="296">
        <f t="shared" si="8"/>
        <v>0</v>
      </c>
      <c r="I24" s="297">
        <f t="shared" si="6"/>
        <v>0</v>
      </c>
      <c r="K24" s="629">
        <f>VLOOKUP(A24,'Level 2 - Transmitted (2)'!$A$20:$K$335,11,FALSE)</f>
        <v>77000</v>
      </c>
      <c r="L24" s="96"/>
      <c r="N24" s="296">
        <f t="shared" si="10"/>
        <v>-38391.5</v>
      </c>
      <c r="P24" s="297">
        <f t="shared" si="7"/>
        <v>0</v>
      </c>
      <c r="R24" s="629">
        <f>VLOOKUP(A24,'Level 3'!$A$20:$K$319,11,FALSE)</f>
        <v>77000</v>
      </c>
      <c r="S24" s="96"/>
      <c r="T24" s="296">
        <f t="shared" si="9"/>
        <v>0</v>
      </c>
      <c r="U24" s="297">
        <f t="shared" si="5"/>
        <v>0</v>
      </c>
      <c r="V24" s="84"/>
    </row>
    <row r="25" spans="1:33" outlineLevel="1">
      <c r="A25" s="311" t="s">
        <v>240</v>
      </c>
      <c r="C25" s="629">
        <f>'Level 1'!K30</f>
        <v>2500</v>
      </c>
      <c r="D25" s="96"/>
      <c r="F25" s="629">
        <f>VLOOKUP(A25,'Level 1.1 UPDATE A'!$A$21:$K$292,11,FALSE)</f>
        <v>2500</v>
      </c>
      <c r="G25" s="96"/>
      <c r="H25" s="296">
        <f t="shared" si="8"/>
        <v>0</v>
      </c>
      <c r="I25" s="297">
        <f t="shared" si="6"/>
        <v>0</v>
      </c>
      <c r="K25" s="629">
        <f>VLOOKUP(A25,'Level 2 - Transmitted (2)'!$A$20:$K$335,11,FALSE)</f>
        <v>2500</v>
      </c>
      <c r="L25" s="96"/>
      <c r="N25" s="296">
        <f t="shared" si="10"/>
        <v>0</v>
      </c>
      <c r="P25" s="297">
        <f t="shared" si="7"/>
        <v>0</v>
      </c>
      <c r="R25" s="629">
        <f>VLOOKUP(A25,'Level 3'!$A$20:$K$319,11,FALSE)</f>
        <v>2500</v>
      </c>
      <c r="S25" s="96"/>
      <c r="T25" s="296">
        <f t="shared" si="9"/>
        <v>0</v>
      </c>
      <c r="U25" s="297">
        <f t="shared" si="5"/>
        <v>0</v>
      </c>
      <c r="V25" s="84"/>
    </row>
    <row r="26" spans="1:33" outlineLevel="1">
      <c r="A26" s="311" t="s">
        <v>243</v>
      </c>
      <c r="C26" s="629">
        <f>'Level 1'!K31</f>
        <v>0</v>
      </c>
      <c r="D26" s="96"/>
      <c r="F26" s="629">
        <f>VLOOKUP(A26,'Level 1.1 UPDATE A'!$A$21:$K$292,11,FALSE)</f>
        <v>0</v>
      </c>
      <c r="G26" s="96"/>
      <c r="H26" s="296">
        <f t="shared" si="8"/>
        <v>0</v>
      </c>
      <c r="I26" s="297">
        <f t="shared" si="6"/>
        <v>0</v>
      </c>
      <c r="K26" s="629">
        <f>VLOOKUP(A26,'Level 2 - Transmitted (2)'!$A$20:$K$335,11,FALSE)</f>
        <v>23500</v>
      </c>
      <c r="L26" s="96"/>
      <c r="N26" s="296">
        <f t="shared" si="10"/>
        <v>-23500</v>
      </c>
      <c r="P26" s="297">
        <f t="shared" si="7"/>
        <v>0</v>
      </c>
      <c r="R26" s="629">
        <f>VLOOKUP(A26,'Level 3'!$A$20:$K$319,11,FALSE)</f>
        <v>35000</v>
      </c>
      <c r="S26" s="96"/>
      <c r="T26" s="296">
        <f t="shared" si="9"/>
        <v>-11500</v>
      </c>
      <c r="U26" s="297">
        <f t="shared" si="5"/>
        <v>-0.48936170212765956</v>
      </c>
      <c r="V26" s="84"/>
    </row>
    <row r="27" spans="1:33" outlineLevel="1">
      <c r="A27" s="311" t="s">
        <v>248</v>
      </c>
      <c r="C27" s="629">
        <f>'Level 1'!K32</f>
        <v>0</v>
      </c>
      <c r="D27" s="96"/>
      <c r="F27" s="629">
        <f>VLOOKUP(A27,'Level 1.1 UPDATE A'!$A$21:$K$292,11,FALSE)</f>
        <v>0</v>
      </c>
      <c r="G27" s="96"/>
      <c r="H27" s="296">
        <f t="shared" si="8"/>
        <v>0</v>
      </c>
      <c r="I27" s="297">
        <f t="shared" si="6"/>
        <v>0</v>
      </c>
      <c r="K27" s="629">
        <f>VLOOKUP(A27,'Level 2 - Transmitted (2)'!$A$20:$K$335,11,FALSE)</f>
        <v>4000</v>
      </c>
      <c r="L27" s="96"/>
      <c r="N27" s="296">
        <f t="shared" si="10"/>
        <v>-4000</v>
      </c>
      <c r="P27" s="297">
        <f t="shared" si="7"/>
        <v>0</v>
      </c>
      <c r="R27" s="629">
        <f>VLOOKUP(A27,'Level 3'!$A$20:$K$319,11,FALSE)</f>
        <v>7500</v>
      </c>
      <c r="S27" s="96"/>
      <c r="T27" s="296">
        <f t="shared" si="9"/>
        <v>-3500</v>
      </c>
      <c r="U27" s="297">
        <f t="shared" si="5"/>
        <v>-0.875</v>
      </c>
      <c r="V27" s="84"/>
    </row>
    <row r="28" spans="1:33" outlineLevel="1">
      <c r="A28" s="311" t="s">
        <v>252</v>
      </c>
      <c r="C28" s="629">
        <f>'Level 1'!K33</f>
        <v>754201.14</v>
      </c>
      <c r="D28" s="96"/>
      <c r="F28" s="629">
        <f>VLOOKUP(A28,'Level 1.1 UPDATE A'!$A$21:$K$292,11,FALSE)</f>
        <v>769430.34</v>
      </c>
      <c r="G28" s="96"/>
      <c r="H28" s="296">
        <f t="shared" si="8"/>
        <v>-15229.199999999953</v>
      </c>
      <c r="I28" s="297">
        <f t="shared" si="6"/>
        <v>0</v>
      </c>
      <c r="K28" s="629">
        <f>VLOOKUP(A28,'Level 2 - Transmitted (2)'!$A$20:$K$335,11,FALSE)</f>
        <v>679394.69000000006</v>
      </c>
      <c r="L28" s="96"/>
      <c r="N28" s="296">
        <f>C28-K28</f>
        <v>74806.449999999953</v>
      </c>
      <c r="P28" s="297">
        <f t="shared" si="7"/>
        <v>0</v>
      </c>
      <c r="R28" s="629">
        <f>VLOOKUP(A28,'Level 3'!$A$20:$K$319,11,FALSE)</f>
        <v>679394.69000000006</v>
      </c>
      <c r="S28" s="96"/>
      <c r="T28" s="296">
        <f t="shared" si="9"/>
        <v>0</v>
      </c>
      <c r="U28" s="297">
        <f t="shared" si="5"/>
        <v>0</v>
      </c>
      <c r="V28" s="84"/>
    </row>
    <row r="29" spans="1:33" outlineLevel="1">
      <c r="A29" s="311" t="s">
        <v>256</v>
      </c>
      <c r="C29" s="629">
        <f>'Level 1'!K34</f>
        <v>64575.680000000008</v>
      </c>
      <c r="D29" s="616"/>
      <c r="F29" s="629">
        <f>VLOOKUP(A29,'Level 1.1 UPDATE A'!$A$21:$K$292,11,FALSE)</f>
        <v>64575.680000000008</v>
      </c>
      <c r="G29" s="604"/>
      <c r="H29" s="296">
        <f t="shared" si="8"/>
        <v>0</v>
      </c>
      <c r="I29" s="297">
        <f t="shared" si="6"/>
        <v>0</v>
      </c>
      <c r="K29" s="629">
        <f>VLOOKUP(A29,'Level 2 - Transmitted (2)'!$A$20:$K$335,11,FALSE)</f>
        <v>70606.233062330633</v>
      </c>
      <c r="L29" s="604"/>
      <c r="N29" s="296">
        <f t="shared" si="10"/>
        <v>-6030.5530623306258</v>
      </c>
      <c r="P29" s="297">
        <f t="shared" si="7"/>
        <v>0</v>
      </c>
      <c r="R29" s="629">
        <f>VLOOKUP(A29,'Level 3'!$A$20:$K$319,11,FALSE)</f>
        <v>70606.233062330633</v>
      </c>
      <c r="S29" s="604"/>
      <c r="T29" s="296">
        <f t="shared" si="9"/>
        <v>0</v>
      </c>
      <c r="U29" s="297">
        <f t="shared" si="5"/>
        <v>0</v>
      </c>
      <c r="V29" s="84"/>
    </row>
    <row r="30" spans="1:33">
      <c r="A30" s="613" t="s">
        <v>224</v>
      </c>
      <c r="C30" s="630"/>
      <c r="D30" s="327">
        <f>'Level 1'!L24</f>
        <v>2934605.2</v>
      </c>
      <c r="F30" s="630"/>
      <c r="G30" s="327">
        <f>VLOOKUP(A30,'Level 1.1 UPDATE A'!$A$20:$L$330,12,FALSE)</f>
        <v>2681833.9200000004</v>
      </c>
      <c r="H30" s="328">
        <f>D30-G30</f>
        <v>252771.2799999998</v>
      </c>
      <c r="I30" s="329">
        <f t="shared" si="6"/>
        <v>8.613468005849638E-2</v>
      </c>
      <c r="K30" s="630"/>
      <c r="L30" s="327">
        <f>VLOOKUP(A30,'Level 2 - Transmitted (2)'!$A$21:$L$335,12,FALSE)</f>
        <v>2546599.198062331</v>
      </c>
      <c r="M30" s="388"/>
      <c r="N30" s="328">
        <f>D30-L30</f>
        <v>388006.00193766924</v>
      </c>
      <c r="O30" s="388"/>
      <c r="P30" s="329">
        <f>IF(D30=0,0,N30/D30)</f>
        <v>0.13221744510562075</v>
      </c>
      <c r="R30" s="630"/>
      <c r="S30" s="327">
        <f>VLOOKUP(A30,'Level 3'!$A$21:$L$320,12,FALSE)</f>
        <v>2270799.4980623308</v>
      </c>
      <c r="T30" s="328">
        <f>L30-S30</f>
        <v>275799.70000000019</v>
      </c>
      <c r="U30" s="329">
        <f>IF(L30=0,0,T30/L30)</f>
        <v>0.10830118073148379</v>
      </c>
      <c r="V30" s="84"/>
      <c r="AB30" s="56"/>
    </row>
    <row r="31" spans="1:33" outlineLevel="1">
      <c r="A31" s="311" t="s">
        <v>271</v>
      </c>
      <c r="C31" s="629">
        <f>'Level 1'!K45</f>
        <v>152000</v>
      </c>
      <c r="D31" s="96"/>
      <c r="F31" s="629">
        <f>VLOOKUP(A31,'Level 1.1 UPDATE A'!$A$21:$K$292,11,FALSE)</f>
        <v>114000</v>
      </c>
      <c r="G31" s="96"/>
      <c r="H31" s="296">
        <f>C31-F31</f>
        <v>38000</v>
      </c>
      <c r="I31" s="297">
        <f t="shared" si="6"/>
        <v>0</v>
      </c>
      <c r="K31" s="629">
        <f>VLOOKUP(A31,'Level 2 - Transmitted (2)'!$A$20:$K$335,11,FALSE)</f>
        <v>129600</v>
      </c>
      <c r="L31" s="96"/>
      <c r="N31" s="296">
        <f t="shared" ref="N31:N35" si="11">C31-K31</f>
        <v>22400</v>
      </c>
      <c r="P31" s="297">
        <f t="shared" si="7"/>
        <v>0</v>
      </c>
      <c r="R31" s="629">
        <f>VLOOKUP(A31,'Level 3'!$A$20:$K$319,11,FALSE)</f>
        <v>168000</v>
      </c>
      <c r="S31" s="96"/>
      <c r="T31" s="296">
        <f>K31-R31</f>
        <v>-38400</v>
      </c>
      <c r="U31" s="297">
        <f>IF(K31=0,0,T31/K31)</f>
        <v>-0.29629629629629628</v>
      </c>
      <c r="V31" s="84"/>
      <c r="AB31" s="56"/>
    </row>
    <row r="32" spans="1:33" outlineLevel="1">
      <c r="A32" s="311" t="s">
        <v>275</v>
      </c>
      <c r="C32" s="629">
        <f>'Level 1'!K46</f>
        <v>79800</v>
      </c>
      <c r="D32" s="96"/>
      <c r="F32" s="629">
        <f>VLOOKUP(A32,'Level 1.1 UPDATE A'!$A$21:$K$292,11,FALSE)</f>
        <v>79800</v>
      </c>
      <c r="G32" s="96"/>
      <c r="H32" s="296">
        <f>C32-F32</f>
        <v>0</v>
      </c>
      <c r="I32" s="297">
        <f t="shared" si="6"/>
        <v>0</v>
      </c>
      <c r="K32" s="629">
        <f>VLOOKUP(A32,'Level 2 - Transmitted (2)'!$A$20:$K$335,11,FALSE)</f>
        <v>91000</v>
      </c>
      <c r="L32" s="96"/>
      <c r="N32" s="296">
        <f t="shared" si="11"/>
        <v>-11200</v>
      </c>
      <c r="P32" s="297">
        <f t="shared" si="7"/>
        <v>0</v>
      </c>
      <c r="R32" s="629">
        <f>VLOOKUP(A32,'Level 3'!$A$20:$K$319,11,FALSE)</f>
        <v>91000</v>
      </c>
      <c r="S32" s="96"/>
      <c r="T32" s="296">
        <f>K32-R32</f>
        <v>0</v>
      </c>
      <c r="U32" s="297">
        <f>IF(K32=0,0,T32/K32)</f>
        <v>0</v>
      </c>
      <c r="V32" s="84"/>
      <c r="AB32" s="56"/>
    </row>
    <row r="33" spans="1:28" outlineLevel="1">
      <c r="A33" s="311" t="s">
        <v>277</v>
      </c>
      <c r="C33" s="629">
        <f>'Level 1'!K47</f>
        <v>0</v>
      </c>
      <c r="D33" s="96"/>
      <c r="F33" s="629">
        <f>VLOOKUP(A33,'Level 1.1 UPDATE A'!$A$21:$K$292,11,FALSE)</f>
        <v>0</v>
      </c>
      <c r="G33" s="96"/>
      <c r="H33" s="296">
        <f>C33-F33</f>
        <v>0</v>
      </c>
      <c r="I33" s="297">
        <f t="shared" si="6"/>
        <v>0</v>
      </c>
      <c r="K33" s="629">
        <f>VLOOKUP(A33,'Level 2 - Transmitted (2)'!$A$20:$K$335,11,FALSE)</f>
        <v>0</v>
      </c>
      <c r="L33" s="96"/>
      <c r="N33" s="296">
        <f t="shared" si="11"/>
        <v>0</v>
      </c>
      <c r="P33" s="297">
        <f t="shared" si="7"/>
        <v>0</v>
      </c>
      <c r="R33" s="629">
        <f>VLOOKUP(A33,'Level 3'!$A$20:$K$319,11,FALSE)</f>
        <v>0</v>
      </c>
      <c r="S33" s="96"/>
      <c r="T33" s="296">
        <f>K33-R33</f>
        <v>0</v>
      </c>
      <c r="U33" s="297">
        <f>IF(K33=0,0,T33/K33)</f>
        <v>0</v>
      </c>
      <c r="V33" s="84"/>
      <c r="AB33" s="56"/>
    </row>
    <row r="34" spans="1:28" outlineLevel="1">
      <c r="A34" s="311" t="s">
        <v>279</v>
      </c>
      <c r="C34" s="629">
        <f>'Level 1'!K48</f>
        <v>6000</v>
      </c>
      <c r="D34" s="96"/>
      <c r="F34" s="629">
        <f>VLOOKUP(A34,'Level 1.1 UPDATE A'!$A$21:$K$292,11,FALSE)</f>
        <v>6000</v>
      </c>
      <c r="G34" s="96"/>
      <c r="H34" s="296">
        <f>C34-F34</f>
        <v>0</v>
      </c>
      <c r="I34" s="297">
        <f t="shared" si="6"/>
        <v>0</v>
      </c>
      <c r="K34" s="629">
        <f>VLOOKUP(A34,'Level 2 - Transmitted (2)'!$A$20:$K$335,11,FALSE)</f>
        <v>40000</v>
      </c>
      <c r="L34" s="96"/>
      <c r="N34" s="296">
        <f t="shared" si="11"/>
        <v>-34000</v>
      </c>
      <c r="P34" s="297">
        <f t="shared" si="7"/>
        <v>0</v>
      </c>
      <c r="R34" s="629">
        <f>VLOOKUP(A34,'Level 3'!$A$20:$K$319,11,FALSE)</f>
        <v>40000</v>
      </c>
      <c r="S34" s="96"/>
      <c r="T34" s="296">
        <f>K34-R34</f>
        <v>0</v>
      </c>
      <c r="U34" s="297">
        <f>IF(K34=0,0,T34/K34)</f>
        <v>0</v>
      </c>
      <c r="V34" s="84"/>
      <c r="AB34" s="56"/>
    </row>
    <row r="35" spans="1:28" outlineLevel="1">
      <c r="A35" s="311" t="s">
        <v>281</v>
      </c>
      <c r="C35" s="629">
        <f>'Level 1'!K49</f>
        <v>9000</v>
      </c>
      <c r="D35" s="96"/>
      <c r="F35" s="629">
        <f>VLOOKUP(A35,'Level 1.1 UPDATE A'!$A$21:$K$292,11,FALSE)</f>
        <v>9000</v>
      </c>
      <c r="G35" s="96"/>
      <c r="H35" s="296">
        <f>C35-F35</f>
        <v>0</v>
      </c>
      <c r="I35" s="297">
        <f t="shared" si="6"/>
        <v>0</v>
      </c>
      <c r="K35" s="629">
        <f>VLOOKUP(A35,'Level 2 - Transmitted (2)'!$A$20:$K$335,11,FALSE)</f>
        <v>15000</v>
      </c>
      <c r="L35" s="96"/>
      <c r="N35" s="296">
        <f t="shared" si="11"/>
        <v>-6000</v>
      </c>
      <c r="P35" s="297">
        <f t="shared" si="7"/>
        <v>0</v>
      </c>
      <c r="R35" s="629">
        <f>VLOOKUP(A35,'Level 3'!$A$20:$K$319,11,FALSE)</f>
        <v>15000</v>
      </c>
      <c r="S35" s="96"/>
      <c r="T35" s="296">
        <f>K35-R35</f>
        <v>0</v>
      </c>
      <c r="U35" s="297">
        <f>IF(K35=0,0,T35/K35)</f>
        <v>0</v>
      </c>
      <c r="V35" s="84"/>
    </row>
    <row r="36" spans="1:28">
      <c r="A36" s="613" t="s">
        <v>269</v>
      </c>
      <c r="C36" s="632"/>
      <c r="D36" s="327">
        <f>'Level 1'!L44</f>
        <v>246800</v>
      </c>
      <c r="F36" s="632"/>
      <c r="G36" s="327">
        <f>VLOOKUP(A36,'Level 1.1 UPDATE A'!$A$20:$L$330,12,FALSE)</f>
        <v>208800</v>
      </c>
      <c r="H36" s="328">
        <f>D36-G36</f>
        <v>38000</v>
      </c>
      <c r="I36" s="329">
        <f t="shared" si="6"/>
        <v>0.1539708265802269</v>
      </c>
      <c r="K36" s="632"/>
      <c r="L36" s="327">
        <f>VLOOKUP(A36,'Level 2 - Transmitted (2)'!$A$21:$L$335,12,FALSE)</f>
        <v>275600</v>
      </c>
      <c r="M36" s="388"/>
      <c r="N36" s="328">
        <f>D36-L36</f>
        <v>-28800</v>
      </c>
      <c r="O36" s="388"/>
      <c r="P36" s="329">
        <f t="shared" si="7"/>
        <v>-0.1166936790923825</v>
      </c>
      <c r="R36" s="632"/>
      <c r="S36" s="327">
        <f>VLOOKUP(A36,'Level 3'!$A$21:$L$320,12,FALSE)</f>
        <v>314000</v>
      </c>
      <c r="T36" s="328">
        <f>L36-S36</f>
        <v>-38400</v>
      </c>
      <c r="U36" s="329">
        <f>IF(L36=0,0,T36/L36)</f>
        <v>-0.13933236574746008</v>
      </c>
      <c r="V36" s="84"/>
      <c r="AA36" s="351"/>
    </row>
    <row r="37" spans="1:28" outlineLevel="1">
      <c r="A37" s="614" t="s">
        <v>286</v>
      </c>
      <c r="C37" s="631">
        <f>'Level 1'!K51</f>
        <v>125000</v>
      </c>
      <c r="D37" s="615"/>
      <c r="F37" s="631">
        <f>VLOOKUP(A37,'Level 1.1 UPDATE A'!$A$21:$K$292,11,FALSE)</f>
        <v>125000</v>
      </c>
      <c r="G37" s="615"/>
      <c r="H37" s="617">
        <f t="shared" ref="H37:H45" si="12">C37-F37</f>
        <v>0</v>
      </c>
      <c r="I37" s="618">
        <f t="shared" si="6"/>
        <v>0</v>
      </c>
      <c r="K37" s="631">
        <f>VLOOKUP(A37,'Level 2 - Transmitted (2)'!$A$20:$K$335,11,FALSE)</f>
        <v>240254.57560000001</v>
      </c>
      <c r="L37" s="615"/>
      <c r="M37" s="619"/>
      <c r="N37" s="617">
        <f t="shared" ref="N37:N45" si="13">C37-K37</f>
        <v>-115254.57560000001</v>
      </c>
      <c r="O37" s="619"/>
      <c r="P37" s="618">
        <f t="shared" si="7"/>
        <v>0</v>
      </c>
      <c r="R37" s="631">
        <f>VLOOKUP(A37,'Level 3'!$A$20:$K$319,11,FALSE)</f>
        <v>298082.59999999998</v>
      </c>
      <c r="S37" s="615"/>
      <c r="T37" s="617">
        <f t="shared" ref="T37:T45" si="14">K37-R37</f>
        <v>-57828.024399999966</v>
      </c>
      <c r="U37" s="618">
        <f t="shared" ref="U37:U45" si="15">IF(K37=0,0,T37/K37)</f>
        <v>-0.24069478908188571</v>
      </c>
      <c r="V37" s="84"/>
    </row>
    <row r="38" spans="1:28" outlineLevel="1">
      <c r="A38" s="311" t="s">
        <v>289</v>
      </c>
      <c r="C38" s="629">
        <f>'Level 1'!K52</f>
        <v>24240</v>
      </c>
      <c r="D38" s="96"/>
      <c r="F38" s="629">
        <f>VLOOKUP(A38,'Level 1.1 UPDATE A'!$A$21:$K$292,11,FALSE)</f>
        <v>16160</v>
      </c>
      <c r="G38" s="96"/>
      <c r="H38" s="296">
        <f t="shared" si="12"/>
        <v>8080</v>
      </c>
      <c r="I38" s="297">
        <f t="shared" si="6"/>
        <v>0</v>
      </c>
      <c r="K38" s="629">
        <f>VLOOKUP(A38,'Level 2 - Transmitted (2)'!$A$20:$K$335,11,FALSE)</f>
        <v>16400</v>
      </c>
      <c r="L38" s="96"/>
      <c r="N38" s="296">
        <f t="shared" si="13"/>
        <v>7840</v>
      </c>
      <c r="P38" s="297">
        <f t="shared" si="7"/>
        <v>0</v>
      </c>
      <c r="R38" s="629">
        <f>VLOOKUP(A38,'Level 3'!$A$20:$K$319,11,FALSE)</f>
        <v>16400</v>
      </c>
      <c r="S38" s="96"/>
      <c r="T38" s="296">
        <f t="shared" si="14"/>
        <v>0</v>
      </c>
      <c r="U38" s="297">
        <f t="shared" si="15"/>
        <v>0</v>
      </c>
      <c r="V38" s="84"/>
    </row>
    <row r="39" spans="1:28" outlineLevel="1">
      <c r="A39" s="311" t="s">
        <v>291</v>
      </c>
      <c r="C39" s="629">
        <f>'Level 1'!K53</f>
        <v>120000</v>
      </c>
      <c r="D39" s="96"/>
      <c r="F39" s="629">
        <f>VLOOKUP(A39,'Level 1.1 UPDATE A'!$A$21:$K$292,11,FALSE)</f>
        <v>88000</v>
      </c>
      <c r="G39" s="96"/>
      <c r="H39" s="296">
        <f t="shared" si="12"/>
        <v>32000</v>
      </c>
      <c r="I39" s="297">
        <f t="shared" si="6"/>
        <v>0</v>
      </c>
      <c r="K39" s="629">
        <f>VLOOKUP(A39,'Level 2 - Transmitted (2)'!$A$20:$K$335,11,FALSE)</f>
        <v>67500</v>
      </c>
      <c r="L39" s="96"/>
      <c r="N39" s="296">
        <f t="shared" si="13"/>
        <v>52500</v>
      </c>
      <c r="P39" s="297">
        <f t="shared" si="7"/>
        <v>0</v>
      </c>
      <c r="R39" s="629">
        <f>VLOOKUP(A39,'Level 3'!$A$20:$K$319,11,FALSE)</f>
        <v>94000</v>
      </c>
      <c r="S39" s="96"/>
      <c r="T39" s="296">
        <f t="shared" si="14"/>
        <v>-26500</v>
      </c>
      <c r="U39" s="297">
        <f t="shared" si="15"/>
        <v>-0.3925925925925926</v>
      </c>
      <c r="V39" s="84"/>
    </row>
    <row r="40" spans="1:28" outlineLevel="1">
      <c r="A40" s="311" t="s">
        <v>293</v>
      </c>
      <c r="C40" s="629">
        <f>'Level 1'!K54</f>
        <v>0</v>
      </c>
      <c r="D40" s="96"/>
      <c r="F40" s="629">
        <f>VLOOKUP(A40,'Level 1.1 UPDATE A'!$A$21:$K$292,11,FALSE)</f>
        <v>0</v>
      </c>
      <c r="G40" s="96"/>
      <c r="H40" s="296">
        <f t="shared" si="12"/>
        <v>0</v>
      </c>
      <c r="I40" s="297">
        <f t="shared" si="6"/>
        <v>0</v>
      </c>
      <c r="K40" s="629">
        <f>VLOOKUP(A40,'Level 2 - Transmitted (2)'!$A$20:$K$335,11,FALSE)</f>
        <v>0</v>
      </c>
      <c r="L40" s="96"/>
      <c r="N40" s="296">
        <f t="shared" si="13"/>
        <v>0</v>
      </c>
      <c r="P40" s="297">
        <f t="shared" si="7"/>
        <v>0</v>
      </c>
      <c r="R40" s="629">
        <f>VLOOKUP(A40,'Level 3'!$A$20:$K$319,11,FALSE)</f>
        <v>0</v>
      </c>
      <c r="S40" s="96"/>
      <c r="T40" s="296">
        <f t="shared" si="14"/>
        <v>0</v>
      </c>
      <c r="U40" s="297">
        <f t="shared" si="15"/>
        <v>0</v>
      </c>
      <c r="V40" s="84"/>
      <c r="AA40" s="880"/>
    </row>
    <row r="41" spans="1:28" outlineLevel="1">
      <c r="A41" s="311" t="s">
        <v>982</v>
      </c>
      <c r="C41" s="629"/>
      <c r="D41" s="96"/>
      <c r="F41" s="629"/>
      <c r="G41" s="96"/>
      <c r="H41" s="296"/>
      <c r="I41" s="297"/>
      <c r="K41" s="629">
        <v>0</v>
      </c>
      <c r="L41" s="96"/>
      <c r="N41" s="296">
        <f t="shared" ref="N41" si="16">C41-K41</f>
        <v>0</v>
      </c>
      <c r="P41" s="297">
        <f t="shared" ref="P41" si="17">IF(D41=0,0,N41/D41)</f>
        <v>0</v>
      </c>
      <c r="R41" s="629">
        <f>VLOOKUP(A41,'Level 3'!$A$20:$K$319,11,FALSE)</f>
        <v>6000</v>
      </c>
      <c r="S41" s="96"/>
      <c r="T41" s="296">
        <f t="shared" ref="T41" si="18">K41-R41</f>
        <v>-6000</v>
      </c>
      <c r="U41" s="297">
        <f t="shared" ref="U41" si="19">IF(K41=0,0,T41/K41)</f>
        <v>0</v>
      </c>
      <c r="V41" s="84"/>
      <c r="AA41" s="880"/>
    </row>
    <row r="42" spans="1:28" outlineLevel="1">
      <c r="A42" s="311" t="s">
        <v>294</v>
      </c>
      <c r="C42" s="629">
        <f>'Level 1'!K55</f>
        <v>0</v>
      </c>
      <c r="D42" s="96"/>
      <c r="F42" s="629">
        <f>VLOOKUP(A42,'Level 1.1 UPDATE A'!$A$21:$K$292,11,FALSE)</f>
        <v>0</v>
      </c>
      <c r="G42" s="96"/>
      <c r="H42" s="296">
        <f t="shared" si="12"/>
        <v>0</v>
      </c>
      <c r="I42" s="297">
        <f t="shared" si="6"/>
        <v>0</v>
      </c>
      <c r="K42" s="629">
        <f>VLOOKUP(A42,'Level 2 - Transmitted (2)'!$A$20:$K$335,11,FALSE)</f>
        <v>0</v>
      </c>
      <c r="L42" s="96"/>
      <c r="N42" s="296">
        <f t="shared" si="13"/>
        <v>0</v>
      </c>
      <c r="P42" s="297">
        <f t="shared" si="7"/>
        <v>0</v>
      </c>
      <c r="R42" s="629">
        <f>VLOOKUP(A42,'Level 3'!$A$20:$K$319,11,FALSE)</f>
        <v>0</v>
      </c>
      <c r="S42" s="96"/>
      <c r="T42" s="296">
        <f t="shared" si="14"/>
        <v>0</v>
      </c>
      <c r="U42" s="297">
        <f t="shared" si="15"/>
        <v>0</v>
      </c>
      <c r="V42" s="84"/>
    </row>
    <row r="43" spans="1:28" outlineLevel="1">
      <c r="A43" s="311" t="s">
        <v>296</v>
      </c>
      <c r="C43" s="629">
        <f>'Level 1'!K56</f>
        <v>1950</v>
      </c>
      <c r="D43" s="96"/>
      <c r="F43" s="629">
        <f>VLOOKUP(A43,'Level 1.1 UPDATE A'!$A$21:$K$292,11,FALSE)</f>
        <v>1950</v>
      </c>
      <c r="G43" s="96"/>
      <c r="H43" s="296">
        <f t="shared" si="12"/>
        <v>0</v>
      </c>
      <c r="I43" s="297">
        <f t="shared" si="6"/>
        <v>0</v>
      </c>
      <c r="K43" s="629">
        <f>VLOOKUP(A43,'Level 2 - Transmitted (2)'!$A$20:$K$335,11,FALSE)</f>
        <v>2000</v>
      </c>
      <c r="L43" s="96"/>
      <c r="N43" s="296">
        <f t="shared" si="13"/>
        <v>-50</v>
      </c>
      <c r="P43" s="297">
        <f t="shared" si="7"/>
        <v>0</v>
      </c>
      <c r="R43" s="629">
        <f>VLOOKUP(A43,'Level 3'!$A$20:$K$319,11,FALSE)</f>
        <v>2000</v>
      </c>
      <c r="S43" s="96"/>
      <c r="T43" s="296">
        <f t="shared" si="14"/>
        <v>0</v>
      </c>
      <c r="U43" s="297">
        <f t="shared" si="15"/>
        <v>0</v>
      </c>
      <c r="V43" s="84"/>
    </row>
    <row r="44" spans="1:28" outlineLevel="1">
      <c r="A44" s="311" t="s">
        <v>298</v>
      </c>
      <c r="C44" s="629">
        <f>'Level 1'!K57</f>
        <v>250976</v>
      </c>
      <c r="D44" s="96"/>
      <c r="F44" s="629">
        <f>VLOOKUP(A44,'Level 1.1 UPDATE A'!$A$21:$K$292,11,FALSE)</f>
        <v>269744</v>
      </c>
      <c r="G44" s="96"/>
      <c r="H44" s="296">
        <f t="shared" si="12"/>
        <v>-18768</v>
      </c>
      <c r="I44" s="297">
        <f t="shared" si="6"/>
        <v>0</v>
      </c>
      <c r="K44" s="629">
        <f>VLOOKUP(A44,'Level 2 - Transmitted (2)'!$A$20:$K$335,11,FALSE)</f>
        <v>282872.39999999997</v>
      </c>
      <c r="L44" s="96"/>
      <c r="N44" s="296">
        <f t="shared" si="13"/>
        <v>-31896.399999999965</v>
      </c>
      <c r="P44" s="297">
        <f t="shared" si="7"/>
        <v>0</v>
      </c>
      <c r="R44" s="629">
        <f>VLOOKUP(A44,'Level 3'!$A$20:$K$319,11,FALSE)</f>
        <v>300204</v>
      </c>
      <c r="S44" s="96"/>
      <c r="T44" s="296">
        <f t="shared" si="14"/>
        <v>-17331.600000000035</v>
      </c>
      <c r="U44" s="297">
        <f t="shared" si="15"/>
        <v>-6.1270028465131403E-2</v>
      </c>
      <c r="V44" s="84"/>
    </row>
    <row r="45" spans="1:28" outlineLevel="1">
      <c r="A45" s="311" t="s">
        <v>301</v>
      </c>
      <c r="C45" s="629">
        <f>'Level 1'!K58</f>
        <v>0</v>
      </c>
      <c r="D45" s="96"/>
      <c r="F45" s="629">
        <f>VLOOKUP(A45,'Level 1.1 UPDATE A'!$A$21:$K$292,11,FALSE)</f>
        <v>0</v>
      </c>
      <c r="G45" s="96"/>
      <c r="H45" s="296">
        <f t="shared" si="12"/>
        <v>0</v>
      </c>
      <c r="I45" s="297">
        <f t="shared" si="6"/>
        <v>0</v>
      </c>
      <c r="K45" s="629">
        <f>VLOOKUP(A45,'Level 2 - Transmitted (2)'!$A$20:$K$335,11,FALSE)</f>
        <v>0</v>
      </c>
      <c r="L45" s="96"/>
      <c r="N45" s="296">
        <f t="shared" si="13"/>
        <v>0</v>
      </c>
      <c r="P45" s="297">
        <f t="shared" si="7"/>
        <v>0</v>
      </c>
      <c r="R45" s="629">
        <f>VLOOKUP(A45,'Level 3'!$A$20:$K$319,11,FALSE)</f>
        <v>0</v>
      </c>
      <c r="S45" s="96"/>
      <c r="T45" s="296">
        <f t="shared" si="14"/>
        <v>0</v>
      </c>
      <c r="U45" s="297">
        <f t="shared" si="15"/>
        <v>0</v>
      </c>
      <c r="V45" s="84"/>
    </row>
    <row r="46" spans="1:28">
      <c r="A46" s="613" t="s">
        <v>284</v>
      </c>
      <c r="C46" s="632"/>
      <c r="D46" s="327">
        <f>'Level 1'!L50</f>
        <v>522166</v>
      </c>
      <c r="F46" s="632"/>
      <c r="G46" s="327">
        <f>VLOOKUP(A46,'Level 1.1 UPDATE A'!$A$20:$L$330,12,FALSE)</f>
        <v>500854</v>
      </c>
      <c r="H46" s="328">
        <f>D46-G46</f>
        <v>21312</v>
      </c>
      <c r="I46" s="329">
        <f t="shared" si="6"/>
        <v>4.081460684916291E-2</v>
      </c>
      <c r="K46" s="632"/>
      <c r="L46" s="327">
        <f>VLOOKUP(A46,'Level 2 - Transmitted (2)'!$A$21:$L$335,12,FALSE)</f>
        <v>609026.97560000001</v>
      </c>
      <c r="M46" s="388"/>
      <c r="N46" s="328">
        <f>D46-L46</f>
        <v>-86860.975600000005</v>
      </c>
      <c r="O46" s="388"/>
      <c r="P46" s="329">
        <f t="shared" si="7"/>
        <v>-0.16634743663892326</v>
      </c>
      <c r="R46" s="632"/>
      <c r="S46" s="327">
        <f>VLOOKUP(A46,'Level 3'!$A$21:$L$320,12,FALSE)</f>
        <v>716686.6</v>
      </c>
      <c r="T46" s="328">
        <f>L46-S46</f>
        <v>-107659.62439999997</v>
      </c>
      <c r="U46" s="329">
        <f>IF(L46=0,0,T46/L46)</f>
        <v>-0.17677316229537465</v>
      </c>
      <c r="V46" s="84"/>
      <c r="AA46" s="351"/>
    </row>
    <row r="47" spans="1:28" outlineLevel="1">
      <c r="A47" s="614" t="s">
        <v>307</v>
      </c>
      <c r="C47" s="631">
        <f>'Level 1'!K60</f>
        <v>0</v>
      </c>
      <c r="D47" s="615"/>
      <c r="F47" s="631">
        <f>VLOOKUP(A47,'Level 1.1 UPDATE A'!$A$21:$K$292,11,FALSE)</f>
        <v>0</v>
      </c>
      <c r="G47" s="615"/>
      <c r="H47" s="617">
        <f t="shared" ref="H47:H59" si="20">C47-F47</f>
        <v>0</v>
      </c>
      <c r="I47" s="618">
        <f t="shared" si="6"/>
        <v>0</v>
      </c>
      <c r="K47" s="631">
        <f>VLOOKUP(A47,'Level 2 - Transmitted (2)'!$A$20:$K$335,11,FALSE)</f>
        <v>0</v>
      </c>
      <c r="L47" s="615"/>
      <c r="M47" s="619"/>
      <c r="N47" s="617">
        <f t="shared" ref="N47:N59" si="21">C47-K47</f>
        <v>0</v>
      </c>
      <c r="O47" s="619"/>
      <c r="P47" s="618">
        <f t="shared" si="7"/>
        <v>0</v>
      </c>
      <c r="R47" s="631">
        <f>VLOOKUP(A47,'Level 3'!$A$20:$K$319,11,FALSE)</f>
        <v>0</v>
      </c>
      <c r="S47" s="615"/>
      <c r="T47" s="617">
        <f t="shared" ref="T47:T59" si="22">K47-R47</f>
        <v>0</v>
      </c>
      <c r="U47" s="618">
        <f t="shared" ref="U47:U59" si="23">IF(K47=0,0,T47/K47)</f>
        <v>0</v>
      </c>
      <c r="V47" s="84"/>
    </row>
    <row r="48" spans="1:28" outlineLevel="1">
      <c r="A48" s="311" t="s">
        <v>310</v>
      </c>
      <c r="C48" s="629">
        <f>'Level 1'!K61</f>
        <v>9052854.5600000005</v>
      </c>
      <c r="D48" s="96"/>
      <c r="F48" s="629">
        <f>VLOOKUP(A48,'Level 1.1 UPDATE A'!$A$21:$K$292,11,FALSE)</f>
        <v>8940467.040000001</v>
      </c>
      <c r="G48" s="96"/>
      <c r="H48" s="296">
        <f t="shared" si="20"/>
        <v>112387.51999999955</v>
      </c>
      <c r="I48" s="297">
        <f t="shared" si="6"/>
        <v>0</v>
      </c>
      <c r="K48" s="629">
        <f>VLOOKUP(A48,'Level 2 - Transmitted (2)'!$A$20:$K$335,11,FALSE)</f>
        <v>7607430</v>
      </c>
      <c r="L48" s="96"/>
      <c r="N48" s="296">
        <f t="shared" si="21"/>
        <v>1445424.5600000005</v>
      </c>
      <c r="P48" s="297">
        <f t="shared" si="7"/>
        <v>0</v>
      </c>
      <c r="R48" s="629">
        <f>VLOOKUP(A48,'Level 3'!$A$20:$K$319,11,FALSE)</f>
        <v>7487665.333333333</v>
      </c>
      <c r="S48" s="96"/>
      <c r="T48" s="296">
        <f t="shared" si="22"/>
        <v>119764.66666666698</v>
      </c>
      <c r="U48" s="297">
        <f t="shared" si="23"/>
        <v>1.5743117802814746E-2</v>
      </c>
      <c r="V48" s="84" t="s">
        <v>1025</v>
      </c>
    </row>
    <row r="49" spans="1:22" outlineLevel="1">
      <c r="A49" s="311" t="s">
        <v>314</v>
      </c>
      <c r="C49" s="629">
        <f>'Level 1'!K62</f>
        <v>0</v>
      </c>
      <c r="D49" s="96"/>
      <c r="F49" s="629">
        <f>VLOOKUP(A49,'Level 1.1 UPDATE A'!$A$21:$K$292,11,FALSE)</f>
        <v>0</v>
      </c>
      <c r="G49" s="96"/>
      <c r="H49" s="296">
        <f t="shared" si="20"/>
        <v>0</v>
      </c>
      <c r="I49" s="297">
        <f t="shared" si="6"/>
        <v>0</v>
      </c>
      <c r="K49" s="629">
        <f>VLOOKUP(A49,'Level 2 - Transmitted (2)'!$A$20:$K$335,11,FALSE)</f>
        <v>0</v>
      </c>
      <c r="L49" s="96"/>
      <c r="N49" s="296">
        <f t="shared" si="21"/>
        <v>0</v>
      </c>
      <c r="P49" s="297">
        <f t="shared" si="7"/>
        <v>0</v>
      </c>
      <c r="R49" s="629">
        <f>VLOOKUP(A49,'Level 3'!$A$20:$K$319,11,FALSE)</f>
        <v>0</v>
      </c>
      <c r="S49" s="96"/>
      <c r="T49" s="296">
        <f t="shared" si="22"/>
        <v>0</v>
      </c>
      <c r="U49" s="297">
        <f t="shared" si="23"/>
        <v>0</v>
      </c>
      <c r="V49" s="84"/>
    </row>
    <row r="50" spans="1:22" outlineLevel="1">
      <c r="A50" s="311" t="s">
        <v>315</v>
      </c>
      <c r="C50" s="629">
        <f>'Level 1'!K63</f>
        <v>0</v>
      </c>
      <c r="D50" s="96"/>
      <c r="F50" s="629">
        <f>VLOOKUP(A50,'Level 1.1 UPDATE A'!$A$21:$K$292,11,FALSE)</f>
        <v>0</v>
      </c>
      <c r="G50" s="96"/>
      <c r="H50" s="296">
        <f t="shared" si="20"/>
        <v>0</v>
      </c>
      <c r="I50" s="297">
        <f t="shared" si="6"/>
        <v>0</v>
      </c>
      <c r="K50" s="629">
        <f>VLOOKUP(A50,'Level 2 - Transmitted (2)'!$A$20:$K$335,11,FALSE)</f>
        <v>15000</v>
      </c>
      <c r="L50" s="96"/>
      <c r="N50" s="296">
        <f t="shared" si="21"/>
        <v>-15000</v>
      </c>
      <c r="P50" s="297">
        <f t="shared" si="7"/>
        <v>0</v>
      </c>
      <c r="R50" s="629">
        <f>VLOOKUP(A50,'Level 3'!$A$20:$K$319,11,FALSE)</f>
        <v>15000</v>
      </c>
      <c r="S50" s="96"/>
      <c r="T50" s="296">
        <f t="shared" si="22"/>
        <v>0</v>
      </c>
      <c r="U50" s="297">
        <f t="shared" si="23"/>
        <v>0</v>
      </c>
      <c r="V50" s="84"/>
    </row>
    <row r="51" spans="1:22" outlineLevel="1">
      <c r="A51" s="311" t="s">
        <v>317</v>
      </c>
      <c r="C51" s="629">
        <f>'Level 1'!K64</f>
        <v>15000</v>
      </c>
      <c r="D51" s="96"/>
      <c r="F51" s="629">
        <f>VLOOKUP(A51,'Level 1.1 UPDATE A'!$A$21:$K$292,11,FALSE)</f>
        <v>10000</v>
      </c>
      <c r="G51" s="96"/>
      <c r="H51" s="296">
        <f t="shared" si="20"/>
        <v>5000</v>
      </c>
      <c r="I51" s="297">
        <f t="shared" si="6"/>
        <v>0</v>
      </c>
      <c r="K51" s="629">
        <f>VLOOKUP(A51,'Level 2 - Transmitted (2)'!$A$20:$K$335,11,FALSE)</f>
        <v>20000</v>
      </c>
      <c r="L51" s="96"/>
      <c r="N51" s="296">
        <f t="shared" si="21"/>
        <v>-5000</v>
      </c>
      <c r="P51" s="297">
        <f t="shared" si="7"/>
        <v>0</v>
      </c>
      <c r="R51" s="629">
        <f>VLOOKUP(A51,'Level 3'!$A$20:$K$319,11,FALSE)</f>
        <v>20000</v>
      </c>
      <c r="S51" s="96"/>
      <c r="T51" s="296">
        <f t="shared" si="22"/>
        <v>0</v>
      </c>
      <c r="U51" s="297">
        <f t="shared" si="23"/>
        <v>0</v>
      </c>
      <c r="V51" s="84"/>
    </row>
    <row r="52" spans="1:22" outlineLevel="1">
      <c r="A52" s="311" t="s">
        <v>319</v>
      </c>
      <c r="C52" s="629">
        <f>'Level 1'!K65</f>
        <v>0</v>
      </c>
      <c r="D52" s="96"/>
      <c r="F52" s="629">
        <f>VLOOKUP(A52,'Level 1.1 UPDATE A'!$A$21:$K$292,11,FALSE)</f>
        <v>0</v>
      </c>
      <c r="G52" s="96"/>
      <c r="H52" s="296">
        <f t="shared" si="20"/>
        <v>0</v>
      </c>
      <c r="I52" s="297">
        <f t="shared" si="6"/>
        <v>0</v>
      </c>
      <c r="K52" s="629">
        <f>VLOOKUP(A52,'Level 2 - Transmitted (2)'!$A$20:$K$335,11,FALSE)</f>
        <v>0</v>
      </c>
      <c r="L52" s="96"/>
      <c r="N52" s="296">
        <f t="shared" si="21"/>
        <v>0</v>
      </c>
      <c r="P52" s="297">
        <f t="shared" si="7"/>
        <v>0</v>
      </c>
      <c r="R52" s="629">
        <f>VLOOKUP(A52,'Level 3'!$A$20:$K$319,11,FALSE)</f>
        <v>0</v>
      </c>
      <c r="S52" s="96"/>
      <c r="T52" s="296">
        <f t="shared" si="22"/>
        <v>0</v>
      </c>
      <c r="U52" s="297">
        <f t="shared" si="23"/>
        <v>0</v>
      </c>
      <c r="V52" s="84"/>
    </row>
    <row r="53" spans="1:22" outlineLevel="1">
      <c r="A53" s="311" t="s">
        <v>321</v>
      </c>
      <c r="C53" s="629">
        <f>'Level 1'!K66</f>
        <v>0</v>
      </c>
      <c r="D53" s="96"/>
      <c r="F53" s="629">
        <f>VLOOKUP(A53,'Level 1.1 UPDATE A'!$A$21:$K$292,11,FALSE)</f>
        <v>0</v>
      </c>
      <c r="G53" s="96"/>
      <c r="H53" s="296">
        <f t="shared" si="20"/>
        <v>0</v>
      </c>
      <c r="I53" s="297">
        <f t="shared" si="6"/>
        <v>0</v>
      </c>
      <c r="K53" s="629">
        <f>VLOOKUP(A53,'Level 2 - Transmitted (2)'!$A$20:$K$335,11,FALSE)</f>
        <v>0</v>
      </c>
      <c r="L53" s="96"/>
      <c r="N53" s="296">
        <f t="shared" si="21"/>
        <v>0</v>
      </c>
      <c r="P53" s="297">
        <f t="shared" si="7"/>
        <v>0</v>
      </c>
      <c r="R53" s="629">
        <f>VLOOKUP(A53,'Level 3'!$A$20:$K$319,11,FALSE)</f>
        <v>0</v>
      </c>
      <c r="S53" s="96"/>
      <c r="T53" s="296">
        <f t="shared" si="22"/>
        <v>0</v>
      </c>
      <c r="U53" s="297">
        <f t="shared" si="23"/>
        <v>0</v>
      </c>
      <c r="V53" s="84"/>
    </row>
    <row r="54" spans="1:22" outlineLevel="1">
      <c r="A54" s="311" t="s">
        <v>323</v>
      </c>
      <c r="C54" s="629">
        <f>'Level 1'!K67</f>
        <v>0</v>
      </c>
      <c r="D54" s="96"/>
      <c r="F54" s="629">
        <f>VLOOKUP(A54,'Level 1.1 UPDATE A'!$A$21:$K$292,11,FALSE)</f>
        <v>0</v>
      </c>
      <c r="G54" s="96"/>
      <c r="H54" s="296">
        <f t="shared" si="20"/>
        <v>0</v>
      </c>
      <c r="I54" s="297">
        <f t="shared" si="6"/>
        <v>0</v>
      </c>
      <c r="K54" s="629">
        <f>VLOOKUP(A54,'Level 2 - Transmitted (2)'!$A$20:$K$335,11,FALSE)</f>
        <v>0</v>
      </c>
      <c r="L54" s="96"/>
      <c r="N54" s="296">
        <f t="shared" si="21"/>
        <v>0</v>
      </c>
      <c r="P54" s="297">
        <f t="shared" si="7"/>
        <v>0</v>
      </c>
      <c r="R54" s="629">
        <f>VLOOKUP(A54,'Level 3'!$A$20:$K$319,11,FALSE)</f>
        <v>0</v>
      </c>
      <c r="S54" s="96"/>
      <c r="T54" s="296">
        <f t="shared" si="22"/>
        <v>0</v>
      </c>
      <c r="U54" s="297">
        <f t="shared" si="23"/>
        <v>0</v>
      </c>
      <c r="V54" s="84"/>
    </row>
    <row r="55" spans="1:22" outlineLevel="1">
      <c r="A55" s="620" t="s">
        <v>324</v>
      </c>
      <c r="C55" s="629">
        <f>'Level 1'!K68</f>
        <v>1430266.6423026158</v>
      </c>
      <c r="D55" s="96"/>
      <c r="F55" s="629">
        <f>VLOOKUP(A55,'Level 1.1 UPDATE A'!$A$21:$K$292,11,FALSE)</f>
        <v>1430266.6423026158</v>
      </c>
      <c r="G55" s="96"/>
      <c r="H55" s="296">
        <f t="shared" si="20"/>
        <v>0</v>
      </c>
      <c r="I55" s="297">
        <f t="shared" si="6"/>
        <v>0</v>
      </c>
      <c r="K55" s="629">
        <f>VLOOKUP(A55,'Level 2 - Transmitted (2)'!$A$20:$K$335,11,FALSE)</f>
        <v>1170454</v>
      </c>
      <c r="L55" s="96"/>
      <c r="N55" s="296">
        <f t="shared" si="21"/>
        <v>259812.6423026158</v>
      </c>
      <c r="P55" s="297">
        <f t="shared" si="7"/>
        <v>0</v>
      </c>
      <c r="R55" s="629">
        <f>VLOOKUP(A55,'Level 3'!$A$20:$K$319,11,FALSE)</f>
        <v>1171049.1499999999</v>
      </c>
      <c r="S55" s="96"/>
      <c r="T55" s="296">
        <f t="shared" si="22"/>
        <v>-595.14999999990687</v>
      </c>
      <c r="U55" s="297">
        <f t="shared" si="23"/>
        <v>-5.0847790686341099E-4</v>
      </c>
      <c r="V55" s="84"/>
    </row>
    <row r="56" spans="1:22" outlineLevel="1">
      <c r="A56" s="311" t="s">
        <v>328</v>
      </c>
      <c r="C56" s="629">
        <f>'Level 1'!K69</f>
        <v>315492.08380378876</v>
      </c>
      <c r="D56" s="96"/>
      <c r="F56" s="629">
        <f>VLOOKUP(A56,'Level 1.1 UPDATE A'!$A$21:$K$292,11,FALSE)</f>
        <v>298513.42616986576</v>
      </c>
      <c r="G56" s="96"/>
      <c r="H56" s="296">
        <f t="shared" si="20"/>
        <v>16978.657633922994</v>
      </c>
      <c r="I56" s="297">
        <f t="shared" si="6"/>
        <v>0</v>
      </c>
      <c r="K56" s="629">
        <f>VLOOKUP(A56,'Level 2 - Transmitted (2)'!$A$20:$K$335,11,FALSE)</f>
        <v>502007</v>
      </c>
      <c r="L56" s="96"/>
      <c r="N56" s="296">
        <f t="shared" si="21"/>
        <v>-186514.91619621124</v>
      </c>
      <c r="P56" s="297">
        <f t="shared" si="7"/>
        <v>0</v>
      </c>
      <c r="R56" s="629">
        <f>VLOOKUP(A56,'Level 3'!$A$20:$K$319,11,FALSE)</f>
        <v>502007</v>
      </c>
      <c r="S56" s="96"/>
      <c r="T56" s="296">
        <f t="shared" si="22"/>
        <v>0</v>
      </c>
      <c r="U56" s="297">
        <f t="shared" si="23"/>
        <v>0</v>
      </c>
      <c r="V56" s="84"/>
    </row>
    <row r="57" spans="1:22" outlineLevel="1">
      <c r="A57" s="311" t="s">
        <v>986</v>
      </c>
      <c r="C57" s="629"/>
      <c r="D57" s="96"/>
      <c r="F57" s="629"/>
      <c r="G57" s="96"/>
      <c r="H57" s="296"/>
      <c r="I57" s="297"/>
      <c r="K57" s="629">
        <v>0</v>
      </c>
      <c r="L57" s="96"/>
      <c r="N57" s="296"/>
      <c r="P57" s="297"/>
      <c r="R57" s="629">
        <f>VLOOKUP(A57,'Level 3'!$A$20:$K$319,11,FALSE)</f>
        <v>2500</v>
      </c>
      <c r="S57" s="96"/>
      <c r="T57" s="296">
        <f t="shared" ref="T57" si="24">K57-R57</f>
        <v>-2500</v>
      </c>
      <c r="U57" s="297">
        <f t="shared" ref="U57" si="25">IF(K57=0,0,T57/K57)</f>
        <v>0</v>
      </c>
      <c r="V57" s="84"/>
    </row>
    <row r="58" spans="1:22" outlineLevel="1">
      <c r="A58" s="311" t="s">
        <v>331</v>
      </c>
      <c r="C58" s="629">
        <f>'Level 1'!K70</f>
        <v>7200</v>
      </c>
      <c r="D58" s="96"/>
      <c r="F58" s="629">
        <f>VLOOKUP(A58,'Level 1.1 UPDATE A'!$A$21:$K$292,11,FALSE)</f>
        <v>4800</v>
      </c>
      <c r="G58" s="96"/>
      <c r="H58" s="296">
        <f t="shared" si="20"/>
        <v>2400</v>
      </c>
      <c r="I58" s="297">
        <f t="shared" si="6"/>
        <v>0</v>
      </c>
      <c r="K58" s="629">
        <f>VLOOKUP(A58,'Level 2 - Transmitted (2)'!$A$20:$K$335,11,FALSE)</f>
        <v>9600</v>
      </c>
      <c r="L58" s="96"/>
      <c r="N58" s="296">
        <f t="shared" si="21"/>
        <v>-2400</v>
      </c>
      <c r="P58" s="297">
        <f t="shared" si="7"/>
        <v>0</v>
      </c>
      <c r="R58" s="629">
        <f>VLOOKUP(A58,'Level 3'!$A$20:$K$319,11,FALSE)</f>
        <v>9600</v>
      </c>
      <c r="S58" s="96"/>
      <c r="T58" s="296">
        <f t="shared" si="22"/>
        <v>0</v>
      </c>
      <c r="U58" s="297">
        <f t="shared" si="23"/>
        <v>0</v>
      </c>
      <c r="V58" s="84"/>
    </row>
    <row r="59" spans="1:22" outlineLevel="1">
      <c r="A59" s="311" t="s">
        <v>333</v>
      </c>
      <c r="C59" s="629">
        <f>'Level 1'!K71</f>
        <v>0</v>
      </c>
      <c r="D59" s="96"/>
      <c r="F59" s="629">
        <f>VLOOKUP(A59,'Level 1.1 UPDATE A'!$A$21:$K$292,11,FALSE)</f>
        <v>0</v>
      </c>
      <c r="G59" s="96"/>
      <c r="H59" s="296">
        <f t="shared" si="20"/>
        <v>0</v>
      </c>
      <c r="I59" s="297">
        <f t="shared" si="6"/>
        <v>0</v>
      </c>
      <c r="K59" s="629">
        <f>VLOOKUP(A59,'Level 2 - Transmitted (2)'!$A$20:$K$335,11,FALSE)</f>
        <v>0</v>
      </c>
      <c r="L59" s="96"/>
      <c r="N59" s="296">
        <f t="shared" si="21"/>
        <v>0</v>
      </c>
      <c r="P59" s="297">
        <f t="shared" si="7"/>
        <v>0</v>
      </c>
      <c r="R59" s="629">
        <f>VLOOKUP(A59,'Level 3'!$A$20:$K$319,11,FALSE)</f>
        <v>0</v>
      </c>
      <c r="S59" s="96"/>
      <c r="T59" s="296">
        <f t="shared" si="22"/>
        <v>0</v>
      </c>
      <c r="U59" s="297">
        <f t="shared" si="23"/>
        <v>0</v>
      </c>
      <c r="V59" s="84"/>
    </row>
    <row r="60" spans="1:22">
      <c r="A60" s="613" t="s">
        <v>305</v>
      </c>
      <c r="C60" s="632"/>
      <c r="D60" s="327">
        <f>'Level 1'!L59</f>
        <v>10820813.286106404</v>
      </c>
      <c r="F60" s="632"/>
      <c r="G60" s="327">
        <f>VLOOKUP(A60,'Level 1.1 UPDATE A'!$A$20:$L$330,12,FALSE)</f>
        <v>10684047.108472481</v>
      </c>
      <c r="H60" s="328">
        <f>D60-G60</f>
        <v>136766.17763392255</v>
      </c>
      <c r="I60" s="329">
        <f t="shared" si="6"/>
        <v>1.2639177298209753E-2</v>
      </c>
      <c r="K60" s="632"/>
      <c r="L60" s="327">
        <f>VLOOKUP(A60,'Level 2 - Transmitted (2)'!$A$21:$L$335,12,FALSE)</f>
        <v>9324491</v>
      </c>
      <c r="M60" s="388"/>
      <c r="N60" s="328">
        <f>D60-L60</f>
        <v>1496322.2861064039</v>
      </c>
      <c r="O60" s="388"/>
      <c r="P60" s="329">
        <f t="shared" si="7"/>
        <v>0.13828186907426232</v>
      </c>
      <c r="R60" s="632"/>
      <c r="S60" s="327">
        <f>VLOOKUP(A60,'Level 3'!$A$21:$L$320,12,FALSE)</f>
        <v>9207821.4833333325</v>
      </c>
      <c r="T60" s="328">
        <f>L60-S60</f>
        <v>116669.51666666754</v>
      </c>
      <c r="U60" s="329">
        <f>IF(L60=0,0,T60/L60)</f>
        <v>1.2512159287479343E-2</v>
      </c>
      <c r="V60" s="84"/>
    </row>
    <row r="61" spans="1:22" ht="14.25" customHeight="1" outlineLevel="1">
      <c r="A61" s="614" t="s">
        <v>338</v>
      </c>
      <c r="C61" s="631">
        <f>'Level 1'!K73</f>
        <v>1166159.7000000002</v>
      </c>
      <c r="D61" s="615"/>
      <c r="F61" s="631">
        <f>VLOOKUP(A61,'Level 1.1 UPDATE A'!$A$21:$K$292,11,FALSE)</f>
        <v>1151682.3</v>
      </c>
      <c r="G61" s="615"/>
      <c r="H61" s="617">
        <f t="shared" ref="H61:H73" si="26">C61-F61</f>
        <v>14477.40000000014</v>
      </c>
      <c r="I61" s="618">
        <f t="shared" si="6"/>
        <v>0</v>
      </c>
      <c r="K61" s="631">
        <f>VLOOKUP(A61,'Level 2 - Transmitted (2)'!$A$20:$K$335,11,FALSE)</f>
        <v>1056587.5</v>
      </c>
      <c r="L61" s="615"/>
      <c r="M61" s="619"/>
      <c r="N61" s="617">
        <f t="shared" ref="N61:N73" si="27">C61-K61</f>
        <v>109572.20000000019</v>
      </c>
      <c r="O61" s="619"/>
      <c r="P61" s="618">
        <f t="shared" si="7"/>
        <v>0</v>
      </c>
      <c r="R61" s="631">
        <f>VLOOKUP(A61,'Level 3'!$A$20:$K$319,11,FALSE)</f>
        <v>1005655</v>
      </c>
      <c r="S61" s="615"/>
      <c r="T61" s="617">
        <f t="shared" ref="T61:T73" si="28">K61-R61</f>
        <v>50932.5</v>
      </c>
      <c r="U61" s="618">
        <f t="shared" ref="U61:U73" si="29">IF(K61=0,0,T61/K61)</f>
        <v>4.8204715652986618E-2</v>
      </c>
      <c r="V61" s="84"/>
    </row>
    <row r="62" spans="1:22" ht="14.25" customHeight="1" outlineLevel="1">
      <c r="A62" s="311" t="s">
        <v>988</v>
      </c>
      <c r="C62" s="629"/>
      <c r="D62" s="96"/>
      <c r="F62" s="629"/>
      <c r="G62" s="96"/>
      <c r="H62" s="296"/>
      <c r="I62" s="297"/>
      <c r="K62" s="629">
        <v>0</v>
      </c>
      <c r="L62" s="96"/>
      <c r="N62" s="296"/>
      <c r="P62" s="297"/>
      <c r="R62" s="633">
        <f>VLOOKUP(A62,'Level 3'!$A$20:$K$319,11,FALSE)</f>
        <v>1070.7696948903902</v>
      </c>
      <c r="S62" s="96"/>
      <c r="T62" s="296">
        <f t="shared" ref="T62" si="30">K62-R62</f>
        <v>-1070.7696948903902</v>
      </c>
      <c r="U62" s="297">
        <f t="shared" ref="U62" si="31">IF(K62=0,0,T62/K62)</f>
        <v>0</v>
      </c>
      <c r="V62" s="84"/>
    </row>
    <row r="63" spans="1:22" outlineLevel="1">
      <c r="A63" s="311" t="s">
        <v>154</v>
      </c>
      <c r="C63" s="633">
        <f>'Level 1'!K74</f>
        <v>1052524.44</v>
      </c>
      <c r="D63" s="96"/>
      <c r="F63" s="633">
        <f>VLOOKUP(A63,'Level 1.1 UPDATE A'!$A$21:$K$292,11,FALSE)</f>
        <v>903052.79999999993</v>
      </c>
      <c r="G63" s="96"/>
      <c r="H63" s="296">
        <f t="shared" si="26"/>
        <v>149471.64000000001</v>
      </c>
      <c r="I63" s="297">
        <f t="shared" si="6"/>
        <v>0</v>
      </c>
      <c r="K63" s="633">
        <f>VLOOKUP(A63,'Level 2 - Transmitted (2)'!$A$20:$K$335,11,FALSE)</f>
        <v>979716.27149999992</v>
      </c>
      <c r="L63" s="96"/>
      <c r="N63" s="296">
        <f>C63-K63</f>
        <v>72808.168500000029</v>
      </c>
      <c r="P63" s="297">
        <f t="shared" si="7"/>
        <v>0</v>
      </c>
      <c r="R63" s="633">
        <f>VLOOKUP(A63,'Level 3'!$A$20:$K$319,11,FALSE)</f>
        <v>992777.33333333337</v>
      </c>
      <c r="S63" s="96"/>
      <c r="T63" s="296">
        <f t="shared" si="28"/>
        <v>-13061.061833333457</v>
      </c>
      <c r="U63" s="297">
        <f t="shared" si="29"/>
        <v>-1.3331473828985455E-2</v>
      </c>
      <c r="V63" s="84"/>
    </row>
    <row r="64" spans="1:22" outlineLevel="1">
      <c r="A64" s="311" t="s">
        <v>989</v>
      </c>
      <c r="C64" s="633"/>
      <c r="D64" s="96"/>
      <c r="F64" s="633"/>
      <c r="G64" s="96"/>
      <c r="H64" s="296"/>
      <c r="I64" s="297"/>
      <c r="K64" s="633">
        <v>0</v>
      </c>
      <c r="L64" s="96"/>
      <c r="N64" s="296"/>
      <c r="P64" s="297"/>
      <c r="R64" s="633">
        <f>VLOOKUP(A64,'Level 3'!$A$20:$K$319,11,FALSE)</f>
        <v>7500</v>
      </c>
      <c r="S64" s="96"/>
      <c r="T64" s="296">
        <f t="shared" ref="T64" si="32">K64-R64</f>
        <v>-7500</v>
      </c>
      <c r="U64" s="297">
        <f t="shared" ref="U64" si="33">IF(K64=0,0,T64/K64)</f>
        <v>0</v>
      </c>
      <c r="V64" s="84"/>
    </row>
    <row r="65" spans="1:22" outlineLevel="1">
      <c r="A65" s="311" t="s">
        <v>344</v>
      </c>
      <c r="C65" s="633">
        <f>'Level 1'!K75</f>
        <v>0</v>
      </c>
      <c r="D65" s="96"/>
      <c r="F65" s="633">
        <f>VLOOKUP(A65,'Level 1.1 UPDATE A'!$A$21:$K$292,11,FALSE)</f>
        <v>0</v>
      </c>
      <c r="G65" s="96"/>
      <c r="H65" s="296">
        <f t="shared" si="26"/>
        <v>0</v>
      </c>
      <c r="I65" s="297">
        <f t="shared" si="6"/>
        <v>0</v>
      </c>
      <c r="K65" s="633">
        <f>VLOOKUP(A65,'Level 2 - Transmitted (2)'!$A$20:$K$335,11,FALSE)</f>
        <v>5500</v>
      </c>
      <c r="L65" s="96"/>
      <c r="N65" s="296">
        <f t="shared" si="27"/>
        <v>-5500</v>
      </c>
      <c r="P65" s="297">
        <f t="shared" si="7"/>
        <v>0</v>
      </c>
      <c r="R65" s="633">
        <f>VLOOKUP(A65,'Level 3'!$A$20:$K$319,11,FALSE)</f>
        <v>5500</v>
      </c>
      <c r="S65" s="96"/>
      <c r="T65" s="296">
        <f t="shared" si="28"/>
        <v>0</v>
      </c>
      <c r="U65" s="297">
        <f t="shared" si="29"/>
        <v>0</v>
      </c>
      <c r="V65" s="84"/>
    </row>
    <row r="66" spans="1:22" outlineLevel="1">
      <c r="A66" s="311" t="s">
        <v>346</v>
      </c>
      <c r="C66" s="633">
        <f>'Level 1'!K76</f>
        <v>7500</v>
      </c>
      <c r="D66" s="96"/>
      <c r="F66" s="633">
        <f>VLOOKUP(A66,'Level 1.1 UPDATE A'!$A$21:$K$292,11,FALSE)</f>
        <v>7500</v>
      </c>
      <c r="G66" s="96"/>
      <c r="H66" s="296">
        <f t="shared" si="26"/>
        <v>0</v>
      </c>
      <c r="I66" s="297">
        <f t="shared" si="6"/>
        <v>0</v>
      </c>
      <c r="K66" s="633">
        <f>VLOOKUP(A66,'Level 2 - Transmitted (2)'!$A$20:$K$335,11,FALSE)</f>
        <v>9500</v>
      </c>
      <c r="L66" s="96"/>
      <c r="N66" s="296">
        <f t="shared" si="27"/>
        <v>-2000</v>
      </c>
      <c r="P66" s="297">
        <f t="shared" si="7"/>
        <v>0</v>
      </c>
      <c r="R66" s="633">
        <f>VLOOKUP(A66,'Level 3'!$A$20:$K$319,11,FALSE)</f>
        <v>9500</v>
      </c>
      <c r="S66" s="96"/>
      <c r="T66" s="296">
        <f t="shared" si="28"/>
        <v>0</v>
      </c>
      <c r="U66" s="297">
        <f t="shared" si="29"/>
        <v>0</v>
      </c>
      <c r="V66" s="84"/>
    </row>
    <row r="67" spans="1:22" outlineLevel="1">
      <c r="A67" s="311" t="s">
        <v>347</v>
      </c>
      <c r="C67" s="633">
        <f>'Level 1'!K77</f>
        <v>9000</v>
      </c>
      <c r="D67" s="96"/>
      <c r="F67" s="633">
        <f>VLOOKUP(A67,'Level 1.1 UPDATE A'!$A$21:$K$292,11,FALSE)</f>
        <v>9000</v>
      </c>
      <c r="G67" s="96"/>
      <c r="H67" s="296">
        <f t="shared" si="26"/>
        <v>0</v>
      </c>
      <c r="I67" s="297">
        <f t="shared" si="6"/>
        <v>0</v>
      </c>
      <c r="K67" s="633">
        <f>VLOOKUP(A67,'Level 2 - Transmitted (2)'!$A$20:$K$335,11,FALSE)</f>
        <v>0</v>
      </c>
      <c r="L67" s="96"/>
      <c r="N67" s="296">
        <f t="shared" si="27"/>
        <v>9000</v>
      </c>
      <c r="P67" s="297">
        <f t="shared" si="7"/>
        <v>0</v>
      </c>
      <c r="R67" s="633">
        <f>VLOOKUP(A67,'Level 3'!$A$20:$K$319,11,FALSE)</f>
        <v>0</v>
      </c>
      <c r="S67" s="96"/>
      <c r="T67" s="296">
        <f t="shared" si="28"/>
        <v>0</v>
      </c>
      <c r="U67" s="297">
        <f t="shared" si="29"/>
        <v>0</v>
      </c>
      <c r="V67" s="84"/>
    </row>
    <row r="68" spans="1:22" outlineLevel="1">
      <c r="A68" s="311" t="s">
        <v>349</v>
      </c>
      <c r="C68" s="633">
        <f>'Level 1'!K78</f>
        <v>97440</v>
      </c>
      <c r="D68" s="96"/>
      <c r="F68" s="633">
        <f>VLOOKUP(A68,'Level 1.1 UPDATE A'!$A$21:$K$292,11,FALSE)</f>
        <v>97440</v>
      </c>
      <c r="G68" s="96"/>
      <c r="H68" s="296">
        <f t="shared" si="26"/>
        <v>0</v>
      </c>
      <c r="I68" s="297">
        <f t="shared" si="6"/>
        <v>0</v>
      </c>
      <c r="K68" s="633">
        <f>VLOOKUP(A68,'Level 2 - Transmitted (2)'!$A$20:$K$335,11,FALSE)</f>
        <v>91000</v>
      </c>
      <c r="L68" s="96"/>
      <c r="N68" s="296">
        <f t="shared" si="27"/>
        <v>6440</v>
      </c>
      <c r="P68" s="297">
        <f t="shared" si="7"/>
        <v>0</v>
      </c>
      <c r="R68" s="633">
        <f>VLOOKUP(A68,'Level 3'!$A$20:$K$319,11,FALSE)</f>
        <v>84000</v>
      </c>
      <c r="S68" s="96"/>
      <c r="T68" s="296">
        <f t="shared" si="28"/>
        <v>7000</v>
      </c>
      <c r="U68" s="297">
        <f t="shared" si="29"/>
        <v>7.6923076923076927E-2</v>
      </c>
      <c r="V68" s="84"/>
    </row>
    <row r="69" spans="1:22" outlineLevel="1">
      <c r="A69" s="311" t="s">
        <v>351</v>
      </c>
      <c r="C69" s="633">
        <f>'Level 1'!K79</f>
        <v>34552.879999999997</v>
      </c>
      <c r="D69" s="96"/>
      <c r="F69" s="633">
        <f>VLOOKUP(A69,'Level 1.1 UPDATE A'!$A$21:$K$292,11,FALSE)</f>
        <v>34123.919999999998</v>
      </c>
      <c r="G69" s="96"/>
      <c r="H69" s="296">
        <f t="shared" si="26"/>
        <v>428.95999999999913</v>
      </c>
      <c r="I69" s="297">
        <f t="shared" si="6"/>
        <v>0</v>
      </c>
      <c r="K69" s="633">
        <f>VLOOKUP(A69,'Level 2 - Transmitted (2)'!$A$20:$K$335,11,FALSE)</f>
        <v>25000</v>
      </c>
      <c r="L69" s="96"/>
      <c r="N69" s="296">
        <f t="shared" si="27"/>
        <v>9552.8799999999974</v>
      </c>
      <c r="P69" s="297">
        <f t="shared" si="7"/>
        <v>0</v>
      </c>
      <c r="R69" s="633">
        <f>VLOOKUP(A69,'Level 3'!$A$20:$K$319,11,FALSE)</f>
        <v>25000</v>
      </c>
      <c r="S69" s="96"/>
      <c r="T69" s="296">
        <f t="shared" si="28"/>
        <v>0</v>
      </c>
      <c r="U69" s="297">
        <f t="shared" si="29"/>
        <v>0</v>
      </c>
      <c r="V69" s="84"/>
    </row>
    <row r="70" spans="1:22" outlineLevel="1">
      <c r="A70" s="311" t="s">
        <v>353</v>
      </c>
      <c r="C70" s="633">
        <f>'Level 1'!K80</f>
        <v>21595.550000000003</v>
      </c>
      <c r="D70" s="96"/>
      <c r="F70" s="633">
        <f>VLOOKUP(A70,'Level 1.1 UPDATE A'!$A$21:$K$292,11,FALSE)</f>
        <v>21327.45</v>
      </c>
      <c r="G70" s="96"/>
      <c r="H70" s="296">
        <f t="shared" si="26"/>
        <v>268.10000000000218</v>
      </c>
      <c r="I70" s="297">
        <f t="shared" si="6"/>
        <v>0</v>
      </c>
      <c r="K70" s="633">
        <f>VLOOKUP(A70,'Level 2 - Transmitted (2)'!$A$20:$K$335,11,FALSE)</f>
        <v>25000</v>
      </c>
      <c r="L70" s="96"/>
      <c r="N70" s="296">
        <f t="shared" si="27"/>
        <v>-3404.4499999999971</v>
      </c>
      <c r="P70" s="297">
        <f t="shared" si="7"/>
        <v>0</v>
      </c>
      <c r="R70" s="633">
        <f>VLOOKUP(A70,'Level 3'!$A$20:$K$319,11,FALSE)</f>
        <v>25000</v>
      </c>
      <c r="S70" s="96"/>
      <c r="T70" s="296">
        <f t="shared" si="28"/>
        <v>0</v>
      </c>
      <c r="U70" s="297">
        <f t="shared" si="29"/>
        <v>0</v>
      </c>
      <c r="V70" s="84"/>
    </row>
    <row r="71" spans="1:22" outlineLevel="1">
      <c r="A71" s="311" t="s">
        <v>355</v>
      </c>
      <c r="C71" s="633">
        <f>'Level 1'!K81</f>
        <v>15500</v>
      </c>
      <c r="D71" s="96"/>
      <c r="F71" s="633">
        <f>VLOOKUP(A71,'Level 1.1 UPDATE A'!$A$21:$K$292,11,FALSE)</f>
        <v>12400</v>
      </c>
      <c r="G71" s="96"/>
      <c r="H71" s="296">
        <f t="shared" si="26"/>
        <v>3100</v>
      </c>
      <c r="I71" s="297">
        <f t="shared" si="6"/>
        <v>0</v>
      </c>
      <c r="K71" s="633">
        <f>VLOOKUP(A71,'Level 2 - Transmitted (2)'!$A$20:$K$335,11,FALSE)</f>
        <v>17500</v>
      </c>
      <c r="L71" s="96"/>
      <c r="N71" s="296">
        <f t="shared" si="27"/>
        <v>-2000</v>
      </c>
      <c r="P71" s="297">
        <f t="shared" si="7"/>
        <v>0</v>
      </c>
      <c r="R71" s="633">
        <f>VLOOKUP(A71,'Level 3'!$A$20:$K$319,11,FALSE)</f>
        <v>16000</v>
      </c>
      <c r="S71" s="96"/>
      <c r="T71" s="296">
        <f t="shared" si="28"/>
        <v>1500</v>
      </c>
      <c r="U71" s="297">
        <f t="shared" si="29"/>
        <v>8.5714285714285715E-2</v>
      </c>
      <c r="V71" s="84"/>
    </row>
    <row r="72" spans="1:22" outlineLevel="1">
      <c r="A72" s="311" t="s">
        <v>358</v>
      </c>
      <c r="C72" s="633">
        <f>'Level 1'!K82</f>
        <v>25000</v>
      </c>
      <c r="D72" s="96"/>
      <c r="F72" s="633">
        <f>VLOOKUP(A72,'Level 1.1 UPDATE A'!$A$21:$K$292,11,FALSE)</f>
        <v>20000</v>
      </c>
      <c r="G72" s="96"/>
      <c r="H72" s="296">
        <f t="shared" si="26"/>
        <v>5000</v>
      </c>
      <c r="I72" s="297">
        <f t="shared" si="6"/>
        <v>0</v>
      </c>
      <c r="K72" s="633">
        <f>VLOOKUP(A72,'Level 2 - Transmitted (2)'!$A$20:$K$335,11,FALSE)</f>
        <v>27500</v>
      </c>
      <c r="L72" s="96"/>
      <c r="N72" s="296">
        <f t="shared" si="27"/>
        <v>-2500</v>
      </c>
      <c r="P72" s="297">
        <f t="shared" si="7"/>
        <v>0</v>
      </c>
      <c r="R72" s="633">
        <f>VLOOKUP(A72,'Level 3'!$A$20:$K$319,11,FALSE)</f>
        <v>24000</v>
      </c>
      <c r="S72" s="96"/>
      <c r="T72" s="296">
        <f t="shared" si="28"/>
        <v>3500</v>
      </c>
      <c r="U72" s="297">
        <f t="shared" si="29"/>
        <v>0.12727272727272726</v>
      </c>
      <c r="V72" s="84"/>
    </row>
    <row r="73" spans="1:22" outlineLevel="1">
      <c r="A73" s="311" t="s">
        <v>360</v>
      </c>
      <c r="C73" s="633">
        <f>'Level 1'!K83</f>
        <v>0</v>
      </c>
      <c r="D73" s="331"/>
      <c r="F73" s="633">
        <f>VLOOKUP(A73,'Level 1.1 UPDATE A'!$A$21:$K$292,11,FALSE)</f>
        <v>0</v>
      </c>
      <c r="G73" s="331"/>
      <c r="H73" s="332">
        <f t="shared" si="26"/>
        <v>0</v>
      </c>
      <c r="I73" s="333">
        <f t="shared" si="6"/>
        <v>0</v>
      </c>
      <c r="K73" s="633">
        <f>VLOOKUP(A73,'Level 2 - Transmitted (2)'!$A$20:$K$335,11,FALSE)</f>
        <v>0</v>
      </c>
      <c r="L73" s="331"/>
      <c r="N73" s="332">
        <f t="shared" si="27"/>
        <v>0</v>
      </c>
      <c r="P73" s="333">
        <f t="shared" si="7"/>
        <v>0</v>
      </c>
      <c r="R73" s="633">
        <f>VLOOKUP(A73,'Level 3'!$A$20:$K$319,11,FALSE)</f>
        <v>0</v>
      </c>
      <c r="S73" s="331"/>
      <c r="T73" s="332">
        <f t="shared" si="28"/>
        <v>0</v>
      </c>
      <c r="U73" s="333">
        <f t="shared" si="29"/>
        <v>0</v>
      </c>
      <c r="V73" s="84"/>
    </row>
    <row r="74" spans="1:22">
      <c r="A74" s="613" t="s">
        <v>335</v>
      </c>
      <c r="C74" s="632"/>
      <c r="D74" s="327">
        <f>'Level 1'!L72</f>
        <v>2429272.5699999998</v>
      </c>
      <c r="F74" s="632"/>
      <c r="G74" s="327">
        <f>VLOOKUP(A74,'Level 1.1 UPDATE A'!$A$20:$L$330,12,FALSE)</f>
        <v>2256526.4700000002</v>
      </c>
      <c r="H74" s="328">
        <f>D74-G74</f>
        <v>172746.09999999963</v>
      </c>
      <c r="I74" s="329">
        <f t="shared" si="6"/>
        <v>7.1110217162662664E-2</v>
      </c>
      <c r="K74" s="632"/>
      <c r="L74" s="327">
        <f>VLOOKUP(A74,'Level 2 - Transmitted (2)'!$A$21:$L$335,12,FALSE)</f>
        <v>2237303.7714999998</v>
      </c>
      <c r="M74" s="388"/>
      <c r="N74" s="328">
        <f>D74-L74</f>
        <v>191968.79850000003</v>
      </c>
      <c r="O74" s="388"/>
      <c r="P74" s="329">
        <f t="shared" si="7"/>
        <v>7.9023161447873275E-2</v>
      </c>
      <c r="R74" s="632"/>
      <c r="S74" s="327">
        <f>VLOOKUP(A74,'Level 3'!$A$21:$L$320,12,FALSE)</f>
        <v>2196003.1030282238</v>
      </c>
      <c r="T74" s="328">
        <f>L74-S74</f>
        <v>41300.668471775949</v>
      </c>
      <c r="U74" s="329">
        <f>IF(L74=0,0,T74/L74)</f>
        <v>1.846001825853354E-2</v>
      </c>
      <c r="V74" s="84"/>
    </row>
    <row r="75" spans="1:22" outlineLevel="1">
      <c r="A75" s="614" t="s">
        <v>307</v>
      </c>
      <c r="C75" s="631">
        <f>'Level 1'!K85</f>
        <v>0</v>
      </c>
      <c r="D75" s="615"/>
      <c r="F75" s="631">
        <f>VLOOKUP(A75,'Level 1.1 UPDATE A'!$A$21:$K$292,11,FALSE)</f>
        <v>0</v>
      </c>
      <c r="G75" s="615"/>
      <c r="H75" s="617">
        <f t="shared" ref="H75:H89" si="34">C75-F75</f>
        <v>0</v>
      </c>
      <c r="I75" s="618">
        <f t="shared" si="6"/>
        <v>0</v>
      </c>
      <c r="K75" s="631">
        <f>VLOOKUP(A75,'Level 2 - Transmitted (2)'!$A$20:$K$335,11,FALSE)</f>
        <v>0</v>
      </c>
      <c r="L75" s="615"/>
      <c r="M75" s="619"/>
      <c r="N75" s="617">
        <f t="shared" ref="N75:N89" si="35">C75-K75</f>
        <v>0</v>
      </c>
      <c r="O75" s="619"/>
      <c r="P75" s="618">
        <f t="shared" si="7"/>
        <v>0</v>
      </c>
      <c r="R75" s="631">
        <f>VLOOKUP(A75,'Level 3'!$A$20:$K$319,11,FALSE)</f>
        <v>0</v>
      </c>
      <c r="S75" s="615"/>
      <c r="T75" s="617">
        <f t="shared" ref="T75" si="36">K75-R75</f>
        <v>0</v>
      </c>
      <c r="U75" s="618">
        <f t="shared" ref="U75" si="37">IF(K75=0,0,T75/K75)</f>
        <v>0</v>
      </c>
      <c r="V75" s="84"/>
    </row>
    <row r="76" spans="1:22" outlineLevel="1">
      <c r="A76" s="311" t="s">
        <v>365</v>
      </c>
      <c r="C76" s="633">
        <f>'Level 1'!K86</f>
        <v>0</v>
      </c>
      <c r="D76" s="96"/>
      <c r="F76" s="633">
        <f>VLOOKUP(A76,'Level 1.1 UPDATE A'!$A$21:$K$292,11,FALSE)</f>
        <v>0</v>
      </c>
      <c r="G76" s="96"/>
      <c r="H76" s="296">
        <f t="shared" si="34"/>
        <v>0</v>
      </c>
      <c r="I76" s="297">
        <f t="shared" si="6"/>
        <v>0</v>
      </c>
      <c r="K76" s="633">
        <f>VLOOKUP(A76,'Level 2 - Transmitted (2)'!$A$20:$K$335,11,FALSE)</f>
        <v>0</v>
      </c>
      <c r="L76" s="96"/>
      <c r="N76" s="296">
        <f t="shared" si="35"/>
        <v>0</v>
      </c>
      <c r="P76" s="297">
        <f t="shared" si="7"/>
        <v>0</v>
      </c>
      <c r="R76" s="633">
        <f>VLOOKUP(A76,'Level 3'!$A$20:$K$319,11,FALSE)</f>
        <v>0</v>
      </c>
      <c r="S76" s="96"/>
      <c r="T76" s="296">
        <f t="shared" ref="T76:T89" si="38">K76-R76</f>
        <v>0</v>
      </c>
      <c r="U76" s="297">
        <f t="shared" ref="U76:U89" si="39">IF(K76=0,0,T76/K76)</f>
        <v>0</v>
      </c>
      <c r="V76" s="84"/>
    </row>
    <row r="77" spans="1:22" outlineLevel="1">
      <c r="A77" s="311" t="s">
        <v>367</v>
      </c>
      <c r="C77" s="633">
        <f>'Level 1'!K87</f>
        <v>0</v>
      </c>
      <c r="D77" s="96"/>
      <c r="F77" s="633">
        <f>VLOOKUP(A77,'Level 1.1 UPDATE A'!$A$21:$K$292,11,FALSE)</f>
        <v>0</v>
      </c>
      <c r="G77" s="96"/>
      <c r="H77" s="296">
        <f t="shared" si="34"/>
        <v>0</v>
      </c>
      <c r="I77" s="297">
        <f t="shared" si="6"/>
        <v>0</v>
      </c>
      <c r="K77" s="633">
        <f>VLOOKUP(A77,'Level 2 - Transmitted (2)'!$A$20:$K$335,11,FALSE)</f>
        <v>0</v>
      </c>
      <c r="L77" s="96"/>
      <c r="N77" s="296">
        <f t="shared" si="35"/>
        <v>0</v>
      </c>
      <c r="P77" s="297">
        <f t="shared" si="7"/>
        <v>0</v>
      </c>
      <c r="R77" s="633">
        <f>VLOOKUP(A77,'Level 3'!$A$20:$K$319,11,FALSE)</f>
        <v>0</v>
      </c>
      <c r="S77" s="96"/>
      <c r="T77" s="296">
        <f t="shared" si="38"/>
        <v>0</v>
      </c>
      <c r="U77" s="297">
        <f t="shared" si="39"/>
        <v>0</v>
      </c>
      <c r="V77" s="84"/>
    </row>
    <row r="78" spans="1:22" outlineLevel="1">
      <c r="A78" s="311" t="s">
        <v>370</v>
      </c>
      <c r="C78" s="633">
        <f>'Level 1'!K88</f>
        <v>0</v>
      </c>
      <c r="D78" s="96"/>
      <c r="F78" s="633">
        <f>VLOOKUP(A78,'Level 1.1 UPDATE A'!$A$21:$K$292,11,FALSE)</f>
        <v>0</v>
      </c>
      <c r="G78" s="96"/>
      <c r="H78" s="296">
        <f t="shared" si="34"/>
        <v>0</v>
      </c>
      <c r="I78" s="297">
        <f t="shared" si="6"/>
        <v>0</v>
      </c>
      <c r="K78" s="633">
        <f>VLOOKUP(A78,'Level 2 - Transmitted (2)'!$A$20:$K$335,11,FALSE)</f>
        <v>0</v>
      </c>
      <c r="L78" s="96"/>
      <c r="N78" s="296">
        <f t="shared" si="35"/>
        <v>0</v>
      </c>
      <c r="P78" s="297">
        <f t="shared" si="7"/>
        <v>0</v>
      </c>
      <c r="R78" s="633">
        <f>VLOOKUP(A78,'Level 3'!$A$20:$K$319,11,FALSE)</f>
        <v>0</v>
      </c>
      <c r="S78" s="96"/>
      <c r="T78" s="296">
        <f t="shared" si="38"/>
        <v>0</v>
      </c>
      <c r="U78" s="297">
        <f t="shared" si="39"/>
        <v>0</v>
      </c>
      <c r="V78" s="84"/>
    </row>
    <row r="79" spans="1:22" outlineLevel="1">
      <c r="A79" s="311" t="s">
        <v>371</v>
      </c>
      <c r="C79" s="633">
        <f>'Level 1'!K89</f>
        <v>0</v>
      </c>
      <c r="D79" s="96"/>
      <c r="F79" s="633">
        <f>VLOOKUP(A79,'Level 1.1 UPDATE A'!$A$21:$K$292,11,FALSE)</f>
        <v>0</v>
      </c>
      <c r="G79" s="96"/>
      <c r="H79" s="296">
        <f t="shared" si="34"/>
        <v>0</v>
      </c>
      <c r="I79" s="297">
        <f t="shared" si="6"/>
        <v>0</v>
      </c>
      <c r="K79" s="633">
        <f>VLOOKUP(A79,'Level 2 - Transmitted (2)'!$A$20:$K$335,11,FALSE)</f>
        <v>0</v>
      </c>
      <c r="L79" s="96"/>
      <c r="N79" s="296">
        <f t="shared" si="35"/>
        <v>0</v>
      </c>
      <c r="P79" s="297">
        <f t="shared" si="7"/>
        <v>0</v>
      </c>
      <c r="R79" s="633">
        <f>VLOOKUP(A79,'Level 3'!$A$20:$K$319,11,FALSE)</f>
        <v>0</v>
      </c>
      <c r="S79" s="96"/>
      <c r="T79" s="296">
        <f t="shared" si="38"/>
        <v>0</v>
      </c>
      <c r="U79" s="297">
        <f t="shared" si="39"/>
        <v>0</v>
      </c>
      <c r="V79" s="84"/>
    </row>
    <row r="80" spans="1:22" outlineLevel="1">
      <c r="A80" s="311" t="s">
        <v>373</v>
      </c>
      <c r="C80" s="633">
        <f>'Level 1'!K90</f>
        <v>519315.7894736841</v>
      </c>
      <c r="D80" s="96"/>
      <c r="F80" s="633">
        <f>VLOOKUP(A80,'Level 1.1 UPDATE A'!$A$21:$K$292,11,FALSE)</f>
        <v>519315.7894736841</v>
      </c>
      <c r="G80" s="96"/>
      <c r="H80" s="296">
        <f t="shared" si="34"/>
        <v>0</v>
      </c>
      <c r="I80" s="297">
        <f t="shared" si="6"/>
        <v>0</v>
      </c>
      <c r="K80" s="633">
        <f>VLOOKUP(A80,'Level 2 - Transmitted (2)'!$A$20:$K$335,11,FALSE)</f>
        <v>573144</v>
      </c>
      <c r="L80" s="96"/>
      <c r="N80" s="296">
        <f t="shared" si="35"/>
        <v>-53828.210526315903</v>
      </c>
      <c r="P80" s="297">
        <f t="shared" si="7"/>
        <v>0</v>
      </c>
      <c r="R80" s="633">
        <f>VLOOKUP(A80,'Level 3'!$A$20:$K$319,11,FALSE)</f>
        <v>546000</v>
      </c>
      <c r="S80" s="96"/>
      <c r="T80" s="296">
        <f t="shared" si="38"/>
        <v>27144</v>
      </c>
      <c r="U80" s="297">
        <f t="shared" si="39"/>
        <v>4.7359825802939577E-2</v>
      </c>
      <c r="V80" s="84"/>
    </row>
    <row r="81" spans="1:22" outlineLevel="1">
      <c r="A81" s="311" t="s">
        <v>377</v>
      </c>
      <c r="C81" s="633">
        <f>'Level 1'!K91</f>
        <v>29250</v>
      </c>
      <c r="D81" s="96"/>
      <c r="F81" s="633">
        <f>VLOOKUP(A81,'Level 1.1 UPDATE A'!$A$21:$K$292,11,FALSE)</f>
        <v>29250</v>
      </c>
      <c r="G81" s="96"/>
      <c r="H81" s="296">
        <f t="shared" si="34"/>
        <v>0</v>
      </c>
      <c r="I81" s="297">
        <f t="shared" si="6"/>
        <v>0</v>
      </c>
      <c r="K81" s="633">
        <f>VLOOKUP(A81,'Level 2 - Transmitted (2)'!$A$20:$K$335,11,FALSE)</f>
        <v>19500</v>
      </c>
      <c r="L81" s="96"/>
      <c r="N81" s="296">
        <f t="shared" si="35"/>
        <v>9750</v>
      </c>
      <c r="P81" s="297">
        <f t="shared" si="7"/>
        <v>0</v>
      </c>
      <c r="R81" s="633">
        <f>VLOOKUP(A81,'Level 3'!$A$20:$K$319,11,FALSE)</f>
        <v>39000</v>
      </c>
      <c r="S81" s="96"/>
      <c r="T81" s="296">
        <f t="shared" si="38"/>
        <v>-19500</v>
      </c>
      <c r="U81" s="297">
        <f t="shared" si="39"/>
        <v>-1</v>
      </c>
      <c r="V81" s="84"/>
    </row>
    <row r="82" spans="1:22" outlineLevel="1">
      <c r="A82" s="311" t="s">
        <v>378</v>
      </c>
      <c r="C82" s="633">
        <f>'Level 1'!K92</f>
        <v>0</v>
      </c>
      <c r="D82" s="96"/>
      <c r="F82" s="633">
        <f>VLOOKUP(A82,'Level 1.1 UPDATE A'!$A$21:$K$292,11,FALSE)</f>
        <v>0</v>
      </c>
      <c r="G82" s="96"/>
      <c r="H82" s="296">
        <f t="shared" si="34"/>
        <v>0</v>
      </c>
      <c r="I82" s="297">
        <f t="shared" si="6"/>
        <v>0</v>
      </c>
      <c r="K82" s="633">
        <f>VLOOKUP(A82,'Level 2 - Transmitted (2)'!$A$20:$K$335,11,FALSE)</f>
        <v>0</v>
      </c>
      <c r="L82" s="96"/>
      <c r="N82" s="296">
        <f t="shared" si="35"/>
        <v>0</v>
      </c>
      <c r="P82" s="297">
        <f t="shared" si="7"/>
        <v>0</v>
      </c>
      <c r="R82" s="633">
        <f>VLOOKUP(A82,'Level 3'!$A$20:$K$319,11,FALSE)</f>
        <v>0</v>
      </c>
      <c r="S82" s="96"/>
      <c r="T82" s="296">
        <f t="shared" si="38"/>
        <v>0</v>
      </c>
      <c r="U82" s="297">
        <f t="shared" si="39"/>
        <v>0</v>
      </c>
      <c r="V82" s="84"/>
    </row>
    <row r="83" spans="1:22" outlineLevel="1">
      <c r="A83" s="311" t="s">
        <v>380</v>
      </c>
      <c r="C83" s="633">
        <f>'Level 1'!K93</f>
        <v>0</v>
      </c>
      <c r="D83" s="96"/>
      <c r="F83" s="633">
        <f>VLOOKUP(A83,'Level 1.1 UPDATE A'!$A$21:$K$292,11,FALSE)</f>
        <v>0</v>
      </c>
      <c r="G83" s="96"/>
      <c r="H83" s="296">
        <f t="shared" si="34"/>
        <v>0</v>
      </c>
      <c r="I83" s="297">
        <f t="shared" si="6"/>
        <v>0</v>
      </c>
      <c r="K83" s="633">
        <f>VLOOKUP(A83,'Level 2 - Transmitted (2)'!$A$20:$K$335,11,FALSE)</f>
        <v>0</v>
      </c>
      <c r="L83" s="96"/>
      <c r="N83" s="296">
        <f t="shared" si="35"/>
        <v>0</v>
      </c>
      <c r="P83" s="297">
        <f t="shared" si="7"/>
        <v>0</v>
      </c>
      <c r="R83" s="633">
        <f>VLOOKUP(A83,'Level 3'!$A$20:$K$319,11,FALSE)</f>
        <v>0</v>
      </c>
      <c r="S83" s="96"/>
      <c r="T83" s="296">
        <f t="shared" si="38"/>
        <v>0</v>
      </c>
      <c r="U83" s="297">
        <f t="shared" si="39"/>
        <v>0</v>
      </c>
      <c r="V83" s="84"/>
    </row>
    <row r="84" spans="1:22" outlineLevel="1">
      <c r="A84" s="311" t="s">
        <v>382</v>
      </c>
      <c r="C84" s="633">
        <f>'Level 1'!K94</f>
        <v>0</v>
      </c>
      <c r="D84" s="96"/>
      <c r="F84" s="633">
        <f>VLOOKUP(A84,'Level 1.1 UPDATE A'!$A$21:$K$292,11,FALSE)</f>
        <v>0</v>
      </c>
      <c r="G84" s="96"/>
      <c r="H84" s="296">
        <f t="shared" si="34"/>
        <v>0</v>
      </c>
      <c r="I84" s="297">
        <f t="shared" si="6"/>
        <v>0</v>
      </c>
      <c r="K84" s="633">
        <f>VLOOKUP(A84,'Level 2 - Transmitted (2)'!$A$20:$K$335,11,FALSE)</f>
        <v>0</v>
      </c>
      <c r="L84" s="96"/>
      <c r="N84" s="296">
        <f t="shared" si="35"/>
        <v>0</v>
      </c>
      <c r="P84" s="297">
        <f t="shared" si="7"/>
        <v>0</v>
      </c>
      <c r="R84" s="633">
        <f>VLOOKUP(A84,'Level 3'!$A$20:$K$319,11,FALSE)</f>
        <v>0</v>
      </c>
      <c r="S84" s="96"/>
      <c r="T84" s="296">
        <f t="shared" si="38"/>
        <v>0</v>
      </c>
      <c r="U84" s="297">
        <f t="shared" si="39"/>
        <v>0</v>
      </c>
      <c r="V84" s="84"/>
    </row>
    <row r="85" spans="1:22" outlineLevel="1">
      <c r="A85" s="311" t="s">
        <v>384</v>
      </c>
      <c r="C85" s="633">
        <f>'Level 1'!K95</f>
        <v>0</v>
      </c>
      <c r="D85" s="96"/>
      <c r="F85" s="633">
        <f>VLOOKUP(A85,'Level 1.1 UPDATE A'!$A$21:$K$292,11,FALSE)</f>
        <v>0</v>
      </c>
      <c r="G85" s="96"/>
      <c r="H85" s="296">
        <f t="shared" si="34"/>
        <v>0</v>
      </c>
      <c r="I85" s="297">
        <f t="shared" si="6"/>
        <v>0</v>
      </c>
      <c r="K85" s="633">
        <f>VLOOKUP(A85,'Level 2 - Transmitted (2)'!$A$20:$K$335,11,FALSE)</f>
        <v>0</v>
      </c>
      <c r="L85" s="96"/>
      <c r="N85" s="296">
        <f t="shared" si="35"/>
        <v>0</v>
      </c>
      <c r="P85" s="297">
        <f t="shared" si="7"/>
        <v>0</v>
      </c>
      <c r="R85" s="633">
        <f>VLOOKUP(A85,'Level 3'!$A$20:$K$319,11,FALSE)</f>
        <v>0</v>
      </c>
      <c r="S85" s="96"/>
      <c r="T85" s="296">
        <f t="shared" si="38"/>
        <v>0</v>
      </c>
      <c r="U85" s="297">
        <f t="shared" si="39"/>
        <v>0</v>
      </c>
      <c r="V85" s="84"/>
    </row>
    <row r="86" spans="1:22" outlineLevel="1">
      <c r="A86" s="311" t="s">
        <v>386</v>
      </c>
      <c r="C86" s="633">
        <f>'Level 1'!K96</f>
        <v>0</v>
      </c>
      <c r="D86" s="96"/>
      <c r="F86" s="633">
        <f>VLOOKUP(A86,'Level 1.1 UPDATE A'!$A$21:$K$292,11,FALSE)</f>
        <v>0</v>
      </c>
      <c r="G86" s="96"/>
      <c r="H86" s="296">
        <f t="shared" si="34"/>
        <v>0</v>
      </c>
      <c r="I86" s="297">
        <f t="shared" ref="I86:I150" si="40">IF(D86=0,0,H86/D86)</f>
        <v>0</v>
      </c>
      <c r="K86" s="633">
        <f>VLOOKUP(A86,'Level 2 - Transmitted (2)'!$A$20:$K$335,11,FALSE)</f>
        <v>0</v>
      </c>
      <c r="L86" s="96"/>
      <c r="N86" s="296">
        <f t="shared" si="35"/>
        <v>0</v>
      </c>
      <c r="P86" s="297">
        <f t="shared" ref="P86:P150" si="41">IF(D86=0,0,N86/D86)</f>
        <v>0</v>
      </c>
      <c r="R86" s="633">
        <f>VLOOKUP(A86,'Level 3'!$A$20:$K$319,11,FALSE)</f>
        <v>0</v>
      </c>
      <c r="S86" s="96"/>
      <c r="T86" s="296">
        <f t="shared" si="38"/>
        <v>0</v>
      </c>
      <c r="U86" s="297">
        <f t="shared" si="39"/>
        <v>0</v>
      </c>
      <c r="V86" s="84"/>
    </row>
    <row r="87" spans="1:22" outlineLevel="1">
      <c r="A87" s="311" t="s">
        <v>388</v>
      </c>
      <c r="C87" s="633">
        <f>'Level 1'!K97</f>
        <v>0</v>
      </c>
      <c r="D87" s="96"/>
      <c r="F87" s="633">
        <f>VLOOKUP(A87,'Level 1.1 UPDATE A'!$A$21:$K$292,11,FALSE)</f>
        <v>0</v>
      </c>
      <c r="G87" s="96"/>
      <c r="H87" s="296">
        <f t="shared" si="34"/>
        <v>0</v>
      </c>
      <c r="I87" s="297">
        <f t="shared" si="40"/>
        <v>0</v>
      </c>
      <c r="K87" s="633">
        <f>VLOOKUP(A87,'Level 2 - Transmitted (2)'!$A$20:$K$335,11,FALSE)</f>
        <v>0</v>
      </c>
      <c r="L87" s="96"/>
      <c r="N87" s="296">
        <f t="shared" si="35"/>
        <v>0</v>
      </c>
      <c r="P87" s="297">
        <f t="shared" si="41"/>
        <v>0</v>
      </c>
      <c r="R87" s="633">
        <f>VLOOKUP(A87,'Level 3'!$A$20:$K$319,11,FALSE)</f>
        <v>0</v>
      </c>
      <c r="S87" s="96"/>
      <c r="T87" s="296">
        <f t="shared" si="38"/>
        <v>0</v>
      </c>
      <c r="U87" s="297">
        <f t="shared" si="39"/>
        <v>0</v>
      </c>
      <c r="V87" s="84"/>
    </row>
    <row r="88" spans="1:22" outlineLevel="1">
      <c r="A88" s="311" t="s">
        <v>389</v>
      </c>
      <c r="C88" s="633">
        <f>'Level 1'!K98</f>
        <v>90234</v>
      </c>
      <c r="D88" s="96"/>
      <c r="F88" s="633">
        <f>VLOOKUP(A88,'Level 1.1 UPDATE A'!$A$21:$K$292,11,FALSE)</f>
        <v>89586</v>
      </c>
      <c r="G88" s="96"/>
      <c r="H88" s="296">
        <f t="shared" si="34"/>
        <v>648</v>
      </c>
      <c r="I88" s="297">
        <f t="shared" si="40"/>
        <v>0</v>
      </c>
      <c r="K88" s="633">
        <f>VLOOKUP(A88,'Level 2 - Transmitted (2)'!$A$20:$K$335,11,FALSE)</f>
        <v>96775</v>
      </c>
      <c r="L88" s="96"/>
      <c r="N88" s="296">
        <f t="shared" si="35"/>
        <v>-6541</v>
      </c>
      <c r="P88" s="297">
        <f t="shared" si="41"/>
        <v>0</v>
      </c>
      <c r="R88" s="633">
        <f>VLOOKUP(A88,'Level 3'!$A$20:$K$319,11,FALSE)</f>
        <v>82950</v>
      </c>
      <c r="S88" s="96"/>
      <c r="T88" s="296">
        <f t="shared" si="38"/>
        <v>13825</v>
      </c>
      <c r="U88" s="297">
        <f t="shared" si="39"/>
        <v>0.14285714285714285</v>
      </c>
      <c r="V88" s="84"/>
    </row>
    <row r="89" spans="1:22" outlineLevel="1">
      <c r="A89" s="311" t="s">
        <v>390</v>
      </c>
      <c r="C89" s="633">
        <f>'Level 1'!K99</f>
        <v>1000</v>
      </c>
      <c r="D89" s="96"/>
      <c r="F89" s="633">
        <f>VLOOKUP(A89,'Level 1.1 UPDATE A'!$A$21:$K$292,11,FALSE)</f>
        <v>1000</v>
      </c>
      <c r="G89" s="96"/>
      <c r="H89" s="296">
        <f t="shared" si="34"/>
        <v>0</v>
      </c>
      <c r="I89" s="297">
        <f t="shared" si="40"/>
        <v>0</v>
      </c>
      <c r="K89" s="633">
        <f>VLOOKUP(A89,'Level 2 - Transmitted (2)'!$A$20:$K$335,11,FALSE)</f>
        <v>1200</v>
      </c>
      <c r="L89" s="96"/>
      <c r="N89" s="296">
        <f t="shared" si="35"/>
        <v>-200</v>
      </c>
      <c r="P89" s="297">
        <f t="shared" si="41"/>
        <v>0</v>
      </c>
      <c r="R89" s="633">
        <f>VLOOKUP(A89,'Level 3'!$A$20:$K$319,11,FALSE)</f>
        <v>2000</v>
      </c>
      <c r="S89" s="96"/>
      <c r="T89" s="296">
        <f t="shared" si="38"/>
        <v>-800</v>
      </c>
      <c r="U89" s="297">
        <f t="shared" si="39"/>
        <v>-0.66666666666666663</v>
      </c>
      <c r="V89" s="84"/>
    </row>
    <row r="90" spans="1:22">
      <c r="A90" s="613" t="s">
        <v>362</v>
      </c>
      <c r="C90" s="632"/>
      <c r="D90" s="327">
        <f>'Level 1'!L84</f>
        <v>639799.78947368404</v>
      </c>
      <c r="F90" s="632"/>
      <c r="G90" s="327">
        <f>VLOOKUP(A90,'Level 1.1 UPDATE A'!$A$20:$L$330,12,FALSE)</f>
        <v>639151.78947368404</v>
      </c>
      <c r="H90" s="328">
        <f>D90-G90</f>
        <v>648</v>
      </c>
      <c r="I90" s="329">
        <f t="shared" si="40"/>
        <v>1.0128168384254419E-3</v>
      </c>
      <c r="K90" s="632"/>
      <c r="L90" s="327">
        <f>VLOOKUP(A90,'Level 2 - Transmitted (2)'!$A$21:$L$335,12,FALSE)</f>
        <v>690619</v>
      </c>
      <c r="M90" s="388"/>
      <c r="N90" s="328">
        <f>D90-L90</f>
        <v>-50819.210526315961</v>
      </c>
      <c r="O90" s="388"/>
      <c r="P90" s="329">
        <f t="shared" si="41"/>
        <v>-7.9429864408241152E-2</v>
      </c>
      <c r="R90" s="632"/>
      <c r="S90" s="327">
        <f>VLOOKUP(A90,'Level 3'!$A$21:$L$320,12,FALSE)</f>
        <v>669950</v>
      </c>
      <c r="T90" s="328">
        <f>L90-S90</f>
        <v>20669</v>
      </c>
      <c r="U90" s="329">
        <f>IF(L90=0,0,T90/L90)</f>
        <v>2.9928223810813198E-2</v>
      </c>
      <c r="V90" s="84"/>
    </row>
    <row r="91" spans="1:22" outlineLevel="1">
      <c r="A91" s="614" t="s">
        <v>393</v>
      </c>
      <c r="C91" s="631">
        <f>'Level 1'!K101</f>
        <v>0</v>
      </c>
      <c r="D91" s="615"/>
      <c r="F91" s="631">
        <f>VLOOKUP(A91,'Level 1.1 UPDATE A'!$A$21:$K$292,11,FALSE)</f>
        <v>0</v>
      </c>
      <c r="G91" s="615"/>
      <c r="H91" s="617">
        <f t="shared" ref="H91:H128" si="42">C91-F91</f>
        <v>0</v>
      </c>
      <c r="I91" s="618">
        <f t="shared" si="40"/>
        <v>0</v>
      </c>
      <c r="K91" s="631">
        <f>VLOOKUP(A91,'Level 2 - Transmitted (2)'!$A$20:$K$335,11,FALSE)</f>
        <v>0</v>
      </c>
      <c r="L91" s="615"/>
      <c r="M91" s="619"/>
      <c r="N91" s="617">
        <f t="shared" ref="N91:N128" si="43">C91-K91</f>
        <v>0</v>
      </c>
      <c r="O91" s="619"/>
      <c r="P91" s="618">
        <f t="shared" si="41"/>
        <v>0</v>
      </c>
      <c r="R91" s="631">
        <f>VLOOKUP(A91,'Level 3'!$A$20:$K$319,11,FALSE)</f>
        <v>0</v>
      </c>
      <c r="S91" s="615"/>
      <c r="T91" s="617">
        <f t="shared" ref="T91:T128" si="44">K91-R91</f>
        <v>0</v>
      </c>
      <c r="U91" s="618">
        <f t="shared" ref="U91:U128" si="45">IF(K91=0,0,T91/K91)</f>
        <v>0</v>
      </c>
      <c r="V91" s="84"/>
    </row>
    <row r="92" spans="1:22" outlineLevel="1">
      <c r="A92" s="311" t="s">
        <v>395</v>
      </c>
      <c r="C92" s="633">
        <f>'Level 1'!K102</f>
        <v>25000</v>
      </c>
      <c r="D92" s="96"/>
      <c r="F92" s="633">
        <f>VLOOKUP(A92,'Level 1.1 UPDATE A'!$A$21:$K$292,11,FALSE)</f>
        <v>25000</v>
      </c>
      <c r="G92" s="96"/>
      <c r="H92" s="296">
        <f t="shared" si="42"/>
        <v>0</v>
      </c>
      <c r="I92" s="297">
        <f t="shared" si="40"/>
        <v>0</v>
      </c>
      <c r="K92" s="633">
        <f>VLOOKUP(A92,'Level 2 - Transmitted (2)'!$A$20:$K$335,11,FALSE)</f>
        <v>25000</v>
      </c>
      <c r="L92" s="96"/>
      <c r="N92" s="296">
        <f t="shared" si="43"/>
        <v>0</v>
      </c>
      <c r="P92" s="297">
        <f t="shared" si="41"/>
        <v>0</v>
      </c>
      <c r="R92" s="633">
        <f>VLOOKUP(A92,'Level 3'!$A$20:$K$319,11,FALSE)</f>
        <v>25000</v>
      </c>
      <c r="S92" s="96"/>
      <c r="T92" s="296">
        <f t="shared" si="44"/>
        <v>0</v>
      </c>
      <c r="U92" s="297">
        <f t="shared" si="45"/>
        <v>0</v>
      </c>
      <c r="V92" s="84"/>
    </row>
    <row r="93" spans="1:22" outlineLevel="1">
      <c r="A93" s="311" t="s">
        <v>397</v>
      </c>
      <c r="C93" s="633">
        <f>'Level 1'!K103</f>
        <v>367124.35</v>
      </c>
      <c r="D93" s="96"/>
      <c r="F93" s="633">
        <f>VLOOKUP(A93,'Level 1.1 UPDATE A'!$A$21:$K$292,11,FALSE)</f>
        <v>362566.64999999997</v>
      </c>
      <c r="G93" s="96"/>
      <c r="H93" s="296">
        <f t="shared" si="42"/>
        <v>4557.7000000000116</v>
      </c>
      <c r="I93" s="297">
        <f t="shared" si="40"/>
        <v>0</v>
      </c>
      <c r="K93" s="633">
        <f>VLOOKUP(A93,'Level 2 - Transmitted (2)'!$A$20:$K$335,11,FALSE)</f>
        <v>359239.75</v>
      </c>
      <c r="L93" s="96"/>
      <c r="N93" s="296">
        <f t="shared" si="43"/>
        <v>7884.5999999999767</v>
      </c>
      <c r="P93" s="297">
        <f t="shared" si="41"/>
        <v>0</v>
      </c>
      <c r="R93" s="633">
        <f>VLOOKUP(A93,'Level 3'!$A$20:$K$319,11,FALSE)</f>
        <v>359239.75</v>
      </c>
      <c r="S93" s="96"/>
      <c r="T93" s="296">
        <f t="shared" si="44"/>
        <v>0</v>
      </c>
      <c r="U93" s="297">
        <f t="shared" si="45"/>
        <v>0</v>
      </c>
      <c r="V93" s="84"/>
    </row>
    <row r="94" spans="1:22" outlineLevel="1">
      <c r="A94" s="311" t="s">
        <v>399</v>
      </c>
      <c r="C94" s="633">
        <f>'Level 1'!K104</f>
        <v>75000</v>
      </c>
      <c r="D94" s="96"/>
      <c r="F94" s="633">
        <f>VLOOKUP(A94,'Level 1.1 UPDATE A'!$A$21:$K$292,11,FALSE)</f>
        <v>75000</v>
      </c>
      <c r="G94" s="96"/>
      <c r="H94" s="296">
        <f t="shared" si="42"/>
        <v>0</v>
      </c>
      <c r="I94" s="297">
        <f t="shared" si="40"/>
        <v>0</v>
      </c>
      <c r="K94" s="633">
        <f>VLOOKUP(A94,'Level 2 - Transmitted (2)'!$A$20:$K$335,11,FALSE)</f>
        <v>50000</v>
      </c>
      <c r="L94" s="96"/>
      <c r="N94" s="296">
        <f t="shared" si="43"/>
        <v>25000</v>
      </c>
      <c r="P94" s="297">
        <f t="shared" si="41"/>
        <v>0</v>
      </c>
      <c r="R94" s="633">
        <f>VLOOKUP(A94,'Level 3'!$A$20:$K$319,11,FALSE)</f>
        <v>50000</v>
      </c>
      <c r="S94" s="96"/>
      <c r="T94" s="296">
        <f t="shared" si="44"/>
        <v>0</v>
      </c>
      <c r="U94" s="297">
        <f t="shared" si="45"/>
        <v>0</v>
      </c>
      <c r="V94" s="84"/>
    </row>
    <row r="95" spans="1:22" outlineLevel="1">
      <c r="A95" s="311" t="s">
        <v>307</v>
      </c>
      <c r="C95" s="634">
        <f>'Level 1'!K105</f>
        <v>30810</v>
      </c>
      <c r="D95" s="96"/>
      <c r="F95" s="633">
        <f>VLOOKUP(A95,'Level 1.1 UPDATE A'!$A$21:$K$292,11,FALSE)</f>
        <v>0</v>
      </c>
      <c r="G95" s="96"/>
      <c r="H95" s="296">
        <f t="shared" si="42"/>
        <v>30810</v>
      </c>
      <c r="I95" s="297">
        <f t="shared" si="40"/>
        <v>0</v>
      </c>
      <c r="K95" s="633">
        <f>'Level 2 - Transmitted (2)'!K105</f>
        <v>30810</v>
      </c>
      <c r="L95" s="96"/>
      <c r="N95" s="296">
        <f t="shared" si="43"/>
        <v>0</v>
      </c>
      <c r="P95" s="297">
        <f t="shared" si="41"/>
        <v>0</v>
      </c>
      <c r="R95" s="633">
        <f>'Level 3'!K98</f>
        <v>20000</v>
      </c>
      <c r="S95" s="96"/>
      <c r="T95" s="296">
        <f t="shared" si="44"/>
        <v>10810</v>
      </c>
      <c r="U95" s="297">
        <f t="shared" si="45"/>
        <v>0.35086011035378123</v>
      </c>
      <c r="V95" s="84"/>
    </row>
    <row r="96" spans="1:22" outlineLevel="1">
      <c r="A96" s="311" t="s">
        <v>404</v>
      </c>
      <c r="C96" s="633">
        <f>'Level 1'!K106</f>
        <v>10000</v>
      </c>
      <c r="D96" s="96"/>
      <c r="F96" s="633">
        <f>VLOOKUP(A96,'Level 1.1 UPDATE A'!$A$21:$K$292,11,FALSE)</f>
        <v>10000</v>
      </c>
      <c r="G96" s="96"/>
      <c r="H96" s="296">
        <f t="shared" si="42"/>
        <v>0</v>
      </c>
      <c r="I96" s="297">
        <f t="shared" si="40"/>
        <v>0</v>
      </c>
      <c r="K96" s="633">
        <f>VLOOKUP(A96,'Level 2 - Transmitted (2)'!$A$20:$K$335,11,FALSE)</f>
        <v>10000</v>
      </c>
      <c r="L96" s="96"/>
      <c r="N96" s="296">
        <f t="shared" si="43"/>
        <v>0</v>
      </c>
      <c r="P96" s="297">
        <f t="shared" si="41"/>
        <v>0</v>
      </c>
      <c r="R96" s="633">
        <f>VLOOKUP(A96,'Level 3'!$A$20:$K$319,11,FALSE)</f>
        <v>10000</v>
      </c>
      <c r="S96" s="96"/>
      <c r="T96" s="296">
        <f t="shared" si="44"/>
        <v>0</v>
      </c>
      <c r="U96" s="297">
        <f t="shared" si="45"/>
        <v>0</v>
      </c>
      <c r="V96" s="84"/>
    </row>
    <row r="97" spans="1:22" outlineLevel="1">
      <c r="A97" s="311" t="s">
        <v>159</v>
      </c>
      <c r="C97" s="633">
        <f>'Level 1'!K107</f>
        <v>1061549.72</v>
      </c>
      <c r="D97" s="96"/>
      <c r="F97" s="633">
        <f>VLOOKUP(A97,'Level 1.1 UPDATE A'!$A$21:$K$292,11,FALSE)</f>
        <v>1061549.72</v>
      </c>
      <c r="G97" s="96"/>
      <c r="H97" s="296">
        <f t="shared" si="42"/>
        <v>0</v>
      </c>
      <c r="I97" s="297">
        <f t="shared" si="40"/>
        <v>0</v>
      </c>
      <c r="K97" s="633">
        <f>VLOOKUP(A97,'Level 2 - Transmitted (2)'!$A$20:$K$335,11,FALSE)</f>
        <v>1150552.60164</v>
      </c>
      <c r="L97" s="96"/>
      <c r="N97" s="296">
        <f>C97-K97</f>
        <v>-89002.881640000036</v>
      </c>
      <c r="P97" s="297">
        <f t="shared" si="41"/>
        <v>0</v>
      </c>
      <c r="R97" s="633">
        <f>VLOOKUP(A97,'Level 3'!$A$20:$K$319,11,FALSE)</f>
        <v>1108030.0000000002</v>
      </c>
      <c r="S97" s="96"/>
      <c r="T97" s="296">
        <f t="shared" si="44"/>
        <v>42522.601639999775</v>
      </c>
      <c r="U97" s="297">
        <f t="shared" si="45"/>
        <v>3.6958415964109745E-2</v>
      </c>
      <c r="V97" s="84"/>
    </row>
    <row r="98" spans="1:22" outlineLevel="1">
      <c r="A98" s="311" t="s">
        <v>407</v>
      </c>
      <c r="C98" s="633">
        <f>'Level 1'!K108</f>
        <v>6000</v>
      </c>
      <c r="D98" s="96"/>
      <c r="F98" s="633">
        <f>VLOOKUP(A98,'Level 1.1 UPDATE A'!$A$21:$K$292,11,FALSE)</f>
        <v>6000</v>
      </c>
      <c r="G98" s="96"/>
      <c r="H98" s="296">
        <f t="shared" si="42"/>
        <v>0</v>
      </c>
      <c r="I98" s="297">
        <f t="shared" si="40"/>
        <v>0</v>
      </c>
      <c r="K98" s="633">
        <f>VLOOKUP(A98,'Level 2 - Transmitted (2)'!$A$20:$K$335,11,FALSE)</f>
        <v>6000</v>
      </c>
      <c r="L98" s="96"/>
      <c r="N98" s="296">
        <f t="shared" si="43"/>
        <v>0</v>
      </c>
      <c r="P98" s="297">
        <f t="shared" si="41"/>
        <v>0</v>
      </c>
      <c r="R98" s="633">
        <f>VLOOKUP(A98,'Level 3'!$A$20:$K$319,11,FALSE)</f>
        <v>6000</v>
      </c>
      <c r="S98" s="96"/>
      <c r="T98" s="296">
        <f t="shared" si="44"/>
        <v>0</v>
      </c>
      <c r="U98" s="297">
        <f t="shared" si="45"/>
        <v>0</v>
      </c>
      <c r="V98" s="84"/>
    </row>
    <row r="99" spans="1:22" outlineLevel="1">
      <c r="A99" s="311" t="s">
        <v>408</v>
      </c>
      <c r="C99" s="633">
        <f>'Level 1'!K109</f>
        <v>0</v>
      </c>
      <c r="D99" s="96"/>
      <c r="F99" s="633">
        <f>VLOOKUP(A99,'Level 1.1 UPDATE A'!$A$21:$K$292,11,FALSE)</f>
        <v>0</v>
      </c>
      <c r="G99" s="96"/>
      <c r="H99" s="296">
        <f t="shared" si="42"/>
        <v>0</v>
      </c>
      <c r="I99" s="297">
        <f t="shared" si="40"/>
        <v>0</v>
      </c>
      <c r="K99" s="633">
        <f>VLOOKUP(A99,'Level 2 - Transmitted (2)'!$A$20:$K$335,11,FALSE)</f>
        <v>0</v>
      </c>
      <c r="L99" s="96"/>
      <c r="N99" s="296">
        <f t="shared" si="43"/>
        <v>0</v>
      </c>
      <c r="P99" s="297">
        <f t="shared" si="41"/>
        <v>0</v>
      </c>
      <c r="R99" s="633">
        <f>VLOOKUP(A99,'Level 3'!$A$20:$K$319,11,FALSE)</f>
        <v>0</v>
      </c>
      <c r="S99" s="96"/>
      <c r="T99" s="296">
        <f t="shared" si="44"/>
        <v>0</v>
      </c>
      <c r="U99" s="297">
        <f t="shared" si="45"/>
        <v>0</v>
      </c>
      <c r="V99" s="84"/>
    </row>
    <row r="100" spans="1:22" outlineLevel="1">
      <c r="A100" s="311" t="s">
        <v>410</v>
      </c>
      <c r="C100" s="633">
        <f>'Level 1'!K110</f>
        <v>2000</v>
      </c>
      <c r="D100" s="96"/>
      <c r="F100" s="633">
        <f>VLOOKUP(A100,'Level 1.1 UPDATE A'!$A$21:$K$292,11,FALSE)</f>
        <v>2000</v>
      </c>
      <c r="G100" s="96"/>
      <c r="H100" s="296">
        <f t="shared" si="42"/>
        <v>0</v>
      </c>
      <c r="I100" s="297">
        <f t="shared" si="40"/>
        <v>0</v>
      </c>
      <c r="K100" s="633">
        <f>VLOOKUP(A100,'Level 2 - Transmitted (2)'!$A$20:$K$335,11,FALSE)</f>
        <v>5000</v>
      </c>
      <c r="L100" s="96"/>
      <c r="N100" s="296">
        <f t="shared" si="43"/>
        <v>-3000</v>
      </c>
      <c r="P100" s="297">
        <f t="shared" si="41"/>
        <v>0</v>
      </c>
      <c r="R100" s="633">
        <f>VLOOKUP(A100,'Level 3'!$A$20:$K$319,11,FALSE)</f>
        <v>60000</v>
      </c>
      <c r="S100" s="96"/>
      <c r="T100" s="296">
        <f t="shared" si="44"/>
        <v>-55000</v>
      </c>
      <c r="U100" s="297">
        <f t="shared" si="45"/>
        <v>-11</v>
      </c>
      <c r="V100" s="84"/>
    </row>
    <row r="101" spans="1:22" outlineLevel="1">
      <c r="A101" s="311" t="s">
        <v>412</v>
      </c>
      <c r="C101" s="633">
        <f>'Level 1'!K111</f>
        <v>0</v>
      </c>
      <c r="D101" s="96"/>
      <c r="F101" s="633">
        <f>VLOOKUP(A101,'Level 1.1 UPDATE A'!$A$21:$K$292,11,FALSE)</f>
        <v>0</v>
      </c>
      <c r="G101" s="96"/>
      <c r="H101" s="296">
        <f t="shared" si="42"/>
        <v>0</v>
      </c>
      <c r="I101" s="297">
        <f t="shared" si="40"/>
        <v>0</v>
      </c>
      <c r="K101" s="633">
        <f>VLOOKUP(A101,'Level 2 - Transmitted (2)'!$A$20:$K$335,11,FALSE)</f>
        <v>7500</v>
      </c>
      <c r="L101" s="96"/>
      <c r="N101" s="296">
        <f t="shared" si="43"/>
        <v>-7500</v>
      </c>
      <c r="P101" s="297">
        <f t="shared" si="41"/>
        <v>0</v>
      </c>
      <c r="R101" s="633">
        <f>VLOOKUP(A101,'Level 3'!$A$20:$K$319,11,FALSE)</f>
        <v>10000</v>
      </c>
      <c r="S101" s="96"/>
      <c r="T101" s="296">
        <f t="shared" si="44"/>
        <v>-2500</v>
      </c>
      <c r="U101" s="297">
        <f t="shared" si="45"/>
        <v>-0.33333333333333331</v>
      </c>
      <c r="V101" s="84"/>
    </row>
    <row r="102" spans="1:22" outlineLevel="1">
      <c r="A102" s="311" t="s">
        <v>414</v>
      </c>
      <c r="C102" s="633">
        <f>'Level 1'!K112</f>
        <v>0</v>
      </c>
      <c r="D102" s="96"/>
      <c r="F102" s="633">
        <f>VLOOKUP(A102,'Level 1.1 UPDATE A'!$A$21:$K$292,11,FALSE)</f>
        <v>0</v>
      </c>
      <c r="G102" s="96"/>
      <c r="H102" s="296">
        <f t="shared" si="42"/>
        <v>0</v>
      </c>
      <c r="I102" s="297">
        <f t="shared" si="40"/>
        <v>0</v>
      </c>
      <c r="K102" s="633">
        <f>VLOOKUP(A102,'Level 2 - Transmitted (2)'!$A$20:$K$335,11,FALSE)</f>
        <v>0</v>
      </c>
      <c r="L102" s="96"/>
      <c r="N102" s="296">
        <f t="shared" si="43"/>
        <v>0</v>
      </c>
      <c r="P102" s="297">
        <f t="shared" si="41"/>
        <v>0</v>
      </c>
      <c r="R102" s="633">
        <f>VLOOKUP(A102,'Level 3'!$A$20:$K$319,11,FALSE)</f>
        <v>0</v>
      </c>
      <c r="S102" s="96"/>
      <c r="T102" s="296">
        <f t="shared" si="44"/>
        <v>0</v>
      </c>
      <c r="U102" s="297">
        <f t="shared" si="45"/>
        <v>0</v>
      </c>
      <c r="V102" s="84"/>
    </row>
    <row r="103" spans="1:22" outlineLevel="1">
      <c r="A103" s="311" t="s">
        <v>416</v>
      </c>
      <c r="C103" s="633">
        <f>'Level 1'!K113</f>
        <v>4500</v>
      </c>
      <c r="D103" s="96"/>
      <c r="F103" s="633">
        <f>VLOOKUP(A103,'Level 1.1 UPDATE A'!$A$21:$K$292,11,FALSE)</f>
        <v>4500</v>
      </c>
      <c r="G103" s="96"/>
      <c r="H103" s="296">
        <f t="shared" si="42"/>
        <v>0</v>
      </c>
      <c r="I103" s="297">
        <f t="shared" si="40"/>
        <v>0</v>
      </c>
      <c r="K103" s="633">
        <f>VLOOKUP(A103,'Level 2 - Transmitted (2)'!$A$20:$K$335,11,FALSE)</f>
        <v>7500</v>
      </c>
      <c r="L103" s="96"/>
      <c r="N103" s="296">
        <f t="shared" si="43"/>
        <v>-3000</v>
      </c>
      <c r="P103" s="297">
        <f t="shared" si="41"/>
        <v>0</v>
      </c>
      <c r="R103" s="633">
        <f>VLOOKUP(A103,'Level 3'!$A$20:$K$319,11,FALSE)</f>
        <v>7500</v>
      </c>
      <c r="S103" s="96"/>
      <c r="T103" s="296">
        <f t="shared" si="44"/>
        <v>0</v>
      </c>
      <c r="U103" s="297">
        <f t="shared" si="45"/>
        <v>0</v>
      </c>
      <c r="V103" s="84"/>
    </row>
    <row r="104" spans="1:22" outlineLevel="1">
      <c r="A104" s="311" t="s">
        <v>417</v>
      </c>
      <c r="C104" s="633">
        <f>'Level 1'!K114</f>
        <v>3463926.2199999997</v>
      </c>
      <c r="D104" s="96"/>
      <c r="F104" s="633">
        <f>VLOOKUP(A104,'Level 1.1 UPDATE A'!$A$21:$K$292,11,FALSE)</f>
        <v>3420922.98</v>
      </c>
      <c r="G104" s="96"/>
      <c r="H104" s="296">
        <f t="shared" si="42"/>
        <v>43003.239999999758</v>
      </c>
      <c r="I104" s="297">
        <f t="shared" si="40"/>
        <v>0</v>
      </c>
      <c r="K104" s="633">
        <f>VLOOKUP(A104,'Level 2 - Transmitted (2)'!$A$20:$K$335,11,FALSE)</f>
        <v>3233157.75</v>
      </c>
      <c r="L104" s="96"/>
      <c r="N104" s="296">
        <f t="shared" si="43"/>
        <v>230768.46999999974</v>
      </c>
      <c r="P104" s="297">
        <f t="shared" si="41"/>
        <v>0</v>
      </c>
      <c r="R104" s="633">
        <f>VLOOKUP(A104,'Level 3'!$A$20:$K$319,11,FALSE)</f>
        <v>3252903.9999999995</v>
      </c>
      <c r="S104" s="96"/>
      <c r="T104" s="296">
        <f t="shared" si="44"/>
        <v>-19746.249999999534</v>
      </c>
      <c r="U104" s="297">
        <f t="shared" si="45"/>
        <v>-6.1074192869183495E-3</v>
      </c>
      <c r="V104" s="84"/>
    </row>
    <row r="105" spans="1:22" outlineLevel="1">
      <c r="A105" s="311" t="s">
        <v>420</v>
      </c>
      <c r="C105" s="633"/>
      <c r="D105" s="96"/>
      <c r="F105" s="633"/>
      <c r="G105" s="96"/>
      <c r="H105" s="296"/>
      <c r="I105" s="297">
        <f t="shared" si="40"/>
        <v>0</v>
      </c>
      <c r="K105" s="633">
        <f>VLOOKUP(A105,'Level 2 - Transmitted (2)'!$A$20:$K$335,11,FALSE)</f>
        <v>2000</v>
      </c>
      <c r="L105" s="96"/>
      <c r="N105" s="296"/>
      <c r="P105" s="297">
        <f t="shared" si="41"/>
        <v>0</v>
      </c>
      <c r="R105" s="633">
        <f>VLOOKUP(A105,'Level 3'!$A$20:$K$319,11,FALSE)</f>
        <v>2000</v>
      </c>
      <c r="S105" s="96"/>
      <c r="T105" s="296">
        <f t="shared" si="44"/>
        <v>0</v>
      </c>
      <c r="U105" s="297">
        <f t="shared" si="45"/>
        <v>0</v>
      </c>
      <c r="V105" s="84"/>
    </row>
    <row r="106" spans="1:22" outlineLevel="1">
      <c r="A106" s="311" t="s">
        <v>421</v>
      </c>
      <c r="C106" s="633">
        <f>'Level 1'!K115</f>
        <v>33150</v>
      </c>
      <c r="D106" s="96"/>
      <c r="F106" s="633">
        <f>VLOOKUP(A106,'Level 1.1 UPDATE A'!$A$21:$K$292,11,FALSE)</f>
        <v>33150</v>
      </c>
      <c r="G106" s="96"/>
      <c r="H106" s="296">
        <f t="shared" si="42"/>
        <v>0</v>
      </c>
      <c r="I106" s="297">
        <f t="shared" si="40"/>
        <v>0</v>
      </c>
      <c r="K106" s="633">
        <f>VLOOKUP(A106,'Level 2 - Transmitted (2)'!$A$20:$K$335,11,FALSE)</f>
        <v>33150</v>
      </c>
      <c r="L106" s="96"/>
      <c r="N106" s="296">
        <f t="shared" si="43"/>
        <v>0</v>
      </c>
      <c r="P106" s="297">
        <f t="shared" si="41"/>
        <v>0</v>
      </c>
      <c r="R106" s="633">
        <f>VLOOKUP(A106,'Level 3'!$A$20:$K$319,11,FALSE)</f>
        <v>33150</v>
      </c>
      <c r="S106" s="96"/>
      <c r="T106" s="296">
        <f t="shared" si="44"/>
        <v>0</v>
      </c>
      <c r="U106" s="297">
        <f t="shared" si="45"/>
        <v>0</v>
      </c>
      <c r="V106" s="84"/>
    </row>
    <row r="107" spans="1:22" outlineLevel="1">
      <c r="A107" s="311" t="s">
        <v>422</v>
      </c>
      <c r="C107" s="633">
        <f>'Level 1'!K116</f>
        <v>0</v>
      </c>
      <c r="D107" s="96"/>
      <c r="F107" s="633">
        <f>VLOOKUP(A107,'Level 1.1 UPDATE A'!$A$21:$K$292,11,FALSE)</f>
        <v>0</v>
      </c>
      <c r="G107" s="96"/>
      <c r="H107" s="296">
        <f t="shared" si="42"/>
        <v>0</v>
      </c>
      <c r="I107" s="297">
        <f t="shared" si="40"/>
        <v>0</v>
      </c>
      <c r="K107" s="633">
        <f>VLOOKUP(A107,'Level 2 - Transmitted (2)'!$A$20:$K$335,11,FALSE)</f>
        <v>0</v>
      </c>
      <c r="L107" s="96"/>
      <c r="N107" s="296">
        <f t="shared" si="43"/>
        <v>0</v>
      </c>
      <c r="P107" s="297">
        <f t="shared" si="41"/>
        <v>0</v>
      </c>
      <c r="R107" s="633">
        <f>VLOOKUP(A107,'Level 3'!$A$20:$K$319,11,FALSE)</f>
        <v>0</v>
      </c>
      <c r="S107" s="96"/>
      <c r="T107" s="296">
        <f t="shared" si="44"/>
        <v>0</v>
      </c>
      <c r="U107" s="297">
        <f t="shared" si="45"/>
        <v>0</v>
      </c>
      <c r="V107" s="84"/>
    </row>
    <row r="108" spans="1:22" outlineLevel="1">
      <c r="A108" s="311" t="s">
        <v>424</v>
      </c>
      <c r="C108" s="633">
        <f>'Level 1'!K117</f>
        <v>67657</v>
      </c>
      <c r="D108" s="96"/>
      <c r="F108" s="633">
        <f>VLOOKUP(A108,'Level 1.1 UPDATE A'!$A$21:$K$292,11,FALSE)</f>
        <v>67657</v>
      </c>
      <c r="G108" s="96"/>
      <c r="H108" s="296">
        <f t="shared" si="42"/>
        <v>0</v>
      </c>
      <c r="I108" s="297">
        <f t="shared" si="40"/>
        <v>0</v>
      </c>
      <c r="K108" s="633">
        <f>VLOOKUP(A108,'Level 2 - Transmitted (2)'!$A$20:$K$335,11,FALSE)</f>
        <v>135314</v>
      </c>
      <c r="L108" s="96"/>
      <c r="N108" s="296">
        <f t="shared" si="43"/>
        <v>-67657</v>
      </c>
      <c r="P108" s="297">
        <f t="shared" si="41"/>
        <v>0</v>
      </c>
      <c r="R108" s="633">
        <f>VLOOKUP(A108,'Level 3'!$A$20:$K$319,11,FALSE)</f>
        <v>139531.15206185568</v>
      </c>
      <c r="S108" s="96"/>
      <c r="T108" s="296">
        <f t="shared" si="44"/>
        <v>-4217.1520618556824</v>
      </c>
      <c r="U108" s="297">
        <f t="shared" si="45"/>
        <v>-3.1165674371134416E-2</v>
      </c>
      <c r="V108" s="84"/>
    </row>
    <row r="109" spans="1:22" outlineLevel="1">
      <c r="A109" s="311" t="s">
        <v>427</v>
      </c>
      <c r="C109" s="633">
        <f>'Level 1'!K118</f>
        <v>0</v>
      </c>
      <c r="D109" s="96"/>
      <c r="F109" s="633">
        <f>VLOOKUP(A109,'Level 1.1 UPDATE A'!$A$21:$K$292,11,FALSE)</f>
        <v>0</v>
      </c>
      <c r="G109" s="96"/>
      <c r="H109" s="296">
        <f t="shared" si="42"/>
        <v>0</v>
      </c>
      <c r="I109" s="297">
        <f t="shared" si="40"/>
        <v>0</v>
      </c>
      <c r="K109" s="633">
        <f>VLOOKUP(A109,'Level 2 - Transmitted (2)'!$A$20:$K$335,11,FALSE)</f>
        <v>0</v>
      </c>
      <c r="L109" s="96"/>
      <c r="N109" s="296">
        <f t="shared" si="43"/>
        <v>0</v>
      </c>
      <c r="P109" s="297">
        <f t="shared" si="41"/>
        <v>0</v>
      </c>
      <c r="R109" s="633">
        <f>VLOOKUP(A109,'Level 3'!$A$20:$K$319,11,FALSE)</f>
        <v>0</v>
      </c>
      <c r="S109" s="96"/>
      <c r="T109" s="296">
        <f t="shared" si="44"/>
        <v>0</v>
      </c>
      <c r="U109" s="297">
        <f t="shared" si="45"/>
        <v>0</v>
      </c>
      <c r="V109" s="84"/>
    </row>
    <row r="110" spans="1:22" outlineLevel="1">
      <c r="A110" s="311" t="s">
        <v>429</v>
      </c>
      <c r="C110" s="633">
        <f>'Level 1'!K119</f>
        <v>0</v>
      </c>
      <c r="D110" s="96"/>
      <c r="F110" s="633">
        <f>VLOOKUP(A110,'Level 1.1 UPDATE A'!$A$21:$K$292,11,FALSE)</f>
        <v>0</v>
      </c>
      <c r="G110" s="96"/>
      <c r="H110" s="296">
        <f t="shared" si="42"/>
        <v>0</v>
      </c>
      <c r="I110" s="297">
        <f t="shared" si="40"/>
        <v>0</v>
      </c>
      <c r="K110" s="633">
        <f>VLOOKUP(A110,'Level 2 - Transmitted (2)'!$A$20:$K$335,11,FALSE)</f>
        <v>0</v>
      </c>
      <c r="L110" s="96"/>
      <c r="N110" s="296">
        <f t="shared" si="43"/>
        <v>0</v>
      </c>
      <c r="P110" s="297">
        <f t="shared" si="41"/>
        <v>0</v>
      </c>
      <c r="R110" s="633">
        <f>VLOOKUP(A110,'Level 3'!$A$20:$K$319,11,FALSE)</f>
        <v>50000</v>
      </c>
      <c r="S110" s="96"/>
      <c r="T110" s="296">
        <f t="shared" si="44"/>
        <v>-50000</v>
      </c>
      <c r="U110" s="297">
        <f t="shared" si="45"/>
        <v>0</v>
      </c>
      <c r="V110" s="84"/>
    </row>
    <row r="111" spans="1:22" outlineLevel="1">
      <c r="A111" s="311" t="s">
        <v>431</v>
      </c>
      <c r="C111" s="633">
        <f>'Level 1'!K120</f>
        <v>692417.74418223219</v>
      </c>
      <c r="D111" s="96"/>
      <c r="F111" s="633">
        <f>VLOOKUP(A111,'Level 1.1 UPDATE A'!$A$21:$K$292,11,FALSE)</f>
        <v>692417.74418223219</v>
      </c>
      <c r="G111" s="96"/>
      <c r="H111" s="296">
        <f t="shared" si="42"/>
        <v>0</v>
      </c>
      <c r="I111" s="297">
        <f t="shared" si="40"/>
        <v>0</v>
      </c>
      <c r="K111" s="633">
        <f>VLOOKUP(A111,'Level 2 - Transmitted (2)'!$A$20:$K$335,11,FALSE)</f>
        <v>597070.13</v>
      </c>
      <c r="L111" s="96"/>
      <c r="N111" s="296">
        <f t="shared" si="43"/>
        <v>95347.614182232181</v>
      </c>
      <c r="P111" s="297">
        <f t="shared" si="41"/>
        <v>0</v>
      </c>
      <c r="R111" s="633">
        <f>VLOOKUP(A111,'Level 3'!$A$20:$K$319,11,FALSE)</f>
        <v>626758.69999999995</v>
      </c>
      <c r="S111" s="96"/>
      <c r="T111" s="296">
        <f t="shared" si="44"/>
        <v>-29688.569999999949</v>
      </c>
      <c r="U111" s="297">
        <f t="shared" si="45"/>
        <v>-4.9723756906077263E-2</v>
      </c>
      <c r="V111" s="84"/>
    </row>
    <row r="112" spans="1:22" outlineLevel="1">
      <c r="A112" s="311" t="s">
        <v>435</v>
      </c>
      <c r="C112" s="633">
        <f>'Level 1'!K121</f>
        <v>0</v>
      </c>
      <c r="D112" s="96"/>
      <c r="F112" s="633">
        <f>VLOOKUP(A112,'Level 1.1 UPDATE A'!$A$21:$K$292,11,FALSE)</f>
        <v>0</v>
      </c>
      <c r="G112" s="96"/>
      <c r="H112" s="296">
        <f t="shared" si="42"/>
        <v>0</v>
      </c>
      <c r="I112" s="297">
        <f t="shared" si="40"/>
        <v>0</v>
      </c>
      <c r="K112" s="633">
        <f>VLOOKUP(A112,'Level 2 - Transmitted (2)'!$A$20:$K$335,11,FALSE)</f>
        <v>0</v>
      </c>
      <c r="L112" s="96"/>
      <c r="N112" s="296">
        <f t="shared" si="43"/>
        <v>0</v>
      </c>
      <c r="P112" s="297">
        <f t="shared" si="41"/>
        <v>0</v>
      </c>
      <c r="R112" s="633">
        <f>VLOOKUP(A112,'Level 3'!$A$20:$K$319,11,FALSE)</f>
        <v>0</v>
      </c>
      <c r="S112" s="96"/>
      <c r="T112" s="296">
        <f t="shared" si="44"/>
        <v>0</v>
      </c>
      <c r="U112" s="297">
        <f t="shared" si="45"/>
        <v>0</v>
      </c>
      <c r="V112" s="84"/>
    </row>
    <row r="113" spans="1:22" outlineLevel="1">
      <c r="A113" s="311" t="s">
        <v>437</v>
      </c>
      <c r="C113" s="633">
        <f>'Level 1'!K122</f>
        <v>0</v>
      </c>
      <c r="D113" s="96"/>
      <c r="F113" s="633">
        <f>VLOOKUP(A113,'Level 1.1 UPDATE A'!$A$21:$K$292,11,FALSE)</f>
        <v>0</v>
      </c>
      <c r="G113" s="96"/>
      <c r="H113" s="296">
        <f t="shared" si="42"/>
        <v>0</v>
      </c>
      <c r="I113" s="297">
        <f t="shared" si="40"/>
        <v>0</v>
      </c>
      <c r="K113" s="633">
        <f>VLOOKUP(A113,'Level 2 - Transmitted (2)'!$A$20:$K$335,11,FALSE)</f>
        <v>0</v>
      </c>
      <c r="L113" s="96"/>
      <c r="N113" s="296">
        <f t="shared" si="43"/>
        <v>0</v>
      </c>
      <c r="P113" s="297">
        <f t="shared" si="41"/>
        <v>0</v>
      </c>
      <c r="R113" s="633">
        <f>VLOOKUP(A113,'Level 3'!$A$20:$K$319,11,FALSE)</f>
        <v>0</v>
      </c>
      <c r="S113" s="96"/>
      <c r="T113" s="296">
        <f t="shared" si="44"/>
        <v>0</v>
      </c>
      <c r="U113" s="297">
        <f t="shared" si="45"/>
        <v>0</v>
      </c>
      <c r="V113" s="84"/>
    </row>
    <row r="114" spans="1:22" outlineLevel="1">
      <c r="A114" s="311" t="s">
        <v>439</v>
      </c>
      <c r="C114" s="633">
        <f>'Level 1'!K123</f>
        <v>159807.07</v>
      </c>
      <c r="D114" s="96"/>
      <c r="F114" s="633">
        <f>VLOOKUP(A114,'Level 1.1 UPDATE A'!$A$21:$K$292,11,FALSE)</f>
        <v>157823.13</v>
      </c>
      <c r="G114" s="96"/>
      <c r="H114" s="296">
        <f t="shared" si="42"/>
        <v>1983.9400000000023</v>
      </c>
      <c r="I114" s="297">
        <f t="shared" si="40"/>
        <v>0</v>
      </c>
      <c r="K114" s="633">
        <f>VLOOKUP(A114,'Level 2 - Transmitted (2)'!$A$20:$K$335,11,FALSE)</f>
        <v>217606.95</v>
      </c>
      <c r="L114" s="96"/>
      <c r="N114" s="296">
        <f t="shared" si="43"/>
        <v>-57799.880000000005</v>
      </c>
      <c r="P114" s="297">
        <f t="shared" si="41"/>
        <v>0</v>
      </c>
      <c r="R114" s="633">
        <f>VLOOKUP(A114,'Level 3'!$A$20:$K$319,11,FALSE)</f>
        <v>292500</v>
      </c>
      <c r="S114" s="96"/>
      <c r="T114" s="296">
        <f t="shared" si="44"/>
        <v>-74893.049999999988</v>
      </c>
      <c r="U114" s="297">
        <f t="shared" si="45"/>
        <v>-0.344166627030984</v>
      </c>
      <c r="V114" s="84" t="s">
        <v>1026</v>
      </c>
    </row>
    <row r="115" spans="1:22" outlineLevel="1">
      <c r="A115" s="311" t="s">
        <v>441</v>
      </c>
      <c r="C115" s="633">
        <f>'Level 1'!K124</f>
        <v>6000</v>
      </c>
      <c r="D115" s="96"/>
      <c r="F115" s="633">
        <f>VLOOKUP(A115,'Level 1.1 UPDATE A'!$A$21:$K$292,11,FALSE)</f>
        <v>4000</v>
      </c>
      <c r="G115" s="96"/>
      <c r="H115" s="296">
        <f t="shared" si="42"/>
        <v>2000</v>
      </c>
      <c r="I115" s="297">
        <f t="shared" si="40"/>
        <v>0</v>
      </c>
      <c r="K115" s="633">
        <f>VLOOKUP(A115,'Level 2 - Transmitted (2)'!$A$20:$K$335,11,FALSE)</f>
        <v>4000</v>
      </c>
      <c r="L115" s="96"/>
      <c r="N115" s="296">
        <f t="shared" si="43"/>
        <v>2000</v>
      </c>
      <c r="P115" s="297">
        <f t="shared" si="41"/>
        <v>0</v>
      </c>
      <c r="R115" s="633">
        <f>VLOOKUP(A115,'Level 3'!$A$20:$K$319,11,FALSE)</f>
        <v>4000</v>
      </c>
      <c r="S115" s="96"/>
      <c r="T115" s="296">
        <f t="shared" si="44"/>
        <v>0</v>
      </c>
      <c r="U115" s="297">
        <f t="shared" si="45"/>
        <v>0</v>
      </c>
      <c r="V115" s="84"/>
    </row>
    <row r="116" spans="1:22" outlineLevel="1">
      <c r="A116" s="311" t="s">
        <v>442</v>
      </c>
      <c r="C116" s="633">
        <f>'Level 1'!K125</f>
        <v>0</v>
      </c>
      <c r="D116" s="96"/>
      <c r="F116" s="633">
        <f>VLOOKUP(A116,'Level 1.1 UPDATE A'!$A$21:$K$292,11,FALSE)</f>
        <v>0</v>
      </c>
      <c r="G116" s="96"/>
      <c r="H116" s="296">
        <f t="shared" si="42"/>
        <v>0</v>
      </c>
      <c r="I116" s="297">
        <f t="shared" si="40"/>
        <v>0</v>
      </c>
      <c r="K116" s="633">
        <f>VLOOKUP(A116,'Level 2 - Transmitted (2)'!$A$20:$K$335,11,FALSE)</f>
        <v>0</v>
      </c>
      <c r="L116" s="96"/>
      <c r="N116" s="296">
        <f t="shared" si="43"/>
        <v>0</v>
      </c>
      <c r="P116" s="297">
        <f t="shared" si="41"/>
        <v>0</v>
      </c>
      <c r="R116" s="633">
        <f>VLOOKUP(A116,'Level 3'!$A$20:$K$319,11,FALSE)</f>
        <v>0</v>
      </c>
      <c r="S116" s="96"/>
      <c r="T116" s="296">
        <f t="shared" si="44"/>
        <v>0</v>
      </c>
      <c r="U116" s="297">
        <f t="shared" si="45"/>
        <v>0</v>
      </c>
      <c r="V116" s="84"/>
    </row>
    <row r="117" spans="1:22" outlineLevel="1">
      <c r="A117" s="311" t="s">
        <v>444</v>
      </c>
      <c r="C117" s="633">
        <f>'Level 1'!K126</f>
        <v>0</v>
      </c>
      <c r="D117" s="96"/>
      <c r="F117" s="633">
        <f>VLOOKUP(A117,'Level 1.1 UPDATE A'!$A$21:$K$292,11,FALSE)</f>
        <v>0</v>
      </c>
      <c r="G117" s="96"/>
      <c r="H117" s="296">
        <f t="shared" si="42"/>
        <v>0</v>
      </c>
      <c r="I117" s="297">
        <f t="shared" si="40"/>
        <v>0</v>
      </c>
      <c r="K117" s="633">
        <f>VLOOKUP(A117,'Level 2 - Transmitted (2)'!$A$20:$K$335,11,FALSE)</f>
        <v>0</v>
      </c>
      <c r="L117" s="96"/>
      <c r="N117" s="296">
        <f t="shared" si="43"/>
        <v>0</v>
      </c>
      <c r="P117" s="297">
        <f t="shared" si="41"/>
        <v>0</v>
      </c>
      <c r="R117" s="633">
        <f>VLOOKUP(A117,'Level 3'!$A$20:$K$319,11,FALSE)</f>
        <v>0</v>
      </c>
      <c r="S117" s="96"/>
      <c r="T117" s="296">
        <f t="shared" si="44"/>
        <v>0</v>
      </c>
      <c r="U117" s="297">
        <f t="shared" si="45"/>
        <v>0</v>
      </c>
      <c r="V117" s="84"/>
    </row>
    <row r="118" spans="1:22" outlineLevel="1">
      <c r="A118" s="311" t="s">
        <v>446</v>
      </c>
      <c r="C118" s="633">
        <f>'Level 1'!K127</f>
        <v>37688.400000000001</v>
      </c>
      <c r="D118" s="96"/>
      <c r="F118" s="633">
        <f>VLOOKUP(A118,'Level 1.1 UPDATE A'!$A$21:$K$292,11,FALSE)</f>
        <v>37688.400000000001</v>
      </c>
      <c r="G118" s="96"/>
      <c r="H118" s="296">
        <f t="shared" si="42"/>
        <v>0</v>
      </c>
      <c r="I118" s="297">
        <f t="shared" si="40"/>
        <v>0</v>
      </c>
      <c r="K118" s="633">
        <f>VLOOKUP(A118,'Level 2 - Transmitted (2)'!$A$20:$K$335,11,FALSE)</f>
        <v>44551.199999999997</v>
      </c>
      <c r="L118" s="96"/>
      <c r="N118" s="296">
        <f t="shared" si="43"/>
        <v>-6862.7999999999956</v>
      </c>
      <c r="P118" s="297">
        <f t="shared" si="41"/>
        <v>0</v>
      </c>
      <c r="R118" s="633">
        <f>VLOOKUP(A118,'Level 3'!$A$20:$K$319,11,FALSE)</f>
        <v>44551.199999999997</v>
      </c>
      <c r="S118" s="96"/>
      <c r="T118" s="296">
        <f t="shared" si="44"/>
        <v>0</v>
      </c>
      <c r="U118" s="297">
        <f t="shared" si="45"/>
        <v>0</v>
      </c>
      <c r="V118" s="84"/>
    </row>
    <row r="119" spans="1:22" outlineLevel="1">
      <c r="A119" s="311" t="s">
        <v>448</v>
      </c>
      <c r="C119" s="633">
        <f>'Level 1'!K128</f>
        <v>24025.82</v>
      </c>
      <c r="D119" s="96"/>
      <c r="F119" s="633">
        <f>VLOOKUP(A119,'Level 1.1 UPDATE A'!$A$21:$K$292,11,FALSE)</f>
        <v>24025.82</v>
      </c>
      <c r="G119" s="96"/>
      <c r="H119" s="296">
        <f t="shared" si="42"/>
        <v>0</v>
      </c>
      <c r="I119" s="297">
        <f t="shared" si="40"/>
        <v>0</v>
      </c>
      <c r="K119" s="633">
        <f>VLOOKUP(A119,'Level 2 - Transmitted (2)'!$A$20:$K$335,11,FALSE)</f>
        <v>41375</v>
      </c>
      <c r="L119" s="96"/>
      <c r="N119" s="296">
        <f t="shared" si="43"/>
        <v>-17349.18</v>
      </c>
      <c r="P119" s="297">
        <f t="shared" si="41"/>
        <v>0</v>
      </c>
      <c r="R119" s="633">
        <f>VLOOKUP(A119,'Level 3'!$A$20:$K$319,11,FALSE)</f>
        <v>70500</v>
      </c>
      <c r="S119" s="96"/>
      <c r="T119" s="296">
        <f t="shared" si="44"/>
        <v>-29125</v>
      </c>
      <c r="U119" s="297">
        <f t="shared" si="45"/>
        <v>-0.70392749244712993</v>
      </c>
      <c r="V119" s="84"/>
    </row>
    <row r="120" spans="1:22" outlineLevel="1">
      <c r="A120" s="311" t="s">
        <v>451</v>
      </c>
      <c r="C120" s="633">
        <f>'Level 1'!K129</f>
        <v>16835.25</v>
      </c>
      <c r="D120" s="96"/>
      <c r="F120" s="633">
        <f>VLOOKUP(A120,'Level 1.1 UPDATE A'!$A$21:$K$292,11,FALSE)</f>
        <v>16862.625</v>
      </c>
      <c r="G120" s="96"/>
      <c r="H120" s="296">
        <f t="shared" si="42"/>
        <v>-27.375</v>
      </c>
      <c r="I120" s="297">
        <f t="shared" si="40"/>
        <v>0</v>
      </c>
      <c r="K120" s="633">
        <f>VLOOKUP(A120,'Level 2 - Transmitted (2)'!$A$20:$K$335,11,FALSE)</f>
        <v>18856</v>
      </c>
      <c r="L120" s="96"/>
      <c r="N120" s="296">
        <f t="shared" si="43"/>
        <v>-2020.75</v>
      </c>
      <c r="P120" s="297">
        <f t="shared" si="41"/>
        <v>0</v>
      </c>
      <c r="R120" s="633">
        <f>VLOOKUP(A120,'Level 3'!$A$20:$K$319,11,FALSE)</f>
        <v>19500</v>
      </c>
      <c r="S120" s="96"/>
      <c r="T120" s="296">
        <f t="shared" si="44"/>
        <v>-644</v>
      </c>
      <c r="U120" s="297">
        <f t="shared" si="45"/>
        <v>-3.4153585065761563E-2</v>
      </c>
      <c r="V120" s="84"/>
    </row>
    <row r="121" spans="1:22" outlineLevel="1">
      <c r="A121" s="311" t="s">
        <v>453</v>
      </c>
      <c r="C121" s="633">
        <f>'Level 1'!K130</f>
        <v>112235</v>
      </c>
      <c r="D121" s="96"/>
      <c r="F121" s="633">
        <f>VLOOKUP(A121,'Level 1.1 UPDATE A'!$A$21:$K$292,11,FALSE)</f>
        <v>112417.5</v>
      </c>
      <c r="G121" s="96"/>
      <c r="H121" s="296">
        <f t="shared" si="42"/>
        <v>-182.5</v>
      </c>
      <c r="I121" s="297">
        <f t="shared" si="40"/>
        <v>0</v>
      </c>
      <c r="K121" s="633">
        <f>VLOOKUP(A121,'Level 2 - Transmitted (2)'!$A$20:$K$335,11,FALSE)</f>
        <v>109360</v>
      </c>
      <c r="L121" s="96"/>
      <c r="N121" s="296">
        <f t="shared" si="43"/>
        <v>2875</v>
      </c>
      <c r="P121" s="297">
        <f t="shared" si="41"/>
        <v>0</v>
      </c>
      <c r="R121" s="633">
        <f>VLOOKUP(A121,'Level 3'!$A$20:$K$319,11,FALSE)</f>
        <v>58500</v>
      </c>
      <c r="S121" s="96"/>
      <c r="T121" s="296">
        <f t="shared" si="44"/>
        <v>50860</v>
      </c>
      <c r="U121" s="297">
        <f t="shared" si="45"/>
        <v>0.46506949524506219</v>
      </c>
      <c r="V121" s="84" t="s">
        <v>1026</v>
      </c>
    </row>
    <row r="122" spans="1:22" outlineLevel="1">
      <c r="A122" s="311" t="s">
        <v>455</v>
      </c>
      <c r="C122" s="633">
        <f>'Level 1'!K131</f>
        <v>33150</v>
      </c>
      <c r="D122" s="96"/>
      <c r="F122" s="633">
        <f>VLOOKUP(A122,'Level 1.1 UPDATE A'!$A$21:$K$292,11,FALSE)</f>
        <v>33150</v>
      </c>
      <c r="G122" s="96"/>
      <c r="H122" s="296">
        <f t="shared" si="42"/>
        <v>0</v>
      </c>
      <c r="I122" s="297">
        <f t="shared" si="40"/>
        <v>0</v>
      </c>
      <c r="K122" s="633">
        <f>VLOOKUP(A122,'Level 2 - Transmitted (2)'!$A$20:$K$335,11,FALSE)</f>
        <v>33150</v>
      </c>
      <c r="L122" s="96"/>
      <c r="N122" s="296">
        <f t="shared" si="43"/>
        <v>0</v>
      </c>
      <c r="P122" s="297">
        <f t="shared" si="41"/>
        <v>0</v>
      </c>
      <c r="R122" s="633">
        <f>VLOOKUP(A122,'Level 3'!$A$20:$K$319,11,FALSE)</f>
        <v>33150</v>
      </c>
      <c r="S122" s="96"/>
      <c r="T122" s="296">
        <f t="shared" si="44"/>
        <v>0</v>
      </c>
      <c r="U122" s="297">
        <f t="shared" si="45"/>
        <v>0</v>
      </c>
      <c r="V122" s="84"/>
    </row>
    <row r="123" spans="1:22" outlineLevel="1">
      <c r="A123" s="311" t="s">
        <v>457</v>
      </c>
      <c r="C123" s="633">
        <f>'Level 1'!K132</f>
        <v>794716.24</v>
      </c>
      <c r="D123" s="96"/>
      <c r="F123" s="633">
        <f>VLOOKUP(A123,'Level 1.1 UPDATE A'!$A$21:$K$292,11,FALSE)</f>
        <v>784850.16</v>
      </c>
      <c r="G123" s="96"/>
      <c r="H123" s="296">
        <f t="shared" si="42"/>
        <v>9866.0799999999581</v>
      </c>
      <c r="I123" s="297">
        <f t="shared" si="40"/>
        <v>0</v>
      </c>
      <c r="K123" s="633">
        <f>VLOOKUP(A123,'Level 2 - Transmitted (2)'!$A$20:$K$335,11,FALSE)</f>
        <v>811459.2</v>
      </c>
      <c r="L123" s="96"/>
      <c r="N123" s="296">
        <f t="shared" si="43"/>
        <v>-16742.959999999963</v>
      </c>
      <c r="P123" s="297">
        <f t="shared" si="41"/>
        <v>0</v>
      </c>
      <c r="R123" s="633">
        <f>VLOOKUP(A123,'Level 3'!$A$20:$K$319,11,FALSE)</f>
        <v>811459.2</v>
      </c>
      <c r="S123" s="96"/>
      <c r="T123" s="296">
        <f t="shared" si="44"/>
        <v>0</v>
      </c>
      <c r="U123" s="297">
        <f t="shared" si="45"/>
        <v>0</v>
      </c>
      <c r="V123" s="84"/>
    </row>
    <row r="124" spans="1:22" outlineLevel="1">
      <c r="A124" s="311" t="s">
        <v>459</v>
      </c>
      <c r="C124" s="633"/>
      <c r="D124" s="96"/>
      <c r="F124" s="633"/>
      <c r="G124" s="96"/>
      <c r="H124" s="296"/>
      <c r="I124" s="297">
        <f t="shared" si="40"/>
        <v>0</v>
      </c>
      <c r="K124" s="633">
        <f>VLOOKUP(A124,'Level 2 - Transmitted (2)'!$A$20:$K$335,11,FALSE)</f>
        <v>2000</v>
      </c>
      <c r="L124" s="96"/>
      <c r="N124" s="296"/>
      <c r="P124" s="297">
        <f t="shared" si="41"/>
        <v>0</v>
      </c>
      <c r="R124" s="633">
        <f>VLOOKUP(A124,'Level 3'!$A$20:$K$319,11,FALSE)</f>
        <v>2000</v>
      </c>
      <c r="S124" s="96"/>
      <c r="T124" s="296">
        <f t="shared" si="44"/>
        <v>0</v>
      </c>
      <c r="U124" s="297">
        <f t="shared" si="45"/>
        <v>0</v>
      </c>
      <c r="V124" s="84"/>
    </row>
    <row r="125" spans="1:22" outlineLevel="1">
      <c r="A125" s="311" t="s">
        <v>460</v>
      </c>
      <c r="C125" s="633">
        <f>'Level 1'!K133</f>
        <v>0</v>
      </c>
      <c r="D125" s="96"/>
      <c r="F125" s="633">
        <f>VLOOKUP(A125,'Level 1.1 UPDATE A'!$A$21:$K$292,11,FALSE)</f>
        <v>0</v>
      </c>
      <c r="G125" s="96"/>
      <c r="H125" s="296">
        <f t="shared" si="42"/>
        <v>0</v>
      </c>
      <c r="I125" s="297">
        <f t="shared" si="40"/>
        <v>0</v>
      </c>
      <c r="K125" s="633">
        <f>VLOOKUP(A125,'Level 2 - Transmitted (2)'!$A$20:$K$335,11,FALSE)</f>
        <v>0</v>
      </c>
      <c r="L125" s="96"/>
      <c r="N125" s="296">
        <f t="shared" si="43"/>
        <v>0</v>
      </c>
      <c r="P125" s="297">
        <f t="shared" si="41"/>
        <v>0</v>
      </c>
      <c r="R125" s="633">
        <f>VLOOKUP(A125,'Level 3'!$A$20:$K$319,11,FALSE)</f>
        <v>0</v>
      </c>
      <c r="S125" s="96"/>
      <c r="T125" s="296">
        <f t="shared" si="44"/>
        <v>0</v>
      </c>
      <c r="U125" s="297">
        <f t="shared" si="45"/>
        <v>0</v>
      </c>
      <c r="V125" s="84"/>
    </row>
    <row r="126" spans="1:22" outlineLevel="1">
      <c r="A126" s="311" t="s">
        <v>462</v>
      </c>
      <c r="C126" s="633">
        <f>'Level 1'!K134</f>
        <v>0</v>
      </c>
      <c r="D126" s="96"/>
      <c r="F126" s="633">
        <f>VLOOKUP(A126,'Level 1.1 UPDATE A'!$A$21:$K$292,11,FALSE)</f>
        <v>0</v>
      </c>
      <c r="G126" s="96"/>
      <c r="H126" s="296">
        <f t="shared" si="42"/>
        <v>0</v>
      </c>
      <c r="I126" s="297">
        <f t="shared" si="40"/>
        <v>0</v>
      </c>
      <c r="K126" s="633">
        <f>VLOOKUP(A126,'Level 2 - Transmitted (2)'!$A$20:$K$335,11,FALSE)</f>
        <v>0</v>
      </c>
      <c r="L126" s="96"/>
      <c r="N126" s="296">
        <f t="shared" si="43"/>
        <v>0</v>
      </c>
      <c r="P126" s="297">
        <f t="shared" si="41"/>
        <v>0</v>
      </c>
      <c r="R126" s="633">
        <f>VLOOKUP(A126,'Level 3'!$A$20:$K$319,11,FALSE)</f>
        <v>12000</v>
      </c>
      <c r="S126" s="96"/>
      <c r="T126" s="296">
        <f t="shared" si="44"/>
        <v>-12000</v>
      </c>
      <c r="U126" s="297">
        <f t="shared" si="45"/>
        <v>0</v>
      </c>
      <c r="V126" s="84"/>
    </row>
    <row r="127" spans="1:22" outlineLevel="1">
      <c r="A127" s="311" t="s">
        <v>464</v>
      </c>
      <c r="C127" s="633">
        <f>'Level 1'!K135</f>
        <v>0</v>
      </c>
      <c r="D127" s="96"/>
      <c r="F127" s="633">
        <f>VLOOKUP(A127,'Level 1.1 UPDATE A'!$A$21:$K$292,11,FALSE)</f>
        <v>0</v>
      </c>
      <c r="G127" s="96"/>
      <c r="H127" s="296">
        <f t="shared" si="42"/>
        <v>0</v>
      </c>
      <c r="I127" s="297">
        <f t="shared" si="40"/>
        <v>0</v>
      </c>
      <c r="K127" s="633">
        <f>VLOOKUP(A127,'Level 2 - Transmitted (2)'!$A$20:$K$335,11,FALSE)</f>
        <v>0</v>
      </c>
      <c r="L127" s="96"/>
      <c r="N127" s="296">
        <f t="shared" si="43"/>
        <v>0</v>
      </c>
      <c r="P127" s="297">
        <f t="shared" si="41"/>
        <v>0</v>
      </c>
      <c r="R127" s="633">
        <f>VLOOKUP(A127,'Level 3'!$A$20:$K$319,11,FALSE)</f>
        <v>53828.156442796077</v>
      </c>
      <c r="S127" s="96"/>
      <c r="T127" s="296">
        <f t="shared" si="44"/>
        <v>-53828.156442796077</v>
      </c>
      <c r="U127" s="297">
        <f t="shared" si="45"/>
        <v>0</v>
      </c>
      <c r="V127" s="84" t="s">
        <v>1027</v>
      </c>
    </row>
    <row r="128" spans="1:22" outlineLevel="1">
      <c r="A128" s="311" t="s">
        <v>466</v>
      </c>
      <c r="C128" s="633">
        <f>'Level 1'!K136</f>
        <v>0</v>
      </c>
      <c r="D128" s="96"/>
      <c r="F128" s="633">
        <f>VLOOKUP(A128,'Level 1.1 UPDATE A'!$A$21:$K$292,11,FALSE)</f>
        <v>0</v>
      </c>
      <c r="G128" s="96"/>
      <c r="H128" s="296">
        <f t="shared" si="42"/>
        <v>0</v>
      </c>
      <c r="I128" s="297">
        <f t="shared" si="40"/>
        <v>0</v>
      </c>
      <c r="K128" s="633">
        <f>VLOOKUP(A128,'Level 2 - Transmitted (2)'!$A$20:$K$335,11,FALSE)</f>
        <v>0</v>
      </c>
      <c r="L128" s="96"/>
      <c r="N128" s="296">
        <f t="shared" si="43"/>
        <v>0</v>
      </c>
      <c r="P128" s="297">
        <f t="shared" si="41"/>
        <v>0</v>
      </c>
      <c r="R128" s="633">
        <f>VLOOKUP(A128,'Level 3'!$A$20:$K$319,11,FALSE)</f>
        <v>5000</v>
      </c>
      <c r="S128" s="96"/>
      <c r="T128" s="296">
        <f t="shared" si="44"/>
        <v>-5000</v>
      </c>
      <c r="U128" s="297">
        <f t="shared" si="45"/>
        <v>0</v>
      </c>
      <c r="V128" s="84"/>
    </row>
    <row r="129" spans="1:22">
      <c r="A129" s="613" t="s">
        <v>391</v>
      </c>
      <c r="C129" s="632"/>
      <c r="D129" s="327">
        <f>'Level 1'!L100</f>
        <v>7023592.8141822321</v>
      </c>
      <c r="F129" s="632"/>
      <c r="G129" s="327">
        <f>VLOOKUP(A129,'Level 1.1 UPDATE A'!$A$20:$L$330,12,FALSE)</f>
        <v>6962391.7291822322</v>
      </c>
      <c r="H129" s="328">
        <f>D129-G129</f>
        <v>61201.084999999963</v>
      </c>
      <c r="I129" s="329">
        <f t="shared" si="40"/>
        <v>8.7136436606092896E-3</v>
      </c>
      <c r="K129" s="632"/>
      <c r="L129" s="327">
        <f>VLOOKUP(A129,'Level 2 - Transmitted (2)'!$A$21:$L$335,12,FALSE)</f>
        <v>6934652.5816400005</v>
      </c>
      <c r="M129" s="388"/>
      <c r="N129" s="328">
        <f>D129-L129</f>
        <v>88940.232542231679</v>
      </c>
      <c r="O129" s="388"/>
      <c r="P129" s="329">
        <f t="shared" si="41"/>
        <v>1.2663067876406661E-2</v>
      </c>
      <c r="R129" s="632"/>
      <c r="S129" s="327">
        <f>VLOOKUP(A129,'Level 3'!$A$21:$L$320,12,FALSE)</f>
        <v>7167102.1585046519</v>
      </c>
      <c r="T129" s="328">
        <f>L129-S129</f>
        <v>-232449.5768646514</v>
      </c>
      <c r="U129" s="329">
        <f>IF(L129=0,0,T129/L129)</f>
        <v>-3.3520003219783302E-2</v>
      </c>
      <c r="V129" s="84"/>
    </row>
    <row r="130" spans="1:22" outlineLevel="1">
      <c r="A130" s="614" t="s">
        <v>469</v>
      </c>
      <c r="C130" s="631">
        <f>'Level 1'!K138</f>
        <v>0</v>
      </c>
      <c r="D130" s="615"/>
      <c r="F130" s="631">
        <f>VLOOKUP(A130,'Level 1.1 UPDATE A'!$A$21:$K$292,11,FALSE)</f>
        <v>0</v>
      </c>
      <c r="G130" s="615"/>
      <c r="H130" s="617">
        <f t="shared" ref="H130:H145" si="46">C130-F130</f>
        <v>0</v>
      </c>
      <c r="I130" s="618">
        <f t="shared" si="40"/>
        <v>0</v>
      </c>
      <c r="K130" s="631">
        <f>VLOOKUP(A130,'Level 2 - Transmitted (2)'!$A$20:$K$335,11,FALSE)</f>
        <v>0</v>
      </c>
      <c r="L130" s="615"/>
      <c r="M130" s="619"/>
      <c r="N130" s="617">
        <f t="shared" ref="N130:N147" si="47">C130-K130</f>
        <v>0</v>
      </c>
      <c r="O130" s="619"/>
      <c r="P130" s="618">
        <f t="shared" si="41"/>
        <v>0</v>
      </c>
      <c r="R130" s="631">
        <f>VLOOKUP(A130,'Level 3'!$A$20:$K$319,11,FALSE)</f>
        <v>0</v>
      </c>
      <c r="S130" s="615"/>
      <c r="T130" s="617">
        <f t="shared" ref="T130:T145" si="48">K130-R130</f>
        <v>0</v>
      </c>
      <c r="U130" s="618">
        <f t="shared" ref="U130:U145" si="49">IF(K130=0,0,T130/K130)</f>
        <v>0</v>
      </c>
      <c r="V130" s="84"/>
    </row>
    <row r="131" spans="1:22" outlineLevel="1">
      <c r="A131" s="311" t="s">
        <v>471</v>
      </c>
      <c r="C131" s="633">
        <f>'Level 1'!K139</f>
        <v>60450</v>
      </c>
      <c r="D131" s="96"/>
      <c r="F131" s="633">
        <f>VLOOKUP(A131,'Level 1.1 UPDATE A'!$A$21:$K$292,11,FALSE)</f>
        <v>60450</v>
      </c>
      <c r="G131" s="96"/>
      <c r="H131" s="296">
        <f t="shared" si="46"/>
        <v>0</v>
      </c>
      <c r="I131" s="297">
        <f t="shared" si="40"/>
        <v>0</v>
      </c>
      <c r="K131" s="633">
        <f>VLOOKUP(A131,'Level 2 - Transmitted (2)'!$A$20:$K$335,11,FALSE)</f>
        <v>82680</v>
      </c>
      <c r="L131" s="96"/>
      <c r="N131" s="296">
        <f t="shared" si="47"/>
        <v>-22230</v>
      </c>
      <c r="P131" s="297">
        <f t="shared" si="41"/>
        <v>0</v>
      </c>
      <c r="R131" s="633">
        <f>VLOOKUP(A131,'Level 3'!$A$20:$K$319,11,FALSE)</f>
        <v>82680</v>
      </c>
      <c r="S131" s="96"/>
      <c r="T131" s="296">
        <f t="shared" si="48"/>
        <v>0</v>
      </c>
      <c r="U131" s="297">
        <f t="shared" si="49"/>
        <v>0</v>
      </c>
      <c r="V131" s="84"/>
    </row>
    <row r="132" spans="1:22" outlineLevel="1">
      <c r="A132" s="311" t="s">
        <v>474</v>
      </c>
      <c r="C132" s="633">
        <f>'Level 1'!K140</f>
        <v>6000</v>
      </c>
      <c r="D132" s="96"/>
      <c r="F132" s="633">
        <f>VLOOKUP(A132,'Level 1.1 UPDATE A'!$A$21:$K$292,11,FALSE)</f>
        <v>6000</v>
      </c>
      <c r="G132" s="96"/>
      <c r="H132" s="296">
        <f t="shared" si="46"/>
        <v>0</v>
      </c>
      <c r="I132" s="297">
        <f t="shared" si="40"/>
        <v>0</v>
      </c>
      <c r="K132" s="633">
        <f>VLOOKUP(A132,'Level 2 - Transmitted (2)'!$A$20:$K$335,11,FALSE)</f>
        <v>20000</v>
      </c>
      <c r="L132" s="96"/>
      <c r="N132" s="296">
        <f t="shared" si="47"/>
        <v>-14000</v>
      </c>
      <c r="P132" s="297">
        <f t="shared" si="41"/>
        <v>0</v>
      </c>
      <c r="R132" s="633">
        <f>VLOOKUP(A132,'Level 3'!$A$20:$K$319,11,FALSE)</f>
        <v>20000</v>
      </c>
      <c r="S132" s="96"/>
      <c r="T132" s="296">
        <f t="shared" si="48"/>
        <v>0</v>
      </c>
      <c r="U132" s="297">
        <f t="shared" si="49"/>
        <v>0</v>
      </c>
      <c r="V132" s="84"/>
    </row>
    <row r="133" spans="1:22" outlineLevel="1">
      <c r="A133" s="311" t="s">
        <v>477</v>
      </c>
      <c r="C133" s="633">
        <f>'Level 1'!K141</f>
        <v>5000</v>
      </c>
      <c r="D133" s="96"/>
      <c r="F133" s="633">
        <f>VLOOKUP(A133,'Level 1.1 UPDATE A'!$A$21:$K$292,11,FALSE)</f>
        <v>5000</v>
      </c>
      <c r="G133" s="96"/>
      <c r="H133" s="296">
        <f t="shared" si="46"/>
        <v>0</v>
      </c>
      <c r="I133" s="297">
        <f t="shared" si="40"/>
        <v>0</v>
      </c>
      <c r="K133" s="633">
        <f>VLOOKUP(A133,'Level 2 - Transmitted (2)'!$A$20:$K$335,11,FALSE)</f>
        <v>5000</v>
      </c>
      <c r="L133" s="96"/>
      <c r="N133" s="296">
        <f t="shared" si="47"/>
        <v>0</v>
      </c>
      <c r="P133" s="297">
        <f t="shared" si="41"/>
        <v>0</v>
      </c>
      <c r="R133" s="633">
        <f>VLOOKUP(A133,'Level 3'!$A$20:$K$319,11,FALSE)</f>
        <v>5000</v>
      </c>
      <c r="S133" s="96"/>
      <c r="T133" s="296">
        <f t="shared" si="48"/>
        <v>0</v>
      </c>
      <c r="U133" s="297">
        <f t="shared" si="49"/>
        <v>0</v>
      </c>
      <c r="V133" s="84"/>
    </row>
    <row r="134" spans="1:22" outlineLevel="1">
      <c r="A134" s="311" t="s">
        <v>479</v>
      </c>
      <c r="C134" s="633">
        <f>'Level 1'!K142</f>
        <v>7000</v>
      </c>
      <c r="D134" s="96"/>
      <c r="F134" s="633">
        <f>VLOOKUP(A134,'Level 1.1 UPDATE A'!$A$21:$K$292,11,FALSE)</f>
        <v>7000</v>
      </c>
      <c r="G134" s="96"/>
      <c r="H134" s="296">
        <f t="shared" si="46"/>
        <v>0</v>
      </c>
      <c r="I134" s="297">
        <f t="shared" si="40"/>
        <v>0</v>
      </c>
      <c r="K134" s="633">
        <f>VLOOKUP(A134,'Level 2 - Transmitted (2)'!$A$20:$K$335,11,FALSE)</f>
        <v>7000</v>
      </c>
      <c r="L134" s="96"/>
      <c r="N134" s="296">
        <f t="shared" si="47"/>
        <v>0</v>
      </c>
      <c r="P134" s="297">
        <f t="shared" si="41"/>
        <v>0</v>
      </c>
      <c r="R134" s="633">
        <f>VLOOKUP(A134,'Level 3'!$A$20:$K$319,11,FALSE)</f>
        <v>7000</v>
      </c>
      <c r="S134" s="96"/>
      <c r="T134" s="296">
        <f t="shared" si="48"/>
        <v>0</v>
      </c>
      <c r="U134" s="297">
        <f t="shared" si="49"/>
        <v>0</v>
      </c>
      <c r="V134" s="84"/>
    </row>
    <row r="135" spans="1:22" outlineLevel="1">
      <c r="A135" s="311" t="s">
        <v>482</v>
      </c>
      <c r="C135" s="633">
        <f>'Level 1'!K143</f>
        <v>9469</v>
      </c>
      <c r="D135" s="96"/>
      <c r="F135" s="633">
        <f>VLOOKUP(A135,'Level 1.1 UPDATE A'!$A$21:$K$292,11,FALSE)</f>
        <v>9401</v>
      </c>
      <c r="G135" s="96"/>
      <c r="H135" s="296">
        <f t="shared" si="46"/>
        <v>68</v>
      </c>
      <c r="I135" s="297">
        <f t="shared" si="40"/>
        <v>0</v>
      </c>
      <c r="K135" s="633">
        <f>VLOOKUP(A135,'Level 2 - Transmitted (2)'!$A$20:$K$335,11,FALSE)</f>
        <v>22806.287179487183</v>
      </c>
      <c r="L135" s="96"/>
      <c r="N135" s="296">
        <f t="shared" si="47"/>
        <v>-13337.287179487183</v>
      </c>
      <c r="P135" s="297">
        <f t="shared" si="41"/>
        <v>0</v>
      </c>
      <c r="R135" s="633">
        <f>VLOOKUP(A135,'Level 3'!$A$20:$K$319,11,FALSE)</f>
        <v>17500</v>
      </c>
      <c r="S135" s="96"/>
      <c r="T135" s="296">
        <f t="shared" si="48"/>
        <v>5306.2871794871826</v>
      </c>
      <c r="U135" s="297">
        <f t="shared" si="49"/>
        <v>0.23266773489811413</v>
      </c>
      <c r="V135" s="84"/>
    </row>
    <row r="136" spans="1:22" outlineLevel="1">
      <c r="A136" s="311" t="s">
        <v>485</v>
      </c>
      <c r="C136" s="633">
        <f>'Level 1'!K144</f>
        <v>0</v>
      </c>
      <c r="D136" s="96"/>
      <c r="F136" s="633">
        <f>VLOOKUP(A136,'Level 1.1 UPDATE A'!$A$21:$K$292,11,FALSE)</f>
        <v>0</v>
      </c>
      <c r="G136" s="96"/>
      <c r="H136" s="296">
        <f t="shared" si="46"/>
        <v>0</v>
      </c>
      <c r="I136" s="297">
        <f t="shared" si="40"/>
        <v>0</v>
      </c>
      <c r="K136" s="633">
        <f>VLOOKUP(A136,'Level 2 - Transmitted (2)'!$A$20:$K$335,11,FALSE)</f>
        <v>0</v>
      </c>
      <c r="L136" s="96"/>
      <c r="N136" s="296">
        <f t="shared" si="47"/>
        <v>0</v>
      </c>
      <c r="P136" s="297">
        <f t="shared" si="41"/>
        <v>0</v>
      </c>
      <c r="R136" s="633">
        <f>VLOOKUP(A136,'Level 3'!$A$20:$K$319,11,FALSE)</f>
        <v>0</v>
      </c>
      <c r="S136" s="96"/>
      <c r="T136" s="296">
        <f t="shared" si="48"/>
        <v>0</v>
      </c>
      <c r="U136" s="297">
        <f t="shared" si="49"/>
        <v>0</v>
      </c>
      <c r="V136" s="84"/>
    </row>
    <row r="137" spans="1:22" outlineLevel="1">
      <c r="A137" s="311" t="s">
        <v>487</v>
      </c>
      <c r="C137" s="633">
        <f>'Level 1'!K145</f>
        <v>0</v>
      </c>
      <c r="D137" s="96"/>
      <c r="F137" s="633">
        <f>VLOOKUP(A137,'Level 1.1 UPDATE A'!$A$21:$K$292,11,FALSE)</f>
        <v>0</v>
      </c>
      <c r="G137" s="96"/>
      <c r="H137" s="296">
        <f t="shared" si="46"/>
        <v>0</v>
      </c>
      <c r="I137" s="297">
        <f t="shared" si="40"/>
        <v>0</v>
      </c>
      <c r="K137" s="633">
        <f>VLOOKUP(A137,'Level 2 - Transmitted (2)'!$A$20:$K$335,11,FALSE)</f>
        <v>7000</v>
      </c>
      <c r="L137" s="96"/>
      <c r="N137" s="296">
        <f t="shared" si="47"/>
        <v>-7000</v>
      </c>
      <c r="P137" s="297">
        <f t="shared" si="41"/>
        <v>0</v>
      </c>
      <c r="R137" s="633">
        <f>VLOOKUP(A137,'Level 3'!$A$20:$K$319,11,FALSE)</f>
        <v>7000</v>
      </c>
      <c r="S137" s="96"/>
      <c r="T137" s="296">
        <f t="shared" si="48"/>
        <v>0</v>
      </c>
      <c r="U137" s="297">
        <f t="shared" si="49"/>
        <v>0</v>
      </c>
      <c r="V137" s="84"/>
    </row>
    <row r="138" spans="1:22" outlineLevel="1">
      <c r="A138" s="311" t="s">
        <v>489</v>
      </c>
      <c r="C138" s="633">
        <f>'Level 1'!K146</f>
        <v>0</v>
      </c>
      <c r="D138" s="96"/>
      <c r="F138" s="633">
        <f>VLOOKUP(A138,'Level 1.1 UPDATE A'!$A$21:$K$292,11,FALSE)</f>
        <v>0</v>
      </c>
      <c r="G138" s="96"/>
      <c r="H138" s="296">
        <f t="shared" si="46"/>
        <v>0</v>
      </c>
      <c r="I138" s="297">
        <f t="shared" si="40"/>
        <v>0</v>
      </c>
      <c r="K138" s="633">
        <f>VLOOKUP(A138,'Level 2 - Transmitted (2)'!$A$20:$K$335,11,FALSE)</f>
        <v>3500</v>
      </c>
      <c r="L138" s="96"/>
      <c r="N138" s="296">
        <f t="shared" si="47"/>
        <v>-3500</v>
      </c>
      <c r="P138" s="297">
        <f t="shared" si="41"/>
        <v>0</v>
      </c>
      <c r="R138" s="633">
        <f>VLOOKUP(A138,'Level 3'!$A$20:$K$319,11,FALSE)</f>
        <v>3500</v>
      </c>
      <c r="S138" s="96"/>
      <c r="T138" s="296">
        <f t="shared" si="48"/>
        <v>0</v>
      </c>
      <c r="U138" s="297">
        <f t="shared" si="49"/>
        <v>0</v>
      </c>
      <c r="V138" s="84"/>
    </row>
    <row r="139" spans="1:22" outlineLevel="1">
      <c r="A139" s="311" t="s">
        <v>491</v>
      </c>
      <c r="C139" s="633">
        <f>'Level 1'!K147</f>
        <v>20160</v>
      </c>
      <c r="D139" s="96"/>
      <c r="F139" s="633">
        <f>VLOOKUP(A139,'Level 1.1 UPDATE A'!$A$21:$K$292,11,FALSE)</f>
        <v>13440</v>
      </c>
      <c r="G139" s="96"/>
      <c r="H139" s="296">
        <f t="shared" si="46"/>
        <v>6720</v>
      </c>
      <c r="I139" s="297">
        <f t="shared" si="40"/>
        <v>0</v>
      </c>
      <c r="K139" s="633">
        <f>VLOOKUP(A139,'Level 2 - Transmitted (2)'!$A$20:$K$335,11,FALSE)</f>
        <v>26880</v>
      </c>
      <c r="L139" s="96"/>
      <c r="N139" s="296">
        <f t="shared" si="47"/>
        <v>-6720</v>
      </c>
      <c r="P139" s="297">
        <f t="shared" si="41"/>
        <v>0</v>
      </c>
      <c r="R139" s="633">
        <f>VLOOKUP(A139,'Level 3'!$A$20:$K$319,11,FALSE)</f>
        <v>26880</v>
      </c>
      <c r="S139" s="96"/>
      <c r="T139" s="296">
        <f t="shared" si="48"/>
        <v>0</v>
      </c>
      <c r="U139" s="297">
        <f t="shared" si="49"/>
        <v>0</v>
      </c>
      <c r="V139" s="84"/>
    </row>
    <row r="140" spans="1:22" outlineLevel="1">
      <c r="A140" s="311" t="s">
        <v>191</v>
      </c>
      <c r="C140" s="633">
        <f>'Level 1'!K148</f>
        <v>6000</v>
      </c>
      <c r="D140" s="96"/>
      <c r="F140" s="633">
        <f>VLOOKUP(A140,'Level 1.1 UPDATE A'!$A$21:$K$292,11,FALSE)</f>
        <v>6000</v>
      </c>
      <c r="G140" s="96"/>
      <c r="H140" s="296">
        <f t="shared" si="46"/>
        <v>0</v>
      </c>
      <c r="I140" s="297">
        <f t="shared" si="40"/>
        <v>0</v>
      </c>
      <c r="K140" s="633">
        <f>VLOOKUP(A140,'Level 2 - Transmitted (2)'!$A$20:$K$335,11,FALSE)</f>
        <v>6000</v>
      </c>
      <c r="L140" s="96"/>
      <c r="N140" s="296">
        <f t="shared" si="47"/>
        <v>0</v>
      </c>
      <c r="P140" s="297">
        <f t="shared" si="41"/>
        <v>0</v>
      </c>
      <c r="R140" s="633">
        <f>VLOOKUP(A140,'Level 3'!$A$20:$K$319,11,FALSE)</f>
        <v>6000</v>
      </c>
      <c r="S140" s="96"/>
      <c r="T140" s="296">
        <f t="shared" si="48"/>
        <v>0</v>
      </c>
      <c r="U140" s="297">
        <f t="shared" si="49"/>
        <v>0</v>
      </c>
      <c r="V140" s="84"/>
    </row>
    <row r="141" spans="1:22" outlineLevel="1">
      <c r="A141" s="311" t="s">
        <v>495</v>
      </c>
      <c r="C141" s="633">
        <f>'Level 1'!K149</f>
        <v>31200</v>
      </c>
      <c r="D141" s="96"/>
      <c r="F141" s="633">
        <f>VLOOKUP(A141,'Level 1.1 UPDATE A'!$A$21:$K$292,11,FALSE)</f>
        <v>31200</v>
      </c>
      <c r="G141" s="96"/>
      <c r="H141" s="296">
        <f t="shared" si="46"/>
        <v>0</v>
      </c>
      <c r="I141" s="297">
        <f t="shared" si="40"/>
        <v>0</v>
      </c>
      <c r="K141" s="633">
        <f>VLOOKUP(A141,'Level 2 - Transmitted (2)'!$A$20:$K$335,11,FALSE)</f>
        <v>31200</v>
      </c>
      <c r="L141" s="96"/>
      <c r="N141" s="296">
        <f t="shared" si="47"/>
        <v>0</v>
      </c>
      <c r="P141" s="297">
        <f t="shared" si="41"/>
        <v>0</v>
      </c>
      <c r="R141" s="633">
        <f>VLOOKUP(A141,'Level 3'!$A$20:$K$319,11,FALSE)</f>
        <v>31200</v>
      </c>
      <c r="S141" s="96"/>
      <c r="T141" s="296">
        <f t="shared" si="48"/>
        <v>0</v>
      </c>
      <c r="U141" s="297">
        <f t="shared" si="49"/>
        <v>0</v>
      </c>
      <c r="V141" s="84"/>
    </row>
    <row r="142" spans="1:22" outlineLevel="1">
      <c r="A142" s="311" t="s">
        <v>497</v>
      </c>
      <c r="C142" s="633">
        <f>'Level 1'!K150</f>
        <v>65637</v>
      </c>
      <c r="D142" s="96"/>
      <c r="F142" s="633">
        <f>VLOOKUP(A142,'Level 1.1 UPDATE A'!$A$21:$K$292,11,FALSE)</f>
        <v>65637</v>
      </c>
      <c r="G142" s="96"/>
      <c r="H142" s="296">
        <f t="shared" si="46"/>
        <v>0</v>
      </c>
      <c r="I142" s="297">
        <f t="shared" si="40"/>
        <v>0</v>
      </c>
      <c r="K142" s="633">
        <f>VLOOKUP(A142,'Level 2 - Transmitted (2)'!$A$20:$K$335,11,FALSE)</f>
        <v>89810</v>
      </c>
      <c r="L142" s="96"/>
      <c r="N142" s="296">
        <f t="shared" si="47"/>
        <v>-24173</v>
      </c>
      <c r="P142" s="297">
        <f t="shared" si="41"/>
        <v>0</v>
      </c>
      <c r="R142" s="633">
        <f>VLOOKUP(A142,'Level 3'!$A$20:$K$319,11,FALSE)</f>
        <v>89810</v>
      </c>
      <c r="S142" s="96"/>
      <c r="T142" s="296">
        <f t="shared" si="48"/>
        <v>0</v>
      </c>
      <c r="U142" s="297">
        <f t="shared" si="49"/>
        <v>0</v>
      </c>
      <c r="V142" s="84"/>
    </row>
    <row r="143" spans="1:22" outlineLevel="1">
      <c r="A143" s="311" t="s">
        <v>499</v>
      </c>
      <c r="C143" s="633">
        <f>'Level 1'!K151</f>
        <v>94380.000000000015</v>
      </c>
      <c r="D143" s="96"/>
      <c r="F143" s="633">
        <f>VLOOKUP(A143,'Level 1.1 UPDATE A'!$A$21:$K$292,11,FALSE)</f>
        <v>94380.000000000015</v>
      </c>
      <c r="G143" s="96"/>
      <c r="H143" s="296">
        <f t="shared" si="46"/>
        <v>0</v>
      </c>
      <c r="I143" s="297">
        <f t="shared" si="40"/>
        <v>0</v>
      </c>
      <c r="K143" s="633">
        <f>VLOOKUP(A143,'Level 2 - Transmitted (2)'!$A$20:$K$335,11,FALSE)</f>
        <v>166000</v>
      </c>
      <c r="L143" s="96"/>
      <c r="N143" s="296">
        <f t="shared" si="47"/>
        <v>-71619.999999999985</v>
      </c>
      <c r="P143" s="297">
        <f t="shared" si="41"/>
        <v>0</v>
      </c>
      <c r="R143" s="633">
        <f>VLOOKUP(A143,'Level 3'!$A$20:$K$319,11,FALSE)</f>
        <v>166000</v>
      </c>
      <c r="S143" s="96"/>
      <c r="T143" s="296">
        <f t="shared" si="48"/>
        <v>0</v>
      </c>
      <c r="U143" s="297">
        <f t="shared" si="49"/>
        <v>0</v>
      </c>
      <c r="V143" s="84"/>
    </row>
    <row r="144" spans="1:22" outlineLevel="1">
      <c r="A144" s="311" t="s">
        <v>502</v>
      </c>
      <c r="C144" s="633">
        <f>'Level 1'!K152</f>
        <v>180000</v>
      </c>
      <c r="D144" s="96"/>
      <c r="F144" s="633">
        <f>VLOOKUP(A144,'Level 1.1 UPDATE A'!$A$21:$K$292,11,FALSE)</f>
        <v>145000</v>
      </c>
      <c r="G144" s="96"/>
      <c r="H144" s="296">
        <f t="shared" si="46"/>
        <v>35000</v>
      </c>
      <c r="I144" s="297">
        <f t="shared" si="40"/>
        <v>0</v>
      </c>
      <c r="K144" s="633">
        <f>VLOOKUP(A144,'Level 2 - Transmitted (2)'!$A$20:$K$335,11,FALSE)</f>
        <v>145000</v>
      </c>
      <c r="L144" s="96"/>
      <c r="N144" s="296">
        <f t="shared" si="47"/>
        <v>35000</v>
      </c>
      <c r="P144" s="297">
        <f t="shared" si="41"/>
        <v>0</v>
      </c>
      <c r="R144" s="633">
        <f>VLOOKUP(A144,'Level 3'!$A$20:$K$319,11,FALSE)</f>
        <v>174000</v>
      </c>
      <c r="S144" s="96"/>
      <c r="T144" s="296">
        <f t="shared" si="48"/>
        <v>-29000</v>
      </c>
      <c r="U144" s="297">
        <f t="shared" si="49"/>
        <v>-0.2</v>
      </c>
      <c r="V144" s="84"/>
    </row>
    <row r="145" spans="1:34" outlineLevel="1">
      <c r="A145" s="311" t="s">
        <v>504</v>
      </c>
      <c r="C145" s="633">
        <f>'Level 1'!K153</f>
        <v>95150</v>
      </c>
      <c r="D145" s="96"/>
      <c r="F145" s="633">
        <f>VLOOKUP(A145,'Level 1.1 UPDATE A'!$A$21:$K$292,11,FALSE)</f>
        <v>86500</v>
      </c>
      <c r="G145" s="96"/>
      <c r="H145" s="296">
        <f t="shared" si="46"/>
        <v>8650</v>
      </c>
      <c r="I145" s="297">
        <f t="shared" si="40"/>
        <v>0</v>
      </c>
      <c r="K145" s="633">
        <f>VLOOKUP(A145,'Level 2 - Transmitted (2)'!$A$20:$K$335,11,FALSE)</f>
        <v>87500</v>
      </c>
      <c r="L145" s="96"/>
      <c r="N145" s="296">
        <f t="shared" si="47"/>
        <v>7650</v>
      </c>
      <c r="P145" s="297">
        <f t="shared" si="41"/>
        <v>0</v>
      </c>
      <c r="R145" s="633">
        <f>VLOOKUP(A145,'Level 3'!$A$20:$K$319,11,FALSE)</f>
        <v>93000</v>
      </c>
      <c r="S145" s="96"/>
      <c r="T145" s="296">
        <f t="shared" si="48"/>
        <v>-5500</v>
      </c>
      <c r="U145" s="297">
        <f t="shared" si="49"/>
        <v>-6.2857142857142861E-2</v>
      </c>
      <c r="V145" s="84"/>
    </row>
    <row r="146" spans="1:34">
      <c r="A146" s="613" t="s">
        <v>467</v>
      </c>
      <c r="C146" s="632"/>
      <c r="D146" s="327">
        <f>'Level 1'!L137</f>
        <v>580446</v>
      </c>
      <c r="F146" s="632"/>
      <c r="G146" s="327">
        <f>VLOOKUP(A146,'Level 1.1 UPDATE A'!$A$20:$L$330,12,FALSE)</f>
        <v>530008</v>
      </c>
      <c r="H146" s="328">
        <f>D146-G146</f>
        <v>50438</v>
      </c>
      <c r="I146" s="329">
        <f t="shared" si="40"/>
        <v>8.6895249515028097E-2</v>
      </c>
      <c r="K146" s="632"/>
      <c r="L146" s="327">
        <f>VLOOKUP(A146,'Level 2 - Transmitted (2)'!$A$21:$L$335,12,FALSE)</f>
        <v>700376.28717948718</v>
      </c>
      <c r="M146" s="388"/>
      <c r="N146" s="328">
        <f>D146-L146</f>
        <v>-119930.28717948718</v>
      </c>
      <c r="O146" s="388"/>
      <c r="P146" s="329">
        <f t="shared" si="41"/>
        <v>-0.20661747549209947</v>
      </c>
      <c r="R146" s="632"/>
      <c r="S146" s="327">
        <f>VLOOKUP(A146,'Level 3'!$A$21:$L$320,12,FALSE)</f>
        <v>729570</v>
      </c>
      <c r="T146" s="328">
        <f>L146-S146</f>
        <v>-29193.712820512825</v>
      </c>
      <c r="U146" s="329">
        <f>IF(L146=0,0,T146/L146)</f>
        <v>-4.168289725810103E-2</v>
      </c>
      <c r="V146" s="84"/>
      <c r="AA146" s="358"/>
      <c r="AB146" s="358"/>
    </row>
    <row r="147" spans="1:34" outlineLevel="1">
      <c r="A147" s="614" t="s">
        <v>507</v>
      </c>
      <c r="C147" s="631">
        <f>'Level 1'!K155</f>
        <v>1248584</v>
      </c>
      <c r="D147" s="615"/>
      <c r="F147" s="631">
        <f>VLOOKUP(A147,'Level 1.1 UPDATE A'!$A$21:$K$292,11,FALSE)</f>
        <v>1248584</v>
      </c>
      <c r="G147" s="615"/>
      <c r="H147" s="617">
        <f>C147-F147</f>
        <v>0</v>
      </c>
      <c r="I147" s="618">
        <f t="shared" si="40"/>
        <v>0</v>
      </c>
      <c r="K147" s="631">
        <f>VLOOKUP(A147,'Level 2 - Transmitted (2)'!$A$20:$K$335,11,FALSE)</f>
        <v>1360515</v>
      </c>
      <c r="L147" s="615"/>
      <c r="M147" s="619"/>
      <c r="N147" s="617">
        <f t="shared" si="47"/>
        <v>-111931</v>
      </c>
      <c r="O147" s="619"/>
      <c r="P147" s="618">
        <f t="shared" si="41"/>
        <v>0</v>
      </c>
      <c r="R147" s="631">
        <f>VLOOKUP(A147,'Level 3'!$A$20:$K$319,11,FALSE)</f>
        <v>1297993.9230927837</v>
      </c>
      <c r="S147" s="615"/>
      <c r="T147" s="617">
        <f>K147-R147</f>
        <v>62521.076907216338</v>
      </c>
      <c r="U147" s="618">
        <f>IF(K147=0,0,T147/K147)</f>
        <v>4.5953978388489899E-2</v>
      </c>
      <c r="V147" s="84"/>
      <c r="AA147" s="358"/>
      <c r="AB147" s="358"/>
    </row>
    <row r="148" spans="1:34" outlineLevel="1">
      <c r="A148" s="311" t="s">
        <v>996</v>
      </c>
      <c r="C148" s="629"/>
      <c r="D148" s="96"/>
      <c r="F148" s="629"/>
      <c r="G148" s="96"/>
      <c r="H148" s="296"/>
      <c r="I148" s="297"/>
      <c r="K148" s="629">
        <v>0</v>
      </c>
      <c r="L148" s="96"/>
      <c r="N148" s="296"/>
      <c r="P148" s="297"/>
      <c r="R148" s="633">
        <f>VLOOKUP(A148,'Level 3'!$A$20:$K$319,11,FALSE)</f>
        <v>130000</v>
      </c>
      <c r="S148" s="96"/>
      <c r="T148" s="296">
        <f t="shared" ref="T148" si="50">K148-R148</f>
        <v>-130000</v>
      </c>
      <c r="U148" s="297">
        <f t="shared" ref="U148" si="51">IF(K148=0,0,T148/K148)</f>
        <v>0</v>
      </c>
      <c r="V148" s="84" t="s">
        <v>1028</v>
      </c>
      <c r="AA148" s="358"/>
      <c r="AB148" s="358"/>
    </row>
    <row r="149" spans="1:34" outlineLevel="1">
      <c r="A149" s="311" t="s">
        <v>509</v>
      </c>
      <c r="C149" s="633">
        <f>'Level 1'!K156</f>
        <v>0</v>
      </c>
      <c r="D149" s="96"/>
      <c r="F149" s="633">
        <f>VLOOKUP(A149,'Level 1.1 UPDATE A'!$A$21:$K$292,11,FALSE)</f>
        <v>0</v>
      </c>
      <c r="G149" s="96"/>
      <c r="H149" s="296">
        <f>C149-F149</f>
        <v>0</v>
      </c>
      <c r="I149" s="297">
        <f t="shared" si="40"/>
        <v>0</v>
      </c>
      <c r="K149" s="633">
        <f>VLOOKUP(A149,'Level 2 - Transmitted (2)'!$A$20:$K$335,11,FALSE)</f>
        <v>25000</v>
      </c>
      <c r="L149" s="96"/>
      <c r="N149" s="296">
        <f t="shared" ref="N149" si="52">C149-K149</f>
        <v>-25000</v>
      </c>
      <c r="P149" s="297">
        <f t="shared" si="41"/>
        <v>0</v>
      </c>
      <c r="R149" s="633">
        <f>VLOOKUP(A149,'Level 3'!$A$20:$K$319,11,FALSE)</f>
        <v>15000</v>
      </c>
      <c r="S149" s="96"/>
      <c r="T149" s="296">
        <f>K149-R149</f>
        <v>10000</v>
      </c>
      <c r="U149" s="297">
        <f>IF(K149=0,0,T149/K149)</f>
        <v>0.4</v>
      </c>
      <c r="V149" s="84"/>
      <c r="AA149" s="358"/>
      <c r="AB149" s="358"/>
    </row>
    <row r="150" spans="1:34">
      <c r="A150" s="613" t="s">
        <v>505</v>
      </c>
      <c r="C150" s="632"/>
      <c r="D150" s="327">
        <f>'Level 1'!L154</f>
        <v>1248584</v>
      </c>
      <c r="F150" s="632"/>
      <c r="G150" s="327">
        <f>VLOOKUP(A150,'Level 1.1 UPDATE A'!$A$20:$L$330,12,FALSE)</f>
        <v>1248584</v>
      </c>
      <c r="H150" s="328">
        <f>D150-G150</f>
        <v>0</v>
      </c>
      <c r="I150" s="329">
        <f t="shared" si="40"/>
        <v>0</v>
      </c>
      <c r="K150" s="632"/>
      <c r="L150" s="327">
        <f>VLOOKUP(A150,'Level 2 - Transmitted (2)'!$A$21:$L$335,12,FALSE)</f>
        <v>1385515</v>
      </c>
      <c r="M150" s="388"/>
      <c r="N150" s="328">
        <f>D150-L150</f>
        <v>-136931</v>
      </c>
      <c r="O150" s="388"/>
      <c r="P150" s="329">
        <f t="shared" si="41"/>
        <v>-0.10966903308067379</v>
      </c>
      <c r="R150" s="632"/>
      <c r="S150" s="327">
        <f>VLOOKUP(A150,'Level 3'!$A$21:$L$320,12,FALSE)</f>
        <v>1442993.9230927837</v>
      </c>
      <c r="T150" s="328">
        <f>L150-S150</f>
        <v>-57478.923092783662</v>
      </c>
      <c r="U150" s="329">
        <f>IF(L150=0,0,T150/L150)</f>
        <v>-4.1485601449846206E-2</v>
      </c>
      <c r="V150" s="84"/>
      <c r="AA150" s="358"/>
      <c r="AB150" s="358"/>
    </row>
    <row r="151" spans="1:34" outlineLevel="1">
      <c r="A151" s="614" t="s">
        <v>307</v>
      </c>
      <c r="C151" s="631">
        <f>'Level 1'!K158</f>
        <v>0</v>
      </c>
      <c r="D151" s="615"/>
      <c r="F151" s="631">
        <f>VLOOKUP(A151,'Level 1.1 UPDATE A'!$A$21:$K$292,11,FALSE)</f>
        <v>0</v>
      </c>
      <c r="G151" s="615"/>
      <c r="H151" s="617">
        <f t="shared" ref="H151:H158" si="53">C151-F151</f>
        <v>0</v>
      </c>
      <c r="I151" s="618">
        <f t="shared" ref="I151:I215" si="54">IF(D151=0,0,H151/D151)</f>
        <v>0</v>
      </c>
      <c r="K151" s="631">
        <f>VLOOKUP(A151,'Level 2 - Transmitted (2)'!$A$20:$K$335,11,FALSE)</f>
        <v>0</v>
      </c>
      <c r="L151" s="615"/>
      <c r="M151" s="619"/>
      <c r="N151" s="617">
        <f t="shared" ref="N151:N158" si="55">C151-K151</f>
        <v>0</v>
      </c>
      <c r="O151" s="619"/>
      <c r="P151" s="618">
        <f t="shared" ref="P151:P215" si="56">IF(D151=0,0,N151/D151)</f>
        <v>0</v>
      </c>
      <c r="R151" s="631">
        <f>VLOOKUP(A151,'Level 3'!$A$20:$K$319,11,FALSE)</f>
        <v>0</v>
      </c>
      <c r="S151" s="615"/>
      <c r="T151" s="617">
        <f t="shared" ref="T151:T158" si="57">K151-R151</f>
        <v>0</v>
      </c>
      <c r="U151" s="618">
        <f t="shared" ref="U151:U158" si="58">IF(K151=0,0,T151/K151)</f>
        <v>0</v>
      </c>
      <c r="V151" s="84"/>
      <c r="AA151" s="358"/>
      <c r="AB151" s="358"/>
    </row>
    <row r="152" spans="1:34" outlineLevel="1">
      <c r="A152" s="311" t="s">
        <v>513</v>
      </c>
      <c r="C152" s="633">
        <f>'Level 1'!K159</f>
        <v>169433.12394957984</v>
      </c>
      <c r="D152" s="96"/>
      <c r="F152" s="633">
        <f>VLOOKUP(A152,'Level 1.1 UPDATE A'!$A$21:$K$292,11,FALSE)</f>
        <v>169433.12394957984</v>
      </c>
      <c r="G152" s="96"/>
      <c r="H152" s="296">
        <f t="shared" si="53"/>
        <v>0</v>
      </c>
      <c r="I152" s="297">
        <f t="shared" si="54"/>
        <v>0</v>
      </c>
      <c r="K152" s="633">
        <f>VLOOKUP(A152,'Level 2 - Transmitted (2)'!$A$20:$K$335,11,FALSE)</f>
        <v>170273.19587628869</v>
      </c>
      <c r="L152" s="96"/>
      <c r="N152" s="296">
        <f t="shared" si="55"/>
        <v>-840.07192670885706</v>
      </c>
      <c r="P152" s="297">
        <f t="shared" si="56"/>
        <v>0</v>
      </c>
      <c r="R152" s="633">
        <f>VLOOKUP(A152,'Level 3'!$A$20:$K$319,11,FALSE)</f>
        <v>156000</v>
      </c>
      <c r="S152" s="96"/>
      <c r="T152" s="296">
        <f t="shared" si="57"/>
        <v>14273.195876288693</v>
      </c>
      <c r="U152" s="297">
        <f t="shared" si="58"/>
        <v>8.3825265643447638E-2</v>
      </c>
      <c r="V152" s="84"/>
      <c r="AA152" s="358"/>
      <c r="AB152" s="358"/>
    </row>
    <row r="153" spans="1:34" outlineLevel="1">
      <c r="A153" s="311" t="s">
        <v>516</v>
      </c>
      <c r="C153" s="633">
        <f>'Level 1'!K160</f>
        <v>1411878</v>
      </c>
      <c r="D153" s="96"/>
      <c r="F153" s="633">
        <f>VLOOKUP(A153,'Level 1.1 UPDATE A'!$A$21:$K$292,11,FALSE)</f>
        <v>1411878</v>
      </c>
      <c r="G153" s="96"/>
      <c r="H153" s="296">
        <f t="shared" si="53"/>
        <v>0</v>
      </c>
      <c r="I153" s="297">
        <f t="shared" si="54"/>
        <v>0</v>
      </c>
      <c r="K153" s="633">
        <f>VLOOKUP(A153,'Level 2 - Transmitted (2)'!$A$20:$K$335,11,FALSE)</f>
        <v>1179430.2000000002</v>
      </c>
      <c r="L153" s="96"/>
      <c r="N153" s="296">
        <f t="shared" si="55"/>
        <v>232447.79999999981</v>
      </c>
      <c r="P153" s="297">
        <f t="shared" si="56"/>
        <v>0</v>
      </c>
      <c r="R153" s="633">
        <f>VLOOKUP(A153,'Level 3'!$A$20:$K$319,11,FALSE)</f>
        <v>1198260</v>
      </c>
      <c r="S153" s="96"/>
      <c r="T153" s="296">
        <f t="shared" si="57"/>
        <v>-18829.799999999814</v>
      </c>
      <c r="U153" s="297">
        <f t="shared" si="58"/>
        <v>-1.5965166908562974E-2</v>
      </c>
      <c r="V153" s="84"/>
      <c r="AA153" s="358"/>
      <c r="AB153" s="358"/>
    </row>
    <row r="154" spans="1:34" outlineLevel="1">
      <c r="A154" s="311" t="s">
        <v>520</v>
      </c>
      <c r="C154" s="633">
        <f>'Level 1'!K161</f>
        <v>31400</v>
      </c>
      <c r="D154" s="96"/>
      <c r="F154" s="633">
        <f>VLOOKUP(A154,'Level 1.1 UPDATE A'!$A$21:$K$292,11,FALSE)</f>
        <v>31400</v>
      </c>
      <c r="G154" s="96"/>
      <c r="H154" s="296">
        <f t="shared" si="53"/>
        <v>0</v>
      </c>
      <c r="I154" s="297">
        <f t="shared" si="54"/>
        <v>0</v>
      </c>
      <c r="K154" s="633">
        <f>VLOOKUP(A154,'Level 2 - Transmitted (2)'!$A$20:$K$335,11,FALSE)</f>
        <v>128400</v>
      </c>
      <c r="L154" s="96"/>
      <c r="N154" s="296">
        <f t="shared" si="55"/>
        <v>-97000</v>
      </c>
      <c r="P154" s="297">
        <f t="shared" si="56"/>
        <v>0</v>
      </c>
      <c r="R154" s="633">
        <f>VLOOKUP(A154,'Level 3'!$A$20:$K$319,11,FALSE)</f>
        <v>150000</v>
      </c>
      <c r="S154" s="96"/>
      <c r="T154" s="296">
        <f t="shared" si="57"/>
        <v>-21600</v>
      </c>
      <c r="U154" s="297">
        <f t="shared" si="58"/>
        <v>-0.16822429906542055</v>
      </c>
      <c r="V154" s="84" t="s">
        <v>1029</v>
      </c>
      <c r="AA154" s="358"/>
      <c r="AB154" s="358"/>
    </row>
    <row r="155" spans="1:34" outlineLevel="1">
      <c r="A155" s="311" t="s">
        <v>523</v>
      </c>
      <c r="C155" s="633">
        <f>'Level 1'!K162</f>
        <v>703068.97689075628</v>
      </c>
      <c r="D155" s="96"/>
      <c r="F155" s="633">
        <f>VLOOKUP(A155,'Level 1.1 UPDATE A'!$A$21:$K$292,11,FALSE)</f>
        <v>703068.97689075628</v>
      </c>
      <c r="G155" s="96"/>
      <c r="H155" s="296">
        <f t="shared" si="53"/>
        <v>0</v>
      </c>
      <c r="I155" s="297">
        <f t="shared" si="54"/>
        <v>0</v>
      </c>
      <c r="K155" s="633">
        <f>VLOOKUP(A155,'Level 2 - Transmitted (2)'!$A$20:$K$335,11,FALSE)</f>
        <v>804222.01924066921</v>
      </c>
      <c r="L155" s="96"/>
      <c r="N155" s="296">
        <f t="shared" si="55"/>
        <v>-101153.04234991292</v>
      </c>
      <c r="P155" s="297">
        <f t="shared" si="56"/>
        <v>0</v>
      </c>
      <c r="R155" s="633">
        <f>VLOOKUP(A155,'Level 3'!$A$20:$K$319,11,FALSE)</f>
        <v>841253.39999999991</v>
      </c>
      <c r="S155" s="96"/>
      <c r="T155" s="296">
        <f t="shared" si="57"/>
        <v>-37031.380759330699</v>
      </c>
      <c r="U155" s="297">
        <f t="shared" si="58"/>
        <v>-4.6046215937105291E-2</v>
      </c>
      <c r="V155" s="84"/>
      <c r="AA155" s="358"/>
      <c r="AB155" s="358"/>
    </row>
    <row r="156" spans="1:34" outlineLevel="1">
      <c r="A156" s="311" t="s">
        <v>526</v>
      </c>
      <c r="C156" s="633">
        <f>'Level 1'!K163</f>
        <v>40000</v>
      </c>
      <c r="D156" s="96"/>
      <c r="F156" s="633">
        <f>VLOOKUP(A156,'Level 1.1 UPDATE A'!$A$21:$K$292,11,FALSE)</f>
        <v>40000</v>
      </c>
      <c r="G156" s="96"/>
      <c r="H156" s="296">
        <f t="shared" si="53"/>
        <v>0</v>
      </c>
      <c r="I156" s="297">
        <f t="shared" si="54"/>
        <v>0</v>
      </c>
      <c r="K156" s="633">
        <f>VLOOKUP(A156,'Level 2 - Transmitted (2)'!$A$20:$K$335,11,FALSE)</f>
        <v>39107.999967600001</v>
      </c>
      <c r="L156" s="96"/>
      <c r="N156" s="296">
        <f t="shared" si="55"/>
        <v>892.00003239999933</v>
      </c>
      <c r="P156" s="297">
        <f t="shared" si="56"/>
        <v>0</v>
      </c>
      <c r="R156" s="633">
        <f>VLOOKUP(A156,'Level 3'!$A$20:$K$319,11,FALSE)</f>
        <v>52500</v>
      </c>
      <c r="S156" s="96"/>
      <c r="T156" s="296">
        <f t="shared" si="57"/>
        <v>-13392.000032399999</v>
      </c>
      <c r="U156" s="297">
        <f t="shared" si="58"/>
        <v>-0.3424363312748015</v>
      </c>
      <c r="V156" s="84"/>
      <c r="AA156" s="358"/>
      <c r="AB156" s="358"/>
    </row>
    <row r="157" spans="1:34" outlineLevel="1">
      <c r="A157" s="311" t="s">
        <v>529</v>
      </c>
      <c r="C157" s="633">
        <f>'Level 1'!K164</f>
        <v>0</v>
      </c>
      <c r="D157" s="96"/>
      <c r="F157" s="633">
        <f>VLOOKUP(A157,'Level 1.1 UPDATE A'!$A$21:$K$292,11,FALSE)</f>
        <v>0</v>
      </c>
      <c r="G157" s="96"/>
      <c r="H157" s="296">
        <f t="shared" si="53"/>
        <v>0</v>
      </c>
      <c r="I157" s="297">
        <f t="shared" si="54"/>
        <v>0</v>
      </c>
      <c r="K157" s="633">
        <f>VLOOKUP(A157,'Level 2 - Transmitted (2)'!$A$20:$K$335,11,FALSE)</f>
        <v>0</v>
      </c>
      <c r="L157" s="96"/>
      <c r="N157" s="296">
        <f t="shared" si="55"/>
        <v>0</v>
      </c>
      <c r="P157" s="297">
        <f t="shared" si="56"/>
        <v>0</v>
      </c>
      <c r="R157" s="633">
        <f>VLOOKUP(A157,'Level 3'!$A$20:$K$319,11,FALSE)</f>
        <v>15000</v>
      </c>
      <c r="S157" s="96"/>
      <c r="T157" s="296">
        <f t="shared" si="57"/>
        <v>-15000</v>
      </c>
      <c r="U157" s="297">
        <f t="shared" si="58"/>
        <v>0</v>
      </c>
      <c r="V157" s="84"/>
      <c r="AA157" s="358"/>
      <c r="AB157" s="358"/>
    </row>
    <row r="158" spans="1:34" outlineLevel="1">
      <c r="A158" s="311" t="s">
        <v>531</v>
      </c>
      <c r="C158" s="633">
        <f>'Level 1'!K165</f>
        <v>18000</v>
      </c>
      <c r="D158" s="96"/>
      <c r="F158" s="633">
        <f>VLOOKUP(A158,'Level 1.1 UPDATE A'!$A$21:$K$292,11,FALSE)</f>
        <v>18000</v>
      </c>
      <c r="G158" s="96"/>
      <c r="H158" s="296">
        <f t="shared" si="53"/>
        <v>0</v>
      </c>
      <c r="I158" s="297">
        <f t="shared" si="54"/>
        <v>0</v>
      </c>
      <c r="K158" s="633">
        <f>VLOOKUP(A158,'Level 2 - Transmitted (2)'!$A$20:$K$335,11,FALSE)</f>
        <v>48000</v>
      </c>
      <c r="L158" s="96"/>
      <c r="N158" s="296">
        <f t="shared" si="55"/>
        <v>-30000</v>
      </c>
      <c r="P158" s="297">
        <f t="shared" si="56"/>
        <v>0</v>
      </c>
      <c r="R158" s="633">
        <f>VLOOKUP(A158,'Level 3'!$A$20:$K$319,11,FALSE)</f>
        <v>48000</v>
      </c>
      <c r="S158" s="96"/>
      <c r="T158" s="296">
        <f t="shared" si="57"/>
        <v>0</v>
      </c>
      <c r="U158" s="297">
        <f t="shared" si="58"/>
        <v>0</v>
      </c>
      <c r="V158" s="84"/>
      <c r="AA158" s="358"/>
      <c r="AB158" s="358"/>
    </row>
    <row r="159" spans="1:34">
      <c r="A159" s="613" t="s">
        <v>510</v>
      </c>
      <c r="C159" s="632"/>
      <c r="D159" s="327">
        <f>'Level 1'!L157</f>
        <v>2373780.1008403362</v>
      </c>
      <c r="F159" s="632"/>
      <c r="G159" s="327">
        <f>VLOOKUP(A159,'Level 1.1 UPDATE A'!$A$20:$L$330,12,FALSE)</f>
        <v>2373780.1008403362</v>
      </c>
      <c r="H159" s="328">
        <f>D159-G159</f>
        <v>0</v>
      </c>
      <c r="I159" s="329">
        <f t="shared" si="54"/>
        <v>0</v>
      </c>
      <c r="K159" s="632"/>
      <c r="L159" s="327">
        <f>VLOOKUP(A159,'Level 2 - Transmitted (2)'!$A$21:$L$335,12,FALSE)</f>
        <v>2369433.4150845585</v>
      </c>
      <c r="M159" s="388"/>
      <c r="N159" s="328">
        <f>D159-L159</f>
        <v>4346.6857557776384</v>
      </c>
      <c r="O159" s="388"/>
      <c r="P159" s="329">
        <f t="shared" si="56"/>
        <v>1.8311240178645353E-3</v>
      </c>
      <c r="R159" s="632"/>
      <c r="S159" s="327">
        <f>VLOOKUP(A159,'Level 3'!$A$21:$L$320,12,FALSE)</f>
        <v>2461013.4</v>
      </c>
      <c r="T159" s="328">
        <f>L159-S159</f>
        <v>-91579.984915441368</v>
      </c>
      <c r="U159" s="329">
        <f>IF(L159=0,0,T159/L159)</f>
        <v>-3.8650583862122639E-2</v>
      </c>
      <c r="V159" s="84"/>
      <c r="AA159" s="358"/>
      <c r="AB159" s="358"/>
      <c r="AE159" s="358"/>
      <c r="AF159" s="358"/>
      <c r="AG159" s="358"/>
      <c r="AH159" s="358"/>
    </row>
    <row r="160" spans="1:34" outlineLevel="1">
      <c r="A160" s="614" t="s">
        <v>536</v>
      </c>
      <c r="C160" s="631">
        <f>'Level 1'!K167</f>
        <v>245000</v>
      </c>
      <c r="D160" s="615"/>
      <c r="F160" s="631">
        <f>VLOOKUP(A160,'Level 1.1 UPDATE A'!$A$21:$K$292,11,FALSE)</f>
        <v>245000</v>
      </c>
      <c r="G160" s="615"/>
      <c r="H160" s="617">
        <f>C160-F160</f>
        <v>0</v>
      </c>
      <c r="I160" s="618">
        <f t="shared" si="54"/>
        <v>0</v>
      </c>
      <c r="K160" s="631">
        <f>VLOOKUP(A160,'Level 2 - Transmitted (2)'!$A$20:$K$335,11,FALSE)</f>
        <v>267940</v>
      </c>
      <c r="L160" s="615"/>
      <c r="M160" s="619"/>
      <c r="N160" s="617">
        <f t="shared" ref="N160:N162" si="59">C160-K160</f>
        <v>-22940</v>
      </c>
      <c r="O160" s="619"/>
      <c r="P160" s="618">
        <f t="shared" si="56"/>
        <v>0</v>
      </c>
      <c r="R160" s="631">
        <f>VLOOKUP(A160,'Level 3'!$A$20:$K$319,11,FALSE)</f>
        <v>253813.33333333334</v>
      </c>
      <c r="S160" s="615"/>
      <c r="T160" s="617">
        <f t="shared" ref="T160" si="60">L160-S160</f>
        <v>0</v>
      </c>
      <c r="U160" s="618">
        <f t="shared" ref="U160" si="61">IF(K160=0,0,T160/K160)</f>
        <v>0</v>
      </c>
      <c r="V160" s="84"/>
      <c r="AA160" s="358"/>
      <c r="AB160" s="358"/>
      <c r="AE160" s="358"/>
      <c r="AF160" s="358"/>
      <c r="AG160" s="358"/>
      <c r="AH160" s="358"/>
    </row>
    <row r="161" spans="1:34" outlineLevel="1">
      <c r="A161" s="311" t="s">
        <v>172</v>
      </c>
      <c r="C161" s="633">
        <f>'Level 1'!K168</f>
        <v>1286163.8068965515</v>
      </c>
      <c r="D161" s="96"/>
      <c r="F161" s="633">
        <f>VLOOKUP(A161,'Level 1.1 UPDATE A'!$A$21:$K$292,11,FALSE)</f>
        <v>1286163.8068965515</v>
      </c>
      <c r="G161" s="96"/>
      <c r="H161" s="296">
        <f>C161-F161</f>
        <v>0</v>
      </c>
      <c r="I161" s="297">
        <f t="shared" si="54"/>
        <v>0</v>
      </c>
      <c r="K161" s="633">
        <f>VLOOKUP(A161,'Level 2 - Transmitted (2)'!$A$20:$K$335,11,FALSE)</f>
        <v>859500</v>
      </c>
      <c r="L161" s="96"/>
      <c r="N161" s="296">
        <f t="shared" si="59"/>
        <v>426663.80689655151</v>
      </c>
      <c r="P161" s="297">
        <f t="shared" si="56"/>
        <v>0</v>
      </c>
      <c r="R161" s="633">
        <f>VLOOKUP(A161,'Level 3'!$A$20:$K$319,11,FALSE)</f>
        <v>843750</v>
      </c>
      <c r="S161" s="96"/>
      <c r="T161" s="296">
        <f>K161-R161</f>
        <v>15750</v>
      </c>
      <c r="U161" s="297">
        <f>IF(K161=0,0,T161/K161)</f>
        <v>1.832460732984293E-2</v>
      </c>
      <c r="V161" s="84"/>
      <c r="AA161" s="358"/>
      <c r="AB161" s="358"/>
      <c r="AE161" s="358"/>
      <c r="AF161" s="358"/>
      <c r="AG161" s="358"/>
      <c r="AH161" s="358"/>
    </row>
    <row r="162" spans="1:34" outlineLevel="1">
      <c r="A162" s="311" t="s">
        <v>541</v>
      </c>
      <c r="C162" s="633">
        <f>'Level 1'!K169</f>
        <v>7049</v>
      </c>
      <c r="D162" s="96"/>
      <c r="F162" s="633">
        <f>VLOOKUP(A162,'Level 1.1 UPDATE A'!$A$21:$K$292,11,FALSE)</f>
        <v>7049</v>
      </c>
      <c r="G162" s="96"/>
      <c r="H162" s="296">
        <f>C162-F162</f>
        <v>0</v>
      </c>
      <c r="I162" s="297">
        <f t="shared" si="54"/>
        <v>0</v>
      </c>
      <c r="K162" s="633">
        <f>VLOOKUP(A162,'Level 2 - Transmitted (2)'!$A$20:$K$335,11,FALSE)</f>
        <v>7049</v>
      </c>
      <c r="L162" s="96"/>
      <c r="N162" s="296">
        <f t="shared" si="59"/>
        <v>0</v>
      </c>
      <c r="P162" s="297">
        <f t="shared" si="56"/>
        <v>0</v>
      </c>
      <c r="R162" s="633">
        <f>VLOOKUP(A162,'Level 3'!$A$20:$K$319,11,FALSE)</f>
        <v>6000</v>
      </c>
      <c r="S162" s="96"/>
      <c r="T162" s="296">
        <f>K162-R162</f>
        <v>1049</v>
      </c>
      <c r="U162" s="297">
        <f>IF(K162=0,0,T162/K162)</f>
        <v>0.14881543481344872</v>
      </c>
      <c r="V162" s="84"/>
      <c r="AA162" s="358"/>
      <c r="AB162" s="358"/>
      <c r="AE162" s="358"/>
      <c r="AF162" s="358"/>
      <c r="AG162" s="358"/>
      <c r="AH162" s="358"/>
    </row>
    <row r="163" spans="1:34">
      <c r="A163" s="613" t="s">
        <v>534</v>
      </c>
      <c r="C163" s="632"/>
      <c r="D163" s="327">
        <f>'Level 1'!L166</f>
        <v>1538212.8068965515</v>
      </c>
      <c r="F163" s="632"/>
      <c r="G163" s="327">
        <f>VLOOKUP(A163,'Level 1.1 UPDATE A'!$A$20:$L$330,12,FALSE)</f>
        <v>1538212.8068965515</v>
      </c>
      <c r="H163" s="328">
        <f>D163-G163</f>
        <v>0</v>
      </c>
      <c r="I163" s="329">
        <f t="shared" si="54"/>
        <v>0</v>
      </c>
      <c r="K163" s="632"/>
      <c r="L163" s="327">
        <f>VLOOKUP(A163,'Level 2 - Transmitted (2)'!$A$21:$L$335,12,FALSE)</f>
        <v>1134489</v>
      </c>
      <c r="M163" s="388"/>
      <c r="N163" s="328">
        <f>D163-L163</f>
        <v>403723.80689655151</v>
      </c>
      <c r="O163" s="388"/>
      <c r="P163" s="329">
        <f t="shared" si="56"/>
        <v>0.26246290830921609</v>
      </c>
      <c r="R163" s="632"/>
      <c r="S163" s="327">
        <f>VLOOKUP(A163,'Level 3'!$A$21:$L$320,12,FALSE)</f>
        <v>1103563.3333333333</v>
      </c>
      <c r="T163" s="328">
        <f>L163-S163</f>
        <v>30925.666666666744</v>
      </c>
      <c r="U163" s="329">
        <f>IF(L163=0,0,T163/L163)</f>
        <v>2.7259556211357488E-2</v>
      </c>
      <c r="V163" s="84"/>
      <c r="AA163" s="358"/>
      <c r="AB163" s="358"/>
      <c r="AE163" s="358"/>
      <c r="AF163" s="358"/>
      <c r="AG163" s="358"/>
      <c r="AH163" s="358"/>
    </row>
    <row r="164" spans="1:34" outlineLevel="1">
      <c r="A164" s="614" t="s">
        <v>549</v>
      </c>
      <c r="C164" s="631">
        <f>'Level 1'!K171</f>
        <v>568746.66666666663</v>
      </c>
      <c r="D164" s="615"/>
      <c r="F164" s="631">
        <f>VLOOKUP(A164,'Level 1.1 UPDATE A'!$A$21:$K$292,11,FALSE)</f>
        <v>426560</v>
      </c>
      <c r="G164" s="615"/>
      <c r="H164" s="617">
        <f>C164-F164</f>
        <v>142186.66666666663</v>
      </c>
      <c r="I164" s="618">
        <f t="shared" si="54"/>
        <v>0</v>
      </c>
      <c r="K164" s="631">
        <f>VLOOKUP(A164,'Level 2 - Transmitted (2)'!$A$20:$K$335,11,FALSE)</f>
        <v>495000</v>
      </c>
      <c r="L164" s="615"/>
      <c r="M164" s="619"/>
      <c r="N164" s="617">
        <f>C164-K164</f>
        <v>73746.666666666628</v>
      </c>
      <c r="O164" s="619"/>
      <c r="P164" s="618">
        <f t="shared" si="56"/>
        <v>0</v>
      </c>
      <c r="R164" s="631">
        <f>VLOOKUP(A164,'Level 3'!$A$20:$K$319,11,FALSE)</f>
        <v>495000</v>
      </c>
      <c r="S164" s="615"/>
      <c r="T164" s="617">
        <f>K164-R164</f>
        <v>0</v>
      </c>
      <c r="U164" s="618">
        <f>IF(K164=0,0,T164/K164)</f>
        <v>0</v>
      </c>
      <c r="V164" s="84"/>
      <c r="AA164" s="358"/>
      <c r="AB164" s="358"/>
      <c r="AE164" s="358"/>
      <c r="AF164" s="358"/>
      <c r="AG164" s="358"/>
      <c r="AH164" s="358"/>
    </row>
    <row r="165" spans="1:34" outlineLevel="1">
      <c r="A165" s="311" t="s">
        <v>553</v>
      </c>
      <c r="C165" s="633">
        <f>'Level 1'!K172</f>
        <v>13000</v>
      </c>
      <c r="D165" s="96"/>
      <c r="F165" s="633">
        <f>VLOOKUP(A165,'Level 1.1 UPDATE A'!$A$21:$K$292,11,FALSE)</f>
        <v>13000</v>
      </c>
      <c r="G165" s="96"/>
      <c r="H165" s="296"/>
      <c r="I165" s="297">
        <f t="shared" si="54"/>
        <v>0</v>
      </c>
      <c r="K165" s="633">
        <f>VLOOKUP(A165,'Level 2 - Transmitted (2)'!$A$20:$K$335,11,FALSE)</f>
        <v>13000</v>
      </c>
      <c r="L165" s="96"/>
      <c r="N165" s="296">
        <f t="shared" ref="N165" si="62">C165-K165</f>
        <v>0</v>
      </c>
      <c r="P165" s="297">
        <f t="shared" si="56"/>
        <v>0</v>
      </c>
      <c r="R165" s="633">
        <f>VLOOKUP(A165,'Level 3'!$A$20:$K$319,11,FALSE)</f>
        <v>13000</v>
      </c>
      <c r="S165" s="96"/>
      <c r="T165" s="296">
        <f>K165-R165</f>
        <v>0</v>
      </c>
      <c r="U165" s="297">
        <f>IF(K165=0,0,T165/K165)</f>
        <v>0</v>
      </c>
      <c r="V165" s="84"/>
      <c r="AA165" s="358"/>
      <c r="AB165" s="358"/>
      <c r="AE165" s="358"/>
      <c r="AF165" s="358"/>
      <c r="AG165" s="358"/>
      <c r="AH165" s="358"/>
    </row>
    <row r="166" spans="1:34">
      <c r="A166" s="613" t="s">
        <v>547</v>
      </c>
      <c r="C166" s="632"/>
      <c r="D166" s="327">
        <f>'Level 1'!L170</f>
        <v>581746.66666666663</v>
      </c>
      <c r="F166" s="632"/>
      <c r="G166" s="327">
        <f>VLOOKUP(A166,'Level 1.1 UPDATE A'!$A$20:$L$330,12,FALSE)</f>
        <v>439560</v>
      </c>
      <c r="H166" s="328">
        <f>D166-G166</f>
        <v>142186.66666666663</v>
      </c>
      <c r="I166" s="329">
        <f t="shared" si="54"/>
        <v>0.24441337581077668</v>
      </c>
      <c r="K166" s="632"/>
      <c r="L166" s="327">
        <f>VLOOKUP(A166,'Level 2 - Transmitted (2)'!$A$21:$L$335,12,FALSE)</f>
        <v>508000</v>
      </c>
      <c r="M166" s="388"/>
      <c r="N166" s="328">
        <f>D166-L166</f>
        <v>73746.666666666628</v>
      </c>
      <c r="O166" s="388"/>
      <c r="P166" s="329">
        <f t="shared" si="56"/>
        <v>0.1267676651921798</v>
      </c>
      <c r="R166" s="632"/>
      <c r="S166" s="327">
        <f>VLOOKUP(A166,'Level 3'!$A$21:$L$320,12,FALSE)</f>
        <v>508000</v>
      </c>
      <c r="T166" s="328">
        <f>L166-S166</f>
        <v>0</v>
      </c>
      <c r="U166" s="329">
        <f>IF(L166=0,0,T166/L166)</f>
        <v>0</v>
      </c>
      <c r="V166" s="84"/>
      <c r="AA166" s="358"/>
      <c r="AB166" s="358"/>
      <c r="AE166" s="358"/>
      <c r="AF166" s="358"/>
      <c r="AG166" s="358"/>
      <c r="AH166" s="358"/>
    </row>
    <row r="167" spans="1:34" outlineLevel="1">
      <c r="A167" s="614" t="s">
        <v>558</v>
      </c>
      <c r="C167" s="631">
        <f>'Level 1'!K174</f>
        <v>25914.66</v>
      </c>
      <c r="D167" s="615"/>
      <c r="F167" s="631">
        <f>VLOOKUP(A167,'Level 1.1 UPDATE A'!$A$21:$K$292,11,FALSE)</f>
        <v>25592.94</v>
      </c>
      <c r="G167" s="615"/>
      <c r="H167" s="617">
        <f>C167-F167</f>
        <v>321.72000000000116</v>
      </c>
      <c r="I167" s="618">
        <f t="shared" si="54"/>
        <v>0</v>
      </c>
      <c r="K167" s="631">
        <f>VLOOKUP(A167,'Level 2 - Transmitted (2)'!$A$20:$K$335,11,FALSE)</f>
        <v>42263.5</v>
      </c>
      <c r="L167" s="615"/>
      <c r="M167" s="619"/>
      <c r="N167" s="617">
        <f t="shared" ref="N167:N169" si="63">C167-K167</f>
        <v>-16348.84</v>
      </c>
      <c r="O167" s="619"/>
      <c r="P167" s="618">
        <f t="shared" si="56"/>
        <v>0</v>
      </c>
      <c r="R167" s="631">
        <f>VLOOKUP(A167,'Level 3'!$A$20:$K$319,11,FALSE)</f>
        <v>42263.5</v>
      </c>
      <c r="S167" s="615"/>
      <c r="T167" s="617">
        <f>K167-R167</f>
        <v>0</v>
      </c>
      <c r="U167" s="618">
        <f>IF(K167=0,0,T167/K167)</f>
        <v>0</v>
      </c>
      <c r="V167" s="84"/>
      <c r="AA167" s="358"/>
      <c r="AB167" s="358"/>
      <c r="AE167" s="358"/>
      <c r="AF167" s="358"/>
      <c r="AG167" s="358"/>
      <c r="AH167" s="358"/>
    </row>
    <row r="168" spans="1:34" outlineLevel="1">
      <c r="A168" s="311" t="s">
        <v>560</v>
      </c>
      <c r="C168" s="633">
        <f>'Level 1'!K175</f>
        <v>1058181.9500000002</v>
      </c>
      <c r="D168" s="96"/>
      <c r="F168" s="633">
        <f>VLOOKUP(A168,'Level 1.1 UPDATE A'!$A$21:$K$292,11,FALSE)</f>
        <v>1045045.05</v>
      </c>
      <c r="G168" s="96"/>
      <c r="H168" s="296">
        <f>C168-F168</f>
        <v>13136.90000000014</v>
      </c>
      <c r="I168" s="297">
        <f t="shared" si="54"/>
        <v>0</v>
      </c>
      <c r="K168" s="633">
        <f>VLOOKUP(A168,'Level 2 - Transmitted (2)'!$A$20:$K$335,11,FALSE)</f>
        <v>1119982.75</v>
      </c>
      <c r="L168" s="96"/>
      <c r="N168" s="296">
        <f t="shared" si="63"/>
        <v>-61800.799999999814</v>
      </c>
      <c r="P168" s="297">
        <f t="shared" si="56"/>
        <v>0</v>
      </c>
      <c r="R168" s="633">
        <f>VLOOKUP(A168,'Level 3'!$A$20:$K$319,11,FALSE)</f>
        <v>1119982.75</v>
      </c>
      <c r="S168" s="96"/>
      <c r="T168" s="296">
        <f>K168-R168</f>
        <v>0</v>
      </c>
      <c r="U168" s="297">
        <f>IF(K168=0,0,T168/K168)</f>
        <v>0</v>
      </c>
      <c r="V168" s="84"/>
      <c r="AA168" s="358"/>
      <c r="AB168" s="358"/>
      <c r="AE168" s="358"/>
      <c r="AF168" s="358"/>
      <c r="AG168" s="358"/>
      <c r="AH168" s="358"/>
    </row>
    <row r="169" spans="1:34" outlineLevel="1">
      <c r="A169" s="311" t="s">
        <v>562</v>
      </c>
      <c r="C169" s="633">
        <f>'Level 1'!K176</f>
        <v>133000</v>
      </c>
      <c r="D169" s="96"/>
      <c r="F169" s="633">
        <f>VLOOKUP(A169,'Level 1.1 UPDATE A'!$A$21:$K$292,11,FALSE)</f>
        <v>133000</v>
      </c>
      <c r="G169" s="96"/>
      <c r="H169" s="296">
        <f>C169-F169</f>
        <v>0</v>
      </c>
      <c r="I169" s="297">
        <f t="shared" si="54"/>
        <v>0</v>
      </c>
      <c r="K169" s="633">
        <f>VLOOKUP(A169,'Level 2 - Transmitted (2)'!$A$20:$K$335,11,FALSE)</f>
        <v>160560</v>
      </c>
      <c r="L169" s="96"/>
      <c r="N169" s="296">
        <f t="shared" si="63"/>
        <v>-27560</v>
      </c>
      <c r="P169" s="297">
        <f t="shared" si="56"/>
        <v>0</v>
      </c>
      <c r="R169" s="633">
        <f>VLOOKUP(A169,'Level 3'!$A$20:$K$319,11,FALSE)</f>
        <v>160560</v>
      </c>
      <c r="S169" s="96"/>
      <c r="T169" s="296">
        <f>K169-R169</f>
        <v>0</v>
      </c>
      <c r="U169" s="297">
        <f>IF(K169=0,0,T169/K169)</f>
        <v>0</v>
      </c>
      <c r="V169" s="84"/>
      <c r="AA169" s="358"/>
      <c r="AB169" s="358"/>
      <c r="AE169" s="358"/>
      <c r="AF169" s="358"/>
      <c r="AG169" s="358"/>
      <c r="AH169" s="358"/>
    </row>
    <row r="170" spans="1:34">
      <c r="A170" s="613" t="s">
        <v>556</v>
      </c>
      <c r="C170" s="632"/>
      <c r="D170" s="327">
        <f>'Level 1'!L173</f>
        <v>1217096.6100000001</v>
      </c>
      <c r="F170" s="632"/>
      <c r="G170" s="327">
        <f>VLOOKUP(A170,'Level 1.1 UPDATE A'!$A$20:$L$330,12,FALSE)</f>
        <v>1203637.99</v>
      </c>
      <c r="H170" s="328">
        <f>D170-G170</f>
        <v>13458.620000000112</v>
      </c>
      <c r="I170" s="329">
        <f t="shared" si="54"/>
        <v>1.1057971807184732E-2</v>
      </c>
      <c r="K170" s="632"/>
      <c r="L170" s="327">
        <f>VLOOKUP(A170,'Level 2 - Transmitted (2)'!$A$21:$L$335,12,FALSE)</f>
        <v>1322806.25</v>
      </c>
      <c r="M170" s="388"/>
      <c r="N170" s="328">
        <f>D170-L170</f>
        <v>-105709.6399999999</v>
      </c>
      <c r="O170" s="388"/>
      <c r="P170" s="329">
        <f t="shared" si="56"/>
        <v>-8.6853943336511211E-2</v>
      </c>
      <c r="R170" s="632"/>
      <c r="S170" s="327">
        <f>VLOOKUP(A170,'Level 3'!$A$21:$L$320,12,FALSE)</f>
        <v>1322806.25</v>
      </c>
      <c r="T170" s="328">
        <f>L170-S170</f>
        <v>0</v>
      </c>
      <c r="U170" s="329">
        <f>IF(L170=0,0,T170/L170)</f>
        <v>0</v>
      </c>
      <c r="V170" s="84"/>
      <c r="AA170" s="358"/>
      <c r="AB170" s="358"/>
      <c r="AE170" s="358"/>
      <c r="AF170" s="358"/>
      <c r="AG170" s="358"/>
      <c r="AH170" s="358"/>
    </row>
    <row r="171" spans="1:34" outlineLevel="1">
      <c r="A171" s="614" t="s">
        <v>566</v>
      </c>
      <c r="C171" s="631">
        <f>'Level 1'!K178</f>
        <v>2347298</v>
      </c>
      <c r="D171" s="615"/>
      <c r="F171" s="631">
        <f>VLOOKUP(A171,'Level 1.1 UPDATE A'!$A$21:$K$292,11,FALSE)</f>
        <v>2389402</v>
      </c>
      <c r="G171" s="615"/>
      <c r="H171" s="617">
        <f>C171-F171</f>
        <v>-42104</v>
      </c>
      <c r="I171" s="618">
        <f t="shared" si="54"/>
        <v>0</v>
      </c>
      <c r="K171" s="631">
        <f>VLOOKUP(A171,'Level 2 - Transmitted (2)'!$A$20:$K$335,11,FALSE)</f>
        <v>2285663</v>
      </c>
      <c r="L171" s="615"/>
      <c r="M171" s="619"/>
      <c r="N171" s="617">
        <f t="shared" ref="N171:N175" si="64">C171-K171</f>
        <v>61635</v>
      </c>
      <c r="O171" s="619"/>
      <c r="P171" s="618">
        <f t="shared" si="56"/>
        <v>0</v>
      </c>
      <c r="R171" s="631">
        <f>VLOOKUP(A171,'Level 3'!$A$20:$K$319,11,FALSE)</f>
        <v>2326750</v>
      </c>
      <c r="S171" s="615"/>
      <c r="T171" s="617">
        <f>K171-R171</f>
        <v>-41087</v>
      </c>
      <c r="U171" s="618">
        <f>IF(K171=0,0,T171/K171)</f>
        <v>-1.7975965835733441E-2</v>
      </c>
      <c r="V171" s="84"/>
      <c r="AA171" s="358"/>
      <c r="AB171" s="358"/>
      <c r="AE171" s="358"/>
      <c r="AF171" s="358"/>
      <c r="AG171" s="358"/>
      <c r="AH171" s="358"/>
    </row>
    <row r="172" spans="1:34" outlineLevel="1">
      <c r="A172" s="311" t="s">
        <v>569</v>
      </c>
      <c r="C172" s="633">
        <f>'Level 1'!K179</f>
        <v>2290146.9812639821</v>
      </c>
      <c r="D172" s="96"/>
      <c r="F172" s="633">
        <f>VLOOKUP(A172,'Level 1.1 UPDATE A'!$A$21:$K$292,11,FALSE)</f>
        <v>2235293.1613534675</v>
      </c>
      <c r="G172" s="96"/>
      <c r="H172" s="296">
        <f>C172-F172</f>
        <v>54853.819910514634</v>
      </c>
      <c r="I172" s="297">
        <f t="shared" si="54"/>
        <v>0</v>
      </c>
      <c r="K172" s="633">
        <f>VLOOKUP(A172,'Level 2 - Transmitted (2)'!$A$20:$K$335,11,FALSE)</f>
        <v>2461870.5</v>
      </c>
      <c r="L172" s="96"/>
      <c r="N172" s="296">
        <f t="shared" si="64"/>
        <v>-171723.51873601787</v>
      </c>
      <c r="P172" s="297">
        <f t="shared" si="56"/>
        <v>0</v>
      </c>
      <c r="R172" s="633">
        <f>VLOOKUP(A172,'Level 3'!$A$20:$K$319,11,FALSE)</f>
        <v>2542800</v>
      </c>
      <c r="S172" s="96"/>
      <c r="T172" s="296">
        <f>K172-R172</f>
        <v>-80929.5</v>
      </c>
      <c r="U172" s="297">
        <f>IF(K172=0,0,T172/K172)</f>
        <v>-3.2873175091866123E-2</v>
      </c>
      <c r="V172" s="84" t="s">
        <v>1030</v>
      </c>
      <c r="AA172" s="358"/>
      <c r="AB172" s="358"/>
      <c r="AE172" s="358"/>
      <c r="AF172" s="358"/>
      <c r="AG172" s="358"/>
      <c r="AH172" s="358"/>
    </row>
    <row r="173" spans="1:34" outlineLevel="1">
      <c r="A173" s="311" t="s">
        <v>571</v>
      </c>
      <c r="C173" s="633"/>
      <c r="D173" s="96"/>
      <c r="F173" s="633"/>
      <c r="G173" s="96"/>
      <c r="H173" s="296"/>
      <c r="I173" s="297"/>
      <c r="K173" s="633">
        <f>VLOOKUP(A173,'Level 2 - Transmitted (2)'!$A$20:$K$335,11,FALSE)</f>
        <v>5000</v>
      </c>
      <c r="L173" s="96"/>
      <c r="N173" s="296"/>
      <c r="P173" s="297"/>
      <c r="R173" s="633">
        <f>VLOOKUP(A173,'Level 3'!$A$20:$K$319,11,FALSE)</f>
        <v>5000</v>
      </c>
      <c r="S173" s="96"/>
      <c r="T173" s="296">
        <f>K173-R173</f>
        <v>0</v>
      </c>
      <c r="U173" s="297">
        <f>IF(K173=0,0,T173/K173)</f>
        <v>0</v>
      </c>
      <c r="V173" s="84"/>
      <c r="AA173" s="358"/>
      <c r="AB173" s="358"/>
      <c r="AE173" s="358"/>
      <c r="AF173" s="358"/>
      <c r="AG173" s="358"/>
      <c r="AH173" s="358"/>
    </row>
    <row r="174" spans="1:34" outlineLevel="1">
      <c r="A174" s="311" t="s">
        <v>572</v>
      </c>
      <c r="C174" s="633">
        <f>'Level 1'!K181</f>
        <v>24612</v>
      </c>
      <c r="D174" s="96"/>
      <c r="F174" s="633">
        <f>VLOOKUP(A174,'Level 1.1 UPDATE A'!$A$21:$K$292,11,FALSE)</f>
        <v>24612</v>
      </c>
      <c r="G174" s="96"/>
      <c r="H174" s="296">
        <f>C174-F174</f>
        <v>0</v>
      </c>
      <c r="I174" s="297">
        <f t="shared" si="54"/>
        <v>0</v>
      </c>
      <c r="K174" s="633">
        <f>VLOOKUP(A174,'Level 2 - Transmitted (2)'!$A$20:$K$335,11,FALSE)</f>
        <v>24612</v>
      </c>
      <c r="L174" s="96"/>
      <c r="N174" s="296">
        <f t="shared" si="64"/>
        <v>0</v>
      </c>
      <c r="P174" s="297">
        <f t="shared" si="56"/>
        <v>0</v>
      </c>
      <c r="R174" s="633">
        <f>VLOOKUP(A174,'Level 3'!$A$20:$K$319,11,FALSE)</f>
        <v>20000</v>
      </c>
      <c r="S174" s="96"/>
      <c r="T174" s="296">
        <f>K174-R174</f>
        <v>4612</v>
      </c>
      <c r="U174" s="297">
        <f>IF(K174=0,0,T174/K174)</f>
        <v>0.18738826588655941</v>
      </c>
      <c r="V174" s="84"/>
      <c r="AA174" s="358"/>
      <c r="AB174" s="358"/>
      <c r="AE174" s="358"/>
      <c r="AF174" s="358"/>
      <c r="AG174" s="358"/>
      <c r="AH174" s="358"/>
    </row>
    <row r="175" spans="1:34" outlineLevel="1">
      <c r="A175" s="311" t="s">
        <v>575</v>
      </c>
      <c r="C175" s="633">
        <f>'Level 1'!K182</f>
        <v>6000</v>
      </c>
      <c r="D175" s="96"/>
      <c r="F175" s="633">
        <f>VLOOKUP(A175,'Level 1.1 UPDATE A'!$A$21:$K$292,11,FALSE)</f>
        <v>6000</v>
      </c>
      <c r="G175" s="96"/>
      <c r="H175" s="296">
        <f>C175-F175</f>
        <v>0</v>
      </c>
      <c r="I175" s="297">
        <f t="shared" si="54"/>
        <v>0</v>
      </c>
      <c r="K175" s="633">
        <f>VLOOKUP(A175,'Level 2 - Transmitted (2)'!$A$20:$K$335,11,FALSE)</f>
        <v>6000</v>
      </c>
      <c r="L175" s="96"/>
      <c r="N175" s="296">
        <f t="shared" si="64"/>
        <v>0</v>
      </c>
      <c r="P175" s="297">
        <f t="shared" si="56"/>
        <v>0</v>
      </c>
      <c r="R175" s="633">
        <f>VLOOKUP(A175,'Level 3'!$A$20:$K$319,11,FALSE)</f>
        <v>6000</v>
      </c>
      <c r="S175" s="96"/>
      <c r="T175" s="296">
        <f>K175-R175</f>
        <v>0</v>
      </c>
      <c r="U175" s="297">
        <f>IF(K175=0,0,T175/K175)</f>
        <v>0</v>
      </c>
      <c r="V175" s="84"/>
      <c r="AA175" s="358"/>
      <c r="AB175" s="358"/>
      <c r="AE175" s="358"/>
      <c r="AF175" s="358"/>
      <c r="AG175" s="358"/>
      <c r="AH175" s="358"/>
    </row>
    <row r="176" spans="1:34">
      <c r="A176" s="613" t="s">
        <v>564</v>
      </c>
      <c r="C176" s="632"/>
      <c r="D176" s="327">
        <f>'Level 1'!L177</f>
        <v>4668056.9812639821</v>
      </c>
      <c r="F176" s="632"/>
      <c r="G176" s="327">
        <f>VLOOKUP(A176,'Level 1.1 UPDATE A'!$A$20:$L$330,12,FALSE)</f>
        <v>4655307.161353467</v>
      </c>
      <c r="H176" s="328">
        <f>D176-G176</f>
        <v>12749.8199105151</v>
      </c>
      <c r="I176" s="329">
        <f t="shared" si="54"/>
        <v>2.7312905480135759E-3</v>
      </c>
      <c r="K176" s="632"/>
      <c r="L176" s="327">
        <f>VLOOKUP(A176,'Level 2 - Transmitted (2)'!$A$21:$L$335,12,FALSE)</f>
        <v>4783145.5</v>
      </c>
      <c r="M176" s="388"/>
      <c r="N176" s="328">
        <f>D176-L176</f>
        <v>-115088.51873601787</v>
      </c>
      <c r="O176" s="388"/>
      <c r="P176" s="329">
        <f t="shared" si="56"/>
        <v>-2.4654480268331055E-2</v>
      </c>
      <c r="R176" s="632"/>
      <c r="S176" s="327">
        <f>VLOOKUP(A176,'Level 3'!$A$21:$L$320,12,FALSE)</f>
        <v>4900550</v>
      </c>
      <c r="T176" s="328">
        <f>L176-S176</f>
        <v>-117404.5</v>
      </c>
      <c r="U176" s="329">
        <f>IF(L176=0,0,T176/L176)</f>
        <v>-2.4545458631772751E-2</v>
      </c>
      <c r="V176" s="84"/>
      <c r="AA176" s="358"/>
      <c r="AB176" s="358"/>
      <c r="AE176" s="358"/>
      <c r="AF176" s="358"/>
      <c r="AG176" s="358"/>
      <c r="AH176" s="358"/>
    </row>
    <row r="177" spans="1:34" outlineLevel="1">
      <c r="A177" s="614" t="s">
        <v>582</v>
      </c>
      <c r="C177" s="631">
        <f>'Level 1'!K184</f>
        <v>4216723.68</v>
      </c>
      <c r="D177" s="615"/>
      <c r="F177" s="631">
        <f>VLOOKUP(A177,'Level 1.1 UPDATE A'!$A$21:$K$292,11,FALSE)</f>
        <v>4216723.68</v>
      </c>
      <c r="G177" s="615"/>
      <c r="H177" s="617">
        <f>C177-F177</f>
        <v>0</v>
      </c>
      <c r="I177" s="618">
        <f t="shared" si="54"/>
        <v>0</v>
      </c>
      <c r="K177" s="631">
        <f>VLOOKUP(A177,'Level 2 - Transmitted (2)'!$A$20:$K$335,11,FALSE)</f>
        <v>3851250</v>
      </c>
      <c r="L177" s="615"/>
      <c r="M177" s="619"/>
      <c r="N177" s="617">
        <f t="shared" ref="N177:N178" si="65">C177-K177</f>
        <v>365473.6799999997</v>
      </c>
      <c r="O177" s="619"/>
      <c r="P177" s="618">
        <f t="shared" si="56"/>
        <v>0</v>
      </c>
      <c r="R177" s="631">
        <f>VLOOKUP(A177,'Level 3'!$A$20:$K$319,11,FALSE)</f>
        <v>4117739.4999999995</v>
      </c>
      <c r="S177" s="615"/>
      <c r="T177" s="617">
        <f>K177-R177</f>
        <v>-266489.49999999953</v>
      </c>
      <c r="U177" s="618">
        <f>IF(K177=0,0,T177/K177)</f>
        <v>-6.9195585848750282E-2</v>
      </c>
      <c r="V177" s="84" t="s">
        <v>1030</v>
      </c>
      <c r="AA177" s="358"/>
      <c r="AB177" s="358"/>
      <c r="AE177" s="358"/>
      <c r="AF177" s="358"/>
      <c r="AG177" s="358"/>
      <c r="AH177" s="358"/>
    </row>
    <row r="178" spans="1:34" outlineLevel="1">
      <c r="A178" s="311" t="s">
        <v>586</v>
      </c>
      <c r="C178" s="629">
        <v>0</v>
      </c>
      <c r="D178" s="96"/>
      <c r="F178" s="629">
        <v>0</v>
      </c>
      <c r="G178" s="96"/>
      <c r="H178" s="296"/>
      <c r="I178" s="297">
        <f t="shared" si="54"/>
        <v>0</v>
      </c>
      <c r="K178" s="629">
        <f>VLOOKUP(A178,'Level 2 - Transmitted (2)'!$A$20:$K$335,11,FALSE)</f>
        <v>15000</v>
      </c>
      <c r="L178" s="96"/>
      <c r="N178" s="296">
        <f t="shared" si="65"/>
        <v>-15000</v>
      </c>
      <c r="P178" s="297">
        <f t="shared" si="56"/>
        <v>0</v>
      </c>
      <c r="R178" s="629">
        <f>VLOOKUP(A178,'Level 3'!$A$20:$K$319,11,FALSE)</f>
        <v>15000</v>
      </c>
      <c r="S178" s="96"/>
      <c r="T178" s="296">
        <f>K178-R178</f>
        <v>0</v>
      </c>
      <c r="U178" s="297">
        <f>IF(K178=0,0,T178/K178)</f>
        <v>0</v>
      </c>
      <c r="V178" s="84"/>
      <c r="AA178" s="358"/>
      <c r="AB178" s="358"/>
      <c r="AE178" s="358"/>
      <c r="AF178" s="358"/>
      <c r="AG178" s="358"/>
      <c r="AH178" s="358"/>
    </row>
    <row r="179" spans="1:34">
      <c r="A179" s="613" t="s">
        <v>577</v>
      </c>
      <c r="C179" s="632"/>
      <c r="D179" s="327">
        <f>'Level 1'!L183</f>
        <v>4216723.68</v>
      </c>
      <c r="F179" s="632"/>
      <c r="G179" s="327">
        <f>VLOOKUP(A179,'Level 1.1 UPDATE A'!$A$20:$L$330,12,FALSE)</f>
        <v>4216723.68</v>
      </c>
      <c r="H179" s="328">
        <f>D179-G179</f>
        <v>0</v>
      </c>
      <c r="I179" s="329">
        <f t="shared" si="54"/>
        <v>0</v>
      </c>
      <c r="K179" s="632"/>
      <c r="L179" s="327">
        <f>VLOOKUP(A179,'Level 2 - Transmitted (2)'!$A$21:$L$335,12,FALSE)</f>
        <v>3866250</v>
      </c>
      <c r="M179" s="388"/>
      <c r="N179" s="328">
        <f>D179-L179</f>
        <v>350473.6799999997</v>
      </c>
      <c r="O179" s="388"/>
      <c r="P179" s="329">
        <f t="shared" si="56"/>
        <v>8.3115163951174464E-2</v>
      </c>
      <c r="R179" s="632"/>
      <c r="S179" s="327">
        <f>VLOOKUP(A179,'Level 3'!$A$21:$L$320,12,FALSE)</f>
        <v>4132739.4999999995</v>
      </c>
      <c r="T179" s="328">
        <f>L179-S179</f>
        <v>-266489.49999999953</v>
      </c>
      <c r="U179" s="329">
        <f>IF(L179=0,0,T179/L179)</f>
        <v>-6.8927125767862793E-2</v>
      </c>
      <c r="V179" s="84"/>
      <c r="AA179" s="358"/>
      <c r="AB179" s="358"/>
      <c r="AE179" s="358"/>
      <c r="AF179" s="358"/>
      <c r="AG179" s="358"/>
      <c r="AH179" s="358"/>
    </row>
    <row r="180" spans="1:34" outlineLevel="1">
      <c r="A180" s="614" t="s">
        <v>590</v>
      </c>
      <c r="C180" s="631">
        <f>'Level 1'!K186</f>
        <v>4204005.7184999995</v>
      </c>
      <c r="D180" s="615"/>
      <c r="F180" s="631">
        <f>VLOOKUP(A180,'Level 1.1 UPDATE A'!$A$21:$K$292,11,FALSE)</f>
        <v>4151814.6914999997</v>
      </c>
      <c r="G180" s="615"/>
      <c r="H180" s="617">
        <f t="shared" ref="H180:H196" si="66">C180-F180</f>
        <v>52191.026999999769</v>
      </c>
      <c r="I180" s="618">
        <f t="shared" si="54"/>
        <v>0</v>
      </c>
      <c r="K180" s="631">
        <f>VLOOKUP(A180,'Level 2 - Transmitted (2)'!$A$20:$K$335,11,FALSE)</f>
        <v>4251708.1000000006</v>
      </c>
      <c r="L180" s="615"/>
      <c r="M180" s="619"/>
      <c r="N180" s="617">
        <f>C180-K180</f>
        <v>-47702.381500001065</v>
      </c>
      <c r="O180" s="619"/>
      <c r="P180" s="618">
        <f t="shared" si="56"/>
        <v>0</v>
      </c>
      <c r="R180" s="631">
        <f>VLOOKUP(A180,'Level 3'!$A$20:$K$319,11,FALSE)</f>
        <v>4787239.666666666</v>
      </c>
      <c r="S180" s="615"/>
      <c r="T180" s="617">
        <f t="shared" ref="T180:T196" si="67">K180-R180</f>
        <v>-535531.56666666549</v>
      </c>
      <c r="U180" s="618">
        <f t="shared" ref="U180:U196" si="68">IF(K180=0,0,T180/K180)</f>
        <v>-0.12595680467026074</v>
      </c>
      <c r="V180" s="84" t="s">
        <v>1030</v>
      </c>
      <c r="AA180" s="358"/>
      <c r="AB180" s="358"/>
      <c r="AE180" s="358"/>
      <c r="AF180" s="358"/>
      <c r="AG180" s="358"/>
      <c r="AH180" s="358"/>
    </row>
    <row r="181" spans="1:34" outlineLevel="1">
      <c r="A181" s="311" t="s">
        <v>593</v>
      </c>
      <c r="C181" s="629">
        <v>0</v>
      </c>
      <c r="D181" s="96"/>
      <c r="F181" s="629">
        <v>0</v>
      </c>
      <c r="G181" s="96"/>
      <c r="H181" s="296"/>
      <c r="I181" s="297">
        <f t="shared" si="54"/>
        <v>0</v>
      </c>
      <c r="K181" s="629">
        <f>VLOOKUP(A181,'Level 2 - Transmitted (2)'!$A$20:$K$335,11,FALSE)</f>
        <v>10000</v>
      </c>
      <c r="L181" s="96"/>
      <c r="N181" s="296">
        <f t="shared" ref="N181:N196" si="69">C181-K181</f>
        <v>-10000</v>
      </c>
      <c r="P181" s="297">
        <f t="shared" si="56"/>
        <v>0</v>
      </c>
      <c r="R181" s="629">
        <v>0</v>
      </c>
      <c r="S181" s="96"/>
      <c r="T181" s="296">
        <f t="shared" si="67"/>
        <v>10000</v>
      </c>
      <c r="U181" s="297">
        <f t="shared" si="68"/>
        <v>1</v>
      </c>
      <c r="V181" s="84"/>
      <c r="AA181" s="358"/>
      <c r="AB181" s="358"/>
      <c r="AE181" s="358"/>
      <c r="AF181" s="358"/>
      <c r="AG181" s="358"/>
      <c r="AH181" s="358"/>
    </row>
    <row r="182" spans="1:34" outlineLevel="1">
      <c r="A182" s="311" t="s">
        <v>594</v>
      </c>
      <c r="C182" s="633">
        <f>'Level 1'!K187</f>
        <v>266408.99999999994</v>
      </c>
      <c r="D182" s="96"/>
      <c r="F182" s="633">
        <f>VLOOKUP(A182,'Level 1.1 UPDATE A'!$A$21:$K$292,11,FALSE)</f>
        <v>266408.99999999994</v>
      </c>
      <c r="G182" s="96"/>
      <c r="H182" s="296">
        <f t="shared" si="66"/>
        <v>0</v>
      </c>
      <c r="I182" s="297">
        <f t="shared" si="54"/>
        <v>0</v>
      </c>
      <c r="K182" s="633">
        <f>VLOOKUP(A182,'Level 2 - Transmitted (2)'!$A$20:$K$335,11,FALSE)</f>
        <v>273000</v>
      </c>
      <c r="L182" s="96"/>
      <c r="N182" s="296">
        <f t="shared" si="69"/>
        <v>-6591.0000000000582</v>
      </c>
      <c r="P182" s="297">
        <f t="shared" si="56"/>
        <v>0</v>
      </c>
      <c r="R182" s="633">
        <f>VLOOKUP(A182,'Level 3'!$A$20:$K$319,11,FALSE)</f>
        <v>234000</v>
      </c>
      <c r="S182" s="96"/>
      <c r="T182" s="296">
        <f t="shared" si="67"/>
        <v>39000</v>
      </c>
      <c r="U182" s="297">
        <f t="shared" si="68"/>
        <v>0.14285714285714285</v>
      </c>
      <c r="V182" s="84"/>
      <c r="AA182" s="358"/>
      <c r="AB182" s="358"/>
      <c r="AE182" s="358"/>
      <c r="AF182" s="358"/>
      <c r="AG182" s="358"/>
      <c r="AH182" s="358"/>
    </row>
    <row r="183" spans="1:34" outlineLevel="1">
      <c r="A183" s="311" t="s">
        <v>597</v>
      </c>
      <c r="C183" s="633">
        <f>'Level 1'!K188</f>
        <v>46410</v>
      </c>
      <c r="D183" s="96"/>
      <c r="F183" s="633">
        <f>VLOOKUP(A183,'Level 1.1 UPDATE A'!$A$21:$K$292,11,FALSE)</f>
        <v>46410</v>
      </c>
      <c r="G183" s="96"/>
      <c r="H183" s="296">
        <f t="shared" si="66"/>
        <v>0</v>
      </c>
      <c r="I183" s="297">
        <f t="shared" si="54"/>
        <v>0</v>
      </c>
      <c r="K183" s="633">
        <f>VLOOKUP(A183,'Level 2 - Transmitted (2)'!$A$20:$K$335,11,FALSE)</f>
        <v>46800</v>
      </c>
      <c r="L183" s="96"/>
      <c r="N183" s="296">
        <f t="shared" si="69"/>
        <v>-390</v>
      </c>
      <c r="P183" s="297">
        <f t="shared" si="56"/>
        <v>0</v>
      </c>
      <c r="R183" s="633">
        <f>VLOOKUP(A183,'Level 3'!$A$20:$K$319,11,FALSE)</f>
        <v>58500</v>
      </c>
      <c r="S183" s="96"/>
      <c r="T183" s="296">
        <f t="shared" si="67"/>
        <v>-11700</v>
      </c>
      <c r="U183" s="297">
        <f t="shared" si="68"/>
        <v>-0.25</v>
      </c>
      <c r="V183" s="84"/>
      <c r="AA183" s="358"/>
      <c r="AB183" s="358"/>
      <c r="AE183" s="358"/>
      <c r="AF183" s="358"/>
      <c r="AG183" s="358"/>
      <c r="AH183" s="358"/>
    </row>
    <row r="184" spans="1:34" outlineLevel="1">
      <c r="A184" s="311" t="s">
        <v>599</v>
      </c>
      <c r="C184" s="633">
        <f>'Level 1'!K189</f>
        <v>43680</v>
      </c>
      <c r="D184" s="96"/>
      <c r="F184" s="633">
        <f>VLOOKUP(A184,'Level 1.1 UPDATE A'!$A$21:$K$292,11,FALSE)</f>
        <v>43680</v>
      </c>
      <c r="G184" s="96"/>
      <c r="H184" s="296">
        <f t="shared" si="66"/>
        <v>0</v>
      </c>
      <c r="I184" s="297">
        <f t="shared" si="54"/>
        <v>0</v>
      </c>
      <c r="K184" s="633">
        <f>VLOOKUP(A184,'Level 2 - Transmitted (2)'!$A$20:$K$335,11,FALSE)</f>
        <v>44850</v>
      </c>
      <c r="L184" s="96"/>
      <c r="N184" s="296">
        <f t="shared" si="69"/>
        <v>-1170</v>
      </c>
      <c r="P184" s="297">
        <f t="shared" si="56"/>
        <v>0</v>
      </c>
      <c r="R184" s="633">
        <f>VLOOKUP(A184,'Level 3'!$A$20:$K$319,11,FALSE)</f>
        <v>48750</v>
      </c>
      <c r="S184" s="96"/>
      <c r="T184" s="296">
        <f t="shared" si="67"/>
        <v>-3900</v>
      </c>
      <c r="U184" s="297">
        <f t="shared" si="68"/>
        <v>-8.6956521739130432E-2</v>
      </c>
      <c r="V184" s="84"/>
      <c r="AA184" s="358"/>
      <c r="AB184" s="358"/>
      <c r="AE184" s="358"/>
      <c r="AF184" s="358"/>
      <c r="AG184" s="358"/>
      <c r="AH184" s="358"/>
    </row>
    <row r="185" spans="1:34" outlineLevel="1">
      <c r="A185" s="311" t="s">
        <v>601</v>
      </c>
      <c r="C185" s="633">
        <f>'Level 1'!K190</f>
        <v>53544</v>
      </c>
      <c r="D185" s="96"/>
      <c r="F185" s="633">
        <f>VLOOKUP(A185,'Level 1.1 UPDATE A'!$A$21:$K$292,11,FALSE)</f>
        <v>53544</v>
      </c>
      <c r="G185" s="96"/>
      <c r="H185" s="296">
        <f t="shared" si="66"/>
        <v>0</v>
      </c>
      <c r="I185" s="297">
        <f t="shared" si="54"/>
        <v>0</v>
      </c>
      <c r="K185" s="633">
        <f>VLOOKUP(A185,'Level 2 - Transmitted (2)'!$A$20:$K$335,11,FALSE)</f>
        <v>75000</v>
      </c>
      <c r="L185" s="96"/>
      <c r="N185" s="296">
        <f t="shared" si="69"/>
        <v>-21456</v>
      </c>
      <c r="P185" s="297">
        <f t="shared" si="56"/>
        <v>0</v>
      </c>
      <c r="R185" s="633">
        <f>VLOOKUP(A185,'Level 3'!$A$20:$K$319,11,FALSE)</f>
        <v>75000</v>
      </c>
      <c r="S185" s="96"/>
      <c r="T185" s="296">
        <f t="shared" si="67"/>
        <v>0</v>
      </c>
      <c r="U185" s="297">
        <f t="shared" si="68"/>
        <v>0</v>
      </c>
      <c r="V185" s="84"/>
      <c r="AA185" s="358"/>
      <c r="AB185" s="358"/>
      <c r="AE185" s="358"/>
      <c r="AF185" s="358"/>
      <c r="AG185" s="358"/>
      <c r="AH185" s="358"/>
    </row>
    <row r="186" spans="1:34" outlineLevel="1">
      <c r="A186" s="311" t="s">
        <v>604</v>
      </c>
      <c r="C186" s="633">
        <f>'Level 1'!K191</f>
        <v>9312</v>
      </c>
      <c r="D186" s="96"/>
      <c r="F186" s="633">
        <f>VLOOKUP(A186,'Level 1.1 UPDATE A'!$A$21:$K$292,11,FALSE)</f>
        <v>9312</v>
      </c>
      <c r="G186" s="96"/>
      <c r="H186" s="296">
        <f t="shared" si="66"/>
        <v>0</v>
      </c>
      <c r="I186" s="297">
        <f t="shared" si="54"/>
        <v>0</v>
      </c>
      <c r="K186" s="633">
        <f>VLOOKUP(A186,'Level 2 - Transmitted (2)'!$A$20:$K$335,11,FALSE)</f>
        <v>18750</v>
      </c>
      <c r="L186" s="96"/>
      <c r="N186" s="296">
        <f t="shared" si="69"/>
        <v>-9438</v>
      </c>
      <c r="P186" s="297">
        <f t="shared" si="56"/>
        <v>0</v>
      </c>
      <c r="R186" s="633">
        <f>VLOOKUP(A186,'Level 3'!$A$20:$K$319,11,FALSE)</f>
        <v>37500</v>
      </c>
      <c r="S186" s="96"/>
      <c r="T186" s="296">
        <f t="shared" si="67"/>
        <v>-18750</v>
      </c>
      <c r="U186" s="297">
        <f t="shared" si="68"/>
        <v>-1</v>
      </c>
      <c r="V186" s="84"/>
      <c r="AA186" s="358"/>
      <c r="AB186" s="358"/>
      <c r="AE186" s="358"/>
      <c r="AF186" s="358"/>
      <c r="AG186" s="358"/>
      <c r="AH186" s="358"/>
    </row>
    <row r="187" spans="1:34" outlineLevel="1">
      <c r="A187" s="311" t="s">
        <v>605</v>
      </c>
      <c r="C187" s="633">
        <f>'Level 1'!K192</f>
        <v>0</v>
      </c>
      <c r="D187" s="96"/>
      <c r="F187" s="633">
        <f>VLOOKUP(A187,'Level 1.1 UPDATE A'!$A$21:$K$292,11,FALSE)</f>
        <v>0</v>
      </c>
      <c r="G187" s="96"/>
      <c r="H187" s="296">
        <f t="shared" si="66"/>
        <v>0</v>
      </c>
      <c r="I187" s="297">
        <f t="shared" si="54"/>
        <v>0</v>
      </c>
      <c r="K187" s="633">
        <f>VLOOKUP(A187,'Level 2 - Transmitted (2)'!$A$20:$K$335,11,FALSE)</f>
        <v>5000</v>
      </c>
      <c r="L187" s="96"/>
      <c r="N187" s="296">
        <f t="shared" si="69"/>
        <v>-5000</v>
      </c>
      <c r="P187" s="297">
        <f t="shared" si="56"/>
        <v>0</v>
      </c>
      <c r="R187" s="633">
        <f>VLOOKUP(A187,'Level 3'!$A$20:$K$319,11,FALSE)</f>
        <v>10000</v>
      </c>
      <c r="S187" s="96"/>
      <c r="T187" s="296">
        <f t="shared" si="67"/>
        <v>-5000</v>
      </c>
      <c r="U187" s="297">
        <f t="shared" si="68"/>
        <v>-1</v>
      </c>
      <c r="V187" s="84"/>
      <c r="AA187" s="358"/>
      <c r="AB187" s="358"/>
      <c r="AE187" s="358"/>
      <c r="AF187" s="358"/>
      <c r="AG187" s="358"/>
      <c r="AH187" s="358"/>
    </row>
    <row r="188" spans="1:34" outlineLevel="1">
      <c r="A188" s="311" t="s">
        <v>606</v>
      </c>
      <c r="C188" s="633">
        <f>'Level 1'!K193</f>
        <v>0</v>
      </c>
      <c r="D188" s="96"/>
      <c r="F188" s="633">
        <f>VLOOKUP(A188,'Level 1.1 UPDATE A'!$A$21:$K$292,11,FALSE)</f>
        <v>0</v>
      </c>
      <c r="G188" s="96"/>
      <c r="H188" s="296">
        <f t="shared" si="66"/>
        <v>0</v>
      </c>
      <c r="I188" s="297">
        <f t="shared" si="54"/>
        <v>0</v>
      </c>
      <c r="K188" s="633">
        <f>VLOOKUP(A188,'Level 2 - Transmitted (2)'!$A$20:$K$335,11,FALSE)</f>
        <v>5000</v>
      </c>
      <c r="L188" s="96"/>
      <c r="N188" s="296">
        <f t="shared" si="69"/>
        <v>-5000</v>
      </c>
      <c r="P188" s="297">
        <f t="shared" si="56"/>
        <v>0</v>
      </c>
      <c r="R188" s="633">
        <f>VLOOKUP(A188,'Level 3'!$A$20:$K$319,11,FALSE)</f>
        <v>7500</v>
      </c>
      <c r="S188" s="96"/>
      <c r="T188" s="296">
        <f t="shared" si="67"/>
        <v>-2500</v>
      </c>
      <c r="U188" s="297">
        <f t="shared" si="68"/>
        <v>-0.5</v>
      </c>
      <c r="V188" s="84"/>
      <c r="AA188" s="358"/>
      <c r="AB188" s="358"/>
      <c r="AE188" s="358"/>
      <c r="AF188" s="358"/>
      <c r="AG188" s="358"/>
      <c r="AH188" s="358"/>
    </row>
    <row r="189" spans="1:34" outlineLevel="1">
      <c r="A189" s="311" t="s">
        <v>608</v>
      </c>
      <c r="C189" s="633">
        <f>'Level 1'!K194</f>
        <v>275000</v>
      </c>
      <c r="D189" s="96"/>
      <c r="F189" s="633">
        <f>VLOOKUP(A189,'Level 1.1 UPDATE A'!$A$21:$K$292,11,FALSE)</f>
        <v>275000</v>
      </c>
      <c r="G189" s="96"/>
      <c r="H189" s="296">
        <f t="shared" si="66"/>
        <v>0</v>
      </c>
      <c r="I189" s="297">
        <f t="shared" si="54"/>
        <v>0</v>
      </c>
      <c r="K189" s="633">
        <f>VLOOKUP(A189,'Level 2 - Transmitted (2)'!$A$20:$K$335,11,FALSE)</f>
        <v>390398</v>
      </c>
      <c r="L189" s="96"/>
      <c r="N189" s="296">
        <f t="shared" si="69"/>
        <v>-115398</v>
      </c>
      <c r="P189" s="297">
        <f t="shared" si="56"/>
        <v>0</v>
      </c>
      <c r="R189" s="633">
        <f>VLOOKUP(A189,'Level 3'!$A$20:$K$319,11,FALSE)</f>
        <v>315398.25</v>
      </c>
      <c r="S189" s="96"/>
      <c r="T189" s="296">
        <f t="shared" si="67"/>
        <v>74999.75</v>
      </c>
      <c r="U189" s="297">
        <f t="shared" si="68"/>
        <v>0.19211099954405503</v>
      </c>
      <c r="V189" s="84"/>
      <c r="AA189" s="358"/>
      <c r="AB189" s="358"/>
      <c r="AE189" s="358"/>
      <c r="AF189" s="358"/>
      <c r="AG189" s="358"/>
      <c r="AH189" s="358"/>
    </row>
    <row r="190" spans="1:34" outlineLevel="1">
      <c r="A190" s="311" t="s">
        <v>613</v>
      </c>
      <c r="C190" s="633">
        <f>'Level 1'!K196</f>
        <v>15826</v>
      </c>
      <c r="D190" s="96"/>
      <c r="F190" s="633">
        <f>VLOOKUP(A190,'Level 1.1 UPDATE A'!$A$21:$K$292,11,FALSE)</f>
        <v>15826</v>
      </c>
      <c r="G190" s="96"/>
      <c r="H190" s="296">
        <f t="shared" si="66"/>
        <v>0</v>
      </c>
      <c r="I190" s="297">
        <f t="shared" si="54"/>
        <v>0</v>
      </c>
      <c r="K190" s="633">
        <f>VLOOKUP(A190,'Level 2 - Transmitted (2)'!$A$20:$K$335,11,FALSE)</f>
        <v>39565</v>
      </c>
      <c r="L190" s="96"/>
      <c r="N190" s="296">
        <f t="shared" si="69"/>
        <v>-23739</v>
      </c>
      <c r="P190" s="297">
        <f t="shared" si="56"/>
        <v>0</v>
      </c>
      <c r="R190" s="633">
        <f>VLOOKUP(A190,'Level 3'!$A$20:$K$319,11,FALSE)</f>
        <v>39565</v>
      </c>
      <c r="S190" s="96"/>
      <c r="T190" s="296">
        <f t="shared" si="67"/>
        <v>0</v>
      </c>
      <c r="U190" s="297">
        <f t="shared" si="68"/>
        <v>0</v>
      </c>
      <c r="V190" s="84"/>
      <c r="AA190" s="358"/>
      <c r="AB190" s="358"/>
      <c r="AE190" s="358"/>
      <c r="AF190" s="358"/>
      <c r="AG190" s="358"/>
      <c r="AH190" s="358"/>
    </row>
    <row r="191" spans="1:34" outlineLevel="1">
      <c r="A191" s="311" t="s">
        <v>617</v>
      </c>
      <c r="C191" s="633">
        <f>'Level 1'!K197</f>
        <v>15826</v>
      </c>
      <c r="D191" s="96"/>
      <c r="F191" s="633">
        <f>VLOOKUP(A191,'Level 1.1 UPDATE A'!$A$21:$K$292,11,FALSE)</f>
        <v>15826</v>
      </c>
      <c r="G191" s="96"/>
      <c r="H191" s="296">
        <f t="shared" si="66"/>
        <v>0</v>
      </c>
      <c r="I191" s="297">
        <f t="shared" si="54"/>
        <v>0</v>
      </c>
      <c r="K191" s="633">
        <f>VLOOKUP(A191,'Level 2 - Transmitted (2)'!$A$20:$K$335,11,FALSE)</f>
        <v>39565</v>
      </c>
      <c r="L191" s="96"/>
      <c r="N191" s="296">
        <f t="shared" si="69"/>
        <v>-23739</v>
      </c>
      <c r="P191" s="297">
        <f t="shared" si="56"/>
        <v>0</v>
      </c>
      <c r="R191" s="633">
        <f>VLOOKUP(A191,'Level 3'!$A$20:$K$319,11,FALSE)</f>
        <v>39565</v>
      </c>
      <c r="S191" s="96"/>
      <c r="T191" s="296">
        <f t="shared" si="67"/>
        <v>0</v>
      </c>
      <c r="U191" s="297">
        <f t="shared" si="68"/>
        <v>0</v>
      </c>
      <c r="V191" s="84"/>
      <c r="AA191" s="358"/>
      <c r="AB191" s="358"/>
      <c r="AE191" s="358"/>
      <c r="AF191" s="358"/>
      <c r="AG191" s="358"/>
      <c r="AH191" s="358"/>
    </row>
    <row r="192" spans="1:34" outlineLevel="1">
      <c r="A192" s="311" t="s">
        <v>619</v>
      </c>
      <c r="C192" s="633">
        <f>'Level 1'!K198</f>
        <v>17000</v>
      </c>
      <c r="D192" s="96"/>
      <c r="F192" s="633">
        <f>VLOOKUP(A192,'Level 1.1 UPDATE A'!$A$21:$K$292,11,FALSE)</f>
        <v>17000</v>
      </c>
      <c r="G192" s="96"/>
      <c r="H192" s="296">
        <f t="shared" si="66"/>
        <v>0</v>
      </c>
      <c r="I192" s="297">
        <f t="shared" si="54"/>
        <v>0</v>
      </c>
      <c r="K192" s="633">
        <f>VLOOKUP(A192,'Level 2 - Transmitted (2)'!$A$20:$K$335,11,FALSE)</f>
        <v>50000</v>
      </c>
      <c r="L192" s="96"/>
      <c r="N192" s="296">
        <f t="shared" si="69"/>
        <v>-33000</v>
      </c>
      <c r="P192" s="297">
        <f t="shared" si="56"/>
        <v>0</v>
      </c>
      <c r="R192" s="633">
        <f>VLOOKUP(A192,'Level 3'!$A$20:$K$319,11,FALSE)</f>
        <v>50000</v>
      </c>
      <c r="S192" s="96"/>
      <c r="T192" s="296">
        <f t="shared" si="67"/>
        <v>0</v>
      </c>
      <c r="U192" s="297">
        <f t="shared" si="68"/>
        <v>0</v>
      </c>
      <c r="V192" s="84"/>
      <c r="AA192" s="358"/>
      <c r="AB192" s="358"/>
      <c r="AE192" s="358"/>
      <c r="AF192" s="358"/>
      <c r="AG192" s="358"/>
      <c r="AH192" s="358"/>
    </row>
    <row r="193" spans="1:34" outlineLevel="1">
      <c r="A193" s="311" t="s">
        <v>621</v>
      </c>
      <c r="C193" s="633">
        <f>'Level 1'!K199</f>
        <v>11000</v>
      </c>
      <c r="D193" s="96"/>
      <c r="F193" s="633">
        <f>VLOOKUP(A193,'Level 1.1 UPDATE A'!$A$21:$K$292,11,FALSE)</f>
        <v>11000</v>
      </c>
      <c r="G193" s="96"/>
      <c r="H193" s="296">
        <f t="shared" si="66"/>
        <v>0</v>
      </c>
      <c r="I193" s="297">
        <f t="shared" si="54"/>
        <v>0</v>
      </c>
      <c r="K193" s="633">
        <f>VLOOKUP(A193,'Level 2 - Transmitted (2)'!$A$20:$K$335,11,FALSE)</f>
        <v>20000</v>
      </c>
      <c r="L193" s="96"/>
      <c r="N193" s="296">
        <f t="shared" si="69"/>
        <v>-9000</v>
      </c>
      <c r="P193" s="297">
        <f t="shared" si="56"/>
        <v>0</v>
      </c>
      <c r="R193" s="633">
        <f>VLOOKUP(A193,'Level 3'!$A$20:$K$319,11,FALSE)</f>
        <v>20000</v>
      </c>
      <c r="S193" s="96"/>
      <c r="T193" s="296">
        <f t="shared" si="67"/>
        <v>0</v>
      </c>
      <c r="U193" s="297">
        <f t="shared" si="68"/>
        <v>0</v>
      </c>
      <c r="V193" s="84"/>
      <c r="AA193" s="358"/>
      <c r="AB193" s="358"/>
      <c r="AE193" s="358"/>
      <c r="AF193" s="358"/>
      <c r="AG193" s="358"/>
      <c r="AH193" s="358"/>
    </row>
    <row r="194" spans="1:34" outlineLevel="1">
      <c r="A194" s="311" t="s">
        <v>623</v>
      </c>
      <c r="C194" s="633">
        <f>'Level 1'!K200</f>
        <v>2000</v>
      </c>
      <c r="D194" s="96"/>
      <c r="F194" s="633">
        <f>VLOOKUP(A194,'Level 1.1 UPDATE A'!$A$21:$K$292,11,FALSE)</f>
        <v>2000</v>
      </c>
      <c r="G194" s="96"/>
      <c r="H194" s="296">
        <f t="shared" si="66"/>
        <v>0</v>
      </c>
      <c r="I194" s="297">
        <f t="shared" si="54"/>
        <v>0</v>
      </c>
      <c r="K194" s="633">
        <f>VLOOKUP(A194,'Level 2 - Transmitted (2)'!$A$20:$K$335,11,FALSE)</f>
        <v>2500</v>
      </c>
      <c r="L194" s="96"/>
      <c r="N194" s="296">
        <f t="shared" si="69"/>
        <v>-500</v>
      </c>
      <c r="P194" s="297">
        <f t="shared" si="56"/>
        <v>0</v>
      </c>
      <c r="R194" s="633">
        <f>VLOOKUP(A194,'Level 3'!$A$20:$K$319,11,FALSE)</f>
        <v>2500</v>
      </c>
      <c r="S194" s="96"/>
      <c r="T194" s="296">
        <f t="shared" si="67"/>
        <v>0</v>
      </c>
      <c r="U194" s="297">
        <f t="shared" si="68"/>
        <v>0</v>
      </c>
      <c r="V194" s="84"/>
      <c r="AA194" s="358"/>
      <c r="AB194" s="358"/>
      <c r="AE194" s="358"/>
      <c r="AF194" s="358"/>
      <c r="AG194" s="358"/>
      <c r="AH194" s="358"/>
    </row>
    <row r="195" spans="1:34" outlineLevel="1">
      <c r="A195" s="311" t="s">
        <v>625</v>
      </c>
      <c r="C195" s="633">
        <f>'Level 1'!K201</f>
        <v>14250</v>
      </c>
      <c r="D195" s="96"/>
      <c r="F195" s="633">
        <f>VLOOKUP(A195,'Level 1.1 UPDATE A'!$A$21:$K$292,11,FALSE)</f>
        <v>14250</v>
      </c>
      <c r="G195" s="96"/>
      <c r="H195" s="296">
        <f t="shared" si="66"/>
        <v>0</v>
      </c>
      <c r="I195" s="297">
        <f t="shared" si="54"/>
        <v>0</v>
      </c>
      <c r="K195" s="633">
        <f>VLOOKUP(A195,'Level 2 - Transmitted (2)'!$A$20:$K$335,11,FALSE)</f>
        <v>14250</v>
      </c>
      <c r="L195" s="96"/>
      <c r="N195" s="296">
        <f t="shared" si="69"/>
        <v>0</v>
      </c>
      <c r="P195" s="297">
        <f t="shared" si="56"/>
        <v>0</v>
      </c>
      <c r="R195" s="633">
        <f>VLOOKUP(A195,'Level 3'!$A$20:$K$319,11,FALSE)</f>
        <v>14250</v>
      </c>
      <c r="S195" s="96"/>
      <c r="T195" s="296">
        <f t="shared" si="67"/>
        <v>0</v>
      </c>
      <c r="U195" s="297">
        <f t="shared" si="68"/>
        <v>0</v>
      </c>
      <c r="V195" s="84"/>
      <c r="AA195" s="358"/>
      <c r="AB195" s="358"/>
      <c r="AE195" s="358"/>
      <c r="AF195" s="358"/>
      <c r="AG195" s="358"/>
      <c r="AH195" s="358"/>
    </row>
    <row r="196" spans="1:34" outlineLevel="1">
      <c r="A196" s="311" t="s">
        <v>626</v>
      </c>
      <c r="C196" s="633">
        <f>'Level 1'!K202</f>
        <v>750</v>
      </c>
      <c r="D196" s="96"/>
      <c r="F196" s="633">
        <f>VLOOKUP(A196,'Level 1.1 UPDATE A'!$A$21:$K$292,11,FALSE)</f>
        <v>750</v>
      </c>
      <c r="G196" s="96"/>
      <c r="H196" s="296">
        <f t="shared" si="66"/>
        <v>0</v>
      </c>
      <c r="I196" s="297">
        <f t="shared" si="54"/>
        <v>0</v>
      </c>
      <c r="K196" s="633">
        <f>VLOOKUP(A196,'Level 2 - Transmitted (2)'!$A$20:$K$335,11,FALSE)</f>
        <v>1500</v>
      </c>
      <c r="L196" s="96"/>
      <c r="N196" s="296">
        <f t="shared" si="69"/>
        <v>-750</v>
      </c>
      <c r="P196" s="297">
        <f t="shared" si="56"/>
        <v>0</v>
      </c>
      <c r="R196" s="633">
        <f>VLOOKUP(A196,'Level 3'!$A$20:$K$319,11,FALSE)</f>
        <v>1500</v>
      </c>
      <c r="S196" s="96"/>
      <c r="T196" s="296">
        <f t="shared" si="67"/>
        <v>0</v>
      </c>
      <c r="U196" s="297">
        <f t="shared" si="68"/>
        <v>0</v>
      </c>
      <c r="V196" s="84"/>
      <c r="AA196" s="358"/>
      <c r="AB196" s="358"/>
      <c r="AE196" s="358"/>
      <c r="AF196" s="358"/>
      <c r="AG196" s="358"/>
      <c r="AH196" s="358"/>
    </row>
    <row r="197" spans="1:34">
      <c r="A197" s="613" t="s">
        <v>587</v>
      </c>
      <c r="C197" s="632"/>
      <c r="D197" s="327">
        <f>'Level 1'!L185</f>
        <v>5075012.7184999995</v>
      </c>
      <c r="F197" s="632"/>
      <c r="G197" s="327">
        <f>VLOOKUP(A197,'Level 1.1 UPDATE A'!$A$20:$L$330,12,FALSE)</f>
        <v>5022821.6914999997</v>
      </c>
      <c r="H197" s="328">
        <f>D197-G197</f>
        <v>52191.026999999769</v>
      </c>
      <c r="I197" s="329">
        <f t="shared" si="54"/>
        <v>1.0283920434277385E-2</v>
      </c>
      <c r="K197" s="632"/>
      <c r="L197" s="327">
        <f>VLOOKUP(A197,'Level 2 - Transmitted (2)'!$A$21:$L$335,12,FALSE)</f>
        <v>5287886.1000000006</v>
      </c>
      <c r="M197" s="388"/>
      <c r="N197" s="328">
        <f>D197-L197</f>
        <v>-212873.38150000107</v>
      </c>
      <c r="O197" s="388"/>
      <c r="P197" s="329">
        <f t="shared" si="56"/>
        <v>-4.1945388771935758E-2</v>
      </c>
      <c r="R197" s="632"/>
      <c r="S197" s="327">
        <f>VLOOKUP(A197,'Level 3'!$A$21:$L$320,12,FALSE)</f>
        <v>5741267.916666666</v>
      </c>
      <c r="T197" s="328">
        <f>L197-S197</f>
        <v>-453381.81666666549</v>
      </c>
      <c r="U197" s="329">
        <f>IF(L197=0,0,T197/L197)</f>
        <v>-8.5739709232138236E-2</v>
      </c>
      <c r="V197" s="84"/>
      <c r="AA197" s="358"/>
      <c r="AB197" s="358"/>
      <c r="AE197" s="358"/>
      <c r="AF197" s="358"/>
      <c r="AG197" s="358"/>
      <c r="AH197" s="358"/>
    </row>
    <row r="198" spans="1:34" outlineLevel="1">
      <c r="A198" s="614" t="s">
        <v>629</v>
      </c>
      <c r="C198" s="631">
        <f>'Level 1'!K204</f>
        <v>4500</v>
      </c>
      <c r="D198" s="615"/>
      <c r="F198" s="631">
        <f>VLOOKUP(A198,'Level 1.1 UPDATE A'!$A$21:$K$292,11,FALSE)</f>
        <v>3600</v>
      </c>
      <c r="G198" s="615"/>
      <c r="H198" s="617">
        <f>C198-F198</f>
        <v>900</v>
      </c>
      <c r="I198" s="618">
        <f t="shared" si="54"/>
        <v>0</v>
      </c>
      <c r="K198" s="631">
        <f>VLOOKUP(A198,'Level 2 - Transmitted (2)'!$A$20:$K$335,11,FALSE)</f>
        <v>3600</v>
      </c>
      <c r="L198" s="615"/>
      <c r="M198" s="619"/>
      <c r="N198" s="617">
        <f t="shared" ref="N198:N200" si="70">C198-K198</f>
        <v>900</v>
      </c>
      <c r="O198" s="619"/>
      <c r="P198" s="618">
        <f t="shared" si="56"/>
        <v>0</v>
      </c>
      <c r="R198" s="631">
        <f>VLOOKUP(A198,'Level 3'!$A$20:$K$319,11,FALSE)</f>
        <v>3600</v>
      </c>
      <c r="S198" s="615"/>
      <c r="T198" s="617">
        <f>K198-R198</f>
        <v>0</v>
      </c>
      <c r="U198" s="618">
        <f>IF(K198=0,0,T198/K198)</f>
        <v>0</v>
      </c>
      <c r="V198" s="84"/>
      <c r="AA198" s="358"/>
      <c r="AB198" s="358"/>
      <c r="AE198" s="358"/>
      <c r="AF198" s="358"/>
      <c r="AG198" s="358"/>
      <c r="AH198" s="358"/>
    </row>
    <row r="199" spans="1:34" outlineLevel="1">
      <c r="A199" s="311" t="s">
        <v>632</v>
      </c>
      <c r="C199" s="633">
        <f>'Level 1'!K205</f>
        <v>254827.49</v>
      </c>
      <c r="D199" s="96"/>
      <c r="F199" s="633">
        <f>VLOOKUP(A199,'Level 1.1 UPDATE A'!$A$21:$K$292,11,FALSE)</f>
        <v>251663.90999999997</v>
      </c>
      <c r="G199" s="96"/>
      <c r="H199" s="296">
        <f>C199-F199</f>
        <v>3163.5800000000163</v>
      </c>
      <c r="I199" s="297">
        <f t="shared" si="54"/>
        <v>0</v>
      </c>
      <c r="K199" s="633">
        <f>VLOOKUP(A199,'Level 2 - Transmitted (2)'!$A$20:$K$335,11,FALSE)</f>
        <v>249354.65</v>
      </c>
      <c r="L199" s="96"/>
      <c r="N199" s="296">
        <f t="shared" si="70"/>
        <v>5472.8399999999965</v>
      </c>
      <c r="P199" s="297">
        <f t="shared" si="56"/>
        <v>0</v>
      </c>
      <c r="R199" s="633">
        <f>VLOOKUP(A199,'Level 3'!$A$20:$K$319,11,FALSE)</f>
        <v>249354.65</v>
      </c>
      <c r="S199" s="96"/>
      <c r="T199" s="296">
        <f>K199-R199</f>
        <v>0</v>
      </c>
      <c r="U199" s="297">
        <f>IF(K199=0,0,T199/K199)</f>
        <v>0</v>
      </c>
      <c r="V199" s="84"/>
      <c r="AA199" s="358"/>
      <c r="AB199" s="358"/>
      <c r="AE199" s="358"/>
      <c r="AF199" s="358"/>
      <c r="AG199" s="358"/>
      <c r="AH199" s="358"/>
    </row>
    <row r="200" spans="1:34" outlineLevel="1">
      <c r="A200" s="311" t="s">
        <v>634</v>
      </c>
      <c r="C200" s="633">
        <f>'Level 1'!K206</f>
        <v>800</v>
      </c>
      <c r="D200" s="96"/>
      <c r="F200" s="633">
        <f>VLOOKUP(A200,'Level 1.1 UPDATE A'!$A$21:$K$292,11,FALSE)</f>
        <v>800</v>
      </c>
      <c r="G200" s="96"/>
      <c r="H200" s="296">
        <f>C200-F200</f>
        <v>0</v>
      </c>
      <c r="I200" s="297">
        <f t="shared" si="54"/>
        <v>0</v>
      </c>
      <c r="K200" s="633">
        <f>VLOOKUP(A200,'Level 2 - Transmitted (2)'!$A$20:$K$335,11,FALSE)</f>
        <v>800</v>
      </c>
      <c r="L200" s="96"/>
      <c r="N200" s="296">
        <f t="shared" si="70"/>
        <v>0</v>
      </c>
      <c r="P200" s="297">
        <f t="shared" si="56"/>
        <v>0</v>
      </c>
      <c r="R200" s="633">
        <f>VLOOKUP(A200,'Level 3'!$A$20:$K$319,11,FALSE)</f>
        <v>800</v>
      </c>
      <c r="S200" s="96"/>
      <c r="T200" s="296">
        <f>K200-R200</f>
        <v>0</v>
      </c>
      <c r="U200" s="297">
        <f>IF(K200=0,0,T200/K200)</f>
        <v>0</v>
      </c>
      <c r="V200" s="84"/>
      <c r="AA200" s="358"/>
      <c r="AB200" s="358"/>
      <c r="AE200" s="358"/>
      <c r="AF200" s="358"/>
      <c r="AG200" s="358"/>
      <c r="AH200" s="358"/>
    </row>
    <row r="201" spans="1:34">
      <c r="A201" s="613" t="s">
        <v>627</v>
      </c>
      <c r="C201" s="632"/>
      <c r="D201" s="327">
        <f>'Level 1'!L203</f>
        <v>260127.49</v>
      </c>
      <c r="F201" s="632"/>
      <c r="G201" s="327">
        <f>VLOOKUP(A201,'Level 1.1 UPDATE A'!$A$20:$L$330,12,FALSE)</f>
        <v>256063.90999999997</v>
      </c>
      <c r="H201" s="328">
        <f>D201-G201</f>
        <v>4063.5800000000163</v>
      </c>
      <c r="I201" s="329">
        <f t="shared" si="54"/>
        <v>1.5621493906699428E-2</v>
      </c>
      <c r="K201" s="632"/>
      <c r="L201" s="327">
        <f>VLOOKUP(A201,'Level 2 - Transmitted (2)'!$A$21:$L$335,12,FALSE)</f>
        <v>253754.65</v>
      </c>
      <c r="M201" s="388"/>
      <c r="N201" s="328">
        <f>D201-L201</f>
        <v>6372.8399999999965</v>
      </c>
      <c r="O201" s="388"/>
      <c r="P201" s="329">
        <f t="shared" si="56"/>
        <v>2.4498910130567118E-2</v>
      </c>
      <c r="R201" s="632"/>
      <c r="S201" s="327">
        <f>VLOOKUP(A201,'Level 3'!$A$21:$L$320,12,FALSE)</f>
        <v>253754.65</v>
      </c>
      <c r="T201" s="328">
        <f>L201-S201</f>
        <v>0</v>
      </c>
      <c r="U201" s="329">
        <f>IF(L201=0,0,T201/L201)</f>
        <v>0</v>
      </c>
      <c r="V201" s="84"/>
      <c r="AA201" s="358"/>
      <c r="AB201" s="358"/>
      <c r="AE201" s="358"/>
      <c r="AF201" s="358"/>
      <c r="AG201" s="358"/>
      <c r="AH201" s="358"/>
    </row>
    <row r="202" spans="1:34" outlineLevel="1">
      <c r="A202" s="621" t="s">
        <v>638</v>
      </c>
      <c r="C202" s="631">
        <f>'Level 1'!K208</f>
        <v>226590</v>
      </c>
      <c r="D202" s="615"/>
      <c r="F202" s="631">
        <f>VLOOKUP(A202,'Level 1.1 UPDATE A'!$A$21:$K$292,11,FALSE)</f>
        <v>226590</v>
      </c>
      <c r="G202" s="615"/>
      <c r="H202" s="617">
        <f>C202-F202</f>
        <v>0</v>
      </c>
      <c r="I202" s="618">
        <f t="shared" si="54"/>
        <v>0</v>
      </c>
      <c r="K202" s="631">
        <f>VLOOKUP(A202,'Level 2 - Transmitted (2)'!$A$20:$K$335,11,FALSE)</f>
        <v>226590</v>
      </c>
      <c r="L202" s="615"/>
      <c r="M202" s="619"/>
      <c r="N202" s="617">
        <f t="shared" ref="N202:N204" si="71">C202-K202</f>
        <v>0</v>
      </c>
      <c r="O202" s="619"/>
      <c r="P202" s="618">
        <f t="shared" si="56"/>
        <v>0</v>
      </c>
      <c r="R202" s="631">
        <f>VLOOKUP(A202,'Level 3'!$A$20:$K$319,11,FALSE)</f>
        <v>226590</v>
      </c>
      <c r="S202" s="615"/>
      <c r="T202" s="617">
        <f>K202-R202</f>
        <v>0</v>
      </c>
      <c r="U202" s="618">
        <f>IF(K202=0,0,T202/K202)</f>
        <v>0</v>
      </c>
      <c r="V202" s="84"/>
      <c r="AA202" s="358"/>
      <c r="AB202" s="358"/>
      <c r="AE202" s="358"/>
      <c r="AF202" s="358"/>
    </row>
    <row r="203" spans="1:34" outlineLevel="1">
      <c r="A203" s="311" t="s">
        <v>640</v>
      </c>
      <c r="C203" s="633">
        <f>'Level 1'!K209</f>
        <v>172380</v>
      </c>
      <c r="D203" s="96"/>
      <c r="F203" s="633">
        <f>VLOOKUP(A203,'Level 1.1 UPDATE A'!$A$21:$K$292,11,FALSE)</f>
        <v>172380</v>
      </c>
      <c r="G203" s="96"/>
      <c r="H203" s="296">
        <f>C203-F203</f>
        <v>0</v>
      </c>
      <c r="I203" s="297">
        <f t="shared" si="54"/>
        <v>0</v>
      </c>
      <c r="K203" s="633">
        <f>VLOOKUP(A203,'Level 2 - Transmitted (2)'!$A$20:$K$335,11,FALSE)</f>
        <v>172380</v>
      </c>
      <c r="L203" s="96"/>
      <c r="N203" s="296">
        <f t="shared" si="71"/>
        <v>0</v>
      </c>
      <c r="P203" s="297">
        <f t="shared" si="56"/>
        <v>0</v>
      </c>
      <c r="R203" s="633">
        <f>VLOOKUP(A203,'Level 3'!$A$20:$K$319,11,FALSE)</f>
        <v>172380</v>
      </c>
      <c r="S203" s="96"/>
      <c r="T203" s="296">
        <f>K203-R203</f>
        <v>0</v>
      </c>
      <c r="U203" s="297">
        <f>IF(K203=0,0,T203/K203)</f>
        <v>0</v>
      </c>
      <c r="V203" s="84"/>
      <c r="AA203" s="358"/>
      <c r="AB203" s="358"/>
      <c r="AE203" s="358"/>
      <c r="AF203" s="358"/>
    </row>
    <row r="204" spans="1:34" outlineLevel="1">
      <c r="A204" s="311" t="s">
        <v>642</v>
      </c>
      <c r="C204" s="633">
        <f>'Level 1'!K210</f>
        <v>837048.73764999886</v>
      </c>
      <c r="D204" s="96"/>
      <c r="F204" s="633">
        <f>VLOOKUP(A204,'Level 1.1 UPDATE A'!$A$21:$K$292,11,FALSE)</f>
        <v>826657.11685015971</v>
      </c>
      <c r="G204" s="96"/>
      <c r="H204" s="296">
        <f>C204-F204</f>
        <v>10391.620799839147</v>
      </c>
      <c r="I204" s="297">
        <f t="shared" si="54"/>
        <v>0</v>
      </c>
      <c r="K204" s="633">
        <f>VLOOKUP(A204,'Level 2 - Transmitted (2)'!$A$20:$K$335,11,FALSE)</f>
        <v>950928.75</v>
      </c>
      <c r="L204" s="96"/>
      <c r="N204" s="296">
        <f t="shared" si="71"/>
        <v>-113880.01235000114</v>
      </c>
      <c r="P204" s="297">
        <f t="shared" si="56"/>
        <v>0</v>
      </c>
      <c r="R204" s="633">
        <f>VLOOKUP(A204,'Level 3'!$A$20:$K$319,11,FALSE)</f>
        <v>950928.75</v>
      </c>
      <c r="S204" s="96"/>
      <c r="T204" s="296">
        <f>K204-R204</f>
        <v>0</v>
      </c>
      <c r="U204" s="297">
        <f>IF(K204=0,0,T204/K204)</f>
        <v>0</v>
      </c>
      <c r="V204" s="84"/>
      <c r="AA204" s="358"/>
      <c r="AB204" s="358"/>
      <c r="AE204" s="358"/>
      <c r="AF204" s="358"/>
    </row>
    <row r="205" spans="1:34" outlineLevel="1">
      <c r="A205" s="311" t="s">
        <v>999</v>
      </c>
      <c r="C205" s="633"/>
      <c r="D205" s="96"/>
      <c r="F205" s="633"/>
      <c r="G205" s="96"/>
      <c r="H205" s="296"/>
      <c r="I205" s="297"/>
      <c r="K205" s="633">
        <v>0</v>
      </c>
      <c r="L205" s="96"/>
      <c r="N205" s="296"/>
      <c r="P205" s="297"/>
      <c r="R205" s="633">
        <f>VLOOKUP(A205,'Level 3'!$A$20:$K$319,11,FALSE)</f>
        <v>10000</v>
      </c>
      <c r="S205" s="96"/>
      <c r="T205" s="296">
        <f>K205-R205</f>
        <v>-10000</v>
      </c>
      <c r="U205" s="297">
        <f>IF(K205=0,0,T205/K205)</f>
        <v>0</v>
      </c>
      <c r="V205" s="84"/>
      <c r="AA205" s="358"/>
      <c r="AB205" s="358"/>
      <c r="AE205" s="358"/>
      <c r="AF205" s="358"/>
    </row>
    <row r="206" spans="1:34">
      <c r="A206" s="613" t="s">
        <v>636</v>
      </c>
      <c r="C206" s="632"/>
      <c r="D206" s="327">
        <f>'Level 1'!L207</f>
        <v>1236018.7376499989</v>
      </c>
      <c r="F206" s="632"/>
      <c r="G206" s="327">
        <f>VLOOKUP(A206,'Level 1.1 UPDATE A'!$A$20:$L$330,12,FALSE)</f>
        <v>1225627.1168501596</v>
      </c>
      <c r="H206" s="328">
        <f>D206-G206</f>
        <v>10391.620799839264</v>
      </c>
      <c r="I206" s="329">
        <f t="shared" si="54"/>
        <v>8.4073327396286118E-3</v>
      </c>
      <c r="K206" s="632"/>
      <c r="L206" s="327">
        <f>VLOOKUP(A206,'Level 2 - Transmitted (2)'!$A$21:$L$335,12,FALSE)</f>
        <v>1349898.75</v>
      </c>
      <c r="M206" s="388"/>
      <c r="N206" s="328">
        <f>D206-L206</f>
        <v>-113880.01235000114</v>
      </c>
      <c r="O206" s="388"/>
      <c r="P206" s="329">
        <f t="shared" si="56"/>
        <v>-9.2134535570647907E-2</v>
      </c>
      <c r="R206" s="632"/>
      <c r="S206" s="327">
        <f>VLOOKUP(A206,'Level 3'!$A$21:$L$320,12,FALSE)</f>
        <v>1359898.75</v>
      </c>
      <c r="T206" s="328">
        <f>L206-S206</f>
        <v>-10000</v>
      </c>
      <c r="U206" s="329">
        <f>IF(L206=0,0,T206/L206)</f>
        <v>-7.4079630046327552E-3</v>
      </c>
      <c r="V206" s="84"/>
      <c r="AA206" s="358"/>
      <c r="AB206" s="358"/>
      <c r="AE206" s="358"/>
      <c r="AF206" s="358"/>
    </row>
    <row r="207" spans="1:34" outlineLevel="1">
      <c r="A207" s="614" t="s">
        <v>646</v>
      </c>
      <c r="C207" s="631">
        <f>'Level 1'!K212</f>
        <v>100203.11029999999</v>
      </c>
      <c r="D207" s="615"/>
      <c r="F207" s="631">
        <f>VLOOKUP(A207,'Level 1.1 UPDATE A'!$A$21:$K$292,11,FALSE)</f>
        <v>100203.11029999999</v>
      </c>
      <c r="G207" s="615"/>
      <c r="H207" s="617">
        <f t="shared" ref="H207:H215" si="72">C207-F207</f>
        <v>0</v>
      </c>
      <c r="I207" s="618">
        <f t="shared" si="54"/>
        <v>0</v>
      </c>
      <c r="K207" s="631">
        <f>VLOOKUP(A207,'Level 2 - Transmitted (2)'!$A$20:$K$335,11,FALSE)</f>
        <v>120277.6</v>
      </c>
      <c r="L207" s="615"/>
      <c r="M207" s="619"/>
      <c r="N207" s="617">
        <f t="shared" ref="N207:N215" si="73">C207-K207</f>
        <v>-20074.48970000002</v>
      </c>
      <c r="O207" s="619"/>
      <c r="P207" s="618">
        <f t="shared" si="56"/>
        <v>0</v>
      </c>
      <c r="R207" s="631">
        <f>VLOOKUP(A207,'Level 3'!$A$20:$K$319,11,FALSE)</f>
        <v>158260</v>
      </c>
      <c r="S207" s="615"/>
      <c r="T207" s="617">
        <f t="shared" ref="T207:T215" si="74">K207-R207</f>
        <v>-37982.399999999994</v>
      </c>
      <c r="U207" s="618">
        <f t="shared" ref="U207:U215" si="75">IF(K207=0,0,T207/K207)</f>
        <v>-0.31578947368421045</v>
      </c>
      <c r="V207" s="84"/>
      <c r="AE207" s="358"/>
      <c r="AF207" s="358"/>
    </row>
    <row r="208" spans="1:34" outlineLevel="1">
      <c r="A208" s="311" t="s">
        <v>648</v>
      </c>
      <c r="C208" s="633">
        <f>'Level 1'!K213</f>
        <v>55163.105600000003</v>
      </c>
      <c r="D208" s="96"/>
      <c r="F208" s="633">
        <f>VLOOKUP(A208,'Level 1.1 UPDATE A'!$A$21:$K$292,11,FALSE)</f>
        <v>55163.105600000003</v>
      </c>
      <c r="G208" s="96"/>
      <c r="H208" s="296">
        <f t="shared" si="72"/>
        <v>0</v>
      </c>
      <c r="I208" s="297">
        <f t="shared" si="54"/>
        <v>0</v>
      </c>
      <c r="K208" s="633">
        <f>VLOOKUP(A208,'Level 2 - Transmitted (2)'!$A$20:$K$335,11,FALSE)</f>
        <v>55163.105600000003</v>
      </c>
      <c r="L208" s="96"/>
      <c r="N208" s="296">
        <f t="shared" si="73"/>
        <v>0</v>
      </c>
      <c r="P208" s="297">
        <f t="shared" si="56"/>
        <v>0</v>
      </c>
      <c r="R208" s="633">
        <f>VLOOKUP(A208,'Level 3'!$A$20:$K$319,11,FALSE)</f>
        <v>55391</v>
      </c>
      <c r="S208" s="96"/>
      <c r="T208" s="296">
        <f t="shared" si="74"/>
        <v>-227.8943999999974</v>
      </c>
      <c r="U208" s="297">
        <f t="shared" si="75"/>
        <v>-4.1312829928849652E-3</v>
      </c>
      <c r="V208" s="84"/>
      <c r="AE208" s="358"/>
      <c r="AF208" s="358"/>
    </row>
    <row r="209" spans="1:32" outlineLevel="1">
      <c r="A209" s="311" t="s">
        <v>650</v>
      </c>
      <c r="C209" s="633">
        <f>'Level 1'!K214</f>
        <v>0</v>
      </c>
      <c r="D209" s="96"/>
      <c r="F209" s="633">
        <f>VLOOKUP(A209,'Level 1.1 UPDATE A'!$A$21:$K$292,11,FALSE)</f>
        <v>0</v>
      </c>
      <c r="G209" s="96"/>
      <c r="H209" s="296">
        <f t="shared" si="72"/>
        <v>0</v>
      </c>
      <c r="I209" s="297">
        <f t="shared" si="54"/>
        <v>0</v>
      </c>
      <c r="K209" s="633">
        <f>VLOOKUP(A209,'Level 2 - Transmitted (2)'!$A$20:$K$335,11,FALSE)</f>
        <v>45000</v>
      </c>
      <c r="L209" s="96"/>
      <c r="N209" s="296">
        <f t="shared" si="73"/>
        <v>-45000</v>
      </c>
      <c r="P209" s="297">
        <f t="shared" si="56"/>
        <v>0</v>
      </c>
      <c r="R209" s="633">
        <f>VLOOKUP(A209,'Level 3'!$A$20:$K$319,11,FALSE)</f>
        <v>26230.782920110192</v>
      </c>
      <c r="S209" s="96"/>
      <c r="T209" s="296">
        <f t="shared" si="74"/>
        <v>18769.217079889808</v>
      </c>
      <c r="U209" s="297">
        <f t="shared" si="75"/>
        <v>0.41709371288644015</v>
      </c>
      <c r="V209" s="84"/>
      <c r="AE209" s="358"/>
      <c r="AF209" s="358"/>
    </row>
    <row r="210" spans="1:32" outlineLevel="1">
      <c r="A210" s="311" t="s">
        <v>652</v>
      </c>
      <c r="C210" s="633">
        <f>'Level 1'!K215</f>
        <v>100000</v>
      </c>
      <c r="D210" s="96"/>
      <c r="F210" s="633">
        <f>VLOOKUP(A210,'Level 1.1 UPDATE A'!$A$21:$K$292,11,FALSE)</f>
        <v>100000</v>
      </c>
      <c r="G210" s="96"/>
      <c r="H210" s="296">
        <f t="shared" si="72"/>
        <v>0</v>
      </c>
      <c r="I210" s="297">
        <f t="shared" si="54"/>
        <v>0</v>
      </c>
      <c r="K210" s="633">
        <f>VLOOKUP(A210,'Level 2 - Transmitted (2)'!$A$20:$K$335,11,FALSE)</f>
        <v>75000</v>
      </c>
      <c r="L210" s="96"/>
      <c r="N210" s="296">
        <f t="shared" si="73"/>
        <v>25000</v>
      </c>
      <c r="P210" s="297">
        <f t="shared" si="56"/>
        <v>0</v>
      </c>
      <c r="R210" s="633">
        <f>VLOOKUP(A210,'Level 3'!$A$20:$K$319,11,FALSE)</f>
        <v>75000</v>
      </c>
      <c r="S210" s="96"/>
      <c r="T210" s="296">
        <f t="shared" si="74"/>
        <v>0</v>
      </c>
      <c r="U210" s="297">
        <f t="shared" si="75"/>
        <v>0</v>
      </c>
      <c r="V210" s="84"/>
      <c r="AE210" s="358"/>
      <c r="AF210" s="358"/>
    </row>
    <row r="211" spans="1:32" outlineLevel="1">
      <c r="A211" s="311" t="s">
        <v>655</v>
      </c>
      <c r="C211" s="633">
        <f>'Level 1'!K216</f>
        <v>1319548</v>
      </c>
      <c r="D211" s="96"/>
      <c r="F211" s="633">
        <f>VLOOKUP(A211,'Level 1.1 UPDATE A'!$A$21:$K$292,11,FALSE)</f>
        <v>1319548</v>
      </c>
      <c r="G211" s="96"/>
      <c r="H211" s="296">
        <f t="shared" si="72"/>
        <v>0</v>
      </c>
      <c r="I211" s="297">
        <f t="shared" si="54"/>
        <v>0</v>
      </c>
      <c r="K211" s="633">
        <f>VLOOKUP(A211,'Level 2 - Transmitted (2)'!$A$20:$K$335,11,FALSE)</f>
        <v>876756</v>
      </c>
      <c r="L211" s="96"/>
      <c r="N211" s="296">
        <f t="shared" si="73"/>
        <v>442792</v>
      </c>
      <c r="P211" s="297">
        <f t="shared" si="56"/>
        <v>0</v>
      </c>
      <c r="R211" s="633">
        <f>VLOOKUP(A211,'Level 3'!$A$20:$K$319,11,FALSE)</f>
        <v>572075</v>
      </c>
      <c r="S211" s="96"/>
      <c r="T211" s="296">
        <f t="shared" si="74"/>
        <v>304681</v>
      </c>
      <c r="U211" s="297">
        <f t="shared" si="75"/>
        <v>0.34750945531025734</v>
      </c>
      <c r="V211" s="84" t="s">
        <v>1031</v>
      </c>
      <c r="AE211" s="358"/>
      <c r="AF211" s="358"/>
    </row>
    <row r="212" spans="1:32" outlineLevel="1">
      <c r="A212" s="311" t="s">
        <v>658</v>
      </c>
      <c r="C212" s="633">
        <f>'Level 1'!K217</f>
        <v>43430</v>
      </c>
      <c r="D212" s="96"/>
      <c r="F212" s="633">
        <f>VLOOKUP(A212,'Level 1.1 UPDATE A'!$A$21:$K$292,11,FALSE)</f>
        <v>43430</v>
      </c>
      <c r="G212" s="96"/>
      <c r="H212" s="296">
        <f t="shared" si="72"/>
        <v>0</v>
      </c>
      <c r="I212" s="297">
        <f t="shared" si="54"/>
        <v>0</v>
      </c>
      <c r="K212" s="633">
        <f>VLOOKUP(A212,'Level 2 - Transmitted (2)'!$A$20:$K$335,11,FALSE)</f>
        <v>41869.412500000006</v>
      </c>
      <c r="L212" s="96"/>
      <c r="N212" s="296">
        <f t="shared" si="73"/>
        <v>1560.5874999999942</v>
      </c>
      <c r="P212" s="297">
        <f t="shared" si="56"/>
        <v>0</v>
      </c>
      <c r="R212" s="633">
        <f>VLOOKUP(A212,'Level 3'!$A$20:$K$319,11,FALSE)</f>
        <v>39022.934000000001</v>
      </c>
      <c r="S212" s="96"/>
      <c r="T212" s="296">
        <f t="shared" si="74"/>
        <v>2846.4785000000047</v>
      </c>
      <c r="U212" s="297">
        <f t="shared" si="75"/>
        <v>6.7984677358441659E-2</v>
      </c>
      <c r="V212" s="84"/>
      <c r="AE212" s="358"/>
      <c r="AF212" s="358"/>
    </row>
    <row r="213" spans="1:32" outlineLevel="1">
      <c r="A213" s="311" t="s">
        <v>660</v>
      </c>
      <c r="C213" s="633">
        <f>'Level 1'!K218</f>
        <v>350000</v>
      </c>
      <c r="D213" s="96"/>
      <c r="F213" s="633">
        <f>VLOOKUP(A213,'Level 1.1 UPDATE A'!$A$21:$K$292,11,FALSE)</f>
        <v>350000</v>
      </c>
      <c r="G213" s="96"/>
      <c r="H213" s="296">
        <f t="shared" si="72"/>
        <v>0</v>
      </c>
      <c r="I213" s="297">
        <f t="shared" si="54"/>
        <v>0</v>
      </c>
      <c r="K213" s="633">
        <f>VLOOKUP(A213,'Level 2 - Transmitted (2)'!$A$20:$K$335,11,FALSE)</f>
        <v>200000</v>
      </c>
      <c r="L213" s="96"/>
      <c r="N213" s="296">
        <f t="shared" si="73"/>
        <v>150000</v>
      </c>
      <c r="P213" s="297">
        <f t="shared" si="56"/>
        <v>0</v>
      </c>
      <c r="R213" s="633">
        <f>VLOOKUP(A213,'Level 3'!$A$20:$K$319,11,FALSE)</f>
        <v>200000</v>
      </c>
      <c r="S213" s="96"/>
      <c r="T213" s="296">
        <f t="shared" si="74"/>
        <v>0</v>
      </c>
      <c r="U213" s="297">
        <f t="shared" si="75"/>
        <v>0</v>
      </c>
      <c r="V213" s="84"/>
      <c r="AE213" s="358"/>
      <c r="AF213" s="358"/>
    </row>
    <row r="214" spans="1:32" outlineLevel="1">
      <c r="A214" s="311" t="s">
        <v>662</v>
      </c>
      <c r="C214" s="633">
        <f>'Level 1'!K219</f>
        <v>0</v>
      </c>
      <c r="D214" s="96"/>
      <c r="F214" s="633">
        <f>VLOOKUP(A214,'Level 1.1 UPDATE A'!$A$21:$K$292,11,FALSE)</f>
        <v>0</v>
      </c>
      <c r="G214" s="96"/>
      <c r="H214" s="296">
        <f t="shared" si="72"/>
        <v>0</v>
      </c>
      <c r="I214" s="297">
        <f t="shared" si="54"/>
        <v>0</v>
      </c>
      <c r="K214" s="633">
        <f>VLOOKUP(A214,'Level 2 - Transmitted (2)'!$A$20:$K$335,11,FALSE)</f>
        <v>0</v>
      </c>
      <c r="L214" s="96"/>
      <c r="N214" s="296">
        <f t="shared" si="73"/>
        <v>0</v>
      </c>
      <c r="P214" s="297">
        <f t="shared" si="56"/>
        <v>0</v>
      </c>
      <c r="R214" s="633">
        <f>VLOOKUP(A214,'Level 3'!$A$20:$K$319,11,FALSE)</f>
        <v>0</v>
      </c>
      <c r="S214" s="96"/>
      <c r="T214" s="296">
        <f t="shared" si="74"/>
        <v>0</v>
      </c>
      <c r="U214" s="297">
        <f t="shared" si="75"/>
        <v>0</v>
      </c>
      <c r="V214" s="84"/>
      <c r="AE214" s="358"/>
      <c r="AF214" s="358"/>
    </row>
    <row r="215" spans="1:32" outlineLevel="1">
      <c r="A215" s="311" t="s">
        <v>664</v>
      </c>
      <c r="C215" s="633">
        <f>'Level 1'!K220</f>
        <v>40989.340000000004</v>
      </c>
      <c r="D215" s="96"/>
      <c r="F215" s="633">
        <f>VLOOKUP(A215,'Level 1.1 UPDATE A'!$A$21:$K$292,11,FALSE)</f>
        <v>40989.340000000004</v>
      </c>
      <c r="G215" s="96"/>
      <c r="H215" s="296">
        <f t="shared" si="72"/>
        <v>0</v>
      </c>
      <c r="I215" s="297">
        <f t="shared" si="54"/>
        <v>0</v>
      </c>
      <c r="K215" s="633">
        <f>VLOOKUP(A215,'Level 2 - Transmitted (2)'!$A$20:$K$335,11,FALSE)</f>
        <v>40989.340000000004</v>
      </c>
      <c r="L215" s="96"/>
      <c r="N215" s="296">
        <f t="shared" si="73"/>
        <v>0</v>
      </c>
      <c r="P215" s="297">
        <f t="shared" si="56"/>
        <v>0</v>
      </c>
      <c r="R215" s="633">
        <f>VLOOKUP(A215,'Level 3'!$A$20:$K$319,11,FALSE)</f>
        <v>100000</v>
      </c>
      <c r="S215" s="96"/>
      <c r="T215" s="296">
        <f t="shared" si="74"/>
        <v>-59010.659999999996</v>
      </c>
      <c r="U215" s="297">
        <f t="shared" si="75"/>
        <v>-1.4396587015062938</v>
      </c>
      <c r="V215" s="84"/>
      <c r="AE215" s="358"/>
      <c r="AF215" s="358"/>
    </row>
    <row r="216" spans="1:32">
      <c r="A216" s="613" t="s">
        <v>644</v>
      </c>
      <c r="C216" s="632"/>
      <c r="D216" s="327">
        <f>'Level 1'!L211</f>
        <v>2009333.5559</v>
      </c>
      <c r="F216" s="632"/>
      <c r="G216" s="327">
        <f>VLOOKUP(A216,'Level 1.1 UPDATE A'!$A$20:$L$330,12,FALSE)</f>
        <v>2009333.5559</v>
      </c>
      <c r="H216" s="328">
        <f>D216-G216</f>
        <v>0</v>
      </c>
      <c r="I216" s="329">
        <f t="shared" ref="I216:I280" si="76">IF(D216=0,0,H216/D216)</f>
        <v>0</v>
      </c>
      <c r="K216" s="632"/>
      <c r="L216" s="327">
        <f>VLOOKUP(A216,'Level 2 - Transmitted (2)'!$A$21:$L$335,12,FALSE)</f>
        <v>1455055.4581000002</v>
      </c>
      <c r="M216" s="388"/>
      <c r="N216" s="328">
        <f>D216-L216</f>
        <v>554278.09779999987</v>
      </c>
      <c r="O216" s="388"/>
      <c r="P216" s="329">
        <f t="shared" ref="P216:P280" si="77">IF(D216=0,0,N216/D216)</f>
        <v>0.27585171022126953</v>
      </c>
      <c r="R216" s="632"/>
      <c r="S216" s="327">
        <f>VLOOKUP(A216,'Level 3'!$A$21:$L$320,12,FALSE)</f>
        <v>1225979.7169201102</v>
      </c>
      <c r="T216" s="328">
        <f>L216-S216</f>
        <v>229075.74117989</v>
      </c>
      <c r="U216" s="329">
        <f>IF(L216=0,0,T216/L216)</f>
        <v>0.15743437125002457</v>
      </c>
      <c r="V216" s="84"/>
      <c r="AE216" s="358"/>
      <c r="AF216" s="358"/>
    </row>
    <row r="217" spans="1:32" outlineLevel="1">
      <c r="A217" s="614" t="s">
        <v>668</v>
      </c>
      <c r="C217" s="631">
        <f>'Level 1'!K222</f>
        <v>5000</v>
      </c>
      <c r="D217" s="615"/>
      <c r="F217" s="631">
        <f>VLOOKUP(A217,'Level 1.1 UPDATE A'!$A$21:$K$292,11,FALSE)</f>
        <v>5000</v>
      </c>
      <c r="G217" s="615"/>
      <c r="H217" s="617">
        <f t="shared" ref="H217:H252" si="78">C217-F217</f>
        <v>0</v>
      </c>
      <c r="I217" s="618">
        <f t="shared" si="76"/>
        <v>0</v>
      </c>
      <c r="K217" s="631">
        <f>VLOOKUP(A217,'Level 2 - Transmitted (2)'!$A$20:$K$335,11,FALSE)</f>
        <v>10000</v>
      </c>
      <c r="L217" s="615"/>
      <c r="M217" s="619"/>
      <c r="N217" s="617">
        <f t="shared" ref="N217:N252" si="79">C217-K217</f>
        <v>-5000</v>
      </c>
      <c r="O217" s="619"/>
      <c r="P217" s="618">
        <f t="shared" si="77"/>
        <v>0</v>
      </c>
      <c r="R217" s="631">
        <f>VLOOKUP(A217,'Level 3'!$A$20:$K$319,11,FALSE)</f>
        <v>10000</v>
      </c>
      <c r="S217" s="615"/>
      <c r="T217" s="617">
        <f t="shared" ref="T217:T252" si="80">K217-R217</f>
        <v>0</v>
      </c>
      <c r="U217" s="618">
        <f t="shared" ref="U217:U252" si="81">IF(K217=0,0,T217/K217)</f>
        <v>0</v>
      </c>
      <c r="V217" s="84"/>
      <c r="AE217" s="358"/>
      <c r="AF217" s="358"/>
    </row>
    <row r="218" spans="1:32" outlineLevel="1">
      <c r="A218" s="311" t="s">
        <v>670</v>
      </c>
      <c r="C218" s="633">
        <f>'Level 1'!K223</f>
        <v>7500</v>
      </c>
      <c r="D218" s="96"/>
      <c r="F218" s="633">
        <f>VLOOKUP(A218,'Level 1.1 UPDATE A'!$A$21:$K$292,11,FALSE)</f>
        <v>7500</v>
      </c>
      <c r="G218" s="96"/>
      <c r="H218" s="296">
        <f t="shared" si="78"/>
        <v>0</v>
      </c>
      <c r="I218" s="297">
        <f t="shared" si="76"/>
        <v>0</v>
      </c>
      <c r="K218" s="633">
        <f>VLOOKUP(A218,'Level 2 - Transmitted (2)'!$A$20:$K$335,11,FALSE)</f>
        <v>15000</v>
      </c>
      <c r="L218" s="96"/>
      <c r="N218" s="296">
        <f t="shared" si="79"/>
        <v>-7500</v>
      </c>
      <c r="P218" s="297">
        <f t="shared" si="77"/>
        <v>0</v>
      </c>
      <c r="R218" s="633">
        <f>VLOOKUP(A218,'Level 3'!$A$20:$K$319,11,FALSE)</f>
        <v>15000</v>
      </c>
      <c r="S218" s="96"/>
      <c r="T218" s="296">
        <f t="shared" si="80"/>
        <v>0</v>
      </c>
      <c r="U218" s="297">
        <f t="shared" si="81"/>
        <v>0</v>
      </c>
      <c r="V218" s="84"/>
      <c r="AE218" s="358"/>
      <c r="AF218" s="358"/>
    </row>
    <row r="219" spans="1:32" outlineLevel="1">
      <c r="A219" s="311" t="s">
        <v>672</v>
      </c>
      <c r="C219" s="633">
        <f>'Level 1'!K224</f>
        <v>15000</v>
      </c>
      <c r="D219" s="96"/>
      <c r="F219" s="633">
        <f>VLOOKUP(A219,'Level 1.1 UPDATE A'!$A$21:$K$292,11,FALSE)</f>
        <v>15000</v>
      </c>
      <c r="G219" s="96"/>
      <c r="H219" s="296">
        <f t="shared" si="78"/>
        <v>0</v>
      </c>
      <c r="I219" s="297">
        <f t="shared" si="76"/>
        <v>0</v>
      </c>
      <c r="K219" s="633">
        <f>VLOOKUP(A219,'Level 2 - Transmitted (2)'!$A$20:$K$335,11,FALSE)</f>
        <v>25000</v>
      </c>
      <c r="L219" s="96"/>
      <c r="N219" s="296">
        <f t="shared" si="79"/>
        <v>-10000</v>
      </c>
      <c r="P219" s="297">
        <f t="shared" si="77"/>
        <v>0</v>
      </c>
      <c r="R219" s="633">
        <f>VLOOKUP(A219,'Level 3'!$A$20:$K$319,11,FALSE)</f>
        <v>25000</v>
      </c>
      <c r="S219" s="96"/>
      <c r="T219" s="296">
        <f t="shared" si="80"/>
        <v>0</v>
      </c>
      <c r="U219" s="297">
        <f t="shared" si="81"/>
        <v>0</v>
      </c>
      <c r="V219" s="84"/>
      <c r="AE219" s="358"/>
      <c r="AF219" s="358"/>
    </row>
    <row r="220" spans="1:32" outlineLevel="1">
      <c r="A220" s="311" t="s">
        <v>674</v>
      </c>
      <c r="C220" s="633">
        <f>'Level 1'!K225</f>
        <v>708863.2</v>
      </c>
      <c r="D220" s="96"/>
      <c r="F220" s="633">
        <f>VLOOKUP(A220,'Level 1.1 UPDATE A'!$A$21:$K$292,11,FALSE)</f>
        <v>708863.2</v>
      </c>
      <c r="G220" s="96"/>
      <c r="H220" s="296">
        <f t="shared" si="78"/>
        <v>0</v>
      </c>
      <c r="I220" s="297">
        <f t="shared" si="76"/>
        <v>0</v>
      </c>
      <c r="K220" s="633">
        <f>VLOOKUP(A220,'Level 2 - Transmitted (2)'!$A$20:$K$335,11,FALSE)</f>
        <v>835764.13949999993</v>
      </c>
      <c r="L220" s="96"/>
      <c r="N220" s="296">
        <f t="shared" si="79"/>
        <v>-126900.93949999998</v>
      </c>
      <c r="P220" s="297">
        <f t="shared" si="77"/>
        <v>0</v>
      </c>
      <c r="R220" s="633">
        <f>VLOOKUP(A220,'Level 3'!$A$20:$K$319,11,FALSE)</f>
        <v>750562.84300000011</v>
      </c>
      <c r="S220" s="96"/>
      <c r="T220" s="296">
        <f t="shared" si="80"/>
        <v>85201.296499999822</v>
      </c>
      <c r="U220" s="297">
        <f t="shared" si="81"/>
        <v>0.10194418792719669</v>
      </c>
      <c r="V220" s="84" t="s">
        <v>1031</v>
      </c>
      <c r="AE220" s="358"/>
      <c r="AF220" s="358"/>
    </row>
    <row r="221" spans="1:32" outlineLevel="1">
      <c r="A221" s="311" t="s">
        <v>676</v>
      </c>
      <c r="C221" s="633">
        <f>'Level 1'!K226</f>
        <v>40866.449999999997</v>
      </c>
      <c r="D221" s="96"/>
      <c r="F221" s="633">
        <f>VLOOKUP(A221,'Level 1.1 UPDATE A'!$A$21:$K$292,11,FALSE)</f>
        <v>40866.449999999997</v>
      </c>
      <c r="G221" s="96"/>
      <c r="H221" s="296">
        <f t="shared" si="78"/>
        <v>0</v>
      </c>
      <c r="I221" s="297">
        <f t="shared" si="76"/>
        <v>0</v>
      </c>
      <c r="K221" s="633">
        <f>VLOOKUP(A221,'Level 2 - Transmitted (2)'!$A$20:$K$335,11,FALSE)</f>
        <v>63968.936809298146</v>
      </c>
      <c r="L221" s="96"/>
      <c r="N221" s="296">
        <f t="shared" si="79"/>
        <v>-23102.486809298149</v>
      </c>
      <c r="P221" s="297">
        <f t="shared" si="77"/>
        <v>0</v>
      </c>
      <c r="R221" s="633">
        <f>VLOOKUP(A221,'Level 3'!$A$20:$K$319,11,FALSE)</f>
        <v>41413.465400000001</v>
      </c>
      <c r="S221" s="96"/>
      <c r="T221" s="296">
        <f t="shared" si="80"/>
        <v>22555.471409298145</v>
      </c>
      <c r="U221" s="297">
        <f t="shared" si="81"/>
        <v>0.35260037972085873</v>
      </c>
      <c r="V221" s="84"/>
      <c r="AE221" s="358"/>
      <c r="AF221" s="358"/>
    </row>
    <row r="222" spans="1:32" outlineLevel="1">
      <c r="A222" s="311" t="s">
        <v>149</v>
      </c>
      <c r="C222" s="633">
        <f>'Level 1'!K227</f>
        <v>6750</v>
      </c>
      <c r="D222" s="96"/>
      <c r="F222" s="633">
        <f>VLOOKUP(A222,'Level 1.1 UPDATE A'!$A$21:$K$292,11,FALSE)</f>
        <v>6750</v>
      </c>
      <c r="G222" s="96"/>
      <c r="H222" s="296">
        <f t="shared" si="78"/>
        <v>0</v>
      </c>
      <c r="I222" s="297">
        <f t="shared" si="76"/>
        <v>0</v>
      </c>
      <c r="K222" s="633">
        <f>VLOOKUP(A222,'Level 2 - Transmitted (2)'!$A$20:$K$335,11,FALSE)</f>
        <v>83368</v>
      </c>
      <c r="L222" s="96"/>
      <c r="N222" s="296">
        <f t="shared" si="79"/>
        <v>-76618</v>
      </c>
      <c r="P222" s="297">
        <f t="shared" si="77"/>
        <v>0</v>
      </c>
      <c r="R222" s="633">
        <f>VLOOKUP(A222,'Level 3'!$A$20:$K$319,11,FALSE)</f>
        <v>83368</v>
      </c>
      <c r="S222" s="96"/>
      <c r="T222" s="296">
        <f t="shared" si="80"/>
        <v>0</v>
      </c>
      <c r="U222" s="297">
        <f t="shared" si="81"/>
        <v>0</v>
      </c>
      <c r="V222" s="84"/>
      <c r="AE222" s="358"/>
      <c r="AF222" s="358"/>
    </row>
    <row r="223" spans="1:32" outlineLevel="1">
      <c r="A223" s="311" t="s">
        <v>679</v>
      </c>
      <c r="C223" s="633">
        <f>'Level 1'!K228</f>
        <v>59730</v>
      </c>
      <c r="D223" s="96"/>
      <c r="F223" s="633">
        <f>VLOOKUP(A223,'Level 1.1 UPDATE A'!$A$21:$K$292,11,FALSE)</f>
        <v>59730</v>
      </c>
      <c r="G223" s="96"/>
      <c r="H223" s="296">
        <f t="shared" si="78"/>
        <v>0</v>
      </c>
      <c r="I223" s="297">
        <f t="shared" si="76"/>
        <v>0</v>
      </c>
      <c r="K223" s="633">
        <f>VLOOKUP(A223,'Level 2 - Transmitted (2)'!$A$20:$K$335,11,FALSE)</f>
        <v>46380</v>
      </c>
      <c r="L223" s="96"/>
      <c r="N223" s="296">
        <f t="shared" si="79"/>
        <v>13350</v>
      </c>
      <c r="P223" s="297">
        <f t="shared" si="77"/>
        <v>0</v>
      </c>
      <c r="R223" s="633">
        <f>VLOOKUP(A223,'Level 3'!$A$20:$K$319,11,FALSE)</f>
        <v>46380</v>
      </c>
      <c r="S223" s="96"/>
      <c r="T223" s="296">
        <f t="shared" si="80"/>
        <v>0</v>
      </c>
      <c r="U223" s="297">
        <f t="shared" si="81"/>
        <v>0</v>
      </c>
      <c r="V223" s="84"/>
      <c r="AE223" s="358"/>
      <c r="AF223" s="358"/>
    </row>
    <row r="224" spans="1:32" outlineLevel="1">
      <c r="A224" s="311" t="s">
        <v>681</v>
      </c>
      <c r="C224" s="633">
        <f>'Level 1'!K229</f>
        <v>172530</v>
      </c>
      <c r="D224" s="96"/>
      <c r="F224" s="633">
        <f>VLOOKUP(A224,'Level 1.1 UPDATE A'!$A$21:$K$292,11,FALSE)</f>
        <v>172530</v>
      </c>
      <c r="G224" s="96"/>
      <c r="H224" s="296">
        <f t="shared" si="78"/>
        <v>0</v>
      </c>
      <c r="I224" s="297">
        <f t="shared" si="76"/>
        <v>0</v>
      </c>
      <c r="K224" s="633">
        <f>VLOOKUP(A224,'Level 2 - Transmitted (2)'!$A$20:$K$335,11,FALSE)</f>
        <v>105445</v>
      </c>
      <c r="L224" s="96"/>
      <c r="N224" s="296">
        <f t="shared" si="79"/>
        <v>67085</v>
      </c>
      <c r="P224" s="297">
        <f t="shared" si="77"/>
        <v>0</v>
      </c>
      <c r="R224" s="633">
        <f>VLOOKUP(A224,'Level 3'!$A$20:$K$319,11,FALSE)</f>
        <v>102649</v>
      </c>
      <c r="S224" s="96"/>
      <c r="T224" s="296">
        <f t="shared" si="80"/>
        <v>2796</v>
      </c>
      <c r="U224" s="297">
        <f t="shared" si="81"/>
        <v>2.6516193276115509E-2</v>
      </c>
      <c r="V224" s="84"/>
      <c r="AE224" s="358"/>
      <c r="AF224" s="358"/>
    </row>
    <row r="225" spans="1:32" outlineLevel="1">
      <c r="A225" s="311" t="s">
        <v>683</v>
      </c>
      <c r="C225" s="633">
        <f>'Level 1'!K230</f>
        <v>206646</v>
      </c>
      <c r="D225" s="96"/>
      <c r="F225" s="633">
        <f>VLOOKUP(A225,'Level 1.1 UPDATE A'!$A$21:$K$292,11,FALSE)</f>
        <v>206646</v>
      </c>
      <c r="G225" s="96"/>
      <c r="H225" s="296">
        <f t="shared" si="78"/>
        <v>0</v>
      </c>
      <c r="I225" s="297">
        <f t="shared" si="76"/>
        <v>0</v>
      </c>
      <c r="K225" s="633">
        <f>VLOOKUP(A225,'Level 2 - Transmitted (2)'!$A$20:$K$335,11,FALSE)</f>
        <v>199263.6</v>
      </c>
      <c r="L225" s="96"/>
      <c r="N225" s="296">
        <f t="shared" si="79"/>
        <v>7382.3999999999942</v>
      </c>
      <c r="P225" s="297">
        <f t="shared" si="77"/>
        <v>0</v>
      </c>
      <c r="R225" s="633">
        <f>VLOOKUP(A225,'Level 3'!$A$20:$K$319,11,FALSE)</f>
        <v>203844.06</v>
      </c>
      <c r="S225" s="96"/>
      <c r="T225" s="296">
        <f t="shared" si="80"/>
        <v>-4580.4599999999919</v>
      </c>
      <c r="U225" s="297">
        <f t="shared" si="81"/>
        <v>-2.2986937905367523E-2</v>
      </c>
      <c r="V225" s="84"/>
      <c r="AE225" s="358"/>
      <c r="AF225" s="358"/>
    </row>
    <row r="226" spans="1:32" outlineLevel="1">
      <c r="A226" s="620" t="s">
        <v>685</v>
      </c>
      <c r="C226" s="633">
        <f>'Level 1'!K231</f>
        <v>309236</v>
      </c>
      <c r="D226" s="96"/>
      <c r="F226" s="633">
        <f>VLOOKUP(A226,'Level 1.1 UPDATE A'!$A$21:$K$292,11,FALSE)</f>
        <v>309236</v>
      </c>
      <c r="G226" s="96"/>
      <c r="H226" s="296">
        <f t="shared" si="78"/>
        <v>0</v>
      </c>
      <c r="I226" s="297">
        <f t="shared" si="76"/>
        <v>0</v>
      </c>
      <c r="K226" s="633">
        <f>VLOOKUP(A226,'Level 2 - Transmitted (2)'!$A$20:$K$335,11,FALSE)</f>
        <v>312701</v>
      </c>
      <c r="L226" s="96"/>
      <c r="N226" s="296">
        <f t="shared" si="79"/>
        <v>-3465</v>
      </c>
      <c r="P226" s="297">
        <f t="shared" si="77"/>
        <v>0</v>
      </c>
      <c r="R226" s="633">
        <f>VLOOKUP(A226,'Level 3'!$A$20:$K$319,11,FALSE)</f>
        <v>318423</v>
      </c>
      <c r="S226" s="96"/>
      <c r="T226" s="296">
        <f t="shared" si="80"/>
        <v>-5722</v>
      </c>
      <c r="U226" s="297">
        <f t="shared" si="81"/>
        <v>-1.8298630320977546E-2</v>
      </c>
      <c r="AE226" s="358"/>
      <c r="AF226" s="358"/>
    </row>
    <row r="227" spans="1:32" outlineLevel="1">
      <c r="A227" s="311" t="s">
        <v>687</v>
      </c>
      <c r="C227" s="633">
        <f>'Level 1'!K232</f>
        <v>0</v>
      </c>
      <c r="D227" s="96"/>
      <c r="F227" s="633">
        <f>VLOOKUP(A227,'Level 1.1 UPDATE A'!$A$21:$K$292,11,FALSE)</f>
        <v>0</v>
      </c>
      <c r="G227" s="96"/>
      <c r="H227" s="296">
        <f t="shared" si="78"/>
        <v>0</v>
      </c>
      <c r="I227" s="297">
        <f t="shared" si="76"/>
        <v>0</v>
      </c>
      <c r="K227" s="633">
        <f>VLOOKUP(A227,'Level 2 - Transmitted (2)'!$A$20:$K$335,11,FALSE)</f>
        <v>0</v>
      </c>
      <c r="L227" s="96"/>
      <c r="N227" s="296">
        <f t="shared" si="79"/>
        <v>0</v>
      </c>
      <c r="P227" s="297">
        <f t="shared" si="77"/>
        <v>0</v>
      </c>
      <c r="R227" s="633">
        <f>VLOOKUP(A227,'Level 3'!$A$20:$K$319,11,FALSE)</f>
        <v>0</v>
      </c>
      <c r="S227" s="96"/>
      <c r="T227" s="296">
        <f t="shared" si="80"/>
        <v>0</v>
      </c>
      <c r="U227" s="297">
        <f t="shared" si="81"/>
        <v>0</v>
      </c>
      <c r="V227" s="84"/>
      <c r="AE227" s="358"/>
      <c r="AF227" s="358"/>
    </row>
    <row r="228" spans="1:32" outlineLevel="1">
      <c r="A228" s="311" t="s">
        <v>689</v>
      </c>
      <c r="C228" s="633">
        <f>'Level 1'!K233</f>
        <v>9660</v>
      </c>
      <c r="D228" s="96"/>
      <c r="F228" s="633">
        <f>VLOOKUP(A228,'Level 1.1 UPDATE A'!$A$21:$K$292,11,FALSE)</f>
        <v>9660</v>
      </c>
      <c r="G228" s="96"/>
      <c r="H228" s="296">
        <f t="shared" si="78"/>
        <v>0</v>
      </c>
      <c r="I228" s="297">
        <f t="shared" si="76"/>
        <v>0</v>
      </c>
      <c r="K228" s="633">
        <f>VLOOKUP(A228,'Level 2 - Transmitted (2)'!$A$20:$K$335,11,FALSE)</f>
        <v>10000</v>
      </c>
      <c r="L228" s="96"/>
      <c r="N228" s="296">
        <f t="shared" si="79"/>
        <v>-340</v>
      </c>
      <c r="P228" s="297">
        <f t="shared" si="77"/>
        <v>0</v>
      </c>
      <c r="R228" s="633">
        <f>VLOOKUP(A228,'Level 3'!$A$20:$K$319,11,FALSE)</f>
        <v>10000</v>
      </c>
      <c r="S228" s="96"/>
      <c r="T228" s="296">
        <f t="shared" si="80"/>
        <v>0</v>
      </c>
      <c r="U228" s="297">
        <f t="shared" si="81"/>
        <v>0</v>
      </c>
      <c r="V228" s="84"/>
      <c r="AE228" s="358"/>
      <c r="AF228" s="358"/>
    </row>
    <row r="229" spans="1:32" outlineLevel="1">
      <c r="A229" s="311" t="s">
        <v>691</v>
      </c>
      <c r="C229" s="633">
        <f>'Level 1'!K234</f>
        <v>39185.175999999999</v>
      </c>
      <c r="D229" s="96"/>
      <c r="F229" s="633">
        <f>VLOOKUP(A229,'Level 1.1 UPDATE A'!$A$21:$K$292,11,FALSE)</f>
        <v>39185.175999999999</v>
      </c>
      <c r="G229" s="96"/>
      <c r="H229" s="296">
        <f t="shared" si="78"/>
        <v>0</v>
      </c>
      <c r="I229" s="297">
        <f t="shared" si="76"/>
        <v>0</v>
      </c>
      <c r="K229" s="633">
        <f>VLOOKUP(A229,'Level 2 - Transmitted (2)'!$A$20:$K$335,11,FALSE)</f>
        <v>48773.665927446207</v>
      </c>
      <c r="L229" s="96"/>
      <c r="N229" s="296">
        <f t="shared" si="79"/>
        <v>-9588.4899274462077</v>
      </c>
      <c r="P229" s="297">
        <f t="shared" si="77"/>
        <v>0</v>
      </c>
      <c r="R229" s="633">
        <f>VLOOKUP(A229,'Level 3'!$A$20:$K$319,11,FALSE)</f>
        <v>66141.665399999998</v>
      </c>
      <c r="S229" s="96"/>
      <c r="T229" s="296">
        <f t="shared" si="80"/>
        <v>-17367.999472553791</v>
      </c>
      <c r="U229" s="297">
        <f t="shared" si="81"/>
        <v>-0.35609378836501127</v>
      </c>
      <c r="V229" s="84"/>
      <c r="AE229" s="358"/>
      <c r="AF229" s="358"/>
    </row>
    <row r="230" spans="1:32" outlineLevel="1">
      <c r="A230" s="311" t="s">
        <v>693</v>
      </c>
      <c r="C230" s="633">
        <f>'Level 1'!K235</f>
        <v>163650</v>
      </c>
      <c r="D230" s="96"/>
      <c r="F230" s="633">
        <f>VLOOKUP(A230,'Level 1.1 UPDATE A'!$A$21:$K$292,11,FALSE)</f>
        <v>163650</v>
      </c>
      <c r="G230" s="96"/>
      <c r="H230" s="296">
        <f t="shared" si="78"/>
        <v>0</v>
      </c>
      <c r="I230" s="297">
        <f t="shared" si="76"/>
        <v>0</v>
      </c>
      <c r="K230" s="633">
        <f>VLOOKUP(A230,'Level 2 - Transmitted (2)'!$A$20:$K$335,11,FALSE)</f>
        <v>159878</v>
      </c>
      <c r="L230" s="96"/>
      <c r="N230" s="296">
        <f t="shared" si="79"/>
        <v>3772</v>
      </c>
      <c r="P230" s="297">
        <f t="shared" si="77"/>
        <v>0</v>
      </c>
      <c r="R230" s="633">
        <f>VLOOKUP(A230,'Level 3'!$A$20:$K$319,11,FALSE)</f>
        <v>146626</v>
      </c>
      <c r="S230" s="96"/>
      <c r="T230" s="296">
        <f t="shared" si="80"/>
        <v>13252</v>
      </c>
      <c r="U230" s="297">
        <f t="shared" si="81"/>
        <v>8.2888202254218848E-2</v>
      </c>
      <c r="V230" s="84"/>
      <c r="AE230" s="358"/>
      <c r="AF230" s="358"/>
    </row>
    <row r="231" spans="1:32" outlineLevel="1">
      <c r="A231" s="311" t="s">
        <v>696</v>
      </c>
      <c r="C231" s="633">
        <f>'Level 1'!K236</f>
        <v>34790</v>
      </c>
      <c r="D231" s="96"/>
      <c r="F231" s="633">
        <f>VLOOKUP(A231,'Level 1.1 UPDATE A'!$A$21:$K$292,11,FALSE)</f>
        <v>34790</v>
      </c>
      <c r="G231" s="96"/>
      <c r="H231" s="296">
        <f t="shared" si="78"/>
        <v>0</v>
      </c>
      <c r="I231" s="297">
        <f t="shared" si="76"/>
        <v>0</v>
      </c>
      <c r="K231" s="633">
        <f>VLOOKUP(A231,'Level 2 - Transmitted (2)'!$A$20:$K$335,11,FALSE)</f>
        <v>35000</v>
      </c>
      <c r="L231" s="96"/>
      <c r="N231" s="296">
        <f t="shared" si="79"/>
        <v>-210</v>
      </c>
      <c r="P231" s="297">
        <f t="shared" si="77"/>
        <v>0</v>
      </c>
      <c r="R231" s="633">
        <f>VLOOKUP(A231,'Level 3'!$A$20:$K$319,11,FALSE)</f>
        <v>35000</v>
      </c>
      <c r="S231" s="96"/>
      <c r="T231" s="296">
        <f t="shared" si="80"/>
        <v>0</v>
      </c>
      <c r="U231" s="297">
        <f t="shared" si="81"/>
        <v>0</v>
      </c>
      <c r="V231" s="84"/>
      <c r="AE231" s="358"/>
      <c r="AF231" s="358"/>
    </row>
    <row r="232" spans="1:32" outlineLevel="1">
      <c r="A232" s="311" t="s">
        <v>698</v>
      </c>
      <c r="C232" s="633">
        <f>'Level 1'!K237</f>
        <v>15000</v>
      </c>
      <c r="D232" s="96"/>
      <c r="F232" s="633">
        <f>VLOOKUP(A232,'Level 1.1 UPDATE A'!$A$21:$K$292,11,FALSE)</f>
        <v>15000</v>
      </c>
      <c r="G232" s="96"/>
      <c r="H232" s="296">
        <f t="shared" si="78"/>
        <v>0</v>
      </c>
      <c r="I232" s="297">
        <f t="shared" si="76"/>
        <v>0</v>
      </c>
      <c r="K232" s="633">
        <f>VLOOKUP(A232,'Level 2 - Transmitted (2)'!$A$20:$K$335,11,FALSE)</f>
        <v>20000</v>
      </c>
      <c r="L232" s="96"/>
      <c r="N232" s="296">
        <f t="shared" si="79"/>
        <v>-5000</v>
      </c>
      <c r="P232" s="297">
        <f t="shared" si="77"/>
        <v>0</v>
      </c>
      <c r="R232" s="633">
        <f>VLOOKUP(A232,'Level 3'!$A$20:$K$319,11,FALSE)</f>
        <v>15000</v>
      </c>
      <c r="S232" s="96"/>
      <c r="T232" s="296">
        <f t="shared" si="80"/>
        <v>5000</v>
      </c>
      <c r="U232" s="297">
        <f t="shared" si="81"/>
        <v>0.25</v>
      </c>
      <c r="V232" s="84"/>
      <c r="AE232" s="358"/>
      <c r="AF232" s="358"/>
    </row>
    <row r="233" spans="1:32" outlineLevel="1">
      <c r="A233" s="311" t="s">
        <v>700</v>
      </c>
      <c r="C233" s="633">
        <f>'Level 1'!K238</f>
        <v>28000</v>
      </c>
      <c r="D233" s="96"/>
      <c r="F233" s="633">
        <f>VLOOKUP(A233,'Level 1.1 UPDATE A'!$A$21:$K$292,11,FALSE)</f>
        <v>28000</v>
      </c>
      <c r="G233" s="96"/>
      <c r="H233" s="296">
        <f t="shared" si="78"/>
        <v>0</v>
      </c>
      <c r="I233" s="297">
        <f t="shared" si="76"/>
        <v>0</v>
      </c>
      <c r="K233" s="633">
        <f>VLOOKUP(A233,'Level 2 - Transmitted (2)'!$A$20:$K$335,11,FALSE)</f>
        <v>25200</v>
      </c>
      <c r="L233" s="96"/>
      <c r="N233" s="296">
        <f t="shared" si="79"/>
        <v>2800</v>
      </c>
      <c r="P233" s="297">
        <f t="shared" si="77"/>
        <v>0</v>
      </c>
      <c r="R233" s="633">
        <f>VLOOKUP(A233,'Level 3'!$A$20:$K$319,11,FALSE)</f>
        <v>20000</v>
      </c>
      <c r="S233" s="96"/>
      <c r="T233" s="296">
        <f t="shared" si="80"/>
        <v>5200</v>
      </c>
      <c r="U233" s="297">
        <f t="shared" si="81"/>
        <v>0.20634920634920634</v>
      </c>
      <c r="V233" s="84"/>
      <c r="AE233" s="358"/>
      <c r="AF233" s="358"/>
    </row>
    <row r="234" spans="1:32" outlineLevel="1">
      <c r="A234" s="311" t="s">
        <v>161</v>
      </c>
      <c r="C234" s="633">
        <f>'Level 1'!K239</f>
        <v>32775</v>
      </c>
      <c r="D234" s="96"/>
      <c r="F234" s="633">
        <f>VLOOKUP(A234,'Level 1.1 UPDATE A'!$A$21:$K$292,11,FALSE)</f>
        <v>32775</v>
      </c>
      <c r="G234" s="96"/>
      <c r="H234" s="296">
        <f t="shared" si="78"/>
        <v>0</v>
      </c>
      <c r="I234" s="297">
        <f t="shared" si="76"/>
        <v>0</v>
      </c>
      <c r="K234" s="633">
        <f>VLOOKUP(A234,'Level 2 - Transmitted (2)'!$A$20:$K$335,11,FALSE)</f>
        <v>32000</v>
      </c>
      <c r="L234" s="96"/>
      <c r="N234" s="296">
        <f t="shared" si="79"/>
        <v>775</v>
      </c>
      <c r="P234" s="297">
        <f t="shared" si="77"/>
        <v>0</v>
      </c>
      <c r="R234" s="633">
        <f>VLOOKUP(A234,'Level 3'!$A$20:$K$319,11,FALSE)</f>
        <v>25500</v>
      </c>
      <c r="S234" s="96"/>
      <c r="T234" s="296">
        <f t="shared" si="80"/>
        <v>6500</v>
      </c>
      <c r="U234" s="297">
        <f t="shared" si="81"/>
        <v>0.203125</v>
      </c>
      <c r="V234" s="84"/>
      <c r="AE234" s="358"/>
      <c r="AF234" s="358"/>
    </row>
    <row r="235" spans="1:32" outlineLevel="1">
      <c r="A235" s="311" t="s">
        <v>704</v>
      </c>
      <c r="C235" s="633">
        <f>'Level 1'!K240</f>
        <v>3900</v>
      </c>
      <c r="D235" s="96"/>
      <c r="F235" s="633">
        <f>VLOOKUP(A235,'Level 1.1 UPDATE A'!$A$21:$K$292,11,FALSE)</f>
        <v>3900</v>
      </c>
      <c r="G235" s="96"/>
      <c r="H235" s="296">
        <f t="shared" si="78"/>
        <v>0</v>
      </c>
      <c r="I235" s="297">
        <f t="shared" si="76"/>
        <v>0</v>
      </c>
      <c r="K235" s="633">
        <f>VLOOKUP(A235,'Level 2 - Transmitted (2)'!$A$20:$K$335,11,FALSE)</f>
        <v>3900</v>
      </c>
      <c r="L235" s="96"/>
      <c r="N235" s="296">
        <f t="shared" si="79"/>
        <v>0</v>
      </c>
      <c r="P235" s="297">
        <f t="shared" si="77"/>
        <v>0</v>
      </c>
      <c r="R235" s="633">
        <f>VLOOKUP(A235,'Level 3'!$A$20:$K$319,11,FALSE)</f>
        <v>3900</v>
      </c>
      <c r="S235" s="96"/>
      <c r="T235" s="296">
        <f t="shared" si="80"/>
        <v>0</v>
      </c>
      <c r="U235" s="297">
        <f t="shared" si="81"/>
        <v>0</v>
      </c>
      <c r="V235" s="84"/>
      <c r="AE235" s="358"/>
      <c r="AF235" s="358"/>
    </row>
    <row r="236" spans="1:32" outlineLevel="1">
      <c r="A236" s="311" t="s">
        <v>705</v>
      </c>
      <c r="C236" s="633">
        <f>'Level 1'!K241</f>
        <v>192000</v>
      </c>
      <c r="D236" s="96"/>
      <c r="F236" s="633">
        <f>VLOOKUP(A236,'Level 1.1 UPDATE A'!$A$21:$K$292,11,FALSE)</f>
        <v>192000</v>
      </c>
      <c r="G236" s="96"/>
      <c r="H236" s="296">
        <f t="shared" si="78"/>
        <v>0</v>
      </c>
      <c r="I236" s="297">
        <f t="shared" si="76"/>
        <v>0</v>
      </c>
      <c r="K236" s="633">
        <f>VLOOKUP(A236,'Level 2 - Transmitted (2)'!$A$20:$K$335,11,FALSE)</f>
        <v>192000</v>
      </c>
      <c r="L236" s="96"/>
      <c r="N236" s="296">
        <f t="shared" si="79"/>
        <v>0</v>
      </c>
      <c r="P236" s="297">
        <f t="shared" si="77"/>
        <v>0</v>
      </c>
      <c r="R236" s="633">
        <f>VLOOKUP(A236,'Level 3'!$A$20:$K$319,11,FALSE)</f>
        <v>100000</v>
      </c>
      <c r="S236" s="96"/>
      <c r="T236" s="296">
        <f t="shared" si="80"/>
        <v>92000</v>
      </c>
      <c r="U236" s="297">
        <f t="shared" si="81"/>
        <v>0.47916666666666669</v>
      </c>
      <c r="V236" s="84" t="s">
        <v>1032</v>
      </c>
      <c r="AE236" s="358"/>
      <c r="AF236" s="358"/>
    </row>
    <row r="237" spans="1:32" outlineLevel="1">
      <c r="A237" s="311" t="s">
        <v>707</v>
      </c>
      <c r="C237" s="633">
        <f>'Level 1'!K242</f>
        <v>7110</v>
      </c>
      <c r="D237" s="96"/>
      <c r="F237" s="633">
        <f>VLOOKUP(A237,'Level 1.1 UPDATE A'!$A$21:$K$292,11,FALSE)</f>
        <v>7110</v>
      </c>
      <c r="G237" s="96"/>
      <c r="H237" s="296">
        <f t="shared" si="78"/>
        <v>0</v>
      </c>
      <c r="I237" s="297">
        <f t="shared" si="76"/>
        <v>0</v>
      </c>
      <c r="K237" s="633">
        <f>VLOOKUP(A237,'Level 2 - Transmitted (2)'!$A$20:$K$335,11,FALSE)</f>
        <v>9000</v>
      </c>
      <c r="L237" s="96"/>
      <c r="N237" s="296">
        <f t="shared" si="79"/>
        <v>-1890</v>
      </c>
      <c r="P237" s="297">
        <f t="shared" si="77"/>
        <v>0</v>
      </c>
      <c r="R237" s="633">
        <f>VLOOKUP(A237,'Level 3'!$A$20:$K$319,11,FALSE)</f>
        <v>9000</v>
      </c>
      <c r="S237" s="96"/>
      <c r="T237" s="296">
        <f t="shared" si="80"/>
        <v>0</v>
      </c>
      <c r="U237" s="297">
        <f t="shared" si="81"/>
        <v>0</v>
      </c>
      <c r="V237" s="84"/>
      <c r="AE237" s="358"/>
      <c r="AF237" s="358"/>
    </row>
    <row r="238" spans="1:32" outlineLevel="1">
      <c r="A238" s="311" t="s">
        <v>709</v>
      </c>
      <c r="C238" s="633">
        <f>'Level 1'!K243</f>
        <v>0</v>
      </c>
      <c r="D238" s="96"/>
      <c r="F238" s="633">
        <f>VLOOKUP(A238,'Level 1.1 UPDATE A'!$A$21:$K$292,11,FALSE)</f>
        <v>0</v>
      </c>
      <c r="G238" s="96"/>
      <c r="H238" s="296">
        <f t="shared" si="78"/>
        <v>0</v>
      </c>
      <c r="I238" s="297">
        <f t="shared" si="76"/>
        <v>0</v>
      </c>
      <c r="K238" s="633">
        <f>VLOOKUP(A238,'Level 2 - Transmitted (2)'!$A$20:$K$335,11,FALSE)</f>
        <v>19500</v>
      </c>
      <c r="L238" s="96"/>
      <c r="N238" s="296">
        <f t="shared" si="79"/>
        <v>-19500</v>
      </c>
      <c r="P238" s="297">
        <f t="shared" si="77"/>
        <v>0</v>
      </c>
      <c r="R238" s="633">
        <f>VLOOKUP(A238,'Level 3'!$A$20:$K$319,11,FALSE)</f>
        <v>19500</v>
      </c>
      <c r="S238" s="96"/>
      <c r="T238" s="296">
        <f t="shared" si="80"/>
        <v>0</v>
      </c>
      <c r="U238" s="297">
        <f t="shared" si="81"/>
        <v>0</v>
      </c>
      <c r="V238" s="84"/>
      <c r="AE238" s="358"/>
      <c r="AF238" s="358"/>
    </row>
    <row r="239" spans="1:32" outlineLevel="1">
      <c r="A239" s="311" t="s">
        <v>711</v>
      </c>
      <c r="C239" s="633">
        <f>'Level 1'!K244</f>
        <v>0</v>
      </c>
      <c r="D239" s="96"/>
      <c r="F239" s="633">
        <f>VLOOKUP(A239,'Level 1.1 UPDATE A'!$A$21:$K$292,11,FALSE)</f>
        <v>0</v>
      </c>
      <c r="G239" s="96"/>
      <c r="H239" s="296">
        <f t="shared" si="78"/>
        <v>0</v>
      </c>
      <c r="I239" s="297">
        <f t="shared" si="76"/>
        <v>0</v>
      </c>
      <c r="K239" s="633">
        <f>VLOOKUP(A239,'Level 2 - Transmitted (2)'!$A$20:$K$335,11,FALSE)</f>
        <v>3900</v>
      </c>
      <c r="L239" s="96"/>
      <c r="N239" s="296">
        <f t="shared" si="79"/>
        <v>-3900</v>
      </c>
      <c r="P239" s="297">
        <f t="shared" si="77"/>
        <v>0</v>
      </c>
      <c r="R239" s="633">
        <f>VLOOKUP(A239,'Level 3'!$A$20:$K$319,11,FALSE)</f>
        <v>3900</v>
      </c>
      <c r="S239" s="96"/>
      <c r="T239" s="296">
        <f t="shared" si="80"/>
        <v>0</v>
      </c>
      <c r="U239" s="297">
        <f t="shared" si="81"/>
        <v>0</v>
      </c>
      <c r="V239" s="84"/>
      <c r="AE239" s="358"/>
      <c r="AF239" s="358"/>
    </row>
    <row r="240" spans="1:32" outlineLevel="1">
      <c r="A240" s="311" t="s">
        <v>713</v>
      </c>
      <c r="C240" s="633">
        <f>'Level 1'!K245</f>
        <v>39565</v>
      </c>
      <c r="D240" s="96"/>
      <c r="F240" s="633">
        <f>VLOOKUP(A240,'Level 1.1 UPDATE A'!$A$21:$K$292,11,FALSE)</f>
        <v>39565</v>
      </c>
      <c r="G240" s="96"/>
      <c r="H240" s="296">
        <f t="shared" si="78"/>
        <v>0</v>
      </c>
      <c r="I240" s="297">
        <f t="shared" si="76"/>
        <v>0</v>
      </c>
      <c r="K240" s="633">
        <f>VLOOKUP(A240,'Level 2 - Transmitted (2)'!$A$20:$K$335,11,FALSE)</f>
        <v>79130</v>
      </c>
      <c r="L240" s="96"/>
      <c r="N240" s="296">
        <f t="shared" si="79"/>
        <v>-39565</v>
      </c>
      <c r="P240" s="297">
        <f t="shared" si="77"/>
        <v>0</v>
      </c>
      <c r="R240" s="633">
        <f>VLOOKUP(A240,'Level 3'!$A$20:$K$319,11,FALSE)</f>
        <v>79130</v>
      </c>
      <c r="S240" s="96"/>
      <c r="T240" s="296">
        <f t="shared" si="80"/>
        <v>0</v>
      </c>
      <c r="U240" s="297">
        <f t="shared" si="81"/>
        <v>0</v>
      </c>
      <c r="V240" s="84"/>
      <c r="AE240" s="358"/>
      <c r="AF240" s="358"/>
    </row>
    <row r="241" spans="1:32" outlineLevel="1">
      <c r="A241" s="311" t="s">
        <v>715</v>
      </c>
      <c r="C241" s="633">
        <f>'Level 1'!K246</f>
        <v>545312.67999999993</v>
      </c>
      <c r="D241" s="96"/>
      <c r="F241" s="633">
        <f>VLOOKUP(A241,'Level 1.1 UPDATE A'!$A$21:$K$292,11,FALSE)</f>
        <v>545312.67999999993</v>
      </c>
      <c r="G241" s="96"/>
      <c r="H241" s="296">
        <f t="shared" si="78"/>
        <v>0</v>
      </c>
      <c r="I241" s="297">
        <f t="shared" si="76"/>
        <v>0</v>
      </c>
      <c r="K241" s="633">
        <f>VLOOKUP(A241,'Level 2 - Transmitted (2)'!$A$20:$K$335,11,FALSE)</f>
        <v>319393</v>
      </c>
      <c r="L241" s="96"/>
      <c r="N241" s="296">
        <f t="shared" si="79"/>
        <v>225919.67999999993</v>
      </c>
      <c r="P241" s="297">
        <f t="shared" si="77"/>
        <v>0</v>
      </c>
      <c r="R241" s="633">
        <f>VLOOKUP(A241,'Level 3'!$A$20:$K$319,11,FALSE)</f>
        <v>296090</v>
      </c>
      <c r="S241" s="96"/>
      <c r="T241" s="296">
        <f t="shared" si="80"/>
        <v>23303</v>
      </c>
      <c r="U241" s="297">
        <f t="shared" si="81"/>
        <v>7.2960271515030067E-2</v>
      </c>
      <c r="V241" s="84"/>
      <c r="AE241" s="358"/>
      <c r="AF241" s="358"/>
    </row>
    <row r="242" spans="1:32" outlineLevel="1">
      <c r="A242" s="311" t="s">
        <v>718</v>
      </c>
      <c r="C242" s="633">
        <f>'Level 1'!K247</f>
        <v>0</v>
      </c>
      <c r="D242" s="96"/>
      <c r="F242" s="633">
        <f>VLOOKUP(A242,'Level 1.1 UPDATE A'!$A$21:$K$292,11,FALSE)</f>
        <v>0</v>
      </c>
      <c r="G242" s="96"/>
      <c r="H242" s="296">
        <f t="shared" si="78"/>
        <v>0</v>
      </c>
      <c r="I242" s="297">
        <f t="shared" si="76"/>
        <v>0</v>
      </c>
      <c r="K242" s="633">
        <f>VLOOKUP(A242,'Level 2 - Transmitted (2)'!$A$20:$K$335,11,FALSE)</f>
        <v>0</v>
      </c>
      <c r="L242" s="96"/>
      <c r="N242" s="296">
        <f t="shared" si="79"/>
        <v>0</v>
      </c>
      <c r="P242" s="297">
        <f t="shared" si="77"/>
        <v>0</v>
      </c>
      <c r="R242" s="633">
        <f>VLOOKUP(A242,'Level 3'!$A$20:$K$319,11,FALSE)</f>
        <v>0</v>
      </c>
      <c r="S242" s="96"/>
      <c r="T242" s="296">
        <f t="shared" si="80"/>
        <v>0</v>
      </c>
      <c r="U242" s="297">
        <f t="shared" si="81"/>
        <v>0</v>
      </c>
      <c r="V242" s="84"/>
      <c r="AE242" s="358"/>
      <c r="AF242" s="358"/>
    </row>
    <row r="243" spans="1:32" outlineLevel="1">
      <c r="A243" s="311" t="s">
        <v>720</v>
      </c>
      <c r="C243" s="633">
        <f>'Level 1'!K248</f>
        <v>125000</v>
      </c>
      <c r="D243" s="96"/>
      <c r="F243" s="633">
        <f>VLOOKUP(A243,'Level 1.1 UPDATE A'!$A$21:$K$292,11,FALSE)</f>
        <v>125000</v>
      </c>
      <c r="G243" s="96"/>
      <c r="H243" s="296">
        <f t="shared" si="78"/>
        <v>0</v>
      </c>
      <c r="I243" s="297">
        <f t="shared" si="76"/>
        <v>0</v>
      </c>
      <c r="K243" s="633">
        <f>VLOOKUP(A243,'Level 2 - Transmitted (2)'!$A$20:$K$335,11,FALSE)</f>
        <v>114584</v>
      </c>
      <c r="L243" s="96"/>
      <c r="N243" s="296">
        <f>C243-K243</f>
        <v>10416</v>
      </c>
      <c r="P243" s="297">
        <f t="shared" si="77"/>
        <v>0</v>
      </c>
      <c r="R243" s="633">
        <f>VLOOKUP(A243,'Level 3'!$A$20:$K$319,11,FALSE)</f>
        <v>100231.34217691</v>
      </c>
      <c r="S243" s="96"/>
      <c r="T243" s="296">
        <f t="shared" si="80"/>
        <v>14352.657823090005</v>
      </c>
      <c r="U243" s="297">
        <f t="shared" si="81"/>
        <v>0.12525883040468133</v>
      </c>
      <c r="V243" s="84"/>
      <c r="AE243" s="358"/>
      <c r="AF243" s="358"/>
    </row>
    <row r="244" spans="1:32" outlineLevel="1">
      <c r="A244" s="311" t="s">
        <v>722</v>
      </c>
      <c r="C244" s="633">
        <f>'Level 1'!K249</f>
        <v>11000</v>
      </c>
      <c r="D244" s="96"/>
      <c r="F244" s="633">
        <f>VLOOKUP(A244,'Level 1.1 UPDATE A'!$A$21:$K$292,11,FALSE)</f>
        <v>11000</v>
      </c>
      <c r="G244" s="96"/>
      <c r="H244" s="296">
        <f t="shared" si="78"/>
        <v>0</v>
      </c>
      <c r="I244" s="297">
        <f t="shared" si="76"/>
        <v>0</v>
      </c>
      <c r="K244" s="633">
        <f>VLOOKUP(A244,'Level 2 - Transmitted (2)'!$A$20:$K$335,11,FALSE)</f>
        <v>60000</v>
      </c>
      <c r="L244" s="96"/>
      <c r="N244" s="296">
        <f t="shared" si="79"/>
        <v>-49000</v>
      </c>
      <c r="P244" s="297">
        <f t="shared" si="77"/>
        <v>0</v>
      </c>
      <c r="R244" s="633">
        <f>VLOOKUP(A244,'Level 3'!$A$20:$K$319,11,FALSE)</f>
        <v>75000</v>
      </c>
      <c r="S244" s="96"/>
      <c r="T244" s="296">
        <f t="shared" si="80"/>
        <v>-15000</v>
      </c>
      <c r="U244" s="297">
        <f t="shared" si="81"/>
        <v>-0.25</v>
      </c>
      <c r="V244" s="84"/>
      <c r="AE244" s="358"/>
      <c r="AF244" s="358"/>
    </row>
    <row r="245" spans="1:32" outlineLevel="1">
      <c r="A245" s="311" t="s">
        <v>724</v>
      </c>
      <c r="C245" s="633">
        <f>'Level 1'!K250</f>
        <v>7000</v>
      </c>
      <c r="D245" s="96"/>
      <c r="F245" s="633">
        <f>VLOOKUP(A245,'Level 1.1 UPDATE A'!$A$21:$K$292,11,FALSE)</f>
        <v>7000</v>
      </c>
      <c r="G245" s="96"/>
      <c r="H245" s="296">
        <f t="shared" si="78"/>
        <v>0</v>
      </c>
      <c r="I245" s="297">
        <f t="shared" si="76"/>
        <v>0</v>
      </c>
      <c r="K245" s="633">
        <f>VLOOKUP(A245,'Level 2 - Transmitted (2)'!$A$20:$K$335,11,FALSE)</f>
        <v>7000</v>
      </c>
      <c r="L245" s="96"/>
      <c r="N245" s="296">
        <f t="shared" si="79"/>
        <v>0</v>
      </c>
      <c r="P245" s="297">
        <f t="shared" si="77"/>
        <v>0</v>
      </c>
      <c r="R245" s="633">
        <f>VLOOKUP(A245,'Level 3'!$A$20:$K$319,11,FALSE)</f>
        <v>7000</v>
      </c>
      <c r="S245" s="96"/>
      <c r="T245" s="296">
        <f t="shared" si="80"/>
        <v>0</v>
      </c>
      <c r="U245" s="297">
        <f t="shared" si="81"/>
        <v>0</v>
      </c>
      <c r="V245" s="84"/>
      <c r="AE245" s="358"/>
      <c r="AF245" s="358"/>
    </row>
    <row r="246" spans="1:32" outlineLevel="1">
      <c r="A246" s="311" t="s">
        <v>726</v>
      </c>
      <c r="C246" s="633">
        <f>'Level 1'!K251</f>
        <v>3064027.78</v>
      </c>
      <c r="D246" s="96"/>
      <c r="F246" s="633">
        <f>VLOOKUP(A246,'Level 1.1 UPDATE A'!$A$21:$K$292,11,FALSE)</f>
        <v>2818927.78</v>
      </c>
      <c r="G246" s="96"/>
      <c r="H246" s="296">
        <f t="shared" si="78"/>
        <v>245100</v>
      </c>
      <c r="I246" s="297">
        <f t="shared" si="76"/>
        <v>0</v>
      </c>
      <c r="K246" s="633">
        <f>VLOOKUP(A246,'Level 2 - Transmitted (2)'!$A$20:$K$335,11,FALSE)</f>
        <v>3662724.7691999995</v>
      </c>
      <c r="L246" s="96"/>
      <c r="N246" s="296">
        <f t="shared" si="79"/>
        <v>-598696.98919999972</v>
      </c>
      <c r="P246" s="297">
        <f t="shared" si="77"/>
        <v>0</v>
      </c>
      <c r="R246" s="633">
        <f>VLOOKUP(A246,'Level 3'!$A$20:$K$319,11,FALSE)</f>
        <v>2289198.3333333335</v>
      </c>
      <c r="S246" s="96"/>
      <c r="T246" s="296">
        <f t="shared" si="80"/>
        <v>1373526.435866666</v>
      </c>
      <c r="U246" s="297">
        <f t="shared" si="81"/>
        <v>0.37500126884135693</v>
      </c>
      <c r="V246" s="84" t="s">
        <v>1033</v>
      </c>
      <c r="AE246" s="358"/>
      <c r="AF246" s="358"/>
    </row>
    <row r="247" spans="1:32" outlineLevel="1">
      <c r="A247" s="311" t="s">
        <v>729</v>
      </c>
      <c r="C247" s="633">
        <f>'Level 1'!K252</f>
        <v>0</v>
      </c>
      <c r="D247" s="96"/>
      <c r="F247" s="633">
        <f>VLOOKUP(A247,'Level 1.1 UPDATE A'!$A$21:$K$292,11,FALSE)</f>
        <v>0</v>
      </c>
      <c r="G247" s="96"/>
      <c r="H247" s="296">
        <f t="shared" si="78"/>
        <v>0</v>
      </c>
      <c r="I247" s="297">
        <f t="shared" si="76"/>
        <v>0</v>
      </c>
      <c r="K247" s="633">
        <f>VLOOKUP(A247,'Level 2 - Transmitted (2)'!$A$20:$K$335,11,FALSE)</f>
        <v>10000</v>
      </c>
      <c r="L247" s="96"/>
      <c r="N247" s="296">
        <f t="shared" si="79"/>
        <v>-10000</v>
      </c>
      <c r="P247" s="297">
        <f t="shared" si="77"/>
        <v>0</v>
      </c>
      <c r="R247" s="633">
        <f>VLOOKUP(A247,'Level 3'!$A$20:$K$319,11,FALSE)</f>
        <v>10000</v>
      </c>
      <c r="S247" s="96"/>
      <c r="T247" s="296">
        <f t="shared" si="80"/>
        <v>0</v>
      </c>
      <c r="U247" s="297">
        <f t="shared" si="81"/>
        <v>0</v>
      </c>
      <c r="V247" s="84"/>
      <c r="AE247" s="358"/>
      <c r="AF247" s="358"/>
    </row>
    <row r="248" spans="1:32" outlineLevel="1">
      <c r="A248" s="311" t="s">
        <v>730</v>
      </c>
      <c r="C248" s="633">
        <f>'Level 1'!K253</f>
        <v>0</v>
      </c>
      <c r="D248" s="96"/>
      <c r="F248" s="633">
        <f>VLOOKUP(A248,'Level 1.1 UPDATE A'!$A$21:$K$292,11,FALSE)</f>
        <v>0</v>
      </c>
      <c r="G248" s="96"/>
      <c r="H248" s="296">
        <f t="shared" si="78"/>
        <v>0</v>
      </c>
      <c r="I248" s="297">
        <f t="shared" si="76"/>
        <v>0</v>
      </c>
      <c r="K248" s="633">
        <f>VLOOKUP(A248,'Level 2 - Transmitted (2)'!$A$20:$K$335,11,FALSE)</f>
        <v>0</v>
      </c>
      <c r="L248" s="96"/>
      <c r="N248" s="296">
        <f t="shared" si="79"/>
        <v>0</v>
      </c>
      <c r="P248" s="297">
        <f t="shared" si="77"/>
        <v>0</v>
      </c>
      <c r="R248" s="633">
        <f>VLOOKUP(A248,'Level 3'!$A$20:$K$319,11,FALSE)</f>
        <v>0</v>
      </c>
      <c r="S248" s="96"/>
      <c r="T248" s="296">
        <f t="shared" si="80"/>
        <v>0</v>
      </c>
      <c r="U248" s="297">
        <f t="shared" si="81"/>
        <v>0</v>
      </c>
      <c r="V248" s="84"/>
      <c r="AE248" s="358"/>
      <c r="AF248" s="358"/>
    </row>
    <row r="249" spans="1:32" outlineLevel="1">
      <c r="A249" s="311" t="s">
        <v>732</v>
      </c>
      <c r="C249" s="633">
        <f>'Level 1'!K254</f>
        <v>25000</v>
      </c>
      <c r="D249" s="96"/>
      <c r="F249" s="633">
        <f>VLOOKUP(A249,'Level 1.1 UPDATE A'!$A$21:$K$292,11,FALSE)</f>
        <v>25000</v>
      </c>
      <c r="G249" s="96"/>
      <c r="H249" s="296">
        <f t="shared" si="78"/>
        <v>0</v>
      </c>
      <c r="I249" s="297">
        <f t="shared" si="76"/>
        <v>0</v>
      </c>
      <c r="K249" s="633">
        <f>VLOOKUP(A249,'Level 2 - Transmitted (2)'!$A$20:$K$335,11,FALSE)</f>
        <v>25000</v>
      </c>
      <c r="L249" s="96"/>
      <c r="N249" s="296">
        <f t="shared" si="79"/>
        <v>0</v>
      </c>
      <c r="P249" s="297">
        <f t="shared" si="77"/>
        <v>0</v>
      </c>
      <c r="R249" s="633">
        <f>VLOOKUP(A249,'Level 3'!$A$20:$K$319,11,FALSE)</f>
        <v>25000</v>
      </c>
      <c r="S249" s="96"/>
      <c r="T249" s="296">
        <f t="shared" si="80"/>
        <v>0</v>
      </c>
      <c r="U249" s="297">
        <f t="shared" si="81"/>
        <v>0</v>
      </c>
      <c r="V249" s="84"/>
      <c r="AE249" s="358"/>
      <c r="AF249" s="358"/>
    </row>
    <row r="250" spans="1:32" outlineLevel="1">
      <c r="A250" s="311" t="s">
        <v>734</v>
      </c>
      <c r="C250" s="633">
        <f>'Level 1'!K255</f>
        <v>1843875.2999999998</v>
      </c>
      <c r="D250" s="96"/>
      <c r="F250" s="633">
        <f>VLOOKUP(A250,'Level 1.1 UPDATE A'!$A$21:$K$292,11,FALSE)</f>
        <v>1843875.2999999998</v>
      </c>
      <c r="G250" s="96"/>
      <c r="H250" s="296">
        <f t="shared" si="78"/>
        <v>0</v>
      </c>
      <c r="I250" s="297">
        <f t="shared" si="76"/>
        <v>0</v>
      </c>
      <c r="K250" s="633">
        <f>VLOOKUP(A250,'Level 2 - Transmitted (2)'!$A$20:$K$335,11,FALSE)</f>
        <v>795028.78</v>
      </c>
      <c r="L250" s="96"/>
      <c r="N250" s="296">
        <f t="shared" si="79"/>
        <v>1048846.5199999998</v>
      </c>
      <c r="P250" s="297">
        <f t="shared" si="77"/>
        <v>0</v>
      </c>
      <c r="R250" s="633">
        <f>VLOOKUP(A250,'Level 3'!$A$20:$K$319,11,FALSE)</f>
        <v>1006389.799</v>
      </c>
      <c r="S250" s="96"/>
      <c r="T250" s="296">
        <f t="shared" si="80"/>
        <v>-211361.01899999997</v>
      </c>
      <c r="U250" s="297">
        <f t="shared" si="81"/>
        <v>-0.26585329275752756</v>
      </c>
      <c r="V250" s="84" t="s">
        <v>1031</v>
      </c>
      <c r="AE250" s="358"/>
      <c r="AF250" s="358"/>
    </row>
    <row r="251" spans="1:32" outlineLevel="1">
      <c r="A251" s="311" t="s">
        <v>736</v>
      </c>
      <c r="C251" s="633">
        <f>'Level 1'!K256</f>
        <v>124911</v>
      </c>
      <c r="D251" s="96"/>
      <c r="F251" s="633">
        <f>VLOOKUP(A251,'Level 1.1 UPDATE A'!$A$21:$K$292,11,FALSE)</f>
        <v>124911</v>
      </c>
      <c r="G251" s="96"/>
      <c r="H251" s="296">
        <f t="shared" si="78"/>
        <v>0</v>
      </c>
      <c r="I251" s="297">
        <f t="shared" si="76"/>
        <v>0</v>
      </c>
      <c r="K251" s="633">
        <f>VLOOKUP(A251,'Level 2 - Transmitted (2)'!$A$20:$K$335,11,FALSE)</f>
        <v>139232</v>
      </c>
      <c r="L251" s="96"/>
      <c r="N251" s="296">
        <f t="shared" si="79"/>
        <v>-14321</v>
      </c>
      <c r="P251" s="297">
        <f t="shared" si="77"/>
        <v>0</v>
      </c>
      <c r="R251" s="633">
        <f>VLOOKUP(A251,'Level 3'!$A$20:$K$319,11,FALSE)</f>
        <v>135330</v>
      </c>
      <c r="S251" s="96"/>
      <c r="T251" s="296">
        <f t="shared" si="80"/>
        <v>3902</v>
      </c>
      <c r="U251" s="297">
        <f t="shared" si="81"/>
        <v>2.8025166628361298E-2</v>
      </c>
      <c r="V251" s="84"/>
      <c r="AE251" s="358"/>
      <c r="AF251" s="358"/>
    </row>
    <row r="252" spans="1:32" outlineLevel="1">
      <c r="A252" s="311" t="s">
        <v>737</v>
      </c>
      <c r="C252" s="633">
        <f>'Level 1'!K257</f>
        <v>91597</v>
      </c>
      <c r="D252" s="96"/>
      <c r="F252" s="633">
        <f>VLOOKUP(A252,'Level 1.1 UPDATE A'!$A$21:$K$292,11,FALSE)</f>
        <v>91597</v>
      </c>
      <c r="G252" s="96"/>
      <c r="H252" s="296">
        <f t="shared" si="78"/>
        <v>0</v>
      </c>
      <c r="I252" s="297">
        <f t="shared" si="76"/>
        <v>0</v>
      </c>
      <c r="K252" s="633">
        <f>VLOOKUP(A252,'Level 2 - Transmitted (2)'!$A$20:$K$335,11,FALSE)</f>
        <v>154692</v>
      </c>
      <c r="L252" s="96"/>
      <c r="N252" s="296">
        <f t="shared" si="79"/>
        <v>-63095</v>
      </c>
      <c r="P252" s="297">
        <f t="shared" si="77"/>
        <v>0</v>
      </c>
      <c r="R252" s="633">
        <f>VLOOKUP(A252,'Level 3'!$A$20:$K$319,11,FALSE)</f>
        <v>173092</v>
      </c>
      <c r="S252" s="96"/>
      <c r="T252" s="296">
        <f t="shared" si="80"/>
        <v>-18400</v>
      </c>
      <c r="U252" s="297">
        <f t="shared" si="81"/>
        <v>-0.11894603470121273</v>
      </c>
      <c r="V252" s="84"/>
      <c r="AE252" s="358"/>
      <c r="AF252" s="358"/>
    </row>
    <row r="253" spans="1:32">
      <c r="A253" s="613" t="s">
        <v>666</v>
      </c>
      <c r="C253" s="632"/>
      <c r="D253" s="327">
        <f>'Level 1'!L221</f>
        <v>7935480.5860000001</v>
      </c>
      <c r="F253" s="632"/>
      <c r="G253" s="327">
        <f>VLOOKUP(A253,'Level 1.1 UPDATE A'!$A$20:$L$330,12,FALSE)</f>
        <v>7690380.5860000001</v>
      </c>
      <c r="H253" s="328">
        <f>D253-G253</f>
        <v>245100</v>
      </c>
      <c r="I253" s="329">
        <f t="shared" si="76"/>
        <v>3.0886598151649739E-2</v>
      </c>
      <c r="K253" s="632"/>
      <c r="L253" s="327">
        <f>VLOOKUP(A253,'Level 2 - Transmitted (2)'!$A$21:$L$335,12,FALSE)</f>
        <v>7622826.8914367436</v>
      </c>
      <c r="M253" s="388"/>
      <c r="N253" s="328">
        <f>D253-L253</f>
        <v>312653.69456325658</v>
      </c>
      <c r="O253" s="388"/>
      <c r="P253" s="329">
        <f t="shared" si="77"/>
        <v>3.939946562465909E-2</v>
      </c>
      <c r="R253" s="632"/>
      <c r="S253" s="327">
        <f>VLOOKUP(A253,'Level 3'!$A$21:$L$320,12,FALSE)</f>
        <v>6247669.5083102435</v>
      </c>
      <c r="T253" s="328">
        <f>L253-S253</f>
        <v>1375157.3831265001</v>
      </c>
      <c r="U253" s="329">
        <f>IF(L253=0,0,T253/L253)</f>
        <v>0.18039992285162751</v>
      </c>
      <c r="V253" s="84"/>
      <c r="AE253" s="358"/>
      <c r="AF253" s="358"/>
    </row>
    <row r="254" spans="1:32" outlineLevel="1">
      <c r="A254" s="614" t="s">
        <v>740</v>
      </c>
      <c r="C254" s="631">
        <f>'Level 1'!K259</f>
        <v>140445</v>
      </c>
      <c r="D254" s="615"/>
      <c r="F254" s="631">
        <f>VLOOKUP(A254,'Level 1.1 UPDATE A'!$A$21:$K$292,11,FALSE)</f>
        <v>140445</v>
      </c>
      <c r="G254" s="615"/>
      <c r="H254" s="617">
        <f t="shared" ref="H254:H270" si="82">C254-F254</f>
        <v>0</v>
      </c>
      <c r="I254" s="618">
        <f t="shared" si="76"/>
        <v>0</v>
      </c>
      <c r="K254" s="631">
        <f>VLOOKUP(A254,'Level 2 - Transmitted (2)'!$A$20:$K$335,11,FALSE)</f>
        <v>140445</v>
      </c>
      <c r="L254" s="615"/>
      <c r="M254" s="619"/>
      <c r="N254" s="617">
        <f t="shared" ref="N254:N270" si="83">C254-K254</f>
        <v>0</v>
      </c>
      <c r="O254" s="619"/>
      <c r="P254" s="618">
        <f t="shared" si="77"/>
        <v>0</v>
      </c>
      <c r="R254" s="631">
        <f>VLOOKUP(A254,'Level 3'!$A$20:$K$319,11,FALSE)</f>
        <v>140445</v>
      </c>
      <c r="S254" s="615"/>
      <c r="T254" s="617">
        <f t="shared" ref="T254:T270" si="84">K254-R254</f>
        <v>0</v>
      </c>
      <c r="U254" s="618">
        <f t="shared" ref="U254:U270" si="85">IF(K254=0,0,T254/K254)</f>
        <v>0</v>
      </c>
      <c r="V254" s="84"/>
      <c r="AE254" s="358"/>
      <c r="AF254" s="358"/>
    </row>
    <row r="255" spans="1:32" outlineLevel="1">
      <c r="A255" s="311" t="s">
        <v>1006</v>
      </c>
      <c r="C255" s="629"/>
      <c r="D255" s="96"/>
      <c r="F255" s="629"/>
      <c r="G255" s="96"/>
      <c r="H255" s="296"/>
      <c r="I255" s="297"/>
      <c r="K255" s="629">
        <v>0</v>
      </c>
      <c r="L255" s="96"/>
      <c r="N255" s="296"/>
      <c r="P255" s="297"/>
      <c r="R255" s="633">
        <f>VLOOKUP(A255,'Level 3'!$A$20:$K$319,11,FALSE)</f>
        <v>50000</v>
      </c>
      <c r="S255" s="96"/>
      <c r="T255" s="296">
        <f t="shared" ref="T255" si="86">K255-R255</f>
        <v>-50000</v>
      </c>
      <c r="U255" s="297">
        <f t="shared" ref="U255" si="87">IF(K255=0,0,T255/K255)</f>
        <v>0</v>
      </c>
      <c r="V255" s="84"/>
      <c r="AE255" s="358"/>
      <c r="AF255" s="358"/>
    </row>
    <row r="256" spans="1:32" outlineLevel="1">
      <c r="A256" s="311" t="s">
        <v>744</v>
      </c>
      <c r="C256" s="633">
        <f>'Level 1'!K260</f>
        <v>0</v>
      </c>
      <c r="D256" s="96"/>
      <c r="F256" s="633">
        <f>VLOOKUP(A256,'Level 1.1 UPDATE A'!$A$21:$K$292,11,FALSE)</f>
        <v>0</v>
      </c>
      <c r="G256" s="96"/>
      <c r="H256" s="296">
        <f t="shared" si="82"/>
        <v>0</v>
      </c>
      <c r="I256" s="297">
        <f t="shared" si="76"/>
        <v>0</v>
      </c>
      <c r="K256" s="633">
        <f>VLOOKUP(A256,'Level 2 - Transmitted (2)'!$A$20:$K$335,11,FALSE)</f>
        <v>0</v>
      </c>
      <c r="L256" s="96"/>
      <c r="N256" s="296">
        <f t="shared" si="83"/>
        <v>0</v>
      </c>
      <c r="P256" s="297">
        <f t="shared" si="77"/>
        <v>0</v>
      </c>
      <c r="R256" s="633">
        <f>VLOOKUP(A256,'Level 3'!$A$20:$K$319,11,FALSE)</f>
        <v>0</v>
      </c>
      <c r="S256" s="96"/>
      <c r="T256" s="296">
        <f t="shared" si="84"/>
        <v>0</v>
      </c>
      <c r="U256" s="297">
        <f t="shared" si="85"/>
        <v>0</v>
      </c>
      <c r="V256" s="84"/>
      <c r="AE256" s="358"/>
      <c r="AF256" s="358"/>
    </row>
    <row r="257" spans="1:32" outlineLevel="1">
      <c r="A257" s="311" t="s">
        <v>746</v>
      </c>
      <c r="C257" s="633">
        <f>'Level 1'!K261</f>
        <v>832918.12</v>
      </c>
      <c r="D257" s="96"/>
      <c r="F257" s="633">
        <f>VLOOKUP(A257,'Level 1.1 UPDATE A'!$A$21:$K$292,11,FALSE)</f>
        <v>832918.12</v>
      </c>
      <c r="G257" s="96"/>
      <c r="H257" s="296">
        <f t="shared" si="82"/>
        <v>0</v>
      </c>
      <c r="I257" s="297">
        <f t="shared" si="76"/>
        <v>0</v>
      </c>
      <c r="K257" s="633">
        <f>VLOOKUP(A257,'Level 2 - Transmitted (2)'!$A$20:$K$335,11,FALSE)</f>
        <v>703298.46</v>
      </c>
      <c r="L257" s="96"/>
      <c r="N257" s="296">
        <f t="shared" si="83"/>
        <v>129619.66000000003</v>
      </c>
      <c r="P257" s="297">
        <f t="shared" si="77"/>
        <v>0</v>
      </c>
      <c r="R257" s="633">
        <f>VLOOKUP(A257,'Level 3'!$A$20:$K$319,11,FALSE)</f>
        <v>672740.64999999991</v>
      </c>
      <c r="S257" s="96"/>
      <c r="T257" s="296">
        <f t="shared" si="84"/>
        <v>30557.810000000056</v>
      </c>
      <c r="U257" s="297">
        <f t="shared" si="85"/>
        <v>4.3449277565601463E-2</v>
      </c>
      <c r="V257" s="84"/>
      <c r="AE257" s="358"/>
      <c r="AF257" s="358"/>
    </row>
    <row r="258" spans="1:32" outlineLevel="1">
      <c r="A258" s="311" t="s">
        <v>748</v>
      </c>
      <c r="C258" s="633">
        <f>'Level 1'!K262</f>
        <v>394942</v>
      </c>
      <c r="D258" s="96"/>
      <c r="F258" s="633">
        <f>VLOOKUP(A258,'Level 1.1 UPDATE A'!$A$21:$K$292,11,FALSE)</f>
        <v>394942</v>
      </c>
      <c r="G258" s="96"/>
      <c r="H258" s="296">
        <f t="shared" si="82"/>
        <v>0</v>
      </c>
      <c r="I258" s="297">
        <f t="shared" si="76"/>
        <v>0</v>
      </c>
      <c r="K258" s="633">
        <f>VLOOKUP(A258,'Level 2 - Transmitted (2)'!$A$20:$K$335,11,FALSE)</f>
        <v>419249</v>
      </c>
      <c r="L258" s="96"/>
      <c r="N258" s="296">
        <f t="shared" si="83"/>
        <v>-24307</v>
      </c>
      <c r="P258" s="297">
        <f t="shared" si="77"/>
        <v>0</v>
      </c>
      <c r="R258" s="633">
        <f>VLOOKUP(A258,'Level 3'!$A$20:$K$319,11,FALSE)</f>
        <v>387072</v>
      </c>
      <c r="S258" s="96"/>
      <c r="T258" s="296">
        <f t="shared" si="84"/>
        <v>32177</v>
      </c>
      <c r="U258" s="297">
        <f t="shared" si="85"/>
        <v>7.6749139532831329E-2</v>
      </c>
      <c r="V258" s="84"/>
      <c r="AE258" s="358"/>
      <c r="AF258" s="358"/>
    </row>
    <row r="259" spans="1:32" outlineLevel="1">
      <c r="A259" s="311" t="s">
        <v>751</v>
      </c>
      <c r="C259" s="633">
        <f>'Level 1'!K263</f>
        <v>0</v>
      </c>
      <c r="D259" s="96"/>
      <c r="F259" s="633">
        <f>VLOOKUP(A259,'Level 1.1 UPDATE A'!$A$21:$K$292,11,FALSE)</f>
        <v>0</v>
      </c>
      <c r="G259" s="96"/>
      <c r="H259" s="296">
        <f t="shared" si="82"/>
        <v>0</v>
      </c>
      <c r="I259" s="297">
        <f t="shared" si="76"/>
        <v>0</v>
      </c>
      <c r="K259" s="633">
        <f>VLOOKUP(A259,'Level 2 - Transmitted (2)'!$A$20:$K$335,11,FALSE)</f>
        <v>0</v>
      </c>
      <c r="L259" s="96"/>
      <c r="N259" s="296">
        <f t="shared" si="83"/>
        <v>0</v>
      </c>
      <c r="P259" s="297">
        <f t="shared" si="77"/>
        <v>0</v>
      </c>
      <c r="R259" s="633">
        <f>VLOOKUP(A259,'Level 3'!$A$20:$K$319,11,FALSE)</f>
        <v>25000</v>
      </c>
      <c r="S259" s="96"/>
      <c r="T259" s="296">
        <f t="shared" si="84"/>
        <v>-25000</v>
      </c>
      <c r="U259" s="297">
        <f t="shared" si="85"/>
        <v>0</v>
      </c>
      <c r="V259" s="84"/>
      <c r="AE259" s="358"/>
      <c r="AF259" s="358"/>
    </row>
    <row r="260" spans="1:32" outlineLevel="1">
      <c r="A260" s="311" t="s">
        <v>753</v>
      </c>
      <c r="C260" s="633">
        <f>'Level 1'!K264</f>
        <v>15000</v>
      </c>
      <c r="D260" s="96"/>
      <c r="F260" s="633">
        <f>VLOOKUP(A260,'Level 1.1 UPDATE A'!$A$21:$K$292,11,FALSE)</f>
        <v>15000</v>
      </c>
      <c r="G260" s="96"/>
      <c r="H260" s="296">
        <f t="shared" si="82"/>
        <v>0</v>
      </c>
      <c r="I260" s="297">
        <f t="shared" si="76"/>
        <v>0</v>
      </c>
      <c r="K260" s="633">
        <f>VLOOKUP(A260,'Level 2 - Transmitted (2)'!$A$20:$K$335,11,FALSE)</f>
        <v>15000</v>
      </c>
      <c r="L260" s="96"/>
      <c r="N260" s="296">
        <f t="shared" si="83"/>
        <v>0</v>
      </c>
      <c r="P260" s="297">
        <f t="shared" si="77"/>
        <v>0</v>
      </c>
      <c r="R260" s="633">
        <f>VLOOKUP(A260,'Level 3'!$A$20:$K$319,11,FALSE)</f>
        <v>15000</v>
      </c>
      <c r="S260" s="96"/>
      <c r="T260" s="296">
        <f t="shared" si="84"/>
        <v>0</v>
      </c>
      <c r="U260" s="297">
        <f t="shared" si="85"/>
        <v>0</v>
      </c>
      <c r="V260" s="84"/>
      <c r="AE260" s="358"/>
      <c r="AF260" s="358"/>
    </row>
    <row r="261" spans="1:32" outlineLevel="1">
      <c r="A261" s="311" t="s">
        <v>755</v>
      </c>
      <c r="C261" s="633">
        <f>'Level 1'!K265</f>
        <v>112000</v>
      </c>
      <c r="D261" s="96"/>
      <c r="F261" s="633">
        <f>VLOOKUP(A261,'Level 1.1 UPDATE A'!$A$21:$K$292,11,FALSE)</f>
        <v>112000</v>
      </c>
      <c r="G261" s="96"/>
      <c r="H261" s="296">
        <f t="shared" si="82"/>
        <v>0</v>
      </c>
      <c r="I261" s="297">
        <f t="shared" si="76"/>
        <v>0</v>
      </c>
      <c r="K261" s="633">
        <f>VLOOKUP(A261,'Level 2 - Transmitted (2)'!$A$20:$K$335,11,FALSE)</f>
        <v>305200</v>
      </c>
      <c r="L261" s="96"/>
      <c r="N261" s="296">
        <f t="shared" si="83"/>
        <v>-193200</v>
      </c>
      <c r="P261" s="297">
        <f t="shared" si="77"/>
        <v>0</v>
      </c>
      <c r="R261" s="633">
        <f>VLOOKUP(A261,'Level 3'!$A$20:$K$319,11,FALSE)</f>
        <v>305200</v>
      </c>
      <c r="S261" s="96"/>
      <c r="T261" s="296">
        <f t="shared" si="84"/>
        <v>0</v>
      </c>
      <c r="U261" s="297">
        <f t="shared" si="85"/>
        <v>0</v>
      </c>
      <c r="V261" s="84"/>
      <c r="AE261" s="358"/>
      <c r="AF261" s="358"/>
    </row>
    <row r="262" spans="1:32" outlineLevel="1">
      <c r="A262" s="311" t="s">
        <v>759</v>
      </c>
      <c r="C262" s="633">
        <f>'Level 1'!K266</f>
        <v>432813</v>
      </c>
      <c r="D262" s="96"/>
      <c r="F262" s="633">
        <f>VLOOKUP(A262,'Level 1.1 UPDATE A'!$A$21:$K$292,11,FALSE)</f>
        <v>432813</v>
      </c>
      <c r="G262" s="96"/>
      <c r="H262" s="296">
        <f t="shared" si="82"/>
        <v>0</v>
      </c>
      <c r="I262" s="297">
        <f t="shared" si="76"/>
        <v>0</v>
      </c>
      <c r="K262" s="633">
        <f>VLOOKUP(A262,'Level 2 - Transmitted (2)'!$A$20:$K$335,11,FALSE)</f>
        <v>499016</v>
      </c>
      <c r="L262" s="96"/>
      <c r="N262" s="296">
        <f t="shared" si="83"/>
        <v>-66203</v>
      </c>
      <c r="P262" s="297">
        <f t="shared" si="77"/>
        <v>0</v>
      </c>
      <c r="R262" s="633">
        <f>VLOOKUP(A262,'Level 3'!$A$20:$K$319,11,FALSE)</f>
        <v>499016</v>
      </c>
      <c r="S262" s="96"/>
      <c r="T262" s="296">
        <f t="shared" si="84"/>
        <v>0</v>
      </c>
      <c r="U262" s="297">
        <f t="shared" si="85"/>
        <v>0</v>
      </c>
      <c r="V262" s="84"/>
      <c r="AE262" s="358"/>
      <c r="AF262" s="358"/>
    </row>
    <row r="263" spans="1:32" outlineLevel="1">
      <c r="A263" s="311" t="s">
        <v>762</v>
      </c>
      <c r="C263" s="633">
        <f>'Level 1'!K267</f>
        <v>25000</v>
      </c>
      <c r="D263" s="96"/>
      <c r="F263" s="633">
        <f>VLOOKUP(A263,'Level 1.1 UPDATE A'!$A$21:$K$292,11,FALSE)</f>
        <v>25000</v>
      </c>
      <c r="G263" s="96"/>
      <c r="H263" s="296">
        <f t="shared" si="82"/>
        <v>0</v>
      </c>
      <c r="I263" s="297">
        <f t="shared" si="76"/>
        <v>0</v>
      </c>
      <c r="K263" s="633">
        <f>VLOOKUP(A263,'Level 2 - Transmitted (2)'!$A$20:$K$335,11,FALSE)</f>
        <v>50000</v>
      </c>
      <c r="L263" s="96"/>
      <c r="N263" s="296">
        <f t="shared" si="83"/>
        <v>-25000</v>
      </c>
      <c r="P263" s="297">
        <f t="shared" si="77"/>
        <v>0</v>
      </c>
      <c r="R263" s="633">
        <f>VLOOKUP(A263,'Level 3'!$A$20:$K$319,11,FALSE)</f>
        <v>50000</v>
      </c>
      <c r="S263" s="96"/>
      <c r="T263" s="296">
        <f t="shared" si="84"/>
        <v>0</v>
      </c>
      <c r="U263" s="297">
        <f t="shared" si="85"/>
        <v>0</v>
      </c>
      <c r="V263" s="84"/>
      <c r="AE263" s="358"/>
      <c r="AF263" s="358"/>
    </row>
    <row r="264" spans="1:32" outlineLevel="1">
      <c r="A264" s="620" t="s">
        <v>764</v>
      </c>
      <c r="C264" s="633">
        <f>'Level 1'!K268</f>
        <v>0</v>
      </c>
      <c r="D264" s="96"/>
      <c r="F264" s="633">
        <f>VLOOKUP(A264,'Level 1.1 UPDATE A'!$A$21:$K$292,11,FALSE)</f>
        <v>0</v>
      </c>
      <c r="G264" s="96"/>
      <c r="H264" s="296">
        <f t="shared" si="82"/>
        <v>0</v>
      </c>
      <c r="I264" s="297">
        <f t="shared" si="76"/>
        <v>0</v>
      </c>
      <c r="K264" s="633">
        <f>VLOOKUP(A264,'Level 2 - Transmitted (2)'!$A$20:$K$335,11,FALSE)</f>
        <v>0</v>
      </c>
      <c r="L264" s="96"/>
      <c r="N264" s="296">
        <f t="shared" si="83"/>
        <v>0</v>
      </c>
      <c r="P264" s="297">
        <f t="shared" si="77"/>
        <v>0</v>
      </c>
      <c r="R264" s="633">
        <f>VLOOKUP(A264,'Level 3'!$A$20:$K$319,11,FALSE)</f>
        <v>0</v>
      </c>
      <c r="S264" s="96"/>
      <c r="T264" s="296">
        <f t="shared" si="84"/>
        <v>0</v>
      </c>
      <c r="U264" s="297">
        <f t="shared" si="85"/>
        <v>0</v>
      </c>
      <c r="V264" s="84"/>
      <c r="AE264" s="358"/>
      <c r="AF264" s="358"/>
    </row>
    <row r="265" spans="1:32" outlineLevel="1">
      <c r="A265" s="311" t="s">
        <v>766</v>
      </c>
      <c r="C265" s="633">
        <f>'Level 1'!K269</f>
        <v>0</v>
      </c>
      <c r="D265" s="96"/>
      <c r="F265" s="633">
        <f>VLOOKUP(A265,'Level 1.1 UPDATE A'!$A$21:$K$292,11,FALSE)</f>
        <v>0</v>
      </c>
      <c r="G265" s="96"/>
      <c r="H265" s="296">
        <f t="shared" si="82"/>
        <v>0</v>
      </c>
      <c r="I265" s="297">
        <f t="shared" si="76"/>
        <v>0</v>
      </c>
      <c r="K265" s="633">
        <f>VLOOKUP(A265,'Level 2 - Transmitted (2)'!$A$20:$K$335,11,FALSE)</f>
        <v>0</v>
      </c>
      <c r="L265" s="96"/>
      <c r="N265" s="296">
        <f t="shared" si="83"/>
        <v>0</v>
      </c>
      <c r="P265" s="297">
        <f t="shared" si="77"/>
        <v>0</v>
      </c>
      <c r="R265" s="633">
        <f>VLOOKUP(A265,'Level 3'!$A$20:$K$319,11,FALSE)</f>
        <v>0</v>
      </c>
      <c r="S265" s="96"/>
      <c r="T265" s="296">
        <f t="shared" si="84"/>
        <v>0</v>
      </c>
      <c r="U265" s="297">
        <f t="shared" si="85"/>
        <v>0</v>
      </c>
      <c r="V265" s="84"/>
      <c r="AE265" s="358"/>
      <c r="AF265" s="358"/>
    </row>
    <row r="266" spans="1:32" outlineLevel="1">
      <c r="A266" s="311" t="s">
        <v>768</v>
      </c>
      <c r="C266" s="633">
        <f>'Level 1'!K270</f>
        <v>0</v>
      </c>
      <c r="D266" s="96"/>
      <c r="F266" s="633">
        <f>VLOOKUP(A266,'Level 1.1 UPDATE A'!$A$21:$K$292,11,FALSE)</f>
        <v>0</v>
      </c>
      <c r="G266" s="96"/>
      <c r="H266" s="296">
        <f t="shared" si="82"/>
        <v>0</v>
      </c>
      <c r="I266" s="297">
        <f t="shared" si="76"/>
        <v>0</v>
      </c>
      <c r="K266" s="633">
        <f>VLOOKUP(A266,'Level 2 - Transmitted (2)'!$A$20:$K$335,11,FALSE)</f>
        <v>0</v>
      </c>
      <c r="L266" s="96"/>
      <c r="N266" s="296">
        <f t="shared" si="83"/>
        <v>0</v>
      </c>
      <c r="P266" s="297">
        <f t="shared" si="77"/>
        <v>0</v>
      </c>
      <c r="R266" s="633">
        <f>VLOOKUP(A266,'Level 3'!$A$20:$K$319,11,FALSE)</f>
        <v>0</v>
      </c>
      <c r="S266" s="96"/>
      <c r="T266" s="296">
        <f t="shared" si="84"/>
        <v>0</v>
      </c>
      <c r="U266" s="297">
        <f t="shared" si="85"/>
        <v>0</v>
      </c>
      <c r="V266" s="84"/>
      <c r="AE266" s="358"/>
      <c r="AF266" s="358"/>
    </row>
    <row r="267" spans="1:32" outlineLevel="1">
      <c r="A267" s="311" t="s">
        <v>770</v>
      </c>
      <c r="C267" s="633">
        <f>'Level 1'!K271</f>
        <v>2200067.3966666665</v>
      </c>
      <c r="D267" s="96"/>
      <c r="F267" s="633">
        <f>VLOOKUP(A267,'Level 1.1 UPDATE A'!$A$21:$K$292,11,FALSE)</f>
        <v>2200067.3966666665</v>
      </c>
      <c r="G267" s="96"/>
      <c r="H267" s="296">
        <f t="shared" si="82"/>
        <v>0</v>
      </c>
      <c r="I267" s="297">
        <f t="shared" si="76"/>
        <v>0</v>
      </c>
      <c r="K267" s="633">
        <f>VLOOKUP(A267,'Level 2 - Transmitted (2)'!$A$20:$K$335,11,FALSE)</f>
        <v>2362698.4</v>
      </c>
      <c r="L267" s="96"/>
      <c r="N267" s="296">
        <f t="shared" si="83"/>
        <v>-162631.00333333341</v>
      </c>
      <c r="P267" s="297">
        <f t="shared" si="77"/>
        <v>0</v>
      </c>
      <c r="R267" s="633">
        <f>VLOOKUP(A267,'Level 3'!$A$20:$K$319,11,FALSE)</f>
        <v>1635293.2857142854</v>
      </c>
      <c r="S267" s="96"/>
      <c r="T267" s="296">
        <f t="shared" si="84"/>
        <v>727405.11428571446</v>
      </c>
      <c r="U267" s="297">
        <f t="shared" si="85"/>
        <v>0.30787049006581396</v>
      </c>
      <c r="V267" s="84" t="s">
        <v>1034</v>
      </c>
      <c r="AE267" s="358"/>
      <c r="AF267" s="358"/>
    </row>
    <row r="268" spans="1:32" outlineLevel="1">
      <c r="A268" s="311" t="s">
        <v>771</v>
      </c>
      <c r="C268" s="633">
        <f>'Level 1'!K272</f>
        <v>1474233.6057142857</v>
      </c>
      <c r="D268" s="96"/>
      <c r="F268" s="633">
        <f>VLOOKUP(A268,'Level 1.1 UPDATE A'!$A$21:$K$292,11,FALSE)</f>
        <v>1474233.6057142857</v>
      </c>
      <c r="G268" s="96"/>
      <c r="H268" s="296">
        <f t="shared" si="82"/>
        <v>0</v>
      </c>
      <c r="I268" s="297">
        <f t="shared" si="76"/>
        <v>0</v>
      </c>
      <c r="K268" s="633">
        <f>VLOOKUP(A268,'Level 2 - Transmitted (2)'!$A$20:$K$335,11,FALSE)</f>
        <v>1073770.8499999999</v>
      </c>
      <c r="L268" s="96"/>
      <c r="N268" s="296">
        <f t="shared" si="83"/>
        <v>400462.75571428589</v>
      </c>
      <c r="P268" s="297">
        <f t="shared" si="77"/>
        <v>0</v>
      </c>
      <c r="R268" s="633">
        <f>VLOOKUP(A268,'Level 3'!$A$20:$K$319,11,FALSE)</f>
        <v>436684.17999999993</v>
      </c>
      <c r="S268" s="96"/>
      <c r="T268" s="296">
        <f t="shared" si="84"/>
        <v>637086.66999999993</v>
      </c>
      <c r="U268" s="297">
        <f t="shared" si="85"/>
        <v>0.5933171588705356</v>
      </c>
      <c r="V268" s="84" t="s">
        <v>1034</v>
      </c>
      <c r="AE268" s="358"/>
      <c r="AF268" s="358"/>
    </row>
    <row r="269" spans="1:32" outlineLevel="1">
      <c r="A269" s="311" t="s">
        <v>772</v>
      </c>
      <c r="C269" s="633">
        <f>'Level 1'!K273</f>
        <v>649389</v>
      </c>
      <c r="D269" s="96"/>
      <c r="F269" s="633">
        <f>VLOOKUP(A269,'Level 1.1 UPDATE A'!$A$21:$K$292,11,FALSE)</f>
        <v>649389</v>
      </c>
      <c r="G269" s="96"/>
      <c r="H269" s="296">
        <f t="shared" si="82"/>
        <v>0</v>
      </c>
      <c r="I269" s="297">
        <f t="shared" si="76"/>
        <v>0</v>
      </c>
      <c r="K269" s="633">
        <f>VLOOKUP(A269,'Level 2 - Transmitted (2)'!$A$20:$K$335,11,FALSE)</f>
        <v>779503.1</v>
      </c>
      <c r="L269" s="96"/>
      <c r="N269" s="296">
        <f t="shared" si="83"/>
        <v>-130114.09999999998</v>
      </c>
      <c r="P269" s="297">
        <f t="shared" si="77"/>
        <v>0</v>
      </c>
      <c r="R269" s="633">
        <f>VLOOKUP(A269,'Level 3'!$A$20:$K$319,11,FALSE)</f>
        <v>700949.5</v>
      </c>
      <c r="S269" s="96"/>
      <c r="T269" s="296">
        <f t="shared" si="84"/>
        <v>78553.599999999977</v>
      </c>
      <c r="U269" s="297">
        <f t="shared" si="85"/>
        <v>0.1007739417585382</v>
      </c>
      <c r="V269" s="84" t="s">
        <v>1034</v>
      </c>
      <c r="AE269" s="358"/>
      <c r="AF269" s="358"/>
    </row>
    <row r="270" spans="1:32" outlineLevel="1">
      <c r="A270" s="311" t="s">
        <v>773</v>
      </c>
      <c r="C270" s="633">
        <f>'Level 1'!K274</f>
        <v>1310050.0533333332</v>
      </c>
      <c r="D270" s="96"/>
      <c r="F270" s="633">
        <f>VLOOKUP(A270,'Level 1.1 UPDATE A'!$A$21:$K$292,11,FALSE)</f>
        <v>1310050.0533333332</v>
      </c>
      <c r="G270" s="96"/>
      <c r="H270" s="296">
        <f t="shared" si="82"/>
        <v>0</v>
      </c>
      <c r="I270" s="297">
        <f t="shared" si="76"/>
        <v>0</v>
      </c>
      <c r="K270" s="633">
        <f>VLOOKUP(A270,'Level 2 - Transmitted (2)'!$A$20:$K$335,11,FALSE)</f>
        <v>744064.26</v>
      </c>
      <c r="L270" s="96"/>
      <c r="N270" s="296">
        <f t="shared" si="83"/>
        <v>565985.79333333322</v>
      </c>
      <c r="P270" s="297">
        <f t="shared" si="77"/>
        <v>0</v>
      </c>
      <c r="R270" s="633">
        <f>VLOOKUP(A270,'Level 3'!$A$20:$K$319,11,FALSE)</f>
        <v>744064.26</v>
      </c>
      <c r="S270" s="96"/>
      <c r="T270" s="296">
        <f t="shared" si="84"/>
        <v>0</v>
      </c>
      <c r="U270" s="297">
        <f t="shared" si="85"/>
        <v>0</v>
      </c>
      <c r="V270" s="84"/>
      <c r="AE270" s="358"/>
      <c r="AF270" s="358"/>
    </row>
    <row r="271" spans="1:32">
      <c r="A271" s="613" t="s">
        <v>738</v>
      </c>
      <c r="C271" s="632"/>
      <c r="D271" s="622">
        <f>'Level 1'!L258</f>
        <v>7586858.175714286</v>
      </c>
      <c r="F271" s="632"/>
      <c r="G271" s="622">
        <f>VLOOKUP(A271,'Level 1.1 UPDATE A'!$A$20:$L$330,12,FALSE)</f>
        <v>7586858.175714286</v>
      </c>
      <c r="H271" s="623">
        <f>D271-G271</f>
        <v>0</v>
      </c>
      <c r="I271" s="624">
        <f t="shared" si="76"/>
        <v>0</v>
      </c>
      <c r="K271" s="632"/>
      <c r="L271" s="327">
        <f>VLOOKUP(A271,'Level 2 - Transmitted (2)'!$A$21:$L$335,12,FALSE)</f>
        <v>7092245.0699999984</v>
      </c>
      <c r="M271" s="388"/>
      <c r="N271" s="623">
        <f>D271-L271</f>
        <v>494613.10571428761</v>
      </c>
      <c r="O271" s="388"/>
      <c r="P271" s="624">
        <f t="shared" si="77"/>
        <v>6.519340341665486E-2</v>
      </c>
      <c r="R271" s="632"/>
      <c r="S271" s="622">
        <f>VLOOKUP(A271,'Level 3'!$A$21:$L$320,12,FALSE)</f>
        <v>5661464.8757142853</v>
      </c>
      <c r="T271" s="623">
        <f>L271-S271</f>
        <v>1430780.1942857131</v>
      </c>
      <c r="U271" s="624">
        <f>IF(L271=0,0,T271/L271)</f>
        <v>0.20173868502343129</v>
      </c>
      <c r="V271" s="84"/>
      <c r="AE271" s="358"/>
      <c r="AF271" s="358"/>
    </row>
    <row r="272" spans="1:32" outlineLevel="1">
      <c r="A272" s="614" t="s">
        <v>776</v>
      </c>
      <c r="C272" s="631">
        <f>'Level 1'!K276</f>
        <v>15000</v>
      </c>
      <c r="D272" s="615"/>
      <c r="F272" s="631">
        <f>VLOOKUP(A272,'Level 1.1 UPDATE A'!$A$21:$K$292,11,FALSE)</f>
        <v>15000</v>
      </c>
      <c r="G272" s="615"/>
      <c r="H272" s="617">
        <f>C272-F272</f>
        <v>0</v>
      </c>
      <c r="I272" s="618">
        <f t="shared" si="76"/>
        <v>0</v>
      </c>
      <c r="K272" s="631">
        <f>VLOOKUP(A272,'Level 2 - Transmitted (2)'!$A$20:$K$335,11,FALSE)</f>
        <v>15000</v>
      </c>
      <c r="L272" s="615"/>
      <c r="M272" s="619"/>
      <c r="N272" s="617">
        <f t="shared" ref="N272" si="88">C272-K272</f>
        <v>0</v>
      </c>
      <c r="O272" s="619"/>
      <c r="P272" s="618">
        <f t="shared" si="77"/>
        <v>0</v>
      </c>
      <c r="R272" s="631">
        <f>VLOOKUP(A272,'Level 3'!$A$20:$K$319,11,FALSE)</f>
        <v>15000</v>
      </c>
      <c r="S272" s="615"/>
      <c r="T272" s="617">
        <f>K272-R272</f>
        <v>0</v>
      </c>
      <c r="U272" s="618">
        <f>IF(K272=0,0,T272/K272)</f>
        <v>0</v>
      </c>
      <c r="V272" s="84"/>
      <c r="AE272" s="358"/>
      <c r="AF272" s="358"/>
    </row>
    <row r="273" spans="1:32">
      <c r="A273" s="613" t="s">
        <v>774</v>
      </c>
      <c r="C273" s="632"/>
      <c r="D273" s="327">
        <f>'Level 1'!L275</f>
        <v>15000</v>
      </c>
      <c r="F273" s="632"/>
      <c r="G273" s="327">
        <f>VLOOKUP(A273,'Level 1.1 UPDATE A'!$A$20:$L$330,12,FALSE)</f>
        <v>15000</v>
      </c>
      <c r="H273" s="328">
        <f>D273-G273</f>
        <v>0</v>
      </c>
      <c r="I273" s="329">
        <f t="shared" si="76"/>
        <v>0</v>
      </c>
      <c r="K273" s="632"/>
      <c r="L273" s="327">
        <f>VLOOKUP(A273,'Level 2 - Transmitted (2)'!$A$21:$L$335,12,FALSE)</f>
        <v>15000</v>
      </c>
      <c r="M273" s="388"/>
      <c r="N273" s="328">
        <f>D273-L273</f>
        <v>0</v>
      </c>
      <c r="O273" s="388"/>
      <c r="P273" s="329">
        <f t="shared" si="77"/>
        <v>0</v>
      </c>
      <c r="R273" s="632"/>
      <c r="S273" s="327">
        <f>VLOOKUP(A273,'Level 3'!$A$21:$L$320,12,FALSE)</f>
        <v>15000</v>
      </c>
      <c r="T273" s="328">
        <f>L273-S273</f>
        <v>0</v>
      </c>
      <c r="U273" s="329">
        <f>IF(L273=0,0,T273/L273)</f>
        <v>0</v>
      </c>
      <c r="V273" s="84"/>
      <c r="AE273" s="358"/>
      <c r="AF273" s="358"/>
    </row>
    <row r="274" spans="1:32" outlineLevel="1">
      <c r="A274" s="614" t="s">
        <v>780</v>
      </c>
      <c r="C274" s="631">
        <f>'Level 1'!K278</f>
        <v>399750</v>
      </c>
      <c r="D274" s="615"/>
      <c r="F274" s="631">
        <f>VLOOKUP(A274,'Level 1.1 UPDATE A'!$A$21:$K$292,11,FALSE)</f>
        <v>399750</v>
      </c>
      <c r="G274" s="615"/>
      <c r="H274" s="617">
        <f>C274-F274</f>
        <v>0</v>
      </c>
      <c r="I274" s="618">
        <f t="shared" si="76"/>
        <v>0</v>
      </c>
      <c r="K274" s="631">
        <f>VLOOKUP(A274,'Level 2 - Transmitted (2)'!$A$20:$K$335,11,FALSE)</f>
        <v>399750</v>
      </c>
      <c r="L274" s="615"/>
      <c r="M274" s="619"/>
      <c r="N274" s="617">
        <f t="shared" ref="N274:N276" si="89">C274-K274</f>
        <v>0</v>
      </c>
      <c r="O274" s="619"/>
      <c r="P274" s="618">
        <f t="shared" si="77"/>
        <v>0</v>
      </c>
      <c r="R274" s="631">
        <f>VLOOKUP(A274,'Level 3'!$A$20:$K$319,11,FALSE)</f>
        <v>1567975.85</v>
      </c>
      <c r="S274" s="615"/>
      <c r="T274" s="617">
        <f>K274-R274</f>
        <v>-1168225.8500000001</v>
      </c>
      <c r="U274" s="618">
        <f>IF(K274=0,0,T274/K274)</f>
        <v>-2.9223911194496561</v>
      </c>
      <c r="V274" s="84"/>
      <c r="AE274" s="358"/>
      <c r="AF274" s="358"/>
    </row>
    <row r="275" spans="1:32" outlineLevel="1">
      <c r="A275" s="311" t="s">
        <v>783</v>
      </c>
      <c r="C275" s="633">
        <f>'Level 1'!K279</f>
        <v>50000</v>
      </c>
      <c r="D275" s="96"/>
      <c r="F275" s="633">
        <f>VLOOKUP(A275,'Level 1.1 UPDATE A'!$A$21:$K$292,11,FALSE)</f>
        <v>50000</v>
      </c>
      <c r="G275" s="96"/>
      <c r="H275" s="296">
        <f>C275-F275</f>
        <v>0</v>
      </c>
      <c r="I275" s="297">
        <f t="shared" si="76"/>
        <v>0</v>
      </c>
      <c r="K275" s="633">
        <f>VLOOKUP(A275,'Level 2 - Transmitted (2)'!$A$20:$K$335,11,FALSE)</f>
        <v>50000</v>
      </c>
      <c r="L275" s="96"/>
      <c r="N275" s="296">
        <f t="shared" si="89"/>
        <v>0</v>
      </c>
      <c r="P275" s="297">
        <f t="shared" si="77"/>
        <v>0</v>
      </c>
      <c r="R275" s="633">
        <f>VLOOKUP(A275,'Level 3'!$A$20:$K$319,11,FALSE)</f>
        <v>100000</v>
      </c>
      <c r="S275" s="96"/>
      <c r="T275" s="296">
        <f>K275-R275</f>
        <v>-50000</v>
      </c>
      <c r="U275" s="297">
        <f>IF(K275=0,0,T275/K275)</f>
        <v>-1</v>
      </c>
      <c r="V275" s="84"/>
      <c r="AE275" s="358"/>
      <c r="AF275" s="358"/>
    </row>
    <row r="276" spans="1:32" outlineLevel="1">
      <c r="A276" s="311" t="s">
        <v>786</v>
      </c>
      <c r="C276" s="633">
        <f>'Level 1'!K280</f>
        <v>20000</v>
      </c>
      <c r="D276" s="96"/>
      <c r="F276" s="633">
        <f>VLOOKUP(A276,'Level 1.1 UPDATE A'!$A$21:$K$292,11,FALSE)</f>
        <v>20000</v>
      </c>
      <c r="G276" s="96"/>
      <c r="H276" s="296">
        <f>C276-F276</f>
        <v>0</v>
      </c>
      <c r="I276" s="297">
        <f t="shared" si="76"/>
        <v>0</v>
      </c>
      <c r="K276" s="633">
        <f>VLOOKUP(A276,'Level 2 - Transmitted (2)'!$A$20:$K$335,11,FALSE)</f>
        <v>20000</v>
      </c>
      <c r="L276" s="96"/>
      <c r="N276" s="296">
        <f t="shared" si="89"/>
        <v>0</v>
      </c>
      <c r="P276" s="297">
        <f t="shared" si="77"/>
        <v>0</v>
      </c>
      <c r="R276" s="633">
        <f>VLOOKUP(A276,'Level 3'!$A$20:$K$319,11,FALSE)</f>
        <v>50000</v>
      </c>
      <c r="S276" s="96"/>
      <c r="T276" s="296">
        <f>K276-R276</f>
        <v>-30000</v>
      </c>
      <c r="U276" s="297">
        <f>IF(K276=0,0,T276/K276)</f>
        <v>-1.5</v>
      </c>
      <c r="V276" s="84"/>
      <c r="AE276" s="358"/>
      <c r="AF276" s="358"/>
    </row>
    <row r="277" spans="1:32">
      <c r="A277" s="613" t="s">
        <v>778</v>
      </c>
      <c r="C277" s="632"/>
      <c r="D277" s="327">
        <f>'Level 1'!L277</f>
        <v>469750</v>
      </c>
      <c r="F277" s="632"/>
      <c r="G277" s="327">
        <f>VLOOKUP(A277,'Level 1.1 UPDATE A'!$A$20:$L$330,12,FALSE)</f>
        <v>469750</v>
      </c>
      <c r="H277" s="328">
        <f>D277-G277</f>
        <v>0</v>
      </c>
      <c r="I277" s="329">
        <f t="shared" si="76"/>
        <v>0</v>
      </c>
      <c r="K277" s="632"/>
      <c r="L277" s="327">
        <f>VLOOKUP(A277,'Level 2 - Transmitted (2)'!$A$21:$L$335,12,FALSE)</f>
        <v>469750</v>
      </c>
      <c r="M277" s="388"/>
      <c r="N277" s="328">
        <f>D277-L277</f>
        <v>0</v>
      </c>
      <c r="O277" s="388"/>
      <c r="P277" s="329">
        <f t="shared" si="77"/>
        <v>0</v>
      </c>
      <c r="R277" s="632"/>
      <c r="S277" s="327">
        <f>VLOOKUP(A277,'Level 3'!$A$21:$L$320,12,FALSE)</f>
        <v>1717975.85</v>
      </c>
      <c r="T277" s="328">
        <f>L277-S277</f>
        <v>-1248225.8500000001</v>
      </c>
      <c r="U277" s="329">
        <f>IF(L277=0,0,T277/L277)</f>
        <v>-2.6572130920702501</v>
      </c>
      <c r="V277" s="84"/>
      <c r="AE277" s="358"/>
      <c r="AF277" s="358"/>
    </row>
    <row r="278" spans="1:32" outlineLevel="1">
      <c r="A278" s="614" t="s">
        <v>790</v>
      </c>
      <c r="C278" s="631">
        <f>'Level 1'!K282</f>
        <v>46116.964</v>
      </c>
      <c r="D278" s="615"/>
      <c r="F278" s="631">
        <f>VLOOKUP(A278,'Level 1.1 UPDATE A'!$A$21:$K$292,11,FALSE)</f>
        <v>46116.964</v>
      </c>
      <c r="G278" s="615"/>
      <c r="H278" s="617">
        <f t="shared" ref="H278:H286" si="90">C278-F278</f>
        <v>0</v>
      </c>
      <c r="I278" s="618">
        <f t="shared" si="76"/>
        <v>0</v>
      </c>
      <c r="K278" s="631">
        <f>VLOOKUP(A278,'Level 2 - Transmitted (2)'!$A$20:$K$335,11,FALSE)</f>
        <v>142434</v>
      </c>
      <c r="L278" s="615"/>
      <c r="M278" s="619"/>
      <c r="N278" s="617">
        <f t="shared" ref="N278:N286" si="91">C278-K278</f>
        <v>-96317.035999999993</v>
      </c>
      <c r="O278" s="619"/>
      <c r="P278" s="618">
        <f t="shared" si="77"/>
        <v>0</v>
      </c>
      <c r="R278" s="631">
        <f>VLOOKUP(A278,'Level 3'!$A$20:$K$319,11,FALSE)</f>
        <v>142434</v>
      </c>
      <c r="S278" s="615"/>
      <c r="T278" s="617">
        <f t="shared" ref="T278:T286" si="92">K278-R278</f>
        <v>0</v>
      </c>
      <c r="U278" s="618">
        <f t="shared" ref="U278:U286" si="93">IF(K278=0,0,T278/K278)</f>
        <v>0</v>
      </c>
      <c r="V278" s="84"/>
      <c r="AE278" s="358"/>
      <c r="AF278" s="358"/>
    </row>
    <row r="279" spans="1:32" outlineLevel="1">
      <c r="A279" s="311" t="s">
        <v>792</v>
      </c>
      <c r="C279" s="633">
        <f>'Level 1'!K283</f>
        <v>24403.691999999999</v>
      </c>
      <c r="D279" s="96"/>
      <c r="F279" s="633">
        <f>VLOOKUP(A279,'Level 1.1 UPDATE A'!$A$21:$K$292,11,FALSE)</f>
        <v>24403.691999999999</v>
      </c>
      <c r="G279" s="96"/>
      <c r="H279" s="296">
        <f t="shared" si="90"/>
        <v>0</v>
      </c>
      <c r="I279" s="297">
        <f t="shared" si="76"/>
        <v>0</v>
      </c>
      <c r="K279" s="633">
        <f>VLOOKUP(A279,'Level 2 - Transmitted (2)'!$A$20:$K$335,11,FALSE)</f>
        <v>15826</v>
      </c>
      <c r="L279" s="96"/>
      <c r="N279" s="296">
        <f t="shared" si="91"/>
        <v>8577.6919999999991</v>
      </c>
      <c r="P279" s="297">
        <f t="shared" si="77"/>
        <v>0</v>
      </c>
      <c r="R279" s="633">
        <f>VLOOKUP(A279,'Level 3'!$A$20:$K$319,11,FALSE)</f>
        <v>15826</v>
      </c>
      <c r="S279" s="96"/>
      <c r="T279" s="296">
        <f t="shared" si="92"/>
        <v>0</v>
      </c>
      <c r="U279" s="297">
        <f t="shared" si="93"/>
        <v>0</v>
      </c>
      <c r="V279" s="84"/>
      <c r="AE279" s="358"/>
      <c r="AF279" s="358"/>
    </row>
    <row r="280" spans="1:32" outlineLevel="1">
      <c r="A280" s="311" t="s">
        <v>795</v>
      </c>
      <c r="C280" s="633">
        <f>'Level 1'!K284</f>
        <v>29594.620000000003</v>
      </c>
      <c r="D280" s="96"/>
      <c r="F280" s="633">
        <f>VLOOKUP(A280,'Level 1.1 UPDATE A'!$A$21:$K$292,11,FALSE)</f>
        <v>29594.620000000003</v>
      </c>
      <c r="G280" s="96"/>
      <c r="H280" s="296">
        <f t="shared" si="90"/>
        <v>0</v>
      </c>
      <c r="I280" s="297">
        <f t="shared" si="76"/>
        <v>0</v>
      </c>
      <c r="K280" s="633">
        <f>VLOOKUP(A280,'Level 2 - Transmitted (2)'!$A$20:$K$335,11,FALSE)</f>
        <v>7500</v>
      </c>
      <c r="L280" s="96"/>
      <c r="N280" s="296">
        <f t="shared" si="91"/>
        <v>22094.620000000003</v>
      </c>
      <c r="P280" s="297">
        <f t="shared" si="77"/>
        <v>0</v>
      </c>
      <c r="R280" s="633">
        <f>VLOOKUP(A280,'Level 3'!$A$20:$K$319,11,FALSE)</f>
        <v>7500</v>
      </c>
      <c r="S280" s="96"/>
      <c r="T280" s="296">
        <f t="shared" si="92"/>
        <v>0</v>
      </c>
      <c r="U280" s="297">
        <f t="shared" si="93"/>
        <v>0</v>
      </c>
      <c r="V280" s="84"/>
      <c r="AE280" s="358"/>
      <c r="AF280" s="358"/>
    </row>
    <row r="281" spans="1:32" outlineLevel="1">
      <c r="A281" s="311" t="s">
        <v>797</v>
      </c>
      <c r="C281" s="633">
        <f>'Level 1'!K285</f>
        <v>104742.7984</v>
      </c>
      <c r="D281" s="96"/>
      <c r="F281" s="633">
        <f>VLOOKUP(A281,'Level 1.1 UPDATE A'!$A$21:$K$292,11,FALSE)</f>
        <v>104742.7984</v>
      </c>
      <c r="G281" s="96"/>
      <c r="H281" s="296">
        <f t="shared" si="90"/>
        <v>0</v>
      </c>
      <c r="I281" s="297">
        <f t="shared" ref="I281:I317" si="94">IF(D281=0,0,H281/D281)</f>
        <v>0</v>
      </c>
      <c r="K281" s="633">
        <f>VLOOKUP(A281,'Level 2 - Transmitted (2)'!$A$20:$K$335,11,FALSE)</f>
        <v>91395.150000000009</v>
      </c>
      <c r="L281" s="96"/>
      <c r="N281" s="296">
        <f t="shared" si="91"/>
        <v>13347.648399999991</v>
      </c>
      <c r="P281" s="297">
        <f t="shared" ref="P281:P317" si="95">IF(D281=0,0,N281/D281)</f>
        <v>0</v>
      </c>
      <c r="R281" s="633">
        <f>VLOOKUP(A281,'Level 3'!$A$20:$K$319,11,FALSE)</f>
        <v>91395.150000000009</v>
      </c>
      <c r="S281" s="96"/>
      <c r="T281" s="296">
        <f t="shared" si="92"/>
        <v>0</v>
      </c>
      <c r="U281" s="297">
        <f t="shared" si="93"/>
        <v>0</v>
      </c>
      <c r="V281" s="84"/>
      <c r="AE281" s="358"/>
      <c r="AF281" s="358"/>
    </row>
    <row r="282" spans="1:32" outlineLevel="1">
      <c r="A282" s="311" t="s">
        <v>799</v>
      </c>
      <c r="C282" s="633">
        <f>'Level 1'!K286</f>
        <v>63398.956000000006</v>
      </c>
      <c r="D282" s="96"/>
      <c r="F282" s="633">
        <f>VLOOKUP(A282,'Level 1.1 UPDATE A'!$A$21:$K$292,11,FALSE)</f>
        <v>63398.956000000006</v>
      </c>
      <c r="G282" s="96"/>
      <c r="H282" s="296">
        <f t="shared" si="90"/>
        <v>0</v>
      </c>
      <c r="I282" s="297">
        <f t="shared" si="94"/>
        <v>0</v>
      </c>
      <c r="K282" s="633">
        <f>VLOOKUP(A282,'Level 2 - Transmitted (2)'!$A$20:$K$335,11,FALSE)</f>
        <v>79130</v>
      </c>
      <c r="L282" s="96"/>
      <c r="N282" s="296">
        <f t="shared" si="91"/>
        <v>-15731.043999999994</v>
      </c>
      <c r="P282" s="297">
        <f t="shared" si="95"/>
        <v>0</v>
      </c>
      <c r="R282" s="633">
        <f>VLOOKUP(A282,'Level 3'!$A$20:$K$319,11,FALSE)</f>
        <v>79130</v>
      </c>
      <c r="S282" s="96"/>
      <c r="T282" s="296">
        <f t="shared" si="92"/>
        <v>0</v>
      </c>
      <c r="U282" s="297">
        <f t="shared" si="93"/>
        <v>0</v>
      </c>
      <c r="V282" s="84"/>
      <c r="AE282" s="358"/>
      <c r="AF282" s="358"/>
    </row>
    <row r="283" spans="1:32" outlineLevel="1">
      <c r="A283" s="311" t="s">
        <v>801</v>
      </c>
      <c r="C283" s="633">
        <f>'Level 1'!K287</f>
        <v>56090.5092</v>
      </c>
      <c r="D283" s="96"/>
      <c r="F283" s="633">
        <f>VLOOKUP(A283,'Level 1.1 UPDATE A'!$A$21:$K$292,11,FALSE)</f>
        <v>56090.5092</v>
      </c>
      <c r="G283" s="96"/>
      <c r="H283" s="296">
        <f t="shared" si="90"/>
        <v>0</v>
      </c>
      <c r="I283" s="297">
        <f t="shared" si="94"/>
        <v>0</v>
      </c>
      <c r="K283" s="633">
        <f>VLOOKUP(A283,'Level 2 - Transmitted (2)'!$A$20:$K$335,11,FALSE)</f>
        <v>79130</v>
      </c>
      <c r="L283" s="96"/>
      <c r="N283" s="296">
        <f t="shared" si="91"/>
        <v>-23039.4908</v>
      </c>
      <c r="P283" s="297">
        <f t="shared" si="95"/>
        <v>0</v>
      </c>
      <c r="R283" s="633">
        <f>VLOOKUP(A283,'Level 3'!$A$20:$K$319,11,FALSE)</f>
        <v>79130</v>
      </c>
      <c r="S283" s="96"/>
      <c r="T283" s="296">
        <f t="shared" si="92"/>
        <v>0</v>
      </c>
      <c r="U283" s="297">
        <f t="shared" si="93"/>
        <v>0</v>
      </c>
      <c r="V283" s="84"/>
      <c r="AE283" s="358"/>
      <c r="AF283" s="358"/>
    </row>
    <row r="284" spans="1:32" outlineLevel="1">
      <c r="A284" s="311" t="s">
        <v>803</v>
      </c>
      <c r="C284" s="633">
        <f>'Level 1'!K288</f>
        <v>12914.016</v>
      </c>
      <c r="D284" s="96"/>
      <c r="F284" s="633">
        <f>VLOOKUP(A284,'Level 1.1 UPDATE A'!$A$21:$K$292,11,FALSE)</f>
        <v>12914.016</v>
      </c>
      <c r="G284" s="96"/>
      <c r="H284" s="296">
        <f t="shared" si="90"/>
        <v>0</v>
      </c>
      <c r="I284" s="297">
        <f t="shared" si="94"/>
        <v>0</v>
      </c>
      <c r="K284" s="633">
        <f>VLOOKUP(A284,'Level 2 - Transmitted (2)'!$A$20:$K$335,11,FALSE)</f>
        <v>15826</v>
      </c>
      <c r="L284" s="96"/>
      <c r="N284" s="296">
        <f t="shared" si="91"/>
        <v>-2911.9840000000004</v>
      </c>
      <c r="P284" s="297">
        <f t="shared" si="95"/>
        <v>0</v>
      </c>
      <c r="R284" s="633">
        <f>VLOOKUP(A284,'Level 3'!$A$20:$K$319,11,FALSE)</f>
        <v>15826</v>
      </c>
      <c r="S284" s="96"/>
      <c r="T284" s="296">
        <f t="shared" si="92"/>
        <v>0</v>
      </c>
      <c r="U284" s="297">
        <f t="shared" si="93"/>
        <v>0</v>
      </c>
      <c r="V284" s="84"/>
      <c r="AE284" s="358"/>
      <c r="AF284" s="358"/>
    </row>
    <row r="285" spans="1:32" outlineLevel="1">
      <c r="A285" s="311" t="s">
        <v>805</v>
      </c>
      <c r="C285" s="633">
        <f>'Level 1'!K289</f>
        <v>11337.7464</v>
      </c>
      <c r="D285" s="96"/>
      <c r="F285" s="633">
        <f>VLOOKUP(A285,'Level 1.1 UPDATE A'!$A$21:$K$292,11,FALSE)</f>
        <v>11337.7464</v>
      </c>
      <c r="G285" s="96"/>
      <c r="H285" s="296">
        <f t="shared" si="90"/>
        <v>0</v>
      </c>
      <c r="I285" s="297">
        <f t="shared" si="94"/>
        <v>0</v>
      </c>
      <c r="K285" s="633">
        <f>VLOOKUP(A285,'Level 2 - Transmitted (2)'!$A$20:$K$335,11,FALSE)</f>
        <v>15826</v>
      </c>
      <c r="L285" s="96"/>
      <c r="N285" s="296">
        <f t="shared" si="91"/>
        <v>-4488.2536</v>
      </c>
      <c r="P285" s="297">
        <f t="shared" si="95"/>
        <v>0</v>
      </c>
      <c r="R285" s="633">
        <f>VLOOKUP(A285,'Level 3'!$A$20:$K$319,11,FALSE)</f>
        <v>15826</v>
      </c>
      <c r="S285" s="96"/>
      <c r="T285" s="296">
        <f t="shared" si="92"/>
        <v>0</v>
      </c>
      <c r="U285" s="297">
        <f t="shared" si="93"/>
        <v>0</v>
      </c>
      <c r="V285" s="84"/>
      <c r="AE285" s="358"/>
      <c r="AF285" s="358"/>
    </row>
    <row r="286" spans="1:32" outlineLevel="1">
      <c r="A286" s="311" t="s">
        <v>807</v>
      </c>
      <c r="C286" s="633">
        <f>'Level 1'!K290</f>
        <v>78759.671600000001</v>
      </c>
      <c r="D286" s="96"/>
      <c r="F286" s="633">
        <f>VLOOKUP(A286,'Level 1.1 UPDATE A'!$A$21:$K$292,11,FALSE)</f>
        <v>78759.671600000001</v>
      </c>
      <c r="G286" s="96"/>
      <c r="H286" s="296">
        <f t="shared" si="90"/>
        <v>0</v>
      </c>
      <c r="I286" s="297">
        <f t="shared" si="94"/>
        <v>0</v>
      </c>
      <c r="K286" s="633">
        <f>VLOOKUP(A286,'Level 2 - Transmitted (2)'!$A$20:$K$335,11,FALSE)</f>
        <v>39565</v>
      </c>
      <c r="L286" s="96"/>
      <c r="N286" s="296">
        <f t="shared" si="91"/>
        <v>39194.671600000001</v>
      </c>
      <c r="P286" s="297">
        <f t="shared" si="95"/>
        <v>0</v>
      </c>
      <c r="R286" s="633">
        <f>VLOOKUP(A286,'Level 3'!$A$20:$K$319,11,FALSE)</f>
        <v>39565</v>
      </c>
      <c r="S286" s="96"/>
      <c r="T286" s="296">
        <f t="shared" si="92"/>
        <v>0</v>
      </c>
      <c r="U286" s="297">
        <f t="shared" si="93"/>
        <v>0</v>
      </c>
      <c r="V286" s="84"/>
      <c r="AE286" s="358"/>
      <c r="AF286" s="358"/>
    </row>
    <row r="287" spans="1:32">
      <c r="A287" s="613" t="s">
        <v>788</v>
      </c>
      <c r="C287" s="632"/>
      <c r="D287" s="327">
        <f>'Level 1'!L281</f>
        <v>427358.97360000003</v>
      </c>
      <c r="F287" s="632"/>
      <c r="G287" s="327">
        <f>VLOOKUP(A287,'Level 1.1 UPDATE A'!$A$20:$L$330,12,FALSE)</f>
        <v>427358.97360000003</v>
      </c>
      <c r="H287" s="328">
        <f>D287-G287</f>
        <v>0</v>
      </c>
      <c r="I287" s="329">
        <f t="shared" si="94"/>
        <v>0</v>
      </c>
      <c r="K287" s="632"/>
      <c r="L287" s="327">
        <f>VLOOKUP(A287,'Level 2 - Transmitted (2)'!$A$21:$L$335,12,FALSE)</f>
        <v>486632.15</v>
      </c>
      <c r="M287" s="388"/>
      <c r="N287" s="328">
        <f>D287-L287</f>
        <v>-59273.176399999997</v>
      </c>
      <c r="O287" s="388"/>
      <c r="P287" s="329">
        <f t="shared" si="95"/>
        <v>-0.13869645909314304</v>
      </c>
      <c r="R287" s="632"/>
      <c r="S287" s="327">
        <f>VLOOKUP(A287,'Level 3'!$A$21:$L$320,12,FALSE)</f>
        <v>486632.15</v>
      </c>
      <c r="T287" s="328">
        <f>L287-S287</f>
        <v>0</v>
      </c>
      <c r="U287" s="329">
        <f>IF(L287=0,0,T287/L287)</f>
        <v>0</v>
      </c>
      <c r="V287" s="84"/>
      <c r="AE287" s="358"/>
      <c r="AF287" s="358"/>
    </row>
    <row r="288" spans="1:32" outlineLevel="1">
      <c r="A288" s="614" t="s">
        <v>818</v>
      </c>
      <c r="C288" s="631">
        <f>'Level 1'!K301</f>
        <v>0</v>
      </c>
      <c r="D288" s="615"/>
      <c r="F288" s="631">
        <f>'Level 1.1 UPDATE A'!K303</f>
        <v>0</v>
      </c>
      <c r="G288" s="615"/>
      <c r="H288" s="617">
        <f>C288-F288</f>
        <v>0</v>
      </c>
      <c r="I288" s="618">
        <f t="shared" si="94"/>
        <v>0</v>
      </c>
      <c r="K288" s="631">
        <f>VLOOKUP(A288,'Level 2 - Transmitted (2)'!$A$20:$K$335,11,FALSE)</f>
        <v>0</v>
      </c>
      <c r="L288" s="615"/>
      <c r="M288" s="619"/>
      <c r="N288" s="617">
        <f t="shared" ref="N288:N289" si="96">C288-K288</f>
        <v>0</v>
      </c>
      <c r="O288" s="619"/>
      <c r="P288" s="618">
        <f t="shared" si="95"/>
        <v>0</v>
      </c>
      <c r="R288" s="631"/>
      <c r="S288" s="615"/>
      <c r="T288" s="617">
        <f>K288-R288</f>
        <v>0</v>
      </c>
      <c r="U288" s="618">
        <f>IF(K288=0,0,T288/K288)</f>
        <v>0</v>
      </c>
      <c r="V288" s="84"/>
    </row>
    <row r="289" spans="1:22" outlineLevel="1">
      <c r="A289" s="311" t="s">
        <v>817</v>
      </c>
      <c r="C289" s="629">
        <f>'Level 1'!K302</f>
        <v>1321372.7348558828</v>
      </c>
      <c r="D289" s="96"/>
      <c r="F289" s="629">
        <f>'Level 1.1 UPDATE A'!K304</f>
        <v>1297092.255315664</v>
      </c>
      <c r="G289" s="96"/>
      <c r="H289" s="296">
        <f>C289-F289</f>
        <v>24280.479540218832</v>
      </c>
      <c r="I289" s="297">
        <f t="shared" si="94"/>
        <v>0</v>
      </c>
      <c r="K289" s="629">
        <f>'Level 2 - Transmitted (2)'!K308</f>
        <v>1254667.1409720625</v>
      </c>
      <c r="L289" s="96"/>
      <c r="N289" s="296">
        <f t="shared" si="96"/>
        <v>66705.593883820344</v>
      </c>
      <c r="P289" s="297">
        <f t="shared" si="95"/>
        <v>0</v>
      </c>
      <c r="R289" s="629">
        <f>VLOOKUP(A289,'Level 3'!$A$20:$K$319,11,FALSE)</f>
        <v>632953.90666965954</v>
      </c>
      <c r="S289" s="96"/>
      <c r="T289" s="296">
        <f>K289-R289</f>
        <v>621713.23430240294</v>
      </c>
      <c r="U289" s="297">
        <f>IF(K289=0,0,T289/K289)</f>
        <v>0.49552045638234066</v>
      </c>
      <c r="V289" s="84"/>
    </row>
    <row r="290" spans="1:22">
      <c r="A290" s="613" t="s">
        <v>1035</v>
      </c>
      <c r="C290" s="632"/>
      <c r="D290" s="327">
        <f>'Level 1'!L300</f>
        <v>1321372.7348558828</v>
      </c>
      <c r="F290" s="632"/>
      <c r="G290" s="327">
        <f>'Level 1.1 UPDATE A'!L302</f>
        <v>1297092.255315664</v>
      </c>
      <c r="H290" s="328">
        <f>D290-G290</f>
        <v>24280.479540218832</v>
      </c>
      <c r="I290" s="329">
        <f t="shared" si="94"/>
        <v>1.8375193387706015E-2</v>
      </c>
      <c r="K290" s="632"/>
      <c r="L290" s="327">
        <f>'Level 2 - Transmitted (2)'!L306</f>
        <v>1254667.1409720625</v>
      </c>
      <c r="M290" s="388"/>
      <c r="N290" s="328">
        <f>D290-L290</f>
        <v>66705.593883820344</v>
      </c>
      <c r="O290" s="388"/>
      <c r="P290" s="329">
        <f t="shared" si="95"/>
        <v>5.0482041988777433E-2</v>
      </c>
      <c r="R290" s="632"/>
      <c r="S290" s="327">
        <f>'Level 3'!L293</f>
        <v>632953.90666965954</v>
      </c>
      <c r="T290" s="328">
        <f>L290-S290</f>
        <v>621713.23430240294</v>
      </c>
      <c r="U290" s="329">
        <f>IF(L290=0,0,T290/L290)</f>
        <v>0.49552045638234066</v>
      </c>
      <c r="V290" s="84"/>
    </row>
    <row r="291" spans="1:22" outlineLevel="1">
      <c r="A291" s="614" t="s">
        <v>822</v>
      </c>
      <c r="C291" s="631">
        <f>'Level 1'!K304</f>
        <v>10000</v>
      </c>
      <c r="D291" s="615"/>
      <c r="F291" s="631">
        <f>'Level 1.1 UPDATE A'!K306</f>
        <v>10000</v>
      </c>
      <c r="G291" s="615"/>
      <c r="H291" s="617">
        <f t="shared" ref="H291:H304" si="97">C291-F291</f>
        <v>0</v>
      </c>
      <c r="I291" s="618">
        <f t="shared" si="94"/>
        <v>0</v>
      </c>
      <c r="K291" s="631">
        <f>VLOOKUP(A291,'Level 2 - Transmitted (2)'!$A$20:$K$335,11,FALSE)</f>
        <v>20000</v>
      </c>
      <c r="L291" s="615"/>
      <c r="M291" s="619"/>
      <c r="N291" s="617">
        <f t="shared" ref="N291:N304" si="98">C291-K291</f>
        <v>-10000</v>
      </c>
      <c r="O291" s="619"/>
      <c r="P291" s="618">
        <f t="shared" si="95"/>
        <v>0</v>
      </c>
      <c r="R291" s="631">
        <f>VLOOKUP(A291,'Level 3'!$A$20:$K$319,11,FALSE)</f>
        <v>20000</v>
      </c>
      <c r="S291" s="615"/>
      <c r="T291" s="617">
        <f t="shared" ref="T291:T304" si="99">K291-R291</f>
        <v>0</v>
      </c>
      <c r="U291" s="618">
        <f t="shared" ref="U291:U303" si="100">IF(K291=0,0,T291/K291)</f>
        <v>0</v>
      </c>
      <c r="V291" s="84"/>
    </row>
    <row r="292" spans="1:22" outlineLevel="1">
      <c r="A292" s="311" t="s">
        <v>825</v>
      </c>
      <c r="C292" s="633">
        <f>'Level 1'!K305</f>
        <v>0</v>
      </c>
      <c r="D292" s="96"/>
      <c r="F292" s="633">
        <f>'Level 1.1 UPDATE A'!K307</f>
        <v>0</v>
      </c>
      <c r="G292" s="96"/>
      <c r="H292" s="296">
        <f t="shared" si="97"/>
        <v>0</v>
      </c>
      <c r="I292" s="297">
        <f t="shared" si="94"/>
        <v>0</v>
      </c>
      <c r="K292" s="633">
        <f>VLOOKUP(A292,'Level 2 - Transmitted (2)'!$A$20:$K$335,11,FALSE)</f>
        <v>0</v>
      </c>
      <c r="L292" s="96"/>
      <c r="N292" s="296">
        <f t="shared" si="98"/>
        <v>0</v>
      </c>
      <c r="P292" s="297">
        <f t="shared" si="95"/>
        <v>0</v>
      </c>
      <c r="R292" s="633">
        <f>VLOOKUP(A292,'Level 3'!$A$20:$K$319,11,FALSE)</f>
        <v>0</v>
      </c>
      <c r="S292" s="96"/>
      <c r="T292" s="296">
        <f t="shared" si="99"/>
        <v>0</v>
      </c>
      <c r="U292" s="297">
        <f t="shared" si="100"/>
        <v>0</v>
      </c>
      <c r="V292" s="84"/>
    </row>
    <row r="293" spans="1:22" outlineLevel="1">
      <c r="A293" s="311" t="s">
        <v>827</v>
      </c>
      <c r="C293" s="633">
        <f>'Level 1'!K306</f>
        <v>21000</v>
      </c>
      <c r="D293" s="96"/>
      <c r="F293" s="633">
        <f>'Level 1.1 UPDATE A'!K308</f>
        <v>21000</v>
      </c>
      <c r="G293" s="96"/>
      <c r="H293" s="296">
        <f t="shared" si="97"/>
        <v>0</v>
      </c>
      <c r="I293" s="297">
        <f t="shared" si="94"/>
        <v>0</v>
      </c>
      <c r="K293" s="633">
        <f>VLOOKUP(A293,'Level 2 - Transmitted (2)'!$A$20:$K$335,11,FALSE)</f>
        <v>20000</v>
      </c>
      <c r="L293" s="96"/>
      <c r="N293" s="296">
        <f t="shared" si="98"/>
        <v>1000</v>
      </c>
      <c r="P293" s="297">
        <f t="shared" si="95"/>
        <v>0</v>
      </c>
      <c r="R293" s="633">
        <f>VLOOKUP(A293,'Level 3'!$A$20:$K$319,11,FALSE)</f>
        <v>20000</v>
      </c>
      <c r="S293" s="96"/>
      <c r="T293" s="296">
        <f t="shared" si="99"/>
        <v>0</v>
      </c>
      <c r="U293" s="297">
        <f t="shared" si="100"/>
        <v>0</v>
      </c>
      <c r="V293" s="84"/>
    </row>
    <row r="294" spans="1:22" outlineLevel="1">
      <c r="A294" s="311" t="s">
        <v>829</v>
      </c>
      <c r="C294" s="633">
        <f>'Level 1'!K307</f>
        <v>21900</v>
      </c>
      <c r="D294" s="96"/>
      <c r="F294" s="633">
        <f>'Level 1.1 UPDATE A'!K309</f>
        <v>21900</v>
      </c>
      <c r="G294" s="96"/>
      <c r="H294" s="296">
        <f t="shared" si="97"/>
        <v>0</v>
      </c>
      <c r="I294" s="297">
        <f t="shared" si="94"/>
        <v>0</v>
      </c>
      <c r="K294" s="633">
        <f>VLOOKUP(A294,'Level 2 - Transmitted (2)'!$A$20:$K$335,11,FALSE)</f>
        <v>20000</v>
      </c>
      <c r="L294" s="96"/>
      <c r="N294" s="296">
        <f t="shared" si="98"/>
        <v>1900</v>
      </c>
      <c r="P294" s="297">
        <f t="shared" si="95"/>
        <v>0</v>
      </c>
      <c r="R294" s="633">
        <f>VLOOKUP(A294,'Level 3'!$A$20:$K$319,11,FALSE)</f>
        <v>20000</v>
      </c>
      <c r="S294" s="96"/>
      <c r="T294" s="296">
        <f t="shared" si="99"/>
        <v>0</v>
      </c>
      <c r="U294" s="297">
        <f t="shared" si="100"/>
        <v>0</v>
      </c>
      <c r="V294" s="84"/>
    </row>
    <row r="295" spans="1:22" outlineLevel="1">
      <c r="A295" s="468" t="s">
        <v>831</v>
      </c>
      <c r="C295" s="633">
        <f>'Level 1'!K308</f>
        <v>129526.8</v>
      </c>
      <c r="D295" s="96"/>
      <c r="F295" s="633">
        <f>'Level 1.1 UPDATE A'!K310</f>
        <v>129526.8</v>
      </c>
      <c r="G295" s="96"/>
      <c r="H295" s="296">
        <f t="shared" si="97"/>
        <v>0</v>
      </c>
      <c r="I295" s="297">
        <f t="shared" si="94"/>
        <v>0</v>
      </c>
      <c r="K295" s="633">
        <f>VLOOKUP(A295,'Level 2 - Transmitted (2)'!$A$20:$K$335,11,FALSE)</f>
        <v>94648</v>
      </c>
      <c r="L295" s="96"/>
      <c r="N295" s="296">
        <f t="shared" si="98"/>
        <v>34878.800000000003</v>
      </c>
      <c r="P295" s="297">
        <f t="shared" si="95"/>
        <v>0</v>
      </c>
      <c r="R295" s="633">
        <f>VLOOKUP(A295,'Level 3'!$A$20:$K$319,11,FALSE)</f>
        <v>94648</v>
      </c>
      <c r="S295" s="96"/>
      <c r="T295" s="296">
        <f t="shared" si="99"/>
        <v>0</v>
      </c>
      <c r="U295" s="297">
        <f t="shared" si="100"/>
        <v>0</v>
      </c>
      <c r="V295" s="84"/>
    </row>
    <row r="296" spans="1:22" outlineLevel="1">
      <c r="A296" s="468" t="s">
        <v>833</v>
      </c>
      <c r="C296" s="633">
        <f>'Level 1'!K309</f>
        <v>0</v>
      </c>
      <c r="D296" s="96"/>
      <c r="F296" s="633">
        <f>'Level 1.1 UPDATE A'!K311</f>
        <v>0</v>
      </c>
      <c r="G296" s="96"/>
      <c r="H296" s="296">
        <f t="shared" si="97"/>
        <v>0</v>
      </c>
      <c r="I296" s="297">
        <f t="shared" si="94"/>
        <v>0</v>
      </c>
      <c r="K296" s="633">
        <f>VLOOKUP(A296,'Level 2 - Transmitted (2)'!$A$20:$K$335,11,FALSE)</f>
        <v>25000</v>
      </c>
      <c r="L296" s="96"/>
      <c r="N296" s="296">
        <f t="shared" si="98"/>
        <v>-25000</v>
      </c>
      <c r="P296" s="297">
        <f t="shared" si="95"/>
        <v>0</v>
      </c>
      <c r="R296" s="633">
        <f>VLOOKUP(A296,'Level 3'!$A$20:$K$319,11,FALSE)</f>
        <v>25000</v>
      </c>
      <c r="S296" s="96"/>
      <c r="T296" s="296">
        <f t="shared" si="99"/>
        <v>0</v>
      </c>
      <c r="U296" s="297">
        <f t="shared" si="100"/>
        <v>0</v>
      </c>
      <c r="V296" s="84"/>
    </row>
    <row r="297" spans="1:22" outlineLevel="1">
      <c r="A297" s="468" t="s">
        <v>835</v>
      </c>
      <c r="C297" s="633">
        <f>'Level 1'!K310</f>
        <v>15000</v>
      </c>
      <c r="D297" s="96"/>
      <c r="F297" s="633">
        <f>'Level 1.1 UPDATE A'!K312</f>
        <v>15000</v>
      </c>
      <c r="G297" s="96"/>
      <c r="H297" s="296">
        <f t="shared" si="97"/>
        <v>0</v>
      </c>
      <c r="I297" s="297">
        <f t="shared" si="94"/>
        <v>0</v>
      </c>
      <c r="K297" s="633">
        <f>VLOOKUP(A297,'Level 2 - Transmitted (2)'!$A$20:$K$335,11,FALSE)</f>
        <v>15000</v>
      </c>
      <c r="L297" s="96"/>
      <c r="N297" s="296">
        <f t="shared" si="98"/>
        <v>0</v>
      </c>
      <c r="P297" s="297">
        <f t="shared" si="95"/>
        <v>0</v>
      </c>
      <c r="R297" s="633">
        <f>VLOOKUP(A297,'Level 3'!$A$20:$K$319,11,FALSE)</f>
        <v>15000</v>
      </c>
      <c r="S297" s="96"/>
      <c r="T297" s="296">
        <f t="shared" si="99"/>
        <v>0</v>
      </c>
      <c r="U297" s="297">
        <f t="shared" si="100"/>
        <v>0</v>
      </c>
      <c r="V297" s="84"/>
    </row>
    <row r="298" spans="1:22" outlineLevel="1">
      <c r="A298" s="468" t="s">
        <v>837</v>
      </c>
      <c r="C298" s="633">
        <f>'Level 1'!K311</f>
        <v>5000</v>
      </c>
      <c r="D298" s="96"/>
      <c r="F298" s="633">
        <f>'Level 1.1 UPDATE A'!K313</f>
        <v>5000</v>
      </c>
      <c r="G298" s="96"/>
      <c r="H298" s="296">
        <f t="shared" si="97"/>
        <v>0</v>
      </c>
      <c r="I298" s="297">
        <f t="shared" si="94"/>
        <v>0</v>
      </c>
      <c r="K298" s="633">
        <f>VLOOKUP(A298,'Level 2 - Transmitted (2)'!$A$20:$K$335,11,FALSE)</f>
        <v>5000</v>
      </c>
      <c r="L298" s="96"/>
      <c r="N298" s="296">
        <f t="shared" si="98"/>
        <v>0</v>
      </c>
      <c r="P298" s="297">
        <f t="shared" si="95"/>
        <v>0</v>
      </c>
      <c r="R298" s="633">
        <f>VLOOKUP(A298,'Level 3'!$A$20:$K$319,11,FALSE)</f>
        <v>5000</v>
      </c>
      <c r="S298" s="96"/>
      <c r="T298" s="296">
        <f t="shared" si="99"/>
        <v>0</v>
      </c>
      <c r="U298" s="297">
        <f t="shared" si="100"/>
        <v>0</v>
      </c>
      <c r="V298" s="84"/>
    </row>
    <row r="299" spans="1:22" outlineLevel="1">
      <c r="A299" s="468" t="s">
        <v>839</v>
      </c>
      <c r="C299" s="633">
        <f>'Level 1'!K312</f>
        <v>0</v>
      </c>
      <c r="D299" s="96"/>
      <c r="F299" s="633">
        <f>'Level 1.1 UPDATE A'!K314</f>
        <v>0</v>
      </c>
      <c r="G299" s="96"/>
      <c r="H299" s="296">
        <f t="shared" si="97"/>
        <v>0</v>
      </c>
      <c r="I299" s="297">
        <f t="shared" si="94"/>
        <v>0</v>
      </c>
      <c r="K299" s="633">
        <f>VLOOKUP(A299,'Level 2 - Transmitted (2)'!$A$20:$K$335,11,FALSE)</f>
        <v>0</v>
      </c>
      <c r="L299" s="96"/>
      <c r="N299" s="296">
        <f t="shared" si="98"/>
        <v>0</v>
      </c>
      <c r="P299" s="297">
        <f t="shared" si="95"/>
        <v>0</v>
      </c>
      <c r="R299" s="633">
        <f>VLOOKUP(A299,'Level 3'!$A$20:$K$319,11,FALSE)</f>
        <v>0</v>
      </c>
      <c r="S299" s="96"/>
      <c r="T299" s="296">
        <f t="shared" si="99"/>
        <v>0</v>
      </c>
      <c r="U299" s="297">
        <f t="shared" si="100"/>
        <v>0</v>
      </c>
      <c r="V299" s="84"/>
    </row>
    <row r="300" spans="1:22" outlineLevel="1">
      <c r="A300" s="311" t="s">
        <v>841</v>
      </c>
      <c r="C300" s="633">
        <f>'Level 1'!K313</f>
        <v>1250000</v>
      </c>
      <c r="D300" s="96"/>
      <c r="F300" s="633">
        <f>'Level 1.1 UPDATE A'!K315</f>
        <v>1000000</v>
      </c>
      <c r="G300" s="96"/>
      <c r="H300" s="296">
        <f t="shared" si="97"/>
        <v>250000</v>
      </c>
      <c r="I300" s="297">
        <f t="shared" si="94"/>
        <v>0</v>
      </c>
      <c r="K300" s="633">
        <f>VLOOKUP(A300,'Level 2 - Transmitted (2)'!$A$20:$K$335,11,FALSE)</f>
        <v>1000000</v>
      </c>
      <c r="L300" s="96"/>
      <c r="N300" s="296">
        <f t="shared" si="98"/>
        <v>250000</v>
      </c>
      <c r="P300" s="297">
        <f t="shared" si="95"/>
        <v>0</v>
      </c>
      <c r="R300" s="633">
        <f>VLOOKUP(A300,'Level 3'!$A$20:$K$319,11,FALSE)</f>
        <v>1000000</v>
      </c>
      <c r="S300" s="96"/>
      <c r="T300" s="296">
        <f t="shared" si="99"/>
        <v>0</v>
      </c>
      <c r="U300" s="297">
        <f t="shared" si="100"/>
        <v>0</v>
      </c>
      <c r="V300" s="84"/>
    </row>
    <row r="301" spans="1:22" outlineLevel="1">
      <c r="A301" s="311" t="s">
        <v>843</v>
      </c>
      <c r="C301" s="633">
        <f>'Level 1'!K314</f>
        <v>200000</v>
      </c>
      <c r="D301" s="96"/>
      <c r="F301" s="633">
        <f>'Level 1.1 UPDATE A'!K316</f>
        <v>150000</v>
      </c>
      <c r="G301" s="96"/>
      <c r="H301" s="296">
        <f t="shared" si="97"/>
        <v>50000</v>
      </c>
      <c r="I301" s="297">
        <f t="shared" si="94"/>
        <v>0</v>
      </c>
      <c r="K301" s="633">
        <f>VLOOKUP(A301,'Level 2 - Transmitted (2)'!$A$20:$K$335,11,FALSE)</f>
        <v>200000</v>
      </c>
      <c r="L301" s="96"/>
      <c r="N301" s="296">
        <f t="shared" si="98"/>
        <v>0</v>
      </c>
      <c r="P301" s="297">
        <f t="shared" si="95"/>
        <v>0</v>
      </c>
      <c r="R301" s="633">
        <f>VLOOKUP(A301,'Level 3'!$A$20:$K$319,11,FALSE)</f>
        <v>200000</v>
      </c>
      <c r="S301" s="96"/>
      <c r="T301" s="296">
        <f t="shared" si="99"/>
        <v>0</v>
      </c>
      <c r="U301" s="297">
        <f t="shared" si="100"/>
        <v>0</v>
      </c>
      <c r="V301" s="84"/>
    </row>
    <row r="302" spans="1:22" outlineLevel="1">
      <c r="A302" s="468" t="s">
        <v>846</v>
      </c>
      <c r="C302" s="633">
        <f>'Level 1'!K315</f>
        <v>19500</v>
      </c>
      <c r="D302" s="96"/>
      <c r="F302" s="633">
        <f>'Level 1.1 UPDATE A'!K317</f>
        <v>19500</v>
      </c>
      <c r="G302" s="96"/>
      <c r="H302" s="296">
        <f t="shared" si="97"/>
        <v>0</v>
      </c>
      <c r="I302" s="297">
        <f t="shared" si="94"/>
        <v>0</v>
      </c>
      <c r="K302" s="633">
        <f>VLOOKUP(A302,'Level 2 - Transmitted (2)'!$A$20:$K$335,11,FALSE)</f>
        <v>25000</v>
      </c>
      <c r="L302" s="96"/>
      <c r="N302" s="296">
        <f t="shared" si="98"/>
        <v>-5500</v>
      </c>
      <c r="P302" s="297">
        <f t="shared" si="95"/>
        <v>0</v>
      </c>
      <c r="R302" s="633">
        <f>VLOOKUP(A302,'Level 3'!$A$20:$K$319,11,FALSE)</f>
        <v>25000</v>
      </c>
      <c r="S302" s="96"/>
      <c r="T302" s="296">
        <f t="shared" si="99"/>
        <v>0</v>
      </c>
      <c r="U302" s="297">
        <f t="shared" si="100"/>
        <v>0</v>
      </c>
      <c r="V302" s="84"/>
    </row>
    <row r="303" spans="1:22" outlineLevel="1">
      <c r="A303" s="468" t="s">
        <v>847</v>
      </c>
      <c r="C303" s="633">
        <f>'Level 1'!K316</f>
        <v>2000</v>
      </c>
      <c r="D303" s="96"/>
      <c r="F303" s="633">
        <f>'Level 1.1 UPDATE A'!K318</f>
        <v>2000</v>
      </c>
      <c r="G303" s="96"/>
      <c r="H303" s="296">
        <f t="shared" si="97"/>
        <v>0</v>
      </c>
      <c r="I303" s="297">
        <f t="shared" si="94"/>
        <v>0</v>
      </c>
      <c r="K303" s="633">
        <f>VLOOKUP(A303,'Level 2 - Transmitted (2)'!$A$20:$K$335,11,FALSE)</f>
        <v>2500</v>
      </c>
      <c r="L303" s="96"/>
      <c r="N303" s="296">
        <f t="shared" si="98"/>
        <v>-500</v>
      </c>
      <c r="P303" s="297">
        <f t="shared" si="95"/>
        <v>0</v>
      </c>
      <c r="R303" s="633">
        <f>VLOOKUP(A303,'Level 3'!$A$20:$K$319,11,FALSE)</f>
        <v>2500</v>
      </c>
      <c r="S303" s="96"/>
      <c r="T303" s="296">
        <f t="shared" si="99"/>
        <v>0</v>
      </c>
      <c r="U303" s="297">
        <f t="shared" si="100"/>
        <v>0</v>
      </c>
      <c r="V303" s="84"/>
    </row>
    <row r="304" spans="1:22" outlineLevel="1">
      <c r="A304" s="468" t="s">
        <v>849</v>
      </c>
      <c r="C304" s="633">
        <f>'Level 1'!K317</f>
        <v>1200</v>
      </c>
      <c r="D304" s="96"/>
      <c r="F304" s="633">
        <f>'Level 1.1 UPDATE A'!K319</f>
        <v>1200</v>
      </c>
      <c r="G304" s="96"/>
      <c r="H304" s="296">
        <f t="shared" si="97"/>
        <v>0</v>
      </c>
      <c r="I304" s="297">
        <f t="shared" si="94"/>
        <v>0</v>
      </c>
      <c r="K304" s="633">
        <f>VLOOKUP(A304,'Level 2 - Transmitted (2)'!$A$20:$K$335,11,FALSE)</f>
        <v>3000</v>
      </c>
      <c r="L304" s="96"/>
      <c r="N304" s="296">
        <f t="shared" si="98"/>
        <v>-1800</v>
      </c>
      <c r="P304" s="297">
        <f t="shared" si="95"/>
        <v>0</v>
      </c>
      <c r="R304" s="633">
        <f>VLOOKUP(A304,'Level 3'!$A$20:$K$319,11,FALSE)</f>
        <v>3000</v>
      </c>
      <c r="S304" s="96"/>
      <c r="T304" s="296">
        <f t="shared" si="99"/>
        <v>0</v>
      </c>
      <c r="U304" s="297">
        <f t="shared" ref="U304:U312" si="101">IF(K304=0,0,T304/K304)</f>
        <v>0</v>
      </c>
      <c r="V304" s="84"/>
    </row>
    <row r="305" spans="1:22">
      <c r="A305" s="613" t="s">
        <v>820</v>
      </c>
      <c r="C305" s="632"/>
      <c r="D305" s="327">
        <f>'Level 1'!L303</f>
        <v>1675126.8</v>
      </c>
      <c r="F305" s="632"/>
      <c r="G305" s="327">
        <f>VLOOKUP(A305,'Level 1.1 UPDATE A'!$A$20:$L$330,12,FALSE)</f>
        <v>1375126.8</v>
      </c>
      <c r="H305" s="328">
        <f>D305-G305</f>
        <v>300000</v>
      </c>
      <c r="I305" s="329">
        <f t="shared" si="94"/>
        <v>0.17909092016198416</v>
      </c>
      <c r="K305" s="632"/>
      <c r="L305" s="327">
        <f>VLOOKUP(A305,'Level 2 - Transmitted (2)'!$A$21:$L$335,12,FALSE)</f>
        <v>1430148</v>
      </c>
      <c r="M305" s="388"/>
      <c r="N305" s="328">
        <f>D305-L305</f>
        <v>244978.80000000005</v>
      </c>
      <c r="O305" s="388"/>
      <c r="P305" s="329">
        <f t="shared" si="95"/>
        <v>0.14624492904059563</v>
      </c>
      <c r="R305" s="632"/>
      <c r="S305" s="327">
        <f>VLOOKUP(A305,'Level 3'!$A$21:$L$320,12,FALSE)</f>
        <v>1430148</v>
      </c>
      <c r="T305" s="328">
        <f t="shared" ref="T305" si="102">L305-S305</f>
        <v>0</v>
      </c>
      <c r="U305" s="329">
        <f>IF(L305=0,0,T305/L305)</f>
        <v>0</v>
      </c>
      <c r="V305" s="84"/>
    </row>
    <row r="306" spans="1:22" outlineLevel="1">
      <c r="A306" s="614" t="s">
        <v>851</v>
      </c>
      <c r="C306" s="631">
        <f>'Level 1'!K319</f>
        <v>4028141.9913367699</v>
      </c>
      <c r="D306" s="615"/>
      <c r="F306" s="631">
        <f>'Level 1.1 UPDATE A'!K321</f>
        <v>3915000</v>
      </c>
      <c r="G306" s="615"/>
      <c r="H306" s="617">
        <f>C306-F306</f>
        <v>113141.99133676989</v>
      </c>
      <c r="I306" s="618">
        <f t="shared" si="94"/>
        <v>0</v>
      </c>
      <c r="K306" s="631">
        <f>'Level 2 - Transmitted (2)'!K325</f>
        <v>3849810.3029161878</v>
      </c>
      <c r="L306" s="615"/>
      <c r="M306" s="619"/>
      <c r="N306" s="617">
        <f t="shared" ref="N306" si="103">C306-K306</f>
        <v>178331.6884205821</v>
      </c>
      <c r="O306" s="619"/>
      <c r="P306" s="618">
        <f t="shared" si="95"/>
        <v>0</v>
      </c>
      <c r="R306" s="631">
        <f>VLOOKUP(A306,'Level 3'!$A$20:$K$319,11,FALSE)</f>
        <v>3389277.9134544739</v>
      </c>
      <c r="S306" s="615"/>
      <c r="T306" s="617">
        <f>K306-R306</f>
        <v>460532.38946171384</v>
      </c>
      <c r="U306" s="618">
        <f>IF(K306=0,0,T306/K306)</f>
        <v>0.11962469660202887</v>
      </c>
      <c r="V306" s="84"/>
    </row>
    <row r="307" spans="1:22">
      <c r="A307" s="613" t="s">
        <v>851</v>
      </c>
      <c r="C307" s="632"/>
      <c r="D307" s="327">
        <f>'Level 1'!L318</f>
        <v>4028141.9913367699</v>
      </c>
      <c r="F307" s="632"/>
      <c r="G307" s="327">
        <f>VLOOKUP(A307,'Level 1.1 UPDATE A'!$A$20:$L$330,12,FALSE)</f>
        <v>3915000</v>
      </c>
      <c r="H307" s="328">
        <f>D307-G307</f>
        <v>113141.99133676989</v>
      </c>
      <c r="I307" s="329">
        <f t="shared" si="94"/>
        <v>2.8087885576055092E-2</v>
      </c>
      <c r="K307" s="632"/>
      <c r="L307" s="327">
        <f>VLOOKUP(A307,'Level 2 - Transmitted (2)'!$A$21:$L$335,12,FALSE)</f>
        <v>3849810.3029161878</v>
      </c>
      <c r="M307" s="388"/>
      <c r="N307" s="328">
        <f>D307-L307</f>
        <v>178331.6884205821</v>
      </c>
      <c r="O307" s="388"/>
      <c r="P307" s="329">
        <f t="shared" si="95"/>
        <v>4.4271450411657746E-2</v>
      </c>
      <c r="R307" s="632"/>
      <c r="S307" s="327">
        <f>'Level 3'!L310</f>
        <v>3389277.9134544739</v>
      </c>
      <c r="T307" s="328">
        <f>L307-S307</f>
        <v>460532.38946171384</v>
      </c>
      <c r="U307" s="329">
        <f>IF(L307=0,0,T307/L307)</f>
        <v>0.11962469660202887</v>
      </c>
      <c r="V307" s="84"/>
    </row>
    <row r="308" spans="1:22" outlineLevel="1">
      <c r="A308" s="614" t="s">
        <v>855</v>
      </c>
      <c r="C308" s="631">
        <f>'Level 1'!K321</f>
        <v>858892.27765632374</v>
      </c>
      <c r="D308" s="615"/>
      <c r="F308" s="631">
        <f>'Level 1.1 UPDATE A'!K323</f>
        <v>800000</v>
      </c>
      <c r="G308" s="615"/>
      <c r="H308" s="617">
        <f>C308-F308</f>
        <v>58892.277656323742</v>
      </c>
      <c r="I308" s="618">
        <f t="shared" si="94"/>
        <v>0</v>
      </c>
      <c r="K308" s="631">
        <f>'Level 2 - Transmitted (2)'!K327</f>
        <v>705798.55553463439</v>
      </c>
      <c r="L308" s="615"/>
      <c r="M308" s="619"/>
      <c r="N308" s="617">
        <f t="shared" ref="N308" si="104">C308-K308</f>
        <v>153093.72212168935</v>
      </c>
      <c r="O308" s="619"/>
      <c r="P308" s="618">
        <f t="shared" si="95"/>
        <v>0</v>
      </c>
      <c r="R308" s="631">
        <f>VLOOKUP(A308,'Level 3'!$A$20:$K$319,11,FALSE)</f>
        <v>358550.35059543158</v>
      </c>
      <c r="S308" s="615"/>
      <c r="T308" s="617">
        <f>K308-R308</f>
        <v>347248.20493920281</v>
      </c>
      <c r="U308" s="618">
        <f t="shared" si="101"/>
        <v>0.49199336300166591</v>
      </c>
      <c r="V308" s="84"/>
    </row>
    <row r="309" spans="1:22">
      <c r="A309" s="613" t="s">
        <v>855</v>
      </c>
      <c r="C309" s="632"/>
      <c r="D309" s="327">
        <f>'Level 1'!L320</f>
        <v>858892.27765632374</v>
      </c>
      <c r="F309" s="632"/>
      <c r="G309" s="327">
        <f>VLOOKUP(A309,'Level 1.1 UPDATE A'!$A$20:$L$330,12,FALSE)</f>
        <v>800000</v>
      </c>
      <c r="H309" s="328">
        <f>D309-G309</f>
        <v>58892.277656323742</v>
      </c>
      <c r="I309" s="329">
        <f t="shared" si="94"/>
        <v>6.8567711211729901E-2</v>
      </c>
      <c r="K309" s="632"/>
      <c r="L309" s="327">
        <f>VLOOKUP(A309,'Level 2 - Transmitted (2)'!$A$21:$L$335,12,FALSE)</f>
        <v>705798.55553463439</v>
      </c>
      <c r="M309" s="388"/>
      <c r="N309" s="328">
        <f>D309-L309</f>
        <v>153093.72212168935</v>
      </c>
      <c r="O309" s="388"/>
      <c r="P309" s="329">
        <f t="shared" si="95"/>
        <v>0.17824554499365067</v>
      </c>
      <c r="R309" s="632"/>
      <c r="S309" s="327">
        <f>'Level 3'!L312</f>
        <v>358550.35059543158</v>
      </c>
      <c r="T309" s="328">
        <f>L309-S309</f>
        <v>347248.20493920281</v>
      </c>
      <c r="U309" s="329">
        <f>IF(L309=0,0,T309/L309)</f>
        <v>0.49199336300166591</v>
      </c>
      <c r="V309" s="84"/>
    </row>
    <row r="310" spans="1:22" outlineLevel="1">
      <c r="A310" s="614" t="s">
        <v>860</v>
      </c>
      <c r="C310" s="631">
        <f>'Level 1'!K323</f>
        <v>372564.5937219956</v>
      </c>
      <c r="D310" s="615"/>
      <c r="F310" s="631">
        <f>'Level 1.1 UPDATE A'!K325</f>
        <v>365000</v>
      </c>
      <c r="G310" s="615"/>
      <c r="H310" s="617">
        <f>C310-F310</f>
        <v>7564.5937219955958</v>
      </c>
      <c r="I310" s="618">
        <f t="shared" si="94"/>
        <v>0</v>
      </c>
      <c r="K310" s="631">
        <f>VLOOKUP(A310,'Level 2 - Transmitted (2)'!$A$20:$K$335,11,FALSE)</f>
        <v>350000</v>
      </c>
      <c r="L310" s="615"/>
      <c r="M310" s="619"/>
      <c r="N310" s="617">
        <f t="shared" ref="N310:N312" si="105">C310-K310</f>
        <v>22564.593721995596</v>
      </c>
      <c r="O310" s="619"/>
      <c r="P310" s="618">
        <f t="shared" si="95"/>
        <v>0</v>
      </c>
      <c r="R310" s="631">
        <f>VLOOKUP(A310,'Level 3'!$A$20:$K$319,11,FALSE)</f>
        <v>648527.58279310993</v>
      </c>
      <c r="S310" s="615"/>
      <c r="T310" s="617">
        <f t="shared" ref="T310:T312" si="106">K310-R310</f>
        <v>-298527.58279310993</v>
      </c>
      <c r="U310" s="618">
        <f t="shared" si="101"/>
        <v>-0.85293595083745699</v>
      </c>
      <c r="V310" s="84"/>
    </row>
    <row r="311" spans="1:22" outlineLevel="1">
      <c r="A311" s="468" t="s">
        <v>863</v>
      </c>
      <c r="C311" s="633">
        <f>'Level 1'!K324</f>
        <v>18628.229686099781</v>
      </c>
      <c r="D311" s="96"/>
      <c r="F311" s="633">
        <f>'Level 1.1 UPDATE A'!K326</f>
        <v>17000</v>
      </c>
      <c r="G311" s="96"/>
      <c r="H311" s="296">
        <f>C311-F311</f>
        <v>1628.2296860997812</v>
      </c>
      <c r="I311" s="297">
        <f t="shared" si="94"/>
        <v>0</v>
      </c>
      <c r="K311" s="633">
        <f>VLOOKUP(A311,'Level 2 - Transmitted (2)'!$A$20:$K$335,11,FALSE)</f>
        <v>15000</v>
      </c>
      <c r="L311" s="96"/>
      <c r="N311" s="296">
        <f t="shared" si="105"/>
        <v>3628.2296860997812</v>
      </c>
      <c r="P311" s="297">
        <f t="shared" si="95"/>
        <v>0</v>
      </c>
      <c r="R311" s="633">
        <f>VLOOKUP(A311,'Level 3'!$A$20:$K$319,11,FALSE)</f>
        <v>0</v>
      </c>
      <c r="S311" s="96"/>
      <c r="T311" s="296">
        <f t="shared" si="106"/>
        <v>15000</v>
      </c>
      <c r="U311" s="297">
        <f t="shared" si="101"/>
        <v>1</v>
      </c>
      <c r="V311" s="84"/>
    </row>
    <row r="312" spans="1:22" outlineLevel="1">
      <c r="A312" s="468" t="s">
        <v>865</v>
      </c>
      <c r="C312" s="633">
        <f>'Level 1'!K325</f>
        <v>353936.36403589579</v>
      </c>
      <c r="D312" s="96"/>
      <c r="F312" s="633">
        <f>'Level 1.1 UPDATE A'!K327</f>
        <v>325000</v>
      </c>
      <c r="G312" s="96"/>
      <c r="H312" s="296">
        <f>C312-F312</f>
        <v>28936.364035895793</v>
      </c>
      <c r="I312" s="297">
        <f t="shared" si="94"/>
        <v>0</v>
      </c>
      <c r="K312" s="633">
        <f>VLOOKUP(A312,'Level 2 - Transmitted (2)'!$A$20:$K$335,11,FALSE)</f>
        <v>315000</v>
      </c>
      <c r="L312" s="96"/>
      <c r="N312" s="296">
        <f t="shared" si="105"/>
        <v>38936.364035895793</v>
      </c>
      <c r="P312" s="297">
        <f t="shared" si="95"/>
        <v>0</v>
      </c>
      <c r="R312" s="633">
        <f>VLOOKUP(A312,'Level 3'!$A$20:$K$319,11,FALSE)</f>
        <v>0</v>
      </c>
      <c r="S312" s="96"/>
      <c r="T312" s="296">
        <f t="shared" si="106"/>
        <v>315000</v>
      </c>
      <c r="U312" s="297">
        <f t="shared" si="101"/>
        <v>1</v>
      </c>
      <c r="V312" s="84"/>
    </row>
    <row r="313" spans="1:22">
      <c r="A313" s="613" t="s">
        <v>859</v>
      </c>
      <c r="C313" s="632"/>
      <c r="D313" s="327">
        <f>'Level 1'!L322</f>
        <v>745129.18744399119</v>
      </c>
      <c r="F313" s="632"/>
      <c r="G313" s="327">
        <f>VLOOKUP(A313,'Level 1.1 UPDATE A'!$A$20:$L$330,12,FALSE)</f>
        <v>707000</v>
      </c>
      <c r="H313" s="328">
        <f>D313-G313</f>
        <v>38129.187443991192</v>
      </c>
      <c r="I313" s="329">
        <f t="shared" si="94"/>
        <v>5.1171243975538447E-2</v>
      </c>
      <c r="K313" s="632"/>
      <c r="L313" s="327">
        <f>VLOOKUP(A313,'Level 2 - Transmitted (2)'!$A$21:$L$335,12,FALSE)</f>
        <v>680000</v>
      </c>
      <c r="M313" s="388"/>
      <c r="N313" s="328">
        <f>D313-L313</f>
        <v>65129.187443991192</v>
      </c>
      <c r="O313" s="388"/>
      <c r="P313" s="329">
        <f t="shared" si="95"/>
        <v>8.7406571291889876E-2</v>
      </c>
      <c r="R313" s="632"/>
      <c r="S313" s="327">
        <f>VLOOKUP(A313,'Level 3'!$A$21:$L$320,12,FALSE)</f>
        <v>648527.58279310993</v>
      </c>
      <c r="T313" s="328">
        <f>L313-S313</f>
        <v>31472.417206890066</v>
      </c>
      <c r="U313" s="329">
        <f>IF(L313=0,0,T313/L313)</f>
        <v>4.6282966480720687E-2</v>
      </c>
      <c r="V313" s="84"/>
    </row>
    <row r="314" spans="1:22" outlineLevel="1">
      <c r="A314" s="614" t="s">
        <v>869</v>
      </c>
      <c r="C314" s="631">
        <f>'Level 1'!K327</f>
        <v>1413383.1548550064</v>
      </c>
      <c r="D314" s="615"/>
      <c r="F314" s="631">
        <f>'Level 1.1 UPDATE A'!K329</f>
        <v>1380676.6364219773</v>
      </c>
      <c r="G314" s="615"/>
      <c r="H314" s="617">
        <f>C314-F314</f>
        <v>32706.518433029065</v>
      </c>
      <c r="I314" s="618">
        <f t="shared" si="94"/>
        <v>0</v>
      </c>
      <c r="K314" s="631">
        <f>'Level 2 - Transmitted (2)'!K333</f>
        <v>1336079.4149021965</v>
      </c>
      <c r="L314" s="615"/>
      <c r="M314" s="619"/>
      <c r="N314" s="617">
        <f>C314-K314</f>
        <v>77303.739952809876</v>
      </c>
      <c r="O314" s="619"/>
      <c r="P314" s="618">
        <f t="shared" si="95"/>
        <v>0</v>
      </c>
      <c r="R314" s="631">
        <f>VLOOKUP(A314,'Level 3'!$A$20:$K$319,11,FALSE)</f>
        <v>1298708.4501404832</v>
      </c>
      <c r="S314" s="615"/>
      <c r="T314" s="617">
        <f>K314-R314</f>
        <v>37370.964761713287</v>
      </c>
      <c r="U314" s="618">
        <f>IF(K314=0,0,T314/K314)</f>
        <v>2.7970616375710654E-2</v>
      </c>
      <c r="V314" s="84"/>
    </row>
    <row r="315" spans="1:22" outlineLevel="1">
      <c r="A315" s="311" t="s">
        <v>867</v>
      </c>
      <c r="C315" s="629">
        <f>'Level 1'!K328</f>
        <v>4240149.4645650191</v>
      </c>
      <c r="D315" s="96"/>
      <c r="F315" s="629">
        <f>'Level 1.1 UPDATE A'!K330</f>
        <v>4142029.9092659317</v>
      </c>
      <c r="G315" s="96"/>
      <c r="H315" s="296">
        <f>C315-F315</f>
        <v>98119.555299087428</v>
      </c>
      <c r="I315" s="297">
        <f t="shared" si="94"/>
        <v>0</v>
      </c>
      <c r="K315" s="629">
        <f>'Level 2 - Transmitted (2)'!K334</f>
        <v>4008238.2447065888</v>
      </c>
      <c r="L315" s="96"/>
      <c r="N315" s="296">
        <f t="shared" ref="N315" si="107">C315-K315</f>
        <v>231911.21985843033</v>
      </c>
      <c r="P315" s="297">
        <f t="shared" si="95"/>
        <v>0</v>
      </c>
      <c r="R315" s="629">
        <f>VLOOKUP(A315,'Level 3'!$A$20:$K$319,11,FALSE)</f>
        <v>3896125.3504214492</v>
      </c>
      <c r="S315" s="96"/>
      <c r="T315" s="296">
        <f>K315-R315</f>
        <v>112112.89428513963</v>
      </c>
      <c r="U315" s="297">
        <f>IF(K315=0,0,T315/K315)</f>
        <v>2.7970616375710602E-2</v>
      </c>
      <c r="V315" s="84"/>
    </row>
    <row r="316" spans="1:22">
      <c r="A316" s="613" t="s">
        <v>867</v>
      </c>
      <c r="C316" s="632"/>
      <c r="D316" s="327">
        <f>'Level 1'!L326</f>
        <v>5653532.6194200255</v>
      </c>
      <c r="F316" s="632"/>
      <c r="G316" s="327">
        <f>VLOOKUP(A316,'Level 1.1 UPDATE A'!$A$20:$L$330,12,FALSE)</f>
        <v>5522706.5456879092</v>
      </c>
      <c r="H316" s="328">
        <f>D316-G316</f>
        <v>130826.07373211626</v>
      </c>
      <c r="I316" s="329">
        <f t="shared" si="94"/>
        <v>2.3140588821001128E-2</v>
      </c>
      <c r="K316" s="632"/>
      <c r="L316" s="327">
        <f>VLOOKUP(A316,'Level 2 - Transmitted (2)'!$A$21:$L$335,12,FALSE)</f>
        <v>5344317.6596087851</v>
      </c>
      <c r="M316" s="388"/>
      <c r="N316" s="328">
        <f>D316-L316</f>
        <v>309214.95981124043</v>
      </c>
      <c r="O316" s="388"/>
      <c r="P316" s="329">
        <f t="shared" si="95"/>
        <v>5.4694114393022047E-2</v>
      </c>
      <c r="R316" s="632"/>
      <c r="S316" s="327">
        <f>'Level 3'!L319</f>
        <v>5194833.8005619328</v>
      </c>
      <c r="T316" s="328">
        <f>L316-S316</f>
        <v>149483.85904685222</v>
      </c>
      <c r="U316" s="329">
        <f>IF(L316=0,0,T316/L316)</f>
        <v>2.7970616375710484E-2</v>
      </c>
      <c r="V316" s="84"/>
    </row>
    <row r="317" spans="1:22" ht="15" thickBot="1">
      <c r="A317" s="625" t="s">
        <v>870</v>
      </c>
      <c r="C317" s="635"/>
      <c r="D317" s="626">
        <f>SUM(D16:D316)</f>
        <v>84590981.353507102</v>
      </c>
      <c r="F317" s="700"/>
      <c r="G317" s="701">
        <f>SUM(G16:G316)</f>
        <v>82551538.366786778</v>
      </c>
      <c r="H317" s="702">
        <f>D317-G317</f>
        <v>2039442.9867203236</v>
      </c>
      <c r="I317" s="703">
        <f t="shared" si="94"/>
        <v>2.4109461246199022E-2</v>
      </c>
      <c r="K317" s="711"/>
      <c r="L317" s="712">
        <f>SUM(L16:L316)</f>
        <v>79847909.010550961</v>
      </c>
      <c r="M317" s="138"/>
      <c r="N317" s="627">
        <f>D317-L317</f>
        <v>4743072.3429561406</v>
      </c>
      <c r="O317" s="138"/>
      <c r="P317" s="628">
        <f t="shared" si="95"/>
        <v>5.6070662227392341E-2</v>
      </c>
      <c r="R317" s="711"/>
      <c r="S317" s="712">
        <f>SUM(S16:S316)</f>
        <v>77376747.916494429</v>
      </c>
      <c r="T317" s="627">
        <f>L317-S317</f>
        <v>2471161.0940565318</v>
      </c>
      <c r="U317" s="628">
        <f>IF(L317=0,0,T317/L317)</f>
        <v>3.0948350741783318E-2</v>
      </c>
      <c r="V317" s="846"/>
    </row>
    <row r="318" spans="1:22">
      <c r="D318" s="190"/>
      <c r="G318" s="190">
        <f>G317-'Level 1.1 UPDATE A'!L14</f>
        <v>0</v>
      </c>
      <c r="K318" s="194">
        <f>SUM(K16:K316)</f>
        <v>79847909.010550976</v>
      </c>
      <c r="L318" s="190">
        <f>'Level 2 - Transmitted (2)'!L14-L317</f>
        <v>0</v>
      </c>
      <c r="R318" s="194">
        <f>SUM(R16:R316)</f>
        <v>77376747.916494414</v>
      </c>
      <c r="S318" s="190">
        <f>'Level 3'!L321-S317</f>
        <v>0</v>
      </c>
    </row>
    <row r="319" spans="1:22">
      <c r="K319" s="190">
        <f>L317-K318</f>
        <v>0</v>
      </c>
      <c r="R319" s="112">
        <f>R318-S317</f>
        <v>0</v>
      </c>
    </row>
  </sheetData>
  <phoneticPr fontId="7" type="noConversion"/>
  <conditionalFormatting sqref="D318">
    <cfRule type="cellIs" dxfId="169" priority="73" operator="lessThan">
      <formula>0</formula>
    </cfRule>
    <cfRule type="cellIs" dxfId="168" priority="75" operator="greaterThan">
      <formula>0</formula>
    </cfRule>
  </conditionalFormatting>
  <conditionalFormatting sqref="H16:H317 N16:N317 T16:T317">
    <cfRule type="cellIs" dxfId="167" priority="60" operator="greaterThan">
      <formula>$H$14</formula>
    </cfRule>
  </conditionalFormatting>
  <conditionalFormatting sqref="H316:I317">
    <cfRule type="expression" dxfId="166" priority="61">
      <formula>MOD(ROW(),2)</formula>
    </cfRule>
  </conditionalFormatting>
  <conditionalFormatting sqref="I16:I317 P16:P317 U16:U317">
    <cfRule type="cellIs" dxfId="165" priority="58" operator="greaterThan">
      <formula>$I$14</formula>
    </cfRule>
  </conditionalFormatting>
  <conditionalFormatting sqref="N16:N317 T16:T317 H16:H317">
    <cfRule type="cellIs" dxfId="164" priority="59" operator="lessThan">
      <formula>-$H$14</formula>
    </cfRule>
  </conditionalFormatting>
  <conditionalFormatting sqref="N316:N317">
    <cfRule type="expression" dxfId="163" priority="38">
      <formula>MOD(ROW(),2)</formula>
    </cfRule>
  </conditionalFormatting>
  <conditionalFormatting sqref="P16:P317 U16:U317 I16:I317">
    <cfRule type="cellIs" dxfId="162" priority="57" operator="lessThan">
      <formula>-$I$14</formula>
    </cfRule>
  </conditionalFormatting>
  <conditionalFormatting sqref="P316:P317">
    <cfRule type="expression" dxfId="161" priority="36">
      <formula>MOD(ROW(),2)</formula>
    </cfRule>
  </conditionalFormatting>
  <conditionalFormatting sqref="T316:U317">
    <cfRule type="expression" dxfId="160" priority="1">
      <formula>MOD(ROW(),2)</formula>
    </cfRule>
  </conditionalFormatting>
  <printOptions horizontalCentered="1"/>
  <pageMargins left="0.1" right="0.1" top="1.25" bottom="0.25" header="0.15" footer="0"/>
  <pageSetup paperSize="3" scale="80" orientation="landscape" r:id="rId1"/>
  <headerFooter>
    <oddHeader>&amp;R&amp;G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669B-CF54-4E8A-ABE7-98B787A9A940}">
  <sheetPr>
    <tabColor rgb="FFFF0000"/>
    <pageSetUpPr fitToPage="1"/>
  </sheetPr>
  <dimension ref="A1:BL529"/>
  <sheetViews>
    <sheetView showGridLines="0" view="pageBreakPreview" zoomScale="70" zoomScaleNormal="100" zoomScaleSheetLayoutView="70" workbookViewId="0">
      <pane xSplit="1" ySplit="19" topLeftCell="B91" activePane="bottomRight" state="frozen"/>
      <selection pane="bottomRight" activeCell="A121" sqref="A121"/>
      <selection pane="bottomLeft" activeCell="A20" sqref="A20"/>
      <selection pane="topRight" activeCell="B1" sqref="B1"/>
    </sheetView>
  </sheetViews>
  <sheetFormatPr defaultColWidth="9.140625" defaultRowHeight="14.45"/>
  <cols>
    <col min="1" max="1" width="39" style="55" customWidth="1"/>
    <col min="2" max="2" width="17.85546875" style="56" customWidth="1"/>
    <col min="3" max="3" width="15.140625" style="56" customWidth="1"/>
    <col min="4" max="4" width="20" style="56" customWidth="1"/>
    <col min="5" max="5" width="17.4257812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3.140625" style="55" customWidth="1"/>
    <col min="12" max="12" width="28.140625" style="55" bestFit="1" customWidth="1"/>
    <col min="13" max="13" width="16.5703125" style="55" customWidth="1"/>
    <col min="14" max="14" width="17.85546875" style="55" customWidth="1"/>
    <col min="15"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26" width="9.140625" style="55"/>
    <col min="27" max="27" width="12.85546875" style="55" bestFit="1" customWidth="1"/>
    <col min="28" max="28" width="13.5703125" style="55" customWidth="1"/>
    <col min="29" max="29" width="11.140625" style="55" customWidth="1"/>
    <col min="30" max="30" width="13" style="55" customWidth="1"/>
    <col min="31" max="31" width="10.5703125" style="55" customWidth="1"/>
    <col min="32" max="32" width="11.5703125" style="55" customWidth="1"/>
    <col min="33" max="33" width="10.28515625" style="55" bestFit="1" customWidth="1"/>
    <col min="34" max="34" width="14" style="55" bestFit="1" customWidth="1"/>
    <col min="35" max="35" width="11.5703125" style="55" bestFit="1" customWidth="1"/>
    <col min="36" max="36" width="12" style="55" customWidth="1"/>
    <col min="37" max="37" width="9.140625" style="55"/>
    <col min="38" max="38" width="10.7109375" style="55" customWidth="1"/>
    <col min="39" max="41" width="9.140625" style="55"/>
    <col min="42" max="42" width="21.85546875" style="55" customWidth="1"/>
    <col min="43" max="43" width="9.140625" style="55"/>
    <col min="44" max="44" width="13.140625" style="55" customWidth="1"/>
    <col min="45" max="45" width="10.5703125" style="55" bestFit="1" customWidth="1"/>
    <col min="46" max="46" width="12.85546875" style="55" customWidth="1"/>
    <col min="47" max="48" width="9.140625" style="55"/>
    <col min="49" max="49" width="13" style="55" customWidth="1"/>
    <col min="50" max="51" width="9.140625" style="55"/>
    <col min="52" max="52" width="13" style="55" customWidth="1"/>
    <col min="53" max="53" width="10.5703125" style="55" bestFit="1" customWidth="1"/>
    <col min="54" max="54" width="13.140625" style="55" bestFit="1" customWidth="1"/>
    <col min="55" max="56" width="9.140625" style="55"/>
    <col min="57" max="57" width="16.28515625" style="55" bestFit="1" customWidth="1"/>
    <col min="58" max="58" width="16.28515625" style="55" customWidth="1"/>
    <col min="59" max="60" width="16.42578125" style="56" customWidth="1"/>
    <col min="61" max="61" width="11.140625" style="55" bestFit="1" customWidth="1"/>
    <col min="62" max="62" width="19.140625" style="55" customWidth="1"/>
    <col min="63" max="16384" width="9.140625" style="55"/>
  </cols>
  <sheetData>
    <row r="1" spans="1:64" ht="15"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64" ht="15"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82">
        <v>145399.85</v>
      </c>
      <c r="R2" s="83" t="s">
        <v>95</v>
      </c>
      <c r="S2" s="84" t="s">
        <v>96</v>
      </c>
      <c r="T2" s="382">
        <v>9150.98</v>
      </c>
      <c r="U2" s="59" t="s">
        <v>61</v>
      </c>
      <c r="V2" s="84" t="s">
        <v>97</v>
      </c>
      <c r="W2" s="48">
        <v>59616.52</v>
      </c>
      <c r="X2" s="59"/>
      <c r="AJ2" s="138"/>
      <c r="AP2" s="55" t="s">
        <v>98</v>
      </c>
      <c r="AW2" s="55" t="s">
        <v>99</v>
      </c>
      <c r="BE2" s="55" t="s">
        <v>78</v>
      </c>
      <c r="BF2" s="55" t="s">
        <v>100</v>
      </c>
      <c r="BG2" s="56" t="s">
        <v>101</v>
      </c>
      <c r="BH2" s="56" t="s">
        <v>102</v>
      </c>
      <c r="BI2" s="55" t="s">
        <v>103</v>
      </c>
      <c r="BJ2" s="56" t="s">
        <v>104</v>
      </c>
    </row>
    <row r="3" spans="1:64">
      <c r="A3" s="85" t="s">
        <v>105</v>
      </c>
      <c r="B3" s="86" t="s">
        <v>38</v>
      </c>
      <c r="D3" s="87" t="s">
        <v>106</v>
      </c>
      <c r="E3" s="88">
        <v>0</v>
      </c>
      <c r="F3" s="89">
        <v>0</v>
      </c>
      <c r="H3" s="86">
        <v>1</v>
      </c>
      <c r="I3" s="86">
        <v>3</v>
      </c>
      <c r="J3" s="86">
        <v>169</v>
      </c>
      <c r="K3" s="86">
        <v>87</v>
      </c>
      <c r="L3" s="86">
        <v>17</v>
      </c>
      <c r="M3" s="86">
        <v>48</v>
      </c>
      <c r="N3" s="86">
        <v>17</v>
      </c>
      <c r="O3" s="48">
        <v>185300</v>
      </c>
      <c r="P3" s="84" t="s">
        <v>107</v>
      </c>
      <c r="Q3" s="48">
        <v>4</v>
      </c>
      <c r="R3" s="59" t="s">
        <v>108</v>
      </c>
      <c r="S3" s="84" t="s">
        <v>109</v>
      </c>
      <c r="T3" s="382">
        <v>2673.44</v>
      </c>
      <c r="U3" s="59" t="s">
        <v>61</v>
      </c>
      <c r="V3" s="84"/>
      <c r="W3" s="48"/>
      <c r="X3" s="59"/>
      <c r="AA3" s="90" t="s">
        <v>110</v>
      </c>
      <c r="AB3" s="91"/>
      <c r="AC3" s="91"/>
      <c r="AD3" s="91"/>
      <c r="AE3" s="91" t="s">
        <v>111</v>
      </c>
      <c r="AF3" s="92">
        <f>21*7</f>
        <v>147</v>
      </c>
      <c r="AH3" s="90" t="s">
        <v>112</v>
      </c>
      <c r="AI3" s="91"/>
      <c r="AJ3" s="55">
        <v>1.1000000000000001</v>
      </c>
      <c r="AK3" s="91"/>
      <c r="AL3" s="91"/>
      <c r="AM3" s="92"/>
      <c r="AP3" s="78" t="s">
        <v>83</v>
      </c>
      <c r="AQ3" s="79" t="s">
        <v>84</v>
      </c>
      <c r="AR3" s="79" t="s">
        <v>113</v>
      </c>
      <c r="AS3" s="79" t="s">
        <v>85</v>
      </c>
      <c r="AT3" s="79" t="s">
        <v>85</v>
      </c>
      <c r="AW3" s="55" t="s">
        <v>114</v>
      </c>
      <c r="AX3" s="55" t="s">
        <v>115</v>
      </c>
      <c r="AY3" s="55" t="s">
        <v>116</v>
      </c>
      <c r="AZ3" s="55" t="s">
        <v>117</v>
      </c>
      <c r="BA3" s="55" t="s">
        <v>118</v>
      </c>
      <c r="BB3" s="55" t="s">
        <v>119</v>
      </c>
      <c r="BE3" s="55" t="s">
        <v>24</v>
      </c>
      <c r="BF3" s="55">
        <v>41</v>
      </c>
      <c r="BG3" s="56">
        <v>1</v>
      </c>
      <c r="BH3" s="56">
        <v>1</v>
      </c>
      <c r="BI3" s="55">
        <v>9</v>
      </c>
      <c r="BJ3" s="55">
        <v>3</v>
      </c>
      <c r="BK3" s="55">
        <f>BJ3*BI3</f>
        <v>27</v>
      </c>
    </row>
    <row r="4" spans="1:64">
      <c r="A4" s="85" t="s">
        <v>2</v>
      </c>
      <c r="B4" s="86" t="s">
        <v>120</v>
      </c>
      <c r="D4" s="93" t="s">
        <v>89</v>
      </c>
      <c r="E4" s="86">
        <v>178</v>
      </c>
      <c r="F4" s="94">
        <v>0.4564102564102564</v>
      </c>
      <c r="H4" s="86">
        <v>2</v>
      </c>
      <c r="I4" s="86">
        <v>2</v>
      </c>
      <c r="J4" s="86">
        <v>24</v>
      </c>
      <c r="K4" s="86">
        <v>9</v>
      </c>
      <c r="L4" s="86">
        <v>7</v>
      </c>
      <c r="M4" s="86">
        <v>8</v>
      </c>
      <c r="N4" s="86">
        <v>0</v>
      </c>
      <c r="O4" s="48">
        <v>24353</v>
      </c>
      <c r="P4" s="95" t="s">
        <v>121</v>
      </c>
      <c r="Q4" s="56">
        <v>12</v>
      </c>
      <c r="R4" s="96" t="s">
        <v>108</v>
      </c>
      <c r="S4" s="84" t="s">
        <v>122</v>
      </c>
      <c r="T4" s="382">
        <v>2893.8</v>
      </c>
      <c r="U4" s="59" t="s">
        <v>61</v>
      </c>
      <c r="V4" s="84"/>
      <c r="W4" s="48"/>
      <c r="X4" s="59"/>
      <c r="AA4" s="95" t="s">
        <v>123</v>
      </c>
      <c r="AF4" s="96">
        <f>14*7</f>
        <v>98</v>
      </c>
      <c r="AH4" s="95" t="s">
        <v>123</v>
      </c>
      <c r="AI4" s="784">
        <f>88591.52+6310.7+12391.66+5996.96</f>
        <v>113290.84000000001</v>
      </c>
      <c r="AJ4" s="784">
        <f>AI4*$AJ$3</f>
        <v>124619.92400000003</v>
      </c>
      <c r="AM4" s="96"/>
      <c r="AP4" s="87" t="s">
        <v>106</v>
      </c>
      <c r="AQ4" s="88">
        <v>0</v>
      </c>
      <c r="AR4" s="348">
        <v>3192.5</v>
      </c>
      <c r="AS4" s="89">
        <v>0</v>
      </c>
      <c r="AT4" s="348">
        <f>AR4*(1+AS4)</f>
        <v>3192.5</v>
      </c>
      <c r="AW4" s="55" t="s">
        <v>123</v>
      </c>
      <c r="AX4" s="55">
        <v>3</v>
      </c>
      <c r="AY4" s="55">
        <v>9</v>
      </c>
      <c r="AZ4" s="55">
        <f>AY4*AX4</f>
        <v>27</v>
      </c>
      <c r="BA4" s="358">
        <f>275</f>
        <v>275</v>
      </c>
      <c r="BB4" s="358">
        <f>BA4*AZ4</f>
        <v>7425</v>
      </c>
      <c r="BE4" s="55" t="s">
        <v>28</v>
      </c>
      <c r="BF4" s="55">
        <v>31</v>
      </c>
      <c r="BG4" s="56">
        <v>1</v>
      </c>
      <c r="BH4" s="56">
        <v>1</v>
      </c>
      <c r="BI4" s="55">
        <v>106</v>
      </c>
      <c r="BJ4" s="55">
        <v>3</v>
      </c>
      <c r="BK4" s="55">
        <f t="shared" ref="BK4:BK12" si="0">BJ4*BI4</f>
        <v>318</v>
      </c>
    </row>
    <row r="5" spans="1:64">
      <c r="A5" s="85" t="s">
        <v>124</v>
      </c>
      <c r="B5" s="878">
        <v>45884</v>
      </c>
      <c r="D5" s="93" t="s">
        <v>90</v>
      </c>
      <c r="E5" s="86">
        <v>49</v>
      </c>
      <c r="F5" s="94">
        <v>0.12564102564102564</v>
      </c>
      <c r="H5" s="86">
        <v>3</v>
      </c>
      <c r="I5" s="86">
        <v>3</v>
      </c>
      <c r="J5" s="86">
        <v>173</v>
      </c>
      <c r="K5" s="86">
        <v>73</v>
      </c>
      <c r="L5" s="86">
        <v>18</v>
      </c>
      <c r="M5" s="86">
        <v>51</v>
      </c>
      <c r="N5" s="86">
        <v>31</v>
      </c>
      <c r="O5" s="48">
        <v>192543</v>
      </c>
      <c r="P5" s="84" t="s">
        <v>125</v>
      </c>
      <c r="Q5" s="98">
        <v>13</v>
      </c>
      <c r="R5" s="59" t="s">
        <v>126</v>
      </c>
      <c r="S5" s="84" t="s">
        <v>127</v>
      </c>
      <c r="T5" s="382">
        <v>3543.3599999999997</v>
      </c>
      <c r="U5" s="59" t="s">
        <v>61</v>
      </c>
      <c r="V5" s="84"/>
      <c r="W5" s="48"/>
      <c r="X5" s="59"/>
      <c r="AA5" s="95" t="s">
        <v>128</v>
      </c>
      <c r="AB5" s="55">
        <f>21*4+8*8+7*6</f>
        <v>190</v>
      </c>
      <c r="AF5" s="96">
        <f>8*22</f>
        <v>176</v>
      </c>
      <c r="AH5" s="95" t="s">
        <v>129</v>
      </c>
      <c r="AI5" s="784">
        <f>31183.77/2</f>
        <v>15591.885</v>
      </c>
      <c r="AJ5" s="784">
        <f t="shared" ref="AJ5:AJ7" si="1">AI5*$AJ$3</f>
        <v>17151.073500000002</v>
      </c>
      <c r="AM5" s="96"/>
      <c r="AP5" s="93" t="s">
        <v>89</v>
      </c>
      <c r="AQ5" s="86">
        <v>171</v>
      </c>
      <c r="AR5" s="349">
        <v>3192.5</v>
      </c>
      <c r="AS5" s="94">
        <v>0</v>
      </c>
      <c r="AT5" s="349">
        <f t="shared" ref="AT5:AT8" si="2">AR5*(1+AS5)</f>
        <v>3192.5</v>
      </c>
      <c r="AW5" s="55" t="s">
        <v>129</v>
      </c>
      <c r="AX5" s="55">
        <v>2</v>
      </c>
      <c r="AY5" s="55">
        <v>2</v>
      </c>
      <c r="AZ5" s="55">
        <f t="shared" ref="AZ5:AZ8" si="3">AY5*AX5</f>
        <v>4</v>
      </c>
      <c r="BA5" s="358">
        <f>275</f>
        <v>275</v>
      </c>
      <c r="BB5" s="358">
        <f t="shared" ref="BB5:BB8" si="4">BA5*AZ5</f>
        <v>1100</v>
      </c>
      <c r="BE5" s="55" t="s">
        <v>32</v>
      </c>
      <c r="BF5" s="55">
        <v>31</v>
      </c>
      <c r="BG5" s="56">
        <v>1</v>
      </c>
      <c r="BH5" s="56">
        <v>1</v>
      </c>
      <c r="BI5" s="55">
        <v>3</v>
      </c>
      <c r="BJ5" s="55">
        <v>3</v>
      </c>
      <c r="BK5" s="55">
        <f t="shared" si="0"/>
        <v>9</v>
      </c>
    </row>
    <row r="6" spans="1:64">
      <c r="A6" s="85" t="s">
        <v>130</v>
      </c>
      <c r="B6" s="86">
        <v>26</v>
      </c>
      <c r="D6" s="93" t="s">
        <v>91</v>
      </c>
      <c r="E6" s="86">
        <v>115</v>
      </c>
      <c r="F6" s="94">
        <v>0.29487179487179488</v>
      </c>
      <c r="H6" s="86">
        <v>4</v>
      </c>
      <c r="I6" s="86">
        <v>2</v>
      </c>
      <c r="J6" s="86">
        <v>24</v>
      </c>
      <c r="K6" s="86">
        <v>9</v>
      </c>
      <c r="L6" s="86">
        <v>7</v>
      </c>
      <c r="M6" s="86">
        <v>8</v>
      </c>
      <c r="N6" s="86">
        <v>0</v>
      </c>
      <c r="O6" s="48">
        <v>24353</v>
      </c>
      <c r="P6" s="84" t="s">
        <v>131</v>
      </c>
      <c r="Q6" s="48">
        <v>17</v>
      </c>
      <c r="R6" s="59" t="s">
        <v>108</v>
      </c>
      <c r="S6" s="84" t="s">
        <v>132</v>
      </c>
      <c r="T6" s="766">
        <v>3440</v>
      </c>
      <c r="U6" s="59" t="s">
        <v>61</v>
      </c>
      <c r="V6" s="58"/>
      <c r="W6" s="68"/>
      <c r="X6" s="99"/>
      <c r="AA6" s="95" t="s">
        <v>133</v>
      </c>
      <c r="AB6" s="55">
        <f>14*4+21*2+8*6</f>
        <v>146</v>
      </c>
      <c r="AF6" s="96">
        <f>7*10</f>
        <v>70</v>
      </c>
      <c r="AH6" s="95" t="s">
        <v>111</v>
      </c>
      <c r="AI6" s="784">
        <f>65053.99+12730.03+12624.72</f>
        <v>90408.74</v>
      </c>
      <c r="AJ6" s="784">
        <f t="shared" si="1"/>
        <v>99449.614000000016</v>
      </c>
      <c r="AM6" s="96"/>
      <c r="AP6" s="93" t="s">
        <v>90</v>
      </c>
      <c r="AQ6" s="86">
        <v>52</v>
      </c>
      <c r="AR6" s="349">
        <v>3192.5</v>
      </c>
      <c r="AS6" s="94">
        <v>0</v>
      </c>
      <c r="AT6" s="349">
        <f t="shared" si="2"/>
        <v>3192.5</v>
      </c>
      <c r="AW6" s="55" t="s">
        <v>111</v>
      </c>
      <c r="AX6" s="55">
        <v>2</v>
      </c>
      <c r="AY6" s="55">
        <v>9</v>
      </c>
      <c r="AZ6" s="55">
        <f t="shared" si="3"/>
        <v>18</v>
      </c>
      <c r="BA6" s="358">
        <f>275</f>
        <v>275</v>
      </c>
      <c r="BB6" s="358">
        <f t="shared" si="4"/>
        <v>4950</v>
      </c>
      <c r="BE6" s="55" t="s">
        <v>34</v>
      </c>
      <c r="BF6" s="55">
        <v>19</v>
      </c>
      <c r="BG6" s="56">
        <v>1</v>
      </c>
      <c r="BH6" s="56">
        <v>1</v>
      </c>
      <c r="BI6" s="55">
        <v>60</v>
      </c>
      <c r="BJ6" s="55">
        <v>2</v>
      </c>
      <c r="BK6" s="55">
        <f t="shared" si="0"/>
        <v>120</v>
      </c>
    </row>
    <row r="7" spans="1:64">
      <c r="A7" s="85" t="s">
        <v>115</v>
      </c>
      <c r="B7" s="86" t="s">
        <v>134</v>
      </c>
      <c r="D7" s="100" t="s">
        <v>92</v>
      </c>
      <c r="E7" s="101">
        <v>48</v>
      </c>
      <c r="F7" s="102">
        <v>0.12307692307692308</v>
      </c>
      <c r="H7" s="86"/>
      <c r="I7" s="86"/>
      <c r="J7" s="86"/>
      <c r="K7" s="86"/>
      <c r="L7" s="86"/>
      <c r="M7" s="86"/>
      <c r="N7" s="86"/>
      <c r="O7" s="48"/>
      <c r="P7" s="103" t="s">
        <v>135</v>
      </c>
      <c r="Q7" s="104">
        <v>1</v>
      </c>
      <c r="R7" s="105"/>
      <c r="S7" s="84" t="s">
        <v>136</v>
      </c>
      <c r="T7" s="382"/>
      <c r="U7" s="59" t="s">
        <v>61</v>
      </c>
      <c r="V7" s="58"/>
      <c r="W7" s="68"/>
      <c r="X7" s="99"/>
      <c r="AA7" s="95" t="s">
        <v>137</v>
      </c>
      <c r="AB7" s="55">
        <f>21*2+14*2+8*6</f>
        <v>118</v>
      </c>
      <c r="AF7" s="96">
        <f>SUM(AF3:AF6)</f>
        <v>491</v>
      </c>
      <c r="AH7" s="95" t="s">
        <v>138</v>
      </c>
      <c r="AI7" s="784">
        <f>31183.77/2</f>
        <v>15591.885</v>
      </c>
      <c r="AJ7" s="784">
        <f t="shared" si="1"/>
        <v>17151.073500000002</v>
      </c>
      <c r="AM7" s="96"/>
      <c r="AP7" s="93" t="s">
        <v>91</v>
      </c>
      <c r="AQ7" s="86">
        <v>118</v>
      </c>
      <c r="AR7" s="349">
        <v>3192.5</v>
      </c>
      <c r="AS7" s="94">
        <v>0.1</v>
      </c>
      <c r="AT7" s="349">
        <f t="shared" si="2"/>
        <v>3511.7500000000005</v>
      </c>
      <c r="AW7" s="55" t="s">
        <v>138</v>
      </c>
      <c r="AX7" s="55">
        <v>3</v>
      </c>
      <c r="AY7" s="55">
        <v>3</v>
      </c>
      <c r="AZ7" s="55">
        <f t="shared" si="3"/>
        <v>9</v>
      </c>
      <c r="BA7" s="358">
        <f>275</f>
        <v>275</v>
      </c>
      <c r="BB7" s="358">
        <f t="shared" si="4"/>
        <v>2475</v>
      </c>
      <c r="BE7" s="55" t="s">
        <v>25</v>
      </c>
      <c r="BF7" s="55">
        <v>66</v>
      </c>
      <c r="BG7" s="56">
        <v>2</v>
      </c>
      <c r="BH7" s="56">
        <v>2</v>
      </c>
      <c r="BI7" s="55">
        <v>8</v>
      </c>
      <c r="BJ7" s="55">
        <v>3</v>
      </c>
      <c r="BK7" s="55">
        <f t="shared" si="0"/>
        <v>24</v>
      </c>
    </row>
    <row r="8" spans="1:64" ht="15" thickBot="1">
      <c r="A8" s="85" t="s">
        <v>139</v>
      </c>
      <c r="B8" s="48">
        <v>422635</v>
      </c>
      <c r="D8" s="106" t="s">
        <v>140</v>
      </c>
      <c r="E8" s="107">
        <v>390</v>
      </c>
      <c r="F8" s="108">
        <v>1</v>
      </c>
      <c r="H8" s="109" t="s">
        <v>140</v>
      </c>
      <c r="I8" s="80">
        <v>10</v>
      </c>
      <c r="J8" s="80">
        <v>390</v>
      </c>
      <c r="K8" s="80">
        <v>178</v>
      </c>
      <c r="L8" s="80">
        <v>49</v>
      </c>
      <c r="M8" s="80">
        <v>115</v>
      </c>
      <c r="N8" s="80">
        <v>48</v>
      </c>
      <c r="O8" s="110">
        <v>426549</v>
      </c>
      <c r="P8" s="84" t="s">
        <v>141</v>
      </c>
      <c r="Q8" s="48">
        <v>2</v>
      </c>
      <c r="R8" s="59"/>
      <c r="S8" s="58" t="s">
        <v>0</v>
      </c>
      <c r="T8" s="68">
        <v>261305.65</v>
      </c>
      <c r="U8" s="99" t="s">
        <v>61</v>
      </c>
      <c r="V8" s="58"/>
      <c r="W8" s="68"/>
      <c r="X8" s="99"/>
      <c r="AA8" s="95" t="s">
        <v>142</v>
      </c>
      <c r="AB8" s="55">
        <f>21*2+14*8+8*12+7*8</f>
        <v>306</v>
      </c>
      <c r="AF8" s="96"/>
      <c r="AH8" s="95"/>
      <c r="AI8" s="784"/>
      <c r="AJ8" s="784">
        <f>SUM(AJ4:AJ7)</f>
        <v>258371.68500000006</v>
      </c>
      <c r="AK8" s="55" t="s">
        <v>143</v>
      </c>
      <c r="AM8" s="96"/>
      <c r="AP8" s="100" t="s">
        <v>92</v>
      </c>
      <c r="AQ8" s="101">
        <v>49</v>
      </c>
      <c r="AR8" s="350">
        <v>3192.5</v>
      </c>
      <c r="AS8" s="102">
        <v>0.2</v>
      </c>
      <c r="AT8" s="350">
        <f t="shared" si="2"/>
        <v>3831</v>
      </c>
      <c r="AW8" s="55" t="s">
        <v>144</v>
      </c>
      <c r="AX8" s="55">
        <v>2</v>
      </c>
      <c r="AY8" s="55">
        <v>2</v>
      </c>
      <c r="AZ8" s="55">
        <f t="shared" si="3"/>
        <v>4</v>
      </c>
      <c r="BA8" s="358">
        <v>275</v>
      </c>
      <c r="BB8" s="358">
        <f t="shared" si="4"/>
        <v>1100</v>
      </c>
      <c r="BE8" s="55" t="s">
        <v>29</v>
      </c>
      <c r="BF8" s="55">
        <v>45</v>
      </c>
      <c r="BG8" s="56">
        <v>2</v>
      </c>
      <c r="BH8" s="56">
        <v>1</v>
      </c>
      <c r="BI8" s="55">
        <v>6</v>
      </c>
      <c r="BJ8" s="55">
        <v>3</v>
      </c>
      <c r="BK8" s="55">
        <f t="shared" si="0"/>
        <v>18</v>
      </c>
    </row>
    <row r="9" spans="1:64" ht="15" thickBot="1">
      <c r="A9" s="85" t="s">
        <v>145</v>
      </c>
      <c r="B9" s="111">
        <v>15.826000000000001</v>
      </c>
      <c r="D9" s="72" t="s">
        <v>146</v>
      </c>
      <c r="E9" s="72"/>
      <c r="F9" s="72"/>
      <c r="K9" s="57"/>
      <c r="L9" s="112"/>
      <c r="M9" s="112"/>
      <c r="P9" s="84" t="s">
        <v>147</v>
      </c>
      <c r="Q9" s="48">
        <v>3074.7</v>
      </c>
      <c r="R9" s="59" t="s">
        <v>148</v>
      </c>
      <c r="S9" s="58" t="s">
        <v>149</v>
      </c>
      <c r="T9" s="766">
        <v>900</v>
      </c>
      <c r="U9" s="99" t="s">
        <v>61</v>
      </c>
      <c r="V9" s="58"/>
      <c r="W9" s="68"/>
      <c r="X9" s="99"/>
      <c r="AA9" s="95" t="s">
        <v>150</v>
      </c>
      <c r="AB9" s="55">
        <f>21*4+8*6</f>
        <v>132</v>
      </c>
      <c r="AC9" s="55">
        <f>SUM(AB5:AB9)</f>
        <v>892</v>
      </c>
      <c r="AF9" s="96"/>
      <c r="AH9" s="95"/>
      <c r="AI9" s="784"/>
      <c r="AJ9" s="784">
        <f>AJ8/9</f>
        <v>28707.965000000007</v>
      </c>
      <c r="AK9" s="55" t="s">
        <v>151</v>
      </c>
      <c r="AM9" s="96"/>
      <c r="AP9" s="106" t="s">
        <v>140</v>
      </c>
      <c r="AQ9" s="107">
        <f>SUM(AQ4:AQ8)</f>
        <v>390</v>
      </c>
      <c r="AR9" s="107"/>
      <c r="AS9" s="108"/>
      <c r="AT9" s="107">
        <f>SUMPRODUCT(AQ4:AQ8,AT4:AT8)/AQ9</f>
        <v>3369.3153846153846</v>
      </c>
      <c r="BA9" s="358"/>
      <c r="BB9" s="358">
        <f>SUM(BB4:BB8)</f>
        <v>17050</v>
      </c>
      <c r="BE9" s="55" t="s">
        <v>33</v>
      </c>
      <c r="BF9" s="55">
        <v>68</v>
      </c>
      <c r="BG9" s="56">
        <v>2</v>
      </c>
      <c r="BH9" s="56">
        <v>2</v>
      </c>
      <c r="BI9" s="55">
        <v>107</v>
      </c>
      <c r="BJ9" s="55">
        <v>3</v>
      </c>
      <c r="BK9" s="55">
        <f t="shared" si="0"/>
        <v>321</v>
      </c>
    </row>
    <row r="10" spans="1:64">
      <c r="A10" s="85" t="s">
        <v>152</v>
      </c>
      <c r="B10" s="48">
        <v>689380.56</v>
      </c>
      <c r="D10" s="113" t="s">
        <v>153</v>
      </c>
      <c r="E10" s="114"/>
      <c r="F10" s="115">
        <v>0</v>
      </c>
      <c r="K10" s="1"/>
      <c r="P10" s="84" t="s">
        <v>154</v>
      </c>
      <c r="Q10" s="48">
        <v>1734.0110999999999</v>
      </c>
      <c r="R10" s="59" t="s">
        <v>155</v>
      </c>
      <c r="S10" s="58" t="s">
        <v>156</v>
      </c>
      <c r="T10" s="766">
        <v>7964</v>
      </c>
      <c r="U10" s="99" t="s">
        <v>61</v>
      </c>
      <c r="V10" s="58"/>
      <c r="W10" s="68"/>
      <c r="X10" s="99"/>
      <c r="AA10" s="95"/>
      <c r="AF10" s="96"/>
      <c r="AH10" s="95"/>
      <c r="AM10" s="96"/>
      <c r="AT10" s="351">
        <f>AT9-AR8</f>
        <v>176.81538461538457</v>
      </c>
      <c r="BE10" s="55" t="s">
        <v>35</v>
      </c>
      <c r="BF10" s="55">
        <v>44</v>
      </c>
      <c r="BG10" s="56">
        <v>2</v>
      </c>
      <c r="BH10" s="56">
        <v>1</v>
      </c>
      <c r="BI10" s="55">
        <v>43</v>
      </c>
      <c r="BJ10" s="55">
        <v>6</v>
      </c>
      <c r="BK10" s="55">
        <f t="shared" si="0"/>
        <v>258</v>
      </c>
    </row>
    <row r="11" spans="1:64" ht="15" thickBot="1">
      <c r="A11" s="85" t="s">
        <v>157</v>
      </c>
      <c r="B11" s="48">
        <v>4</v>
      </c>
      <c r="D11" s="85" t="s">
        <v>158</v>
      </c>
      <c r="E11" s="45"/>
      <c r="F11" s="86">
        <v>375</v>
      </c>
      <c r="H11" s="763"/>
      <c r="K11" s="354"/>
      <c r="M11" s="762"/>
      <c r="N11" s="358"/>
      <c r="P11" s="84" t="s">
        <v>159</v>
      </c>
      <c r="Q11" s="48">
        <v>28186.002</v>
      </c>
      <c r="R11" s="59" t="s">
        <v>160</v>
      </c>
      <c r="S11" s="58" t="s">
        <v>161</v>
      </c>
      <c r="T11" s="766">
        <v>372</v>
      </c>
      <c r="U11" s="99" t="s">
        <v>148</v>
      </c>
      <c r="V11" s="58" t="s">
        <v>162</v>
      </c>
      <c r="W11" s="68">
        <v>19288</v>
      </c>
      <c r="X11" s="99" t="s">
        <v>61</v>
      </c>
      <c r="AA11" s="95" t="s">
        <v>163</v>
      </c>
      <c r="AE11" s="55" t="s">
        <v>138</v>
      </c>
      <c r="AF11" s="96">
        <f>14*8</f>
        <v>112</v>
      </c>
      <c r="AH11" s="95"/>
      <c r="AM11" s="96"/>
      <c r="AT11" s="352">
        <f>AT10/AR8</f>
        <v>5.5384615384615372E-2</v>
      </c>
      <c r="BE11" s="55" t="s">
        <v>26</v>
      </c>
      <c r="BF11" s="55">
        <v>48</v>
      </c>
      <c r="BG11" s="56">
        <v>3</v>
      </c>
      <c r="BH11" s="56">
        <v>2</v>
      </c>
      <c r="BI11" s="55">
        <v>3</v>
      </c>
      <c r="BJ11" s="55">
        <v>4</v>
      </c>
      <c r="BK11" s="55">
        <f t="shared" si="0"/>
        <v>12</v>
      </c>
    </row>
    <row r="12" spans="1:64">
      <c r="A12" s="116" t="s">
        <v>164</v>
      </c>
      <c r="B12" s="117"/>
      <c r="D12" s="85" t="s">
        <v>165</v>
      </c>
      <c r="E12" s="45"/>
      <c r="F12" s="86">
        <v>320</v>
      </c>
      <c r="H12" s="763"/>
      <c r="K12" s="1"/>
      <c r="M12" s="761"/>
      <c r="N12" s="358"/>
      <c r="O12" s="194"/>
      <c r="P12" s="84" t="s">
        <v>166</v>
      </c>
      <c r="Q12" s="48">
        <v>329873</v>
      </c>
      <c r="R12" s="59" t="s">
        <v>167</v>
      </c>
      <c r="S12" s="118" t="s">
        <v>168</v>
      </c>
      <c r="T12" s="767">
        <v>400</v>
      </c>
      <c r="U12" s="119" t="s">
        <v>148</v>
      </c>
      <c r="V12" s="58" t="s">
        <v>169</v>
      </c>
      <c r="W12" s="68">
        <v>2159</v>
      </c>
      <c r="X12" s="99" t="s">
        <v>61</v>
      </c>
      <c r="AA12" s="95" t="s">
        <v>128</v>
      </c>
      <c r="AF12" s="96">
        <f>20*8</f>
        <v>160</v>
      </c>
      <c r="AH12" s="95"/>
      <c r="AM12" s="96"/>
      <c r="BE12" s="55" t="s">
        <v>30</v>
      </c>
      <c r="BF12" s="55">
        <v>55</v>
      </c>
      <c r="BG12" s="56">
        <v>3</v>
      </c>
      <c r="BH12" s="56">
        <v>2</v>
      </c>
      <c r="BI12" s="55">
        <v>45</v>
      </c>
      <c r="BJ12" s="55">
        <v>4</v>
      </c>
      <c r="BK12" s="55">
        <f t="shared" si="0"/>
        <v>180</v>
      </c>
    </row>
    <row r="13" spans="1:64" ht="15" thickBot="1">
      <c r="A13" s="120" t="s">
        <v>170</v>
      </c>
      <c r="B13" s="202">
        <v>45062</v>
      </c>
      <c r="D13" s="85" t="s">
        <v>171</v>
      </c>
      <c r="E13" s="45"/>
      <c r="F13" s="86">
        <v>16</v>
      </c>
      <c r="H13" s="763"/>
      <c r="K13" s="1"/>
      <c r="M13" s="763"/>
      <c r="N13" s="358"/>
      <c r="O13" s="194"/>
      <c r="P13" s="84" t="s">
        <v>172</v>
      </c>
      <c r="Q13" s="46">
        <v>375</v>
      </c>
      <c r="R13" s="59" t="s">
        <v>108</v>
      </c>
      <c r="S13" s="58" t="s">
        <v>173</v>
      </c>
      <c r="T13" s="766">
        <v>7476</v>
      </c>
      <c r="U13" s="99" t="s">
        <v>61</v>
      </c>
      <c r="V13" s="58" t="s">
        <v>174</v>
      </c>
      <c r="W13" s="68">
        <v>20355</v>
      </c>
      <c r="X13" s="99" t="s">
        <v>61</v>
      </c>
      <c r="AA13" s="95" t="s">
        <v>133</v>
      </c>
      <c r="AF13" s="96">
        <f>8*18</f>
        <v>144</v>
      </c>
      <c r="AH13" s="95"/>
      <c r="AM13" s="96"/>
      <c r="BF13" s="55">
        <f>SUMPRODUCT(BF3:BF12,BI3:BI12)</f>
        <v>17473</v>
      </c>
      <c r="BI13" s="55">
        <f>SUM(BI3:BI12)</f>
        <v>390</v>
      </c>
      <c r="BK13" s="55">
        <f>SUM(BK3:BK12)</f>
        <v>1287</v>
      </c>
    </row>
    <row r="14" spans="1:64">
      <c r="A14" s="121" t="s">
        <v>175</v>
      </c>
      <c r="B14" s="776">
        <v>45848</v>
      </c>
      <c r="D14" s="85" t="s">
        <v>176</v>
      </c>
      <c r="E14" s="45"/>
      <c r="F14" s="86">
        <v>0</v>
      </c>
      <c r="H14" s="763"/>
      <c r="J14" s="122" t="s">
        <v>177</v>
      </c>
      <c r="K14" s="123"/>
      <c r="L14" s="124">
        <v>79847909.010550961</v>
      </c>
      <c r="M14" s="358"/>
      <c r="N14" s="358"/>
      <c r="O14" s="194"/>
      <c r="P14" s="84" t="s">
        <v>178</v>
      </c>
      <c r="Q14" s="48">
        <v>47</v>
      </c>
      <c r="R14" s="59" t="s">
        <v>179</v>
      </c>
      <c r="S14" s="58" t="s">
        <v>180</v>
      </c>
      <c r="T14" s="766">
        <v>0</v>
      </c>
      <c r="U14" s="99" t="s">
        <v>61</v>
      </c>
      <c r="V14" s="58" t="s">
        <v>181</v>
      </c>
      <c r="W14" s="68">
        <v>2159</v>
      </c>
      <c r="X14" s="99" t="s">
        <v>61</v>
      </c>
      <c r="AA14" s="95" t="s">
        <v>137</v>
      </c>
      <c r="AF14" s="96">
        <f>7*12</f>
        <v>84</v>
      </c>
      <c r="AH14" s="95"/>
      <c r="AM14" s="96"/>
      <c r="BK14" s="55">
        <f>(6+7)*2+4</f>
        <v>30</v>
      </c>
    </row>
    <row r="15" spans="1:64">
      <c r="A15" s="121" t="s">
        <v>182</v>
      </c>
      <c r="B15" s="776">
        <v>45583</v>
      </c>
      <c r="D15" s="85" t="s">
        <v>183</v>
      </c>
      <c r="E15" s="45"/>
      <c r="F15" s="86">
        <v>711</v>
      </c>
      <c r="H15" s="358"/>
      <c r="J15" s="125" t="s">
        <v>184</v>
      </c>
      <c r="K15" s="126"/>
      <c r="L15" s="127">
        <v>204738.22823218195</v>
      </c>
      <c r="N15" s="358"/>
      <c r="P15" s="84" t="s">
        <v>185</v>
      </c>
      <c r="Q15" s="48">
        <v>1</v>
      </c>
      <c r="R15" s="59" t="s">
        <v>186</v>
      </c>
      <c r="S15" s="58" t="s">
        <v>187</v>
      </c>
      <c r="T15" s="766">
        <v>1888</v>
      </c>
      <c r="U15" s="99" t="s">
        <v>61</v>
      </c>
      <c r="V15" s="58" t="s">
        <v>21</v>
      </c>
      <c r="W15" s="68">
        <v>43961</v>
      </c>
      <c r="X15" s="99" t="s">
        <v>61</v>
      </c>
      <c r="AA15" s="95" t="s">
        <v>142</v>
      </c>
      <c r="AB15" s="55">
        <f>21*2+14*2+8*6+7*6</f>
        <v>160</v>
      </c>
      <c r="AC15" s="55">
        <f>AB15*2</f>
        <v>320</v>
      </c>
      <c r="AF15" s="96">
        <f>SUM(AF11:AF14)</f>
        <v>500</v>
      </c>
      <c r="AH15" s="95"/>
      <c r="AM15" s="96"/>
      <c r="BK15" s="55">
        <v>7</v>
      </c>
      <c r="BL15" s="55">
        <v>10</v>
      </c>
    </row>
    <row r="16" spans="1:64" ht="15" thickBot="1">
      <c r="A16" s="121" t="s">
        <v>188</v>
      </c>
      <c r="B16" s="776">
        <v>45825</v>
      </c>
      <c r="D16" s="129" t="s">
        <v>189</v>
      </c>
      <c r="E16" s="130"/>
      <c r="F16" s="131">
        <v>1.823076923076923</v>
      </c>
      <c r="H16" s="351"/>
      <c r="J16" s="132" t="s">
        <v>190</v>
      </c>
      <c r="K16" s="133"/>
      <c r="L16" s="134">
        <v>188.92876598140467</v>
      </c>
      <c r="N16" s="351"/>
      <c r="P16" s="84" t="s">
        <v>191</v>
      </c>
      <c r="Q16" s="48">
        <v>10</v>
      </c>
      <c r="R16" s="59" t="s">
        <v>186</v>
      </c>
      <c r="S16" s="58" t="s">
        <v>192</v>
      </c>
      <c r="T16" s="766">
        <v>1557</v>
      </c>
      <c r="U16" s="99" t="s">
        <v>61</v>
      </c>
      <c r="V16" s="58" t="s">
        <v>193</v>
      </c>
      <c r="W16" s="68">
        <v>8</v>
      </c>
      <c r="X16" s="99" t="s">
        <v>108</v>
      </c>
      <c r="AA16" s="95"/>
      <c r="AF16" s="96"/>
      <c r="AH16" s="95"/>
      <c r="AM16" s="96"/>
      <c r="BK16" s="55">
        <v>13</v>
      </c>
      <c r="BL16" s="55">
        <v>6</v>
      </c>
    </row>
    <row r="17" spans="1:64" ht="15" thickBot="1">
      <c r="A17" s="128" t="s">
        <v>194</v>
      </c>
      <c r="B17" s="203">
        <v>45043</v>
      </c>
      <c r="C17" s="136"/>
      <c r="D17" s="136"/>
      <c r="J17" s="1"/>
      <c r="N17" s="351"/>
      <c r="P17" s="84" t="s">
        <v>195</v>
      </c>
      <c r="Q17" s="48">
        <v>58</v>
      </c>
      <c r="R17" s="59" t="s">
        <v>186</v>
      </c>
      <c r="S17" s="58" t="s">
        <v>196</v>
      </c>
      <c r="T17" s="766">
        <v>0</v>
      </c>
      <c r="U17" s="99" t="s">
        <v>61</v>
      </c>
      <c r="V17" s="58" t="s">
        <v>197</v>
      </c>
      <c r="W17" s="766">
        <v>1</v>
      </c>
      <c r="X17" s="99" t="s">
        <v>108</v>
      </c>
      <c r="AA17" s="137" t="s">
        <v>198</v>
      </c>
      <c r="AB17" s="138">
        <f>12.5*62</f>
        <v>775</v>
      </c>
      <c r="AC17" s="138"/>
      <c r="AD17" s="138"/>
      <c r="AE17" s="138"/>
      <c r="AF17" s="139"/>
      <c r="AH17" s="137"/>
      <c r="AI17" s="138"/>
      <c r="AJ17" s="138"/>
      <c r="AK17" s="138"/>
      <c r="AL17" s="138"/>
      <c r="AM17" s="139"/>
      <c r="BK17" s="55">
        <v>22</v>
      </c>
      <c r="BL17" s="55">
        <v>3</v>
      </c>
    </row>
    <row r="18" spans="1:64" ht="15" thickBot="1">
      <c r="A18" s="135"/>
      <c r="B18" s="136"/>
      <c r="C18" s="136"/>
      <c r="D18" s="136"/>
      <c r="J18" s="1"/>
      <c r="N18" s="351"/>
      <c r="P18" s="140" t="s">
        <v>199</v>
      </c>
      <c r="Q18" s="141">
        <v>10</v>
      </c>
      <c r="R18" s="142" t="s">
        <v>186</v>
      </c>
      <c r="S18" s="140" t="s">
        <v>200</v>
      </c>
      <c r="T18" s="765">
        <v>135.25641025641025</v>
      </c>
      <c r="U18" s="142"/>
      <c r="V18" s="140" t="s">
        <v>201</v>
      </c>
      <c r="W18" s="141">
        <v>256408.47</v>
      </c>
      <c r="X18" s="142"/>
      <c r="BL18" s="55">
        <f>BK13+BK14+BK15+BK16+BK17+BL15+BL16+BL17</f>
        <v>1378</v>
      </c>
    </row>
    <row r="19" spans="1:64" ht="30.75" customHeight="1" thickBot="1">
      <c r="A19" s="33" t="s">
        <v>202</v>
      </c>
      <c r="B19" s="34" t="s">
        <v>203</v>
      </c>
      <c r="C19" s="35" t="s">
        <v>204</v>
      </c>
      <c r="D19" s="34" t="s">
        <v>205</v>
      </c>
      <c r="E19" s="34" t="s">
        <v>206</v>
      </c>
      <c r="F19" s="34" t="s">
        <v>207</v>
      </c>
      <c r="G19" s="34" t="s">
        <v>208</v>
      </c>
      <c r="H19" s="34" t="s">
        <v>209</v>
      </c>
      <c r="I19" s="35" t="s">
        <v>210</v>
      </c>
      <c r="J19" s="35" t="s">
        <v>211</v>
      </c>
      <c r="K19" s="34" t="s">
        <v>212</v>
      </c>
      <c r="L19" s="33" t="s">
        <v>119</v>
      </c>
      <c r="M19" s="36" t="s">
        <v>213</v>
      </c>
      <c r="N19" s="37"/>
      <c r="O19" s="37"/>
      <c r="P19" s="37"/>
      <c r="Q19" s="37"/>
      <c r="R19" s="37"/>
      <c r="S19" s="37"/>
      <c r="T19" s="37"/>
      <c r="U19" s="37"/>
      <c r="V19" s="37"/>
      <c r="W19" s="37"/>
      <c r="X19" s="37"/>
      <c r="Y19" s="37"/>
      <c r="BL19" s="55">
        <f>BL18*368</f>
        <v>507104</v>
      </c>
    </row>
    <row r="20" spans="1:64">
      <c r="A20" s="2" t="s">
        <v>214</v>
      </c>
      <c r="B20" s="143" t="s">
        <v>215</v>
      </c>
      <c r="C20" s="143"/>
      <c r="D20" s="143"/>
      <c r="E20" s="143"/>
      <c r="F20" s="143"/>
      <c r="G20" s="143"/>
      <c r="H20" s="144"/>
      <c r="I20" s="145"/>
      <c r="J20" s="146"/>
      <c r="K20" s="146"/>
      <c r="L20" s="69">
        <v>3849810.3029161878</v>
      </c>
      <c r="M20" s="45"/>
      <c r="N20" s="114"/>
      <c r="O20" s="114"/>
      <c r="P20" s="114"/>
      <c r="Q20" s="114"/>
      <c r="R20" s="114"/>
      <c r="S20" s="114"/>
      <c r="T20" s="114"/>
      <c r="U20" s="114"/>
      <c r="V20" s="114"/>
      <c r="W20" s="114"/>
      <c r="X20" s="114"/>
      <c r="Y20" s="114"/>
    </row>
    <row r="21" spans="1:64">
      <c r="A21" s="3" t="s">
        <v>214</v>
      </c>
      <c r="B21" s="60" t="s">
        <v>215</v>
      </c>
      <c r="C21" s="60" t="s">
        <v>216</v>
      </c>
      <c r="D21" s="60"/>
      <c r="E21" s="60"/>
      <c r="F21" s="60" t="s">
        <v>217</v>
      </c>
      <c r="G21" s="62">
        <v>26</v>
      </c>
      <c r="H21" s="768">
        <v>148069.62703523799</v>
      </c>
      <c r="I21" s="148">
        <v>0</v>
      </c>
      <c r="J21" s="150">
        <v>148069.62703523799</v>
      </c>
      <c r="K21" s="150">
        <v>3849810.3029161878</v>
      </c>
      <c r="M21" s="45"/>
      <c r="N21" s="45"/>
      <c r="O21" s="45"/>
      <c r="P21" s="45"/>
      <c r="Q21" s="45"/>
      <c r="R21" s="45"/>
      <c r="S21" s="45"/>
      <c r="T21" s="45"/>
      <c r="U21" s="45"/>
      <c r="V21" s="45"/>
      <c r="W21" s="45"/>
      <c r="X21" s="45"/>
      <c r="Y21" s="45"/>
      <c r="AX21" s="56" t="s">
        <v>218</v>
      </c>
      <c r="AY21" s="769" t="s">
        <v>0</v>
      </c>
      <c r="AZ21" s="55" t="s">
        <v>154</v>
      </c>
    </row>
    <row r="22" spans="1:64">
      <c r="A22" s="4" t="s">
        <v>219</v>
      </c>
      <c r="B22" s="151" t="s">
        <v>220</v>
      </c>
      <c r="C22" s="151"/>
      <c r="D22" s="151"/>
      <c r="E22" s="151"/>
      <c r="F22" s="151"/>
      <c r="G22" s="152"/>
      <c r="H22" s="153"/>
      <c r="I22" s="154"/>
      <c r="J22" s="156"/>
      <c r="K22" s="156"/>
      <c r="L22" s="70">
        <v>12000</v>
      </c>
      <c r="M22" s="45"/>
      <c r="N22" s="45"/>
      <c r="O22" s="45"/>
      <c r="P22" s="45"/>
      <c r="Q22" s="45"/>
      <c r="R22" s="45"/>
      <c r="S22" s="45"/>
      <c r="T22" s="45"/>
      <c r="U22" s="45"/>
      <c r="V22" s="45"/>
      <c r="W22" s="45"/>
      <c r="X22" s="45"/>
      <c r="Y22" s="45"/>
      <c r="AW22" s="55" t="s">
        <v>123</v>
      </c>
      <c r="AX22" s="770">
        <v>59487.01</v>
      </c>
      <c r="AY22" s="770">
        <f>58247.42+58464.84</f>
        <v>116712.26</v>
      </c>
      <c r="AZ22" s="770">
        <f>62310.84+10234.24</f>
        <v>72545.08</v>
      </c>
      <c r="BE22" s="55">
        <v>15</v>
      </c>
      <c r="BG22" s="56">
        <v>2</v>
      </c>
    </row>
    <row r="23" spans="1:64">
      <c r="A23" s="5" t="s">
        <v>221</v>
      </c>
      <c r="B23" s="65" t="s">
        <v>222</v>
      </c>
      <c r="C23" s="65" t="s">
        <v>216</v>
      </c>
      <c r="D23" s="65" t="s">
        <v>223</v>
      </c>
      <c r="E23" s="65" t="s">
        <v>73</v>
      </c>
      <c r="F23" s="65"/>
      <c r="G23" s="43">
        <v>1</v>
      </c>
      <c r="H23" s="463">
        <v>12000</v>
      </c>
      <c r="I23" s="157">
        <v>0</v>
      </c>
      <c r="J23" s="159">
        <v>12000</v>
      </c>
      <c r="K23" s="159">
        <v>12000</v>
      </c>
      <c r="M23" s="45"/>
      <c r="N23" s="45"/>
      <c r="O23" s="45"/>
      <c r="P23" s="45"/>
      <c r="Q23" s="45"/>
      <c r="R23" s="45"/>
      <c r="S23" s="45"/>
      <c r="T23" s="45"/>
      <c r="U23" s="45"/>
      <c r="V23" s="45"/>
      <c r="W23" s="45"/>
      <c r="X23" s="45"/>
      <c r="Y23" s="45"/>
      <c r="AW23" s="55" t="s">
        <v>129</v>
      </c>
      <c r="AX23" s="770">
        <v>11996.7</v>
      </c>
      <c r="AY23" s="770">
        <v>11552.49</v>
      </c>
      <c r="AZ23" s="770">
        <f>12091.16+2030.7</f>
        <v>14121.86</v>
      </c>
      <c r="BE23" s="55">
        <v>5</v>
      </c>
      <c r="BG23" s="56">
        <v>2</v>
      </c>
    </row>
    <row r="24" spans="1:64">
      <c r="A24" s="4" t="s">
        <v>224</v>
      </c>
      <c r="B24" s="151" t="s">
        <v>225</v>
      </c>
      <c r="C24" s="151"/>
      <c r="D24" s="151"/>
      <c r="E24" s="151"/>
      <c r="F24" s="151"/>
      <c r="G24" s="152"/>
      <c r="H24" s="153"/>
      <c r="I24" s="154"/>
      <c r="J24" s="155"/>
      <c r="K24" s="156"/>
      <c r="L24" s="70">
        <v>2546599.198062331</v>
      </c>
      <c r="M24" s="45"/>
      <c r="N24" s="45"/>
      <c r="O24" s="45"/>
      <c r="P24" s="45"/>
      <c r="Q24" s="45"/>
      <c r="R24" s="45"/>
      <c r="S24" s="45"/>
      <c r="T24" s="45"/>
      <c r="U24" s="45"/>
      <c r="V24" s="45"/>
      <c r="W24" s="45"/>
      <c r="X24" s="45"/>
      <c r="Y24" s="45"/>
      <c r="Z24" s="56"/>
      <c r="AW24" s="55" t="s">
        <v>111</v>
      </c>
      <c r="AX24" s="770">
        <v>61844.959999999999</v>
      </c>
      <c r="AY24" s="770">
        <f>60632.4+60507.06</f>
        <v>121139.45999999999</v>
      </c>
      <c r="AZ24" s="770">
        <f>62164.89+10362.59</f>
        <v>72527.48</v>
      </c>
      <c r="BE24" s="55">
        <v>8</v>
      </c>
      <c r="BG24" s="56">
        <v>3</v>
      </c>
    </row>
    <row r="25" spans="1:64">
      <c r="A25" s="6" t="s">
        <v>226</v>
      </c>
      <c r="B25" s="47" t="s">
        <v>227</v>
      </c>
      <c r="C25" s="47" t="s">
        <v>216</v>
      </c>
      <c r="D25" s="47" t="s">
        <v>228</v>
      </c>
      <c r="E25" s="47" t="s">
        <v>44</v>
      </c>
      <c r="F25" s="47" t="s">
        <v>61</v>
      </c>
      <c r="G25" s="42">
        <v>145399.85</v>
      </c>
      <c r="H25" s="61">
        <v>11.5</v>
      </c>
      <c r="I25" s="63">
        <v>0</v>
      </c>
      <c r="J25" s="66">
        <v>11.5</v>
      </c>
      <c r="K25" s="594">
        <v>1672098.2750000001</v>
      </c>
      <c r="M25" s="45" t="s">
        <v>229</v>
      </c>
      <c r="N25" s="45"/>
      <c r="O25" s="45"/>
      <c r="P25" s="45"/>
      <c r="Q25" s="45"/>
      <c r="R25" s="45"/>
      <c r="S25" s="45"/>
      <c r="T25" s="45"/>
      <c r="U25" s="45"/>
      <c r="V25" s="45"/>
      <c r="W25" s="45"/>
      <c r="X25" s="45"/>
      <c r="Y25" s="45"/>
      <c r="Z25" s="56"/>
      <c r="AW25" s="55" t="s">
        <v>138</v>
      </c>
      <c r="AX25" s="770">
        <v>12071.18</v>
      </c>
      <c r="AY25" s="770">
        <v>11901.44</v>
      </c>
      <c r="AZ25" s="770">
        <f>12174.39+2032.3</f>
        <v>14206.689999999999</v>
      </c>
      <c r="BE25" s="55">
        <v>22</v>
      </c>
      <c r="BG25" s="56">
        <v>1</v>
      </c>
    </row>
    <row r="26" spans="1:64">
      <c r="A26" s="7" t="s">
        <v>230</v>
      </c>
      <c r="B26" s="40" t="s">
        <v>227</v>
      </c>
      <c r="C26" s="40" t="s">
        <v>216</v>
      </c>
      <c r="D26" s="40" t="s">
        <v>228</v>
      </c>
      <c r="E26" s="40" t="s">
        <v>231</v>
      </c>
      <c r="F26" s="40"/>
      <c r="G26" s="38"/>
      <c r="H26" s="51"/>
      <c r="I26" s="53"/>
      <c r="J26" s="462">
        <v>0</v>
      </c>
      <c r="K26" s="594">
        <v>0</v>
      </c>
      <c r="M26" s="45"/>
      <c r="N26" s="45"/>
      <c r="O26" s="45"/>
      <c r="P26" s="45"/>
      <c r="Q26" s="45"/>
      <c r="R26" s="45"/>
      <c r="S26" s="45"/>
      <c r="T26" s="45"/>
      <c r="U26" s="45"/>
      <c r="V26" s="45"/>
      <c r="W26" s="45"/>
      <c r="X26" s="45"/>
      <c r="Y26" s="45"/>
      <c r="Z26" s="56"/>
      <c r="AW26" s="55" t="s">
        <v>119</v>
      </c>
      <c r="AX26" s="770">
        <f>SUM(AX22:AX25)</f>
        <v>145399.85</v>
      </c>
      <c r="AY26" s="770">
        <f>SUM(AY22:AY25)</f>
        <v>261305.65</v>
      </c>
      <c r="AZ26" s="770">
        <f>SUM(AZ22:AZ25)</f>
        <v>173401.11</v>
      </c>
      <c r="BE26" s="55">
        <v>8</v>
      </c>
      <c r="BG26" s="56">
        <v>1</v>
      </c>
    </row>
    <row r="27" spans="1:64">
      <c r="A27" s="7" t="s">
        <v>232</v>
      </c>
      <c r="B27" s="40" t="s">
        <v>227</v>
      </c>
      <c r="C27" s="40" t="s">
        <v>233</v>
      </c>
      <c r="D27" s="40" t="s">
        <v>228</v>
      </c>
      <c r="E27" s="60" t="s">
        <v>73</v>
      </c>
      <c r="F27" s="40" t="s">
        <v>71</v>
      </c>
      <c r="G27" s="38">
        <v>1</v>
      </c>
      <c r="H27" s="54">
        <v>7500</v>
      </c>
      <c r="I27" s="53">
        <v>0</v>
      </c>
      <c r="J27" s="462">
        <v>7500</v>
      </c>
      <c r="K27" s="594">
        <v>7500</v>
      </c>
      <c r="M27" s="45"/>
      <c r="N27" s="45"/>
      <c r="O27" s="45"/>
      <c r="P27" s="45"/>
      <c r="Q27" s="45"/>
      <c r="R27" s="45"/>
      <c r="S27" s="45"/>
      <c r="T27" s="45"/>
      <c r="U27" s="45"/>
      <c r="V27" s="45"/>
      <c r="W27" s="45"/>
      <c r="X27" s="45"/>
      <c r="Y27" s="45"/>
      <c r="Z27" s="56"/>
      <c r="AF27" s="55">
        <f>1800+1350+1350+360+900+360+900+1080+360+450</f>
        <v>8910</v>
      </c>
      <c r="AX27" s="194"/>
      <c r="AY27" s="194"/>
      <c r="AZ27" s="194"/>
    </row>
    <row r="28" spans="1:64">
      <c r="A28" s="7" t="s">
        <v>234</v>
      </c>
      <c r="B28" s="40" t="s">
        <v>227</v>
      </c>
      <c r="C28" s="40" t="s">
        <v>216</v>
      </c>
      <c r="D28" s="40" t="s">
        <v>235</v>
      </c>
      <c r="E28" s="40" t="s">
        <v>73</v>
      </c>
      <c r="F28" s="60" t="s">
        <v>71</v>
      </c>
      <c r="G28" s="62">
        <v>1</v>
      </c>
      <c r="H28" s="54">
        <v>10000</v>
      </c>
      <c r="I28" s="53">
        <v>0</v>
      </c>
      <c r="J28" s="462">
        <v>10000</v>
      </c>
      <c r="K28" s="594">
        <v>10000</v>
      </c>
      <c r="M28" s="45"/>
      <c r="N28" s="45"/>
      <c r="O28" s="45"/>
      <c r="P28" s="45"/>
      <c r="Q28" s="45"/>
      <c r="R28" s="45"/>
      <c r="S28" s="45"/>
      <c r="T28" s="45"/>
      <c r="U28" s="45"/>
      <c r="V28" s="45"/>
      <c r="W28" s="45"/>
      <c r="X28" s="45"/>
      <c r="Y28" s="45"/>
      <c r="Z28" s="56"/>
      <c r="AX28" s="194"/>
      <c r="AY28" s="194"/>
      <c r="AZ28" s="194"/>
    </row>
    <row r="29" spans="1:64">
      <c r="A29" s="7" t="s">
        <v>236</v>
      </c>
      <c r="B29" s="40" t="s">
        <v>237</v>
      </c>
      <c r="C29" s="40" t="s">
        <v>216</v>
      </c>
      <c r="D29" s="40" t="s">
        <v>238</v>
      </c>
      <c r="E29" s="40" t="s">
        <v>239</v>
      </c>
      <c r="F29" s="40" t="s">
        <v>108</v>
      </c>
      <c r="G29" s="38">
        <v>14</v>
      </c>
      <c r="H29" s="54">
        <v>5500</v>
      </c>
      <c r="I29" s="53">
        <v>0</v>
      </c>
      <c r="J29" s="462">
        <v>5500</v>
      </c>
      <c r="K29" s="594">
        <v>77000</v>
      </c>
      <c r="L29" s="194"/>
      <c r="M29" s="45"/>
      <c r="N29" s="45"/>
      <c r="O29" s="45"/>
      <c r="P29" s="45"/>
      <c r="Q29" s="45"/>
      <c r="R29" s="45"/>
      <c r="S29" s="45"/>
      <c r="T29" s="45"/>
      <c r="U29" s="45"/>
      <c r="V29" s="45"/>
      <c r="W29" s="45"/>
      <c r="X29" s="45"/>
      <c r="Y29" s="45"/>
      <c r="Z29" s="56"/>
      <c r="AX29" s="194"/>
      <c r="AY29" s="194"/>
    </row>
    <row r="30" spans="1:64" ht="15" thickBot="1">
      <c r="A30" s="7" t="s">
        <v>240</v>
      </c>
      <c r="B30" s="40" t="s">
        <v>241</v>
      </c>
      <c r="C30" s="40" t="s">
        <v>216</v>
      </c>
      <c r="D30" s="40" t="s">
        <v>242</v>
      </c>
      <c r="E30" s="40" t="s">
        <v>73</v>
      </c>
      <c r="F30" s="40" t="s">
        <v>71</v>
      </c>
      <c r="G30" s="38">
        <v>1</v>
      </c>
      <c r="H30" s="54">
        <v>2500</v>
      </c>
      <c r="I30" s="53">
        <v>0</v>
      </c>
      <c r="J30" s="462">
        <v>2500</v>
      </c>
      <c r="K30" s="594">
        <v>2500</v>
      </c>
      <c r="M30" s="45"/>
      <c r="N30" s="45"/>
      <c r="O30" s="45"/>
      <c r="P30" s="45"/>
      <c r="Q30" s="45"/>
      <c r="R30" s="45"/>
      <c r="S30" s="45"/>
      <c r="T30" s="45"/>
      <c r="U30" s="45"/>
      <c r="V30" s="45"/>
      <c r="W30" s="45"/>
      <c r="X30" s="45"/>
      <c r="Y30" s="45"/>
      <c r="Z30" s="56"/>
      <c r="AE30" s="56"/>
      <c r="AF30" s="56"/>
      <c r="AG30" s="56"/>
      <c r="AH30" s="56"/>
      <c r="AI30" s="56"/>
      <c r="AX30" s="194"/>
      <c r="AY30" s="194"/>
    </row>
    <row r="31" spans="1:64">
      <c r="A31" s="7" t="s">
        <v>243</v>
      </c>
      <c r="B31" s="40" t="s">
        <v>244</v>
      </c>
      <c r="C31" s="40" t="s">
        <v>216</v>
      </c>
      <c r="D31" s="40" t="s">
        <v>242</v>
      </c>
      <c r="E31" s="40" t="s">
        <v>73</v>
      </c>
      <c r="F31" s="40" t="s">
        <v>71</v>
      </c>
      <c r="G31" s="38">
        <v>1</v>
      </c>
      <c r="H31" s="54">
        <v>23500</v>
      </c>
      <c r="I31" s="53">
        <v>0</v>
      </c>
      <c r="J31" s="462">
        <v>23500</v>
      </c>
      <c r="K31" s="594">
        <v>23500</v>
      </c>
      <c r="M31" s="45"/>
      <c r="N31" s="45"/>
      <c r="O31" s="45"/>
      <c r="P31" s="45"/>
      <c r="Q31" s="45"/>
      <c r="R31" s="45"/>
      <c r="S31" s="45"/>
      <c r="T31" s="45"/>
      <c r="U31" s="45"/>
      <c r="V31" s="45"/>
      <c r="W31" s="45"/>
      <c r="X31" s="45"/>
      <c r="Y31" s="45"/>
      <c r="Z31" s="56"/>
      <c r="AA31" s="161" t="s">
        <v>245</v>
      </c>
      <c r="AB31" s="91"/>
      <c r="AC31" s="91"/>
      <c r="AD31" s="162" t="s">
        <v>246</v>
      </c>
      <c r="AE31" s="163" t="s">
        <v>40</v>
      </c>
      <c r="AF31" s="163" t="s">
        <v>41</v>
      </c>
      <c r="AG31" s="163" t="s">
        <v>43</v>
      </c>
      <c r="AH31" s="163" t="s">
        <v>45</v>
      </c>
      <c r="AI31" s="163" t="s">
        <v>247</v>
      </c>
      <c r="AJ31" s="164"/>
    </row>
    <row r="32" spans="1:64">
      <c r="A32" s="7" t="s">
        <v>248</v>
      </c>
      <c r="B32" s="40" t="s">
        <v>249</v>
      </c>
      <c r="C32" s="40" t="s">
        <v>216</v>
      </c>
      <c r="D32" s="40" t="s">
        <v>250</v>
      </c>
      <c r="E32" s="40" t="s">
        <v>73</v>
      </c>
      <c r="F32" s="40" t="s">
        <v>71</v>
      </c>
      <c r="G32" s="38">
        <v>1</v>
      </c>
      <c r="H32" s="54">
        <v>4000</v>
      </c>
      <c r="I32" s="53">
        <v>0</v>
      </c>
      <c r="J32" s="462">
        <v>4000</v>
      </c>
      <c r="K32" s="594">
        <v>4000</v>
      </c>
      <c r="M32" s="45"/>
      <c r="N32" s="45"/>
      <c r="O32" s="45"/>
      <c r="P32" s="45"/>
      <c r="Q32" s="45"/>
      <c r="R32" s="45"/>
      <c r="S32" s="45"/>
      <c r="T32" s="45"/>
      <c r="U32" s="45"/>
      <c r="V32" s="45"/>
      <c r="W32" s="45"/>
      <c r="X32" s="45"/>
      <c r="Y32" s="45"/>
      <c r="Z32" s="56"/>
      <c r="AA32" s="95"/>
      <c r="AB32" s="55" t="s">
        <v>251</v>
      </c>
      <c r="AD32" s="55">
        <f>(21+15)</f>
        <v>36</v>
      </c>
      <c r="AE32" s="55">
        <f>AD32*7*2</f>
        <v>504</v>
      </c>
      <c r="AF32" s="55">
        <f>AD32*2</f>
        <v>72</v>
      </c>
      <c r="AG32" s="55">
        <f>AD32*7</f>
        <v>252</v>
      </c>
      <c r="AH32" s="55">
        <f>AD32*8</f>
        <v>288</v>
      </c>
      <c r="AI32" s="55">
        <v>0</v>
      </c>
      <c r="AJ32" s="96"/>
    </row>
    <row r="33" spans="1:61">
      <c r="A33" s="7" t="s">
        <v>252</v>
      </c>
      <c r="B33" s="40" t="s">
        <v>253</v>
      </c>
      <c r="C33" s="40" t="s">
        <v>216</v>
      </c>
      <c r="D33" s="40" t="s">
        <v>228</v>
      </c>
      <c r="E33" s="40" t="s">
        <v>239</v>
      </c>
      <c r="F33" s="40" t="s">
        <v>61</v>
      </c>
      <c r="G33" s="38">
        <v>261305.65</v>
      </c>
      <c r="H33" s="51">
        <v>2.6</v>
      </c>
      <c r="I33" s="53">
        <v>0</v>
      </c>
      <c r="J33" s="160">
        <v>2.6</v>
      </c>
      <c r="K33" s="594">
        <v>679394.69000000006</v>
      </c>
      <c r="M33" s="596" t="s">
        <v>254</v>
      </c>
      <c r="N33" s="45"/>
      <c r="O33" s="45"/>
      <c r="P33" s="45"/>
      <c r="Q33" s="45"/>
      <c r="R33" s="45"/>
      <c r="S33" s="45"/>
      <c r="T33" s="45"/>
      <c r="U33" s="45"/>
      <c r="V33" s="45"/>
      <c r="W33" s="45"/>
      <c r="X33" s="45"/>
      <c r="Y33" s="45"/>
      <c r="Z33" s="56"/>
      <c r="AA33" s="95"/>
      <c r="AB33" s="55" t="s">
        <v>255</v>
      </c>
      <c r="AD33" s="55">
        <v>13</v>
      </c>
      <c r="AE33" s="55">
        <f>AD33*10*2</f>
        <v>260</v>
      </c>
      <c r="AF33" s="165" t="s">
        <v>231</v>
      </c>
      <c r="AG33" s="55">
        <v>260</v>
      </c>
      <c r="AH33" s="165" t="s">
        <v>231</v>
      </c>
      <c r="AI33" s="165" t="s">
        <v>231</v>
      </c>
      <c r="AJ33" s="96"/>
      <c r="AL33" s="55">
        <f>AG33+AE33</f>
        <v>520</v>
      </c>
    </row>
    <row r="34" spans="1:61">
      <c r="A34" s="8" t="s">
        <v>256</v>
      </c>
      <c r="B34" s="166" t="s">
        <v>257</v>
      </c>
      <c r="C34" s="166" t="s">
        <v>216</v>
      </c>
      <c r="D34" s="166" t="s">
        <v>228</v>
      </c>
      <c r="E34" s="166" t="s">
        <v>239</v>
      </c>
      <c r="F34" s="166" t="s">
        <v>61</v>
      </c>
      <c r="G34" s="39">
        <v>3440</v>
      </c>
      <c r="H34" s="167">
        <v>20.525067750677508</v>
      </c>
      <c r="I34" s="168">
        <v>0</v>
      </c>
      <c r="J34" s="169">
        <v>20.525067750677508</v>
      </c>
      <c r="K34" s="774">
        <v>70606.233062330633</v>
      </c>
      <c r="L34" s="71"/>
      <c r="M34" s="45"/>
      <c r="N34" s="45"/>
      <c r="O34" s="45"/>
      <c r="P34" s="45"/>
      <c r="Q34" s="45"/>
      <c r="R34" s="45"/>
      <c r="S34" s="45"/>
      <c r="T34" s="45"/>
      <c r="U34" s="45"/>
      <c r="V34" s="45"/>
      <c r="W34" s="45"/>
      <c r="X34" s="45"/>
      <c r="Y34" s="45"/>
      <c r="Z34" s="56"/>
      <c r="AA34" s="95"/>
      <c r="AB34" s="55" t="s">
        <v>258</v>
      </c>
      <c r="AD34" s="55">
        <v>8</v>
      </c>
      <c r="AE34" s="55">
        <f>AD34*52</f>
        <v>416</v>
      </c>
      <c r="AF34" s="55">
        <f>AD34*12</f>
        <v>96</v>
      </c>
      <c r="AG34" s="55">
        <f>AD34*28</f>
        <v>224</v>
      </c>
      <c r="AH34" s="55">
        <f>AD34*30</f>
        <v>240</v>
      </c>
      <c r="AI34" s="55">
        <v>0</v>
      </c>
      <c r="AJ34" s="96"/>
      <c r="AL34" s="55">
        <f>AL33/AJ35</f>
        <v>0.19908116385911179</v>
      </c>
    </row>
    <row r="35" spans="1:61" ht="15" hidden="1" thickBot="1">
      <c r="A35" s="4" t="s">
        <v>259</v>
      </c>
      <c r="B35" s="151" t="s">
        <v>260</v>
      </c>
      <c r="C35" s="151"/>
      <c r="D35" s="151"/>
      <c r="E35" s="151"/>
      <c r="F35" s="151"/>
      <c r="G35" s="152"/>
      <c r="H35" s="153"/>
      <c r="I35" s="154"/>
      <c r="J35" s="155"/>
      <c r="K35" s="156"/>
      <c r="L35" s="70">
        <v>0</v>
      </c>
      <c r="M35" s="45"/>
      <c r="N35" s="45"/>
      <c r="O35" s="45"/>
      <c r="P35" s="45"/>
      <c r="Q35" s="45"/>
      <c r="R35" s="45"/>
      <c r="S35" s="45"/>
      <c r="T35" s="45"/>
      <c r="U35" s="45"/>
      <c r="V35" s="45"/>
      <c r="W35" s="45"/>
      <c r="X35" s="45"/>
      <c r="Y35" s="45"/>
      <c r="Z35" s="56"/>
      <c r="AA35" s="137"/>
      <c r="AB35" s="138"/>
      <c r="AC35" s="138"/>
      <c r="AD35" s="138"/>
      <c r="AE35" s="170">
        <f>SUM(AE32:AE34)</f>
        <v>1180</v>
      </c>
      <c r="AF35" s="170">
        <f t="shared" ref="AF35:AI35" si="5">SUM(AF32:AF34)</f>
        <v>168</v>
      </c>
      <c r="AG35" s="170">
        <f t="shared" si="5"/>
        <v>736</v>
      </c>
      <c r="AH35" s="170">
        <f t="shared" si="5"/>
        <v>528</v>
      </c>
      <c r="AI35" s="170">
        <f t="shared" si="5"/>
        <v>0</v>
      </c>
      <c r="AJ35" s="171">
        <f>SUM(AE35:AI35)</f>
        <v>2612</v>
      </c>
    </row>
    <row r="36" spans="1:61" hidden="1">
      <c r="A36" s="6" t="s">
        <v>261</v>
      </c>
      <c r="B36" s="47"/>
      <c r="C36" s="47" t="s">
        <v>216</v>
      </c>
      <c r="D36" s="47"/>
      <c r="E36" s="47" t="s">
        <v>231</v>
      </c>
      <c r="F36" s="47"/>
      <c r="G36" s="42">
        <v>0</v>
      </c>
      <c r="H36" s="61"/>
      <c r="I36" s="63"/>
      <c r="J36" s="66">
        <v>0</v>
      </c>
      <c r="K36" s="67">
        <v>0</v>
      </c>
      <c r="M36" s="45"/>
      <c r="N36" s="45"/>
      <c r="O36" s="45"/>
      <c r="P36" s="45"/>
      <c r="Q36" s="45"/>
      <c r="R36" s="45"/>
      <c r="S36" s="45"/>
      <c r="T36" s="45"/>
      <c r="U36" s="45"/>
      <c r="V36" s="45"/>
      <c r="W36" s="45"/>
      <c r="X36" s="45"/>
      <c r="Y36" s="45"/>
      <c r="Z36" s="56"/>
    </row>
    <row r="37" spans="1:61" hidden="1">
      <c r="A37" s="7" t="s">
        <v>262</v>
      </c>
      <c r="B37" s="40"/>
      <c r="C37" s="40" t="s">
        <v>216</v>
      </c>
      <c r="D37" s="40"/>
      <c r="E37" s="40" t="s">
        <v>231</v>
      </c>
      <c r="F37" s="40"/>
      <c r="G37" s="38"/>
      <c r="H37" s="51"/>
      <c r="I37" s="53"/>
      <c r="J37" s="160">
        <v>0</v>
      </c>
      <c r="K37" s="67">
        <v>0</v>
      </c>
      <c r="M37" s="45"/>
      <c r="N37" s="45"/>
      <c r="O37" s="45"/>
      <c r="P37" s="45"/>
      <c r="Q37" s="45"/>
      <c r="R37" s="45"/>
      <c r="S37" s="45"/>
      <c r="T37" s="45"/>
      <c r="U37" s="45"/>
      <c r="V37" s="45"/>
      <c r="W37" s="45"/>
      <c r="X37" s="45"/>
      <c r="Y37" s="45"/>
      <c r="Z37" s="56"/>
      <c r="AA37" s="161" t="s">
        <v>0</v>
      </c>
      <c r="AB37" s="91"/>
      <c r="AC37" s="91"/>
      <c r="AD37" s="162"/>
      <c r="AE37" s="163" t="s">
        <v>40</v>
      </c>
      <c r="AF37" s="163" t="s">
        <v>41</v>
      </c>
      <c r="AG37" s="163" t="s">
        <v>43</v>
      </c>
      <c r="AH37" s="163" t="s">
        <v>45</v>
      </c>
      <c r="AI37" s="163" t="s">
        <v>247</v>
      </c>
      <c r="AJ37" s="92"/>
    </row>
    <row r="38" spans="1:61" hidden="1">
      <c r="A38" s="7" t="s">
        <v>263</v>
      </c>
      <c r="B38" s="40"/>
      <c r="C38" s="40" t="s">
        <v>216</v>
      </c>
      <c r="D38" s="40"/>
      <c r="E38" s="40" t="s">
        <v>231</v>
      </c>
      <c r="F38" s="40"/>
      <c r="G38" s="38"/>
      <c r="H38" s="51"/>
      <c r="I38" s="53"/>
      <c r="J38" s="160">
        <v>0</v>
      </c>
      <c r="K38" s="67">
        <v>0</v>
      </c>
      <c r="M38" s="45"/>
      <c r="N38" s="45"/>
      <c r="O38" s="45"/>
      <c r="P38" s="45"/>
      <c r="Q38" s="45"/>
      <c r="R38" s="45"/>
      <c r="S38" s="45"/>
      <c r="T38" s="45"/>
      <c r="U38" s="45"/>
      <c r="V38" s="45"/>
      <c r="W38" s="45"/>
      <c r="X38" s="45"/>
      <c r="Y38" s="45"/>
      <c r="Z38" s="56"/>
      <c r="AA38" s="95"/>
      <c r="AB38" s="55" t="s">
        <v>38</v>
      </c>
      <c r="AD38" s="55" t="s">
        <v>61</v>
      </c>
      <c r="AE38" s="55">
        <f>62029-860-2726</f>
        <v>58443</v>
      </c>
      <c r="AF38" s="55">
        <f>12359-669</f>
        <v>11690</v>
      </c>
      <c r="AG38" s="55">
        <f>64481-860-2888</f>
        <v>60733</v>
      </c>
      <c r="AH38" s="55">
        <f>12359-669</f>
        <v>11690</v>
      </c>
      <c r="AI38" s="55">
        <v>0</v>
      </c>
      <c r="AJ38" s="96"/>
    </row>
    <row r="39" spans="1:61" hidden="1">
      <c r="A39" s="7" t="s">
        <v>264</v>
      </c>
      <c r="B39" s="40"/>
      <c r="C39" s="40" t="s">
        <v>216</v>
      </c>
      <c r="D39" s="40"/>
      <c r="E39" s="40" t="s">
        <v>231</v>
      </c>
      <c r="F39" s="40"/>
      <c r="G39" s="38"/>
      <c r="H39" s="51"/>
      <c r="I39" s="53"/>
      <c r="J39" s="160">
        <v>0</v>
      </c>
      <c r="K39" s="67">
        <v>0</v>
      </c>
      <c r="M39" s="45"/>
      <c r="N39" s="45"/>
      <c r="O39" s="45"/>
      <c r="P39" s="45"/>
      <c r="Q39" s="45"/>
      <c r="R39" s="45"/>
      <c r="S39" s="45"/>
      <c r="T39" s="45"/>
      <c r="U39" s="45"/>
      <c r="V39" s="45"/>
      <c r="W39" s="45"/>
      <c r="X39" s="45"/>
      <c r="Y39" s="45"/>
      <c r="Z39" s="56"/>
      <c r="AA39" s="95"/>
      <c r="AB39" s="55" t="s">
        <v>39</v>
      </c>
      <c r="AD39" s="55" t="s">
        <v>61</v>
      </c>
      <c r="AE39" s="55">
        <f>62109-860-2827</f>
        <v>58422</v>
      </c>
      <c r="AF39" s="165" t="s">
        <v>231</v>
      </c>
      <c r="AG39" s="165">
        <v>60733</v>
      </c>
      <c r="AH39" s="165" t="s">
        <v>231</v>
      </c>
      <c r="AI39" s="165">
        <v>0</v>
      </c>
      <c r="AJ39" s="96"/>
    </row>
    <row r="40" spans="1:61" ht="15" hidden="1" thickBot="1">
      <c r="A40" s="7" t="s">
        <v>265</v>
      </c>
      <c r="B40" s="40"/>
      <c r="C40" s="40" t="s">
        <v>216</v>
      </c>
      <c r="D40" s="40"/>
      <c r="E40" s="40" t="s">
        <v>231</v>
      </c>
      <c r="F40" s="40"/>
      <c r="G40" s="38"/>
      <c r="H40" s="51"/>
      <c r="I40" s="53"/>
      <c r="J40" s="160">
        <v>0</v>
      </c>
      <c r="K40" s="67">
        <v>0</v>
      </c>
      <c r="M40" s="45"/>
      <c r="N40" s="45"/>
      <c r="O40" s="45"/>
      <c r="P40" s="45"/>
      <c r="Q40" s="45"/>
      <c r="R40" s="45"/>
      <c r="S40" s="45"/>
      <c r="T40" s="45"/>
      <c r="U40" s="45"/>
      <c r="V40" s="45"/>
      <c r="W40" s="45"/>
      <c r="X40" s="45"/>
      <c r="Y40" s="45"/>
      <c r="Z40" s="56"/>
      <c r="AA40" s="137"/>
      <c r="AB40" s="138" t="s">
        <v>119</v>
      </c>
      <c r="AC40" s="138"/>
      <c r="AD40" s="138" t="s">
        <v>61</v>
      </c>
      <c r="AE40" s="170">
        <f>SUM(AE38:AE39)</f>
        <v>116865</v>
      </c>
      <c r="AF40" s="170">
        <f t="shared" ref="AF40:AI40" si="6">SUM(AF38:AF39)</f>
        <v>11690</v>
      </c>
      <c r="AG40" s="170">
        <f t="shared" si="6"/>
        <v>121466</v>
      </c>
      <c r="AH40" s="170">
        <f t="shared" si="6"/>
        <v>11690</v>
      </c>
      <c r="AI40" s="170">
        <f t="shared" si="6"/>
        <v>0</v>
      </c>
      <c r="AJ40" s="171">
        <f>SUM(AE40:AI40)</f>
        <v>261711</v>
      </c>
    </row>
    <row r="41" spans="1:61" hidden="1">
      <c r="A41" s="7" t="s">
        <v>266</v>
      </c>
      <c r="B41" s="40"/>
      <c r="C41" s="40" t="s">
        <v>216</v>
      </c>
      <c r="D41" s="40"/>
      <c r="E41" s="40" t="s">
        <v>231</v>
      </c>
      <c r="F41" s="40"/>
      <c r="G41" s="38"/>
      <c r="H41" s="51"/>
      <c r="I41" s="53"/>
      <c r="J41" s="160">
        <v>0</v>
      </c>
      <c r="K41" s="67">
        <v>0</v>
      </c>
      <c r="M41" s="45"/>
      <c r="N41" s="45"/>
      <c r="O41" s="45"/>
      <c r="P41" s="45"/>
      <c r="Q41" s="45"/>
      <c r="R41" s="45"/>
      <c r="S41" s="45"/>
      <c r="T41" s="45"/>
      <c r="U41" s="45"/>
      <c r="V41" s="45"/>
      <c r="W41" s="45"/>
      <c r="X41" s="45"/>
      <c r="Y41" s="45"/>
      <c r="Z41" s="56"/>
    </row>
    <row r="42" spans="1:61" hidden="1">
      <c r="A42" s="7" t="s">
        <v>267</v>
      </c>
      <c r="B42" s="40"/>
      <c r="C42" s="40" t="s">
        <v>216</v>
      </c>
      <c r="D42" s="40"/>
      <c r="E42" s="40" t="s">
        <v>231</v>
      </c>
      <c r="F42" s="40"/>
      <c r="G42" s="38"/>
      <c r="H42" s="51"/>
      <c r="I42" s="53"/>
      <c r="J42" s="160">
        <v>0</v>
      </c>
      <c r="K42" s="67">
        <v>0</v>
      </c>
      <c r="M42" s="45"/>
      <c r="N42" s="45"/>
      <c r="O42" s="45"/>
      <c r="P42" s="45"/>
      <c r="Q42" s="45"/>
      <c r="R42" s="45"/>
      <c r="S42" s="45"/>
      <c r="T42" s="45"/>
      <c r="U42" s="45"/>
      <c r="V42" s="45"/>
      <c r="W42" s="45"/>
      <c r="X42" s="45"/>
      <c r="Y42" s="45"/>
      <c r="Z42" s="56"/>
    </row>
    <row r="43" spans="1:61" hidden="1">
      <c r="A43" s="8" t="s">
        <v>268</v>
      </c>
      <c r="B43" s="166"/>
      <c r="C43" s="166" t="s">
        <v>216</v>
      </c>
      <c r="D43" s="166"/>
      <c r="E43" s="166" t="s">
        <v>231</v>
      </c>
      <c r="F43" s="166"/>
      <c r="G43" s="39"/>
      <c r="H43" s="167"/>
      <c r="I43" s="168"/>
      <c r="J43" s="169">
        <v>0</v>
      </c>
      <c r="K43" s="159">
        <v>0</v>
      </c>
      <c r="M43" s="45"/>
      <c r="N43" s="45"/>
      <c r="O43" s="45"/>
      <c r="P43" s="45"/>
      <c r="Q43" s="45"/>
      <c r="R43" s="45"/>
      <c r="S43" s="45"/>
      <c r="T43" s="45"/>
      <c r="U43" s="45"/>
      <c r="V43" s="45"/>
      <c r="W43" s="45"/>
      <c r="X43" s="45"/>
      <c r="Y43" s="45"/>
      <c r="Z43" s="56"/>
    </row>
    <row r="44" spans="1:61">
      <c r="A44" s="4" t="s">
        <v>269</v>
      </c>
      <c r="B44" s="151" t="s">
        <v>270</v>
      </c>
      <c r="C44" s="151"/>
      <c r="D44" s="151"/>
      <c r="E44" s="151"/>
      <c r="F44" s="151"/>
      <c r="G44" s="152"/>
      <c r="H44" s="153"/>
      <c r="I44" s="154"/>
      <c r="J44" s="153"/>
      <c r="K44" s="172"/>
      <c r="L44" s="70">
        <v>275600</v>
      </c>
      <c r="M44" s="45"/>
      <c r="N44" s="45"/>
      <c r="O44" s="45"/>
      <c r="P44" s="45"/>
      <c r="Q44" s="45"/>
      <c r="R44" s="45"/>
      <c r="S44" s="45"/>
      <c r="T44" s="45"/>
      <c r="U44" s="45"/>
      <c r="V44" s="45"/>
      <c r="W44" s="45"/>
      <c r="X44" s="45"/>
      <c r="Y44" s="45"/>
      <c r="Z44" s="56"/>
    </row>
    <row r="45" spans="1:61">
      <c r="A45" s="6" t="s">
        <v>271</v>
      </c>
      <c r="B45" s="47" t="s">
        <v>272</v>
      </c>
      <c r="C45" s="47" t="s">
        <v>216</v>
      </c>
      <c r="D45" s="47" t="s">
        <v>228</v>
      </c>
      <c r="E45" s="47" t="s">
        <v>239</v>
      </c>
      <c r="F45" s="47" t="s">
        <v>273</v>
      </c>
      <c r="G45" s="42">
        <v>12</v>
      </c>
      <c r="H45" s="461">
        <v>10800</v>
      </c>
      <c r="I45" s="63">
        <v>0</v>
      </c>
      <c r="J45" s="67">
        <v>10800</v>
      </c>
      <c r="K45" s="67">
        <v>129600</v>
      </c>
      <c r="M45" s="45" t="s">
        <v>274</v>
      </c>
      <c r="N45" s="45"/>
      <c r="O45" s="45"/>
      <c r="P45" s="45"/>
      <c r="Q45" s="45"/>
      <c r="R45" s="45"/>
      <c r="S45" s="45"/>
      <c r="T45" s="45"/>
      <c r="U45" s="45"/>
      <c r="V45" s="45"/>
      <c r="W45" s="45"/>
      <c r="X45" s="45"/>
      <c r="Y45" s="45"/>
      <c r="Z45" s="56"/>
      <c r="AY45" s="55">
        <v>145637</v>
      </c>
      <c r="BE45" s="56" t="s">
        <v>123</v>
      </c>
      <c r="BF45" s="56"/>
      <c r="BG45" s="56" t="s">
        <v>129</v>
      </c>
      <c r="BH45" s="56" t="s">
        <v>111</v>
      </c>
      <c r="BI45" s="56" t="s">
        <v>138</v>
      </c>
    </row>
    <row r="46" spans="1:61">
      <c r="A46" s="7" t="s">
        <v>275</v>
      </c>
      <c r="B46" s="40" t="s">
        <v>276</v>
      </c>
      <c r="C46" s="40" t="s">
        <v>216</v>
      </c>
      <c r="D46" s="40" t="s">
        <v>238</v>
      </c>
      <c r="E46" s="40" t="s">
        <v>239</v>
      </c>
      <c r="F46" s="40" t="s">
        <v>108</v>
      </c>
      <c r="G46" s="38">
        <v>14</v>
      </c>
      <c r="H46" s="54">
        <v>6500</v>
      </c>
      <c r="I46" s="53">
        <v>0</v>
      </c>
      <c r="J46" s="462">
        <v>6500</v>
      </c>
      <c r="K46" s="67">
        <v>91000</v>
      </c>
      <c r="L46" s="112"/>
      <c r="M46" s="45"/>
      <c r="N46" s="45"/>
      <c r="O46" s="45"/>
      <c r="P46" s="45"/>
      <c r="Q46" s="45"/>
      <c r="R46" s="45"/>
      <c r="S46" s="45"/>
      <c r="T46" s="45"/>
      <c r="U46" s="45"/>
      <c r="V46" s="45"/>
      <c r="W46" s="45"/>
      <c r="X46" s="45"/>
      <c r="Y46" s="45"/>
      <c r="Z46" s="56"/>
      <c r="AY46" s="55">
        <v>505788</v>
      </c>
      <c r="BE46" s="770">
        <f>26738+14573</f>
        <v>41311</v>
      </c>
      <c r="BF46" s="770"/>
      <c r="BG46" s="770">
        <v>9811</v>
      </c>
      <c r="BH46" s="770">
        <f>28098+20414</f>
        <v>48512</v>
      </c>
      <c r="BI46" s="770">
        <v>9811</v>
      </c>
    </row>
    <row r="47" spans="1:61">
      <c r="A47" s="7" t="s">
        <v>277</v>
      </c>
      <c r="B47" s="40" t="s">
        <v>278</v>
      </c>
      <c r="C47" s="40" t="s">
        <v>216</v>
      </c>
      <c r="D47" s="40" t="s">
        <v>223</v>
      </c>
      <c r="E47" s="40" t="s">
        <v>73</v>
      </c>
      <c r="F47" s="40" t="s">
        <v>71</v>
      </c>
      <c r="G47" s="38">
        <v>1</v>
      </c>
      <c r="H47" s="54"/>
      <c r="I47" s="53"/>
      <c r="J47" s="462">
        <v>0</v>
      </c>
      <c r="K47" s="67">
        <v>0</v>
      </c>
      <c r="L47" s="194"/>
      <c r="M47" s="45"/>
      <c r="N47" s="45"/>
      <c r="O47" s="45"/>
      <c r="P47" s="45"/>
      <c r="Q47" s="45"/>
      <c r="R47" s="45"/>
      <c r="S47" s="45"/>
      <c r="T47" s="45"/>
      <c r="U47" s="45"/>
      <c r="V47" s="45"/>
      <c r="W47" s="45"/>
      <c r="X47" s="45"/>
      <c r="Y47" s="45"/>
      <c r="Z47" s="56"/>
      <c r="AY47" s="55">
        <f>AY46/AY45</f>
        <v>3.4729361357347379</v>
      </c>
      <c r="BE47" s="770">
        <f>28744+20323</f>
        <v>49067</v>
      </c>
      <c r="BF47" s="770"/>
      <c r="BG47" s="770">
        <v>10036</v>
      </c>
      <c r="BH47" s="770">
        <f>28888+22223</f>
        <v>51111</v>
      </c>
      <c r="BI47" s="770">
        <v>10036</v>
      </c>
    </row>
    <row r="48" spans="1:61">
      <c r="A48" s="7" t="s">
        <v>279</v>
      </c>
      <c r="B48" s="40" t="s">
        <v>280</v>
      </c>
      <c r="C48" s="40" t="s">
        <v>216</v>
      </c>
      <c r="D48" s="40" t="s">
        <v>242</v>
      </c>
      <c r="E48" s="40" t="s">
        <v>73</v>
      </c>
      <c r="F48" s="40" t="s">
        <v>71</v>
      </c>
      <c r="G48" s="38">
        <v>4</v>
      </c>
      <c r="H48" s="54">
        <v>10000</v>
      </c>
      <c r="I48" s="53">
        <v>0</v>
      </c>
      <c r="J48" s="462">
        <v>10000</v>
      </c>
      <c r="K48" s="67">
        <v>40000</v>
      </c>
      <c r="M48" s="45"/>
      <c r="N48" s="45"/>
      <c r="O48" s="45"/>
      <c r="P48" s="45"/>
      <c r="Q48" s="45"/>
      <c r="R48" s="45"/>
      <c r="S48" s="45"/>
      <c r="T48" s="45"/>
      <c r="U48" s="45"/>
      <c r="V48" s="45"/>
      <c r="W48" s="45"/>
      <c r="X48" s="45"/>
      <c r="Y48" s="45"/>
      <c r="Z48" s="56"/>
      <c r="BE48" s="770">
        <f>28744+20323</f>
        <v>49067</v>
      </c>
      <c r="BF48" s="770"/>
      <c r="BG48" s="770"/>
      <c r="BH48" s="770">
        <f>28888+22223</f>
        <v>51111</v>
      </c>
      <c r="BI48" s="770"/>
    </row>
    <row r="49" spans="1:62">
      <c r="A49" s="7" t="s">
        <v>281</v>
      </c>
      <c r="B49" s="40" t="s">
        <v>282</v>
      </c>
      <c r="C49" s="40" t="s">
        <v>283</v>
      </c>
      <c r="D49" s="40" t="s">
        <v>250</v>
      </c>
      <c r="E49" s="40" t="s">
        <v>73</v>
      </c>
      <c r="F49" s="40" t="s">
        <v>71</v>
      </c>
      <c r="G49" s="38">
        <v>1</v>
      </c>
      <c r="H49" s="54">
        <v>15000</v>
      </c>
      <c r="I49" s="53">
        <v>0</v>
      </c>
      <c r="J49" s="462">
        <v>15000</v>
      </c>
      <c r="K49" s="67">
        <v>15000</v>
      </c>
      <c r="M49" s="45"/>
      <c r="N49" s="45"/>
      <c r="O49" s="45"/>
      <c r="P49" s="45"/>
      <c r="Q49" s="45"/>
      <c r="R49" s="45"/>
      <c r="S49" s="45"/>
      <c r="T49" s="45"/>
      <c r="U49" s="45"/>
      <c r="V49" s="45"/>
      <c r="W49" s="45"/>
      <c r="X49" s="45"/>
      <c r="Y49" s="45"/>
      <c r="Z49" s="56"/>
      <c r="BE49" s="770">
        <f>SUM(BE46:BE48)</f>
        <v>139445</v>
      </c>
      <c r="BF49" s="770"/>
      <c r="BG49" s="770">
        <f t="shared" ref="BG49:BI49" si="7">SUM(BG46:BG48)</f>
        <v>19847</v>
      </c>
      <c r="BH49" s="770">
        <f t="shared" si="7"/>
        <v>150734</v>
      </c>
      <c r="BI49" s="770">
        <f t="shared" si="7"/>
        <v>19847</v>
      </c>
      <c r="BJ49" s="194">
        <f>SUM(BE49:BI49)</f>
        <v>329873</v>
      </c>
    </row>
    <row r="50" spans="1:62">
      <c r="A50" s="4" t="s">
        <v>284</v>
      </c>
      <c r="B50" s="151" t="s">
        <v>285</v>
      </c>
      <c r="C50" s="151"/>
      <c r="D50" s="151"/>
      <c r="E50" s="151"/>
      <c r="F50" s="151"/>
      <c r="G50" s="152"/>
      <c r="H50" s="153"/>
      <c r="I50" s="154"/>
      <c r="J50" s="153"/>
      <c r="K50" s="172"/>
      <c r="L50" s="70">
        <v>609026.97560000001</v>
      </c>
      <c r="M50" s="45"/>
      <c r="N50" s="45"/>
      <c r="O50" s="45"/>
      <c r="P50" s="45"/>
      <c r="Q50" s="45"/>
      <c r="R50" s="45"/>
      <c r="S50" s="45"/>
      <c r="T50" s="45"/>
      <c r="U50" s="45"/>
      <c r="V50" s="45"/>
      <c r="W50" s="45"/>
      <c r="X50" s="45"/>
      <c r="Y50" s="45"/>
      <c r="Z50" s="56"/>
      <c r="BE50" s="770"/>
      <c r="BF50" s="770"/>
      <c r="BG50" s="770"/>
      <c r="BH50" s="770"/>
      <c r="BI50" s="770"/>
    </row>
    <row r="51" spans="1:62">
      <c r="A51" s="6" t="s">
        <v>286</v>
      </c>
      <c r="B51" s="47" t="s">
        <v>287</v>
      </c>
      <c r="C51" s="47" t="s">
        <v>216</v>
      </c>
      <c r="D51" s="47" t="s">
        <v>228</v>
      </c>
      <c r="E51" s="47" t="s">
        <v>73</v>
      </c>
      <c r="F51" s="47" t="s">
        <v>288</v>
      </c>
      <c r="G51" s="42">
        <v>59616.52</v>
      </c>
      <c r="H51" s="61">
        <v>4.03</v>
      </c>
      <c r="I51" s="63">
        <v>0</v>
      </c>
      <c r="J51" s="66">
        <v>4.03</v>
      </c>
      <c r="K51" s="67">
        <v>240254.57560000001</v>
      </c>
      <c r="M51" s="45"/>
      <c r="N51" s="45"/>
      <c r="O51" s="45"/>
      <c r="P51" s="45"/>
      <c r="Q51" s="45"/>
      <c r="R51" s="45"/>
      <c r="S51" s="45"/>
      <c r="T51" s="45"/>
      <c r="U51" s="45"/>
      <c r="V51" s="45"/>
      <c r="W51" s="45"/>
      <c r="X51" s="45"/>
      <c r="Y51" s="45"/>
      <c r="Z51" s="56"/>
      <c r="BE51" s="770"/>
      <c r="BF51" s="770"/>
      <c r="BG51" s="770"/>
      <c r="BH51" s="770"/>
      <c r="BI51" s="770"/>
    </row>
    <row r="52" spans="1:62">
      <c r="A52" s="7" t="s">
        <v>289</v>
      </c>
      <c r="B52" s="40" t="s">
        <v>290</v>
      </c>
      <c r="C52" s="40" t="s">
        <v>216</v>
      </c>
      <c r="D52" s="40" t="s">
        <v>228</v>
      </c>
      <c r="E52" s="40" t="s">
        <v>6</v>
      </c>
      <c r="F52" s="40" t="s">
        <v>107</v>
      </c>
      <c r="G52" s="38">
        <v>4</v>
      </c>
      <c r="H52" s="54">
        <v>4100</v>
      </c>
      <c r="I52" s="53">
        <v>0</v>
      </c>
      <c r="J52" s="67">
        <v>4100</v>
      </c>
      <c r="K52" s="67">
        <v>16400</v>
      </c>
      <c r="M52" s="45"/>
      <c r="N52" s="45"/>
      <c r="O52" s="45"/>
      <c r="P52" s="45"/>
      <c r="Q52" s="45"/>
      <c r="R52" s="45"/>
      <c r="S52" s="45"/>
      <c r="T52" s="45"/>
      <c r="U52" s="45"/>
      <c r="V52" s="45"/>
      <c r="W52" s="45"/>
      <c r="X52" s="45"/>
      <c r="Y52" s="45"/>
      <c r="Z52" s="56"/>
    </row>
    <row r="53" spans="1:62">
      <c r="A53" s="7" t="s">
        <v>291</v>
      </c>
      <c r="B53" s="40" t="s">
        <v>292</v>
      </c>
      <c r="C53" s="40" t="s">
        <v>216</v>
      </c>
      <c r="D53" s="40" t="s">
        <v>228</v>
      </c>
      <c r="E53" s="40" t="s">
        <v>239</v>
      </c>
      <c r="F53" s="40" t="s">
        <v>186</v>
      </c>
      <c r="G53" s="38">
        <v>30</v>
      </c>
      <c r="H53" s="54">
        <v>2250</v>
      </c>
      <c r="I53" s="53">
        <v>0</v>
      </c>
      <c r="J53" s="67">
        <v>2250</v>
      </c>
      <c r="K53" s="67">
        <v>67500</v>
      </c>
      <c r="M53" s="45"/>
      <c r="N53" s="45"/>
      <c r="O53" s="45"/>
      <c r="P53" s="45"/>
      <c r="Q53" s="45"/>
      <c r="R53" s="45"/>
      <c r="S53" s="45"/>
      <c r="T53" s="45"/>
      <c r="U53" s="45"/>
      <c r="V53" s="45"/>
      <c r="W53" s="45"/>
      <c r="X53" s="45"/>
      <c r="Y53" s="45"/>
      <c r="Z53" s="56"/>
    </row>
    <row r="54" spans="1:62">
      <c r="A54" s="7" t="s">
        <v>293</v>
      </c>
      <c r="B54" s="40" t="s">
        <v>292</v>
      </c>
      <c r="C54" s="40" t="s">
        <v>216</v>
      </c>
      <c r="D54" s="40" t="s">
        <v>228</v>
      </c>
      <c r="E54" s="40" t="s">
        <v>231</v>
      </c>
      <c r="F54" s="40"/>
      <c r="G54" s="38"/>
      <c r="H54" s="54">
        <v>0</v>
      </c>
      <c r="I54" s="53">
        <v>0</v>
      </c>
      <c r="J54" s="67">
        <v>0</v>
      </c>
      <c r="K54" s="67">
        <v>0</v>
      </c>
      <c r="L54" s="194"/>
      <c r="M54" s="45"/>
      <c r="N54" s="45"/>
      <c r="O54" s="45"/>
      <c r="P54" s="45"/>
      <c r="Q54" s="45"/>
      <c r="R54" s="45"/>
      <c r="S54" s="45"/>
      <c r="T54" s="45"/>
      <c r="U54" s="45"/>
      <c r="V54" s="45"/>
      <c r="W54" s="45"/>
      <c r="X54" s="45"/>
      <c r="Y54" s="45"/>
      <c r="Z54" s="56"/>
    </row>
    <row r="55" spans="1:62">
      <c r="A55" s="7" t="s">
        <v>294</v>
      </c>
      <c r="B55" s="40" t="s">
        <v>295</v>
      </c>
      <c r="C55" s="40" t="s">
        <v>216</v>
      </c>
      <c r="D55" s="40" t="s">
        <v>242</v>
      </c>
      <c r="E55" s="40" t="s">
        <v>231</v>
      </c>
      <c r="F55" s="40"/>
      <c r="G55" s="38"/>
      <c r="H55" s="54">
        <v>0</v>
      </c>
      <c r="I55" s="53">
        <v>0</v>
      </c>
      <c r="J55" s="67">
        <v>0</v>
      </c>
      <c r="K55" s="67">
        <v>0</v>
      </c>
      <c r="M55" s="45"/>
      <c r="N55" s="45"/>
      <c r="O55" s="45"/>
      <c r="P55" s="45"/>
      <c r="Q55" s="45"/>
      <c r="R55" s="45"/>
      <c r="S55" s="45"/>
      <c r="T55" s="45"/>
      <c r="U55" s="45"/>
      <c r="V55" s="45"/>
      <c r="W55" s="45"/>
      <c r="X55" s="45"/>
      <c r="Y55" s="45"/>
      <c r="Z55" s="56"/>
    </row>
    <row r="56" spans="1:62">
      <c r="A56" s="7" t="s">
        <v>296</v>
      </c>
      <c r="B56" s="40" t="s">
        <v>297</v>
      </c>
      <c r="C56" s="40" t="s">
        <v>216</v>
      </c>
      <c r="D56" s="40" t="s">
        <v>250</v>
      </c>
      <c r="E56" s="40" t="s">
        <v>239</v>
      </c>
      <c r="F56" s="40" t="s">
        <v>108</v>
      </c>
      <c r="G56" s="38">
        <v>1</v>
      </c>
      <c r="H56" s="54">
        <v>2000</v>
      </c>
      <c r="I56" s="53">
        <v>0</v>
      </c>
      <c r="J56" s="67">
        <v>2000</v>
      </c>
      <c r="K56" s="67">
        <v>2000</v>
      </c>
      <c r="M56" s="45"/>
      <c r="N56" s="45"/>
      <c r="O56" s="45"/>
      <c r="P56" s="45"/>
      <c r="Q56" s="45"/>
      <c r="R56" s="45"/>
      <c r="S56" s="45"/>
      <c r="T56" s="45"/>
      <c r="U56" s="45"/>
      <c r="V56" s="45"/>
      <c r="W56" s="45"/>
      <c r="X56" s="45"/>
      <c r="Y56" s="45"/>
      <c r="Z56" s="56"/>
    </row>
    <row r="57" spans="1:62">
      <c r="A57" s="7" t="s">
        <v>298</v>
      </c>
      <c r="B57" s="40" t="s">
        <v>299</v>
      </c>
      <c r="C57" s="40" t="s">
        <v>216</v>
      </c>
      <c r="D57" s="40" t="s">
        <v>228</v>
      </c>
      <c r="E57" s="40" t="s">
        <v>239</v>
      </c>
      <c r="F57" s="40" t="s">
        <v>148</v>
      </c>
      <c r="G57" s="38">
        <v>3074.7</v>
      </c>
      <c r="H57" s="54">
        <v>92</v>
      </c>
      <c r="I57" s="53">
        <v>0</v>
      </c>
      <c r="J57" s="67">
        <v>92</v>
      </c>
      <c r="K57" s="67">
        <v>282872.39999999997</v>
      </c>
      <c r="M57" s="45" t="s">
        <v>300</v>
      </c>
      <c r="N57" s="45"/>
      <c r="O57" s="45"/>
      <c r="P57" s="45"/>
      <c r="Q57" s="45"/>
      <c r="R57" s="45"/>
      <c r="S57" s="45"/>
      <c r="T57" s="45"/>
      <c r="U57" s="45"/>
      <c r="V57" s="45"/>
      <c r="W57" s="45"/>
      <c r="X57" s="45"/>
      <c r="Y57" s="45"/>
      <c r="Z57" s="56"/>
    </row>
    <row r="58" spans="1:62">
      <c r="A58" s="7" t="s">
        <v>301</v>
      </c>
      <c r="B58" s="40" t="s">
        <v>302</v>
      </c>
      <c r="C58" s="40" t="s">
        <v>216</v>
      </c>
      <c r="D58" s="40" t="s">
        <v>303</v>
      </c>
      <c r="E58" s="40" t="s">
        <v>231</v>
      </c>
      <c r="F58" s="40"/>
      <c r="G58" s="38"/>
      <c r="H58" s="54">
        <v>0</v>
      </c>
      <c r="I58" s="53">
        <v>0</v>
      </c>
      <c r="J58" s="67">
        <v>0</v>
      </c>
      <c r="K58" s="67">
        <v>0</v>
      </c>
      <c r="M58" s="45"/>
      <c r="N58" s="45"/>
      <c r="O58" s="45"/>
      <c r="P58" s="45"/>
      <c r="Q58" s="45"/>
      <c r="R58" s="45"/>
      <c r="S58" s="45"/>
      <c r="T58" s="45"/>
      <c r="U58" s="45"/>
      <c r="V58" s="45"/>
      <c r="W58" s="45"/>
      <c r="X58" s="45"/>
      <c r="Y58" s="45"/>
      <c r="Z58" s="56"/>
      <c r="BE58" s="55" t="s">
        <v>304</v>
      </c>
    </row>
    <row r="59" spans="1:62">
      <c r="A59" s="4" t="s">
        <v>305</v>
      </c>
      <c r="B59" s="151" t="s">
        <v>306</v>
      </c>
      <c r="C59" s="151"/>
      <c r="D59" s="151"/>
      <c r="E59" s="151"/>
      <c r="F59" s="151"/>
      <c r="G59" s="152"/>
      <c r="H59" s="153"/>
      <c r="I59" s="154"/>
      <c r="J59" s="153"/>
      <c r="K59" s="172"/>
      <c r="L59" s="70">
        <v>9324491</v>
      </c>
      <c r="M59" s="45"/>
      <c r="N59" s="45"/>
      <c r="O59" s="45"/>
      <c r="P59" s="45"/>
      <c r="Q59" s="45"/>
      <c r="R59" s="45"/>
      <c r="S59" s="45"/>
      <c r="T59" s="45"/>
      <c r="U59" s="45"/>
      <c r="V59" s="45"/>
      <c r="W59" s="45"/>
      <c r="X59" s="45"/>
      <c r="Y59" s="45"/>
      <c r="Z59" s="56"/>
      <c r="BE59" s="55" t="s">
        <v>123</v>
      </c>
      <c r="BG59" s="56" t="s">
        <v>129</v>
      </c>
      <c r="BH59" s="55" t="s">
        <v>111</v>
      </c>
      <c r="BI59" s="56" t="s">
        <v>138</v>
      </c>
    </row>
    <row r="60" spans="1:62">
      <c r="A60" s="6" t="s">
        <v>307</v>
      </c>
      <c r="B60" s="47" t="s">
        <v>308</v>
      </c>
      <c r="C60" s="47" t="s">
        <v>216</v>
      </c>
      <c r="D60" s="47" t="s">
        <v>309</v>
      </c>
      <c r="E60" s="47"/>
      <c r="F60" s="47"/>
      <c r="G60" s="42"/>
      <c r="H60" s="61">
        <v>0</v>
      </c>
      <c r="I60" s="63">
        <v>0</v>
      </c>
      <c r="J60" s="67">
        <v>0</v>
      </c>
      <c r="K60" s="67">
        <v>0</v>
      </c>
      <c r="M60" s="45"/>
      <c r="N60" s="45"/>
      <c r="O60" s="45"/>
      <c r="P60" s="45"/>
      <c r="Q60" s="45"/>
      <c r="R60" s="45"/>
      <c r="S60" s="45"/>
      <c r="T60" s="45"/>
      <c r="U60" s="45"/>
      <c r="V60" s="45"/>
      <c r="W60" s="45"/>
      <c r="X60" s="45"/>
      <c r="Y60" s="45"/>
      <c r="Z60" s="56"/>
      <c r="BE60" s="770">
        <f>34267-26738</f>
        <v>7529</v>
      </c>
      <c r="BF60" s="770"/>
      <c r="BG60" s="770">
        <f>24339-9711-10036</f>
        <v>4592</v>
      </c>
      <c r="BH60" s="770">
        <f>108549-28098-28888-28888</f>
        <v>22675</v>
      </c>
      <c r="BI60" s="770">
        <f>24339-9711-10036</f>
        <v>4592</v>
      </c>
    </row>
    <row r="61" spans="1:62">
      <c r="A61" s="7" t="s">
        <v>310</v>
      </c>
      <c r="B61" s="40" t="s">
        <v>311</v>
      </c>
      <c r="C61" s="40" t="s">
        <v>216</v>
      </c>
      <c r="D61" s="40" t="s">
        <v>228</v>
      </c>
      <c r="E61" s="206" t="s">
        <v>312</v>
      </c>
      <c r="F61" s="40" t="s">
        <v>61</v>
      </c>
      <c r="G61" s="38">
        <v>422635</v>
      </c>
      <c r="H61" s="51">
        <v>18</v>
      </c>
      <c r="I61" s="53">
        <v>0</v>
      </c>
      <c r="J61" s="66">
        <v>18</v>
      </c>
      <c r="K61" s="594">
        <v>7607430</v>
      </c>
      <c r="M61" s="596" t="s">
        <v>313</v>
      </c>
      <c r="N61" s="45"/>
      <c r="O61" s="45"/>
      <c r="P61" s="45"/>
      <c r="Q61" s="45"/>
      <c r="R61" s="45"/>
      <c r="S61" s="45"/>
      <c r="T61" s="45"/>
      <c r="U61" s="45"/>
      <c r="V61" s="45"/>
      <c r="W61" s="45"/>
      <c r="X61" s="45"/>
      <c r="Y61" s="45"/>
      <c r="Z61" s="56"/>
      <c r="BE61" s="770">
        <f>35267-28744</f>
        <v>6523</v>
      </c>
      <c r="BF61" s="770"/>
      <c r="BG61" s="770"/>
      <c r="BH61" s="770">
        <f>26740-20414+27152-22223+27170-22223</f>
        <v>16202</v>
      </c>
    </row>
    <row r="62" spans="1:62">
      <c r="A62" s="7" t="s">
        <v>314</v>
      </c>
      <c r="B62" s="40" t="s">
        <v>311</v>
      </c>
      <c r="C62" s="40" t="s">
        <v>216</v>
      </c>
      <c r="D62" s="40" t="s">
        <v>228</v>
      </c>
      <c r="E62" s="40" t="s">
        <v>231</v>
      </c>
      <c r="F62" s="40"/>
      <c r="G62" s="38"/>
      <c r="H62" s="51"/>
      <c r="I62" s="53">
        <v>0</v>
      </c>
      <c r="J62" s="67">
        <v>0</v>
      </c>
      <c r="K62" s="67">
        <v>0</v>
      </c>
      <c r="M62" s="45"/>
      <c r="N62" s="45"/>
      <c r="O62" s="45"/>
      <c r="P62" s="45"/>
      <c r="Q62" s="45"/>
      <c r="R62" s="45"/>
      <c r="S62" s="45"/>
      <c r="T62" s="45"/>
      <c r="U62" s="45"/>
      <c r="V62" s="45"/>
      <c r="W62" s="45"/>
      <c r="X62" s="45"/>
      <c r="Y62" s="45"/>
      <c r="Z62" s="56"/>
      <c r="BE62" s="770">
        <f>35321-28744</f>
        <v>6577</v>
      </c>
      <c r="BF62" s="770"/>
      <c r="BG62" s="770"/>
      <c r="BH62" s="770"/>
      <c r="BI62" s="770"/>
    </row>
    <row r="63" spans="1:62">
      <c r="A63" s="7" t="s">
        <v>315</v>
      </c>
      <c r="B63" s="40" t="s">
        <v>316</v>
      </c>
      <c r="C63" s="40" t="s">
        <v>216</v>
      </c>
      <c r="D63" s="40" t="s">
        <v>303</v>
      </c>
      <c r="E63" s="40" t="s">
        <v>73</v>
      </c>
      <c r="F63" s="40" t="s">
        <v>71</v>
      </c>
      <c r="G63" s="38">
        <v>1</v>
      </c>
      <c r="H63" s="54">
        <v>15000</v>
      </c>
      <c r="I63" s="53">
        <v>0</v>
      </c>
      <c r="J63" s="67">
        <v>15000</v>
      </c>
      <c r="K63" s="67">
        <v>15000</v>
      </c>
      <c r="M63" s="45"/>
      <c r="N63" s="45"/>
      <c r="O63" s="45"/>
      <c r="P63" s="45"/>
      <c r="Q63" s="45"/>
      <c r="R63" s="45"/>
      <c r="S63" s="45"/>
      <c r="T63" s="45"/>
      <c r="U63" s="45"/>
      <c r="V63" s="45"/>
      <c r="W63" s="45"/>
      <c r="X63" s="45"/>
      <c r="Y63" s="45"/>
      <c r="Z63" s="56"/>
      <c r="BE63" s="770">
        <f>25934-14573</f>
        <v>11361</v>
      </c>
      <c r="BF63" s="770"/>
      <c r="BG63" s="770"/>
      <c r="BH63" s="770"/>
      <c r="BI63" s="770"/>
    </row>
    <row r="64" spans="1:62">
      <c r="A64" s="7" t="s">
        <v>317</v>
      </c>
      <c r="B64" s="40" t="s">
        <v>318</v>
      </c>
      <c r="C64" s="40" t="s">
        <v>216</v>
      </c>
      <c r="D64" s="40" t="s">
        <v>303</v>
      </c>
      <c r="E64" s="40" t="s">
        <v>73</v>
      </c>
      <c r="F64" s="40" t="s">
        <v>71</v>
      </c>
      <c r="G64" s="38">
        <v>8</v>
      </c>
      <c r="H64" s="54">
        <v>2500</v>
      </c>
      <c r="I64" s="53">
        <v>0</v>
      </c>
      <c r="J64" s="67">
        <v>2500</v>
      </c>
      <c r="K64" s="67">
        <v>20000</v>
      </c>
      <c r="M64" s="45"/>
      <c r="N64" s="45"/>
      <c r="O64" s="45"/>
      <c r="P64" s="45"/>
      <c r="Q64" s="45"/>
      <c r="R64" s="45"/>
      <c r="S64" s="45"/>
      <c r="T64" s="45"/>
      <c r="U64" s="45"/>
      <c r="V64" s="45"/>
      <c r="W64" s="45"/>
      <c r="X64" s="45"/>
      <c r="Y64" s="45"/>
      <c r="Z64" s="56"/>
      <c r="BE64" s="770">
        <f>26745-20323</f>
        <v>6422</v>
      </c>
      <c r="BF64" s="770"/>
      <c r="BG64" s="770"/>
      <c r="BH64" s="770"/>
      <c r="BI64" s="770"/>
    </row>
    <row r="65" spans="1:62" hidden="1">
      <c r="A65" s="7" t="s">
        <v>319</v>
      </c>
      <c r="B65" s="40" t="s">
        <v>320</v>
      </c>
      <c r="C65" s="40" t="s">
        <v>216</v>
      </c>
      <c r="D65" s="40" t="s">
        <v>303</v>
      </c>
      <c r="E65" s="40" t="s">
        <v>231</v>
      </c>
      <c r="F65" s="40"/>
      <c r="G65" s="38"/>
      <c r="H65" s="54"/>
      <c r="I65" s="53">
        <v>0</v>
      </c>
      <c r="J65" s="67">
        <v>0</v>
      </c>
      <c r="K65" s="67">
        <v>0</v>
      </c>
      <c r="M65" s="45"/>
      <c r="N65" s="45"/>
      <c r="O65" s="45"/>
      <c r="P65" s="45"/>
      <c r="Q65" s="45"/>
      <c r="R65" s="45"/>
      <c r="S65" s="45"/>
      <c r="T65" s="45"/>
      <c r="U65" s="45"/>
      <c r="V65" s="45"/>
      <c r="W65" s="45"/>
      <c r="X65" s="45"/>
      <c r="Y65" s="45"/>
      <c r="Z65" s="56"/>
      <c r="BE65" s="770"/>
      <c r="BF65" s="770"/>
      <c r="BG65" s="770"/>
      <c r="BH65" s="770"/>
      <c r="BI65" s="770"/>
    </row>
    <row r="66" spans="1:62" hidden="1">
      <c r="A66" s="7" t="s">
        <v>321</v>
      </c>
      <c r="B66" s="40" t="s">
        <v>322</v>
      </c>
      <c r="C66" s="40" t="s">
        <v>216</v>
      </c>
      <c r="D66" s="40" t="s">
        <v>228</v>
      </c>
      <c r="E66" s="40" t="s">
        <v>231</v>
      </c>
      <c r="F66" s="40"/>
      <c r="G66" s="38"/>
      <c r="H66" s="54"/>
      <c r="I66" s="53">
        <v>0</v>
      </c>
      <c r="J66" s="67">
        <v>0</v>
      </c>
      <c r="K66" s="67">
        <v>0</v>
      </c>
      <c r="M66" s="45"/>
      <c r="N66" s="45"/>
      <c r="O66" s="45"/>
      <c r="P66" s="45"/>
      <c r="Q66" s="45"/>
      <c r="R66" s="45"/>
      <c r="S66" s="45"/>
      <c r="T66" s="45"/>
      <c r="U66" s="45"/>
      <c r="V66" s="45"/>
      <c r="W66" s="45"/>
      <c r="X66" s="45"/>
      <c r="Y66" s="45"/>
      <c r="Z66" s="56"/>
      <c r="BE66" s="770"/>
      <c r="BF66" s="770"/>
      <c r="BG66" s="770"/>
      <c r="BH66" s="770"/>
      <c r="BI66" s="770"/>
    </row>
    <row r="67" spans="1:62" hidden="1">
      <c r="A67" s="7" t="s">
        <v>323</v>
      </c>
      <c r="B67" s="40" t="s">
        <v>322</v>
      </c>
      <c r="C67" s="40" t="s">
        <v>216</v>
      </c>
      <c r="D67" s="40" t="s">
        <v>250</v>
      </c>
      <c r="E67" s="40" t="s">
        <v>231</v>
      </c>
      <c r="F67" s="40"/>
      <c r="G67" s="38"/>
      <c r="H67" s="54"/>
      <c r="I67" s="53">
        <v>0</v>
      </c>
      <c r="J67" s="67">
        <v>0</v>
      </c>
      <c r="K67" s="67">
        <v>0</v>
      </c>
      <c r="M67" s="45"/>
      <c r="N67" s="45"/>
      <c r="O67" s="45"/>
      <c r="P67" s="45"/>
      <c r="Q67" s="45"/>
      <c r="R67" s="45"/>
      <c r="S67" s="45"/>
      <c r="T67" s="45"/>
      <c r="U67" s="45"/>
      <c r="V67" s="45"/>
      <c r="W67" s="45"/>
      <c r="X67" s="45"/>
      <c r="Y67" s="45"/>
      <c r="Z67" s="56"/>
      <c r="BE67" s="770"/>
      <c r="BF67" s="770"/>
      <c r="BG67" s="770"/>
      <c r="BH67" s="770"/>
      <c r="BI67" s="770"/>
    </row>
    <row r="68" spans="1:62">
      <c r="A68" s="52" t="s">
        <v>324</v>
      </c>
      <c r="B68" s="40" t="s">
        <v>325</v>
      </c>
      <c r="C68" s="40" t="s">
        <v>216</v>
      </c>
      <c r="D68" s="40" t="s">
        <v>228</v>
      </c>
      <c r="E68" s="40" t="s">
        <v>326</v>
      </c>
      <c r="F68" s="40" t="s">
        <v>166</v>
      </c>
      <c r="G68" s="38">
        <v>329873</v>
      </c>
      <c r="H68" s="51">
        <v>3.5481958208158897</v>
      </c>
      <c r="I68" s="53">
        <v>0</v>
      </c>
      <c r="J68" s="66">
        <v>3.5481958208158897</v>
      </c>
      <c r="K68" s="67">
        <v>1170454</v>
      </c>
      <c r="L68" s="194"/>
      <c r="M68" s="45" t="s">
        <v>327</v>
      </c>
      <c r="N68" s="45"/>
      <c r="O68" s="45"/>
      <c r="P68" s="45"/>
      <c r="Q68" s="45"/>
      <c r="R68" s="45"/>
      <c r="S68" s="45"/>
      <c r="T68" s="45"/>
      <c r="U68" s="45"/>
      <c r="V68" s="45"/>
      <c r="W68" s="45"/>
      <c r="X68" s="45"/>
      <c r="Y68" s="45"/>
      <c r="Z68" s="56"/>
      <c r="BE68" s="770">
        <f>26781-20323</f>
        <v>6458</v>
      </c>
      <c r="BF68" s="770"/>
      <c r="BG68" s="770"/>
      <c r="BH68" s="770"/>
      <c r="BI68" s="770"/>
    </row>
    <row r="69" spans="1:62">
      <c r="A69" s="7" t="s">
        <v>328</v>
      </c>
      <c r="B69" s="40" t="s">
        <v>325</v>
      </c>
      <c r="C69" s="40" t="s">
        <v>216</v>
      </c>
      <c r="D69" s="40" t="s">
        <v>303</v>
      </c>
      <c r="E69" s="40" t="s">
        <v>326</v>
      </c>
      <c r="F69" s="40" t="s">
        <v>329</v>
      </c>
      <c r="G69" s="38">
        <v>87842</v>
      </c>
      <c r="H69" s="51">
        <v>5.7148858177181756</v>
      </c>
      <c r="I69" s="53">
        <v>0</v>
      </c>
      <c r="J69" s="66">
        <v>5.7148858177181756</v>
      </c>
      <c r="K69" s="67">
        <v>502007</v>
      </c>
      <c r="M69" s="45" t="s">
        <v>330</v>
      </c>
      <c r="N69" s="45"/>
      <c r="O69" s="45"/>
      <c r="P69" s="45"/>
      <c r="Q69" s="45"/>
      <c r="R69" s="45"/>
      <c r="S69" s="45"/>
      <c r="T69" s="45"/>
      <c r="U69" s="45"/>
      <c r="V69" s="45"/>
      <c r="W69" s="45"/>
      <c r="X69" s="45"/>
      <c r="Y69" s="45"/>
      <c r="Z69" s="56"/>
      <c r="BE69" s="770">
        <f>SUM(BE60:BE68)</f>
        <v>44870</v>
      </c>
      <c r="BF69" s="770"/>
      <c r="BG69" s="770">
        <f t="shared" ref="BG69:BH69" si="8">SUM(BG60:BG68)</f>
        <v>4592</v>
      </c>
      <c r="BH69" s="770">
        <f t="shared" si="8"/>
        <v>38877</v>
      </c>
      <c r="BI69" s="770">
        <f>SUM(BI60:BI68)</f>
        <v>4592</v>
      </c>
      <c r="BJ69" s="194">
        <f>SUM(BE69:BI69)</f>
        <v>92931</v>
      </c>
    </row>
    <row r="70" spans="1:62">
      <c r="A70" s="7" t="s">
        <v>331</v>
      </c>
      <c r="B70" s="40" t="s">
        <v>332</v>
      </c>
      <c r="C70" s="40" t="s">
        <v>216</v>
      </c>
      <c r="D70" s="40" t="s">
        <v>303</v>
      </c>
      <c r="E70" s="40" t="s">
        <v>73</v>
      </c>
      <c r="F70" s="40" t="s">
        <v>71</v>
      </c>
      <c r="G70" s="38">
        <v>8</v>
      </c>
      <c r="H70" s="54">
        <v>1200</v>
      </c>
      <c r="I70" s="53">
        <v>0</v>
      </c>
      <c r="J70" s="67">
        <v>1200</v>
      </c>
      <c r="K70" s="67">
        <v>9600</v>
      </c>
      <c r="M70" s="45"/>
      <c r="N70" s="45"/>
      <c r="O70" s="45"/>
      <c r="P70" s="45"/>
      <c r="Q70" s="45"/>
      <c r="R70" s="45"/>
      <c r="S70" s="45"/>
      <c r="T70" s="45"/>
      <c r="U70" s="45"/>
      <c r="V70" s="45"/>
      <c r="W70" s="45"/>
      <c r="X70" s="45"/>
      <c r="Y70" s="45"/>
      <c r="Z70" s="56"/>
      <c r="BE70" s="770"/>
      <c r="BF70" s="770"/>
      <c r="BG70" s="770"/>
      <c r="BH70" s="770"/>
      <c r="BI70" s="770"/>
    </row>
    <row r="71" spans="1:62">
      <c r="A71" s="7" t="s">
        <v>333</v>
      </c>
      <c r="B71" s="40" t="s">
        <v>334</v>
      </c>
      <c r="C71" s="40" t="s">
        <v>216</v>
      </c>
      <c r="D71" s="40" t="s">
        <v>228</v>
      </c>
      <c r="E71" s="40" t="s">
        <v>231</v>
      </c>
      <c r="F71" s="40"/>
      <c r="G71" s="38"/>
      <c r="H71" s="51"/>
      <c r="I71" s="53">
        <v>0</v>
      </c>
      <c r="J71" s="67">
        <v>0</v>
      </c>
      <c r="K71" s="67">
        <v>0</v>
      </c>
      <c r="M71" s="45"/>
      <c r="N71" s="45"/>
      <c r="O71" s="45"/>
      <c r="P71" s="45"/>
      <c r="Q71" s="45"/>
      <c r="R71" s="45"/>
      <c r="S71" s="45"/>
      <c r="T71" s="45"/>
      <c r="U71" s="45"/>
      <c r="V71" s="45"/>
      <c r="W71" s="45"/>
      <c r="X71" s="45"/>
      <c r="Y71" s="45"/>
      <c r="Z71" s="56"/>
      <c r="BE71" s="770"/>
      <c r="BF71" s="770"/>
      <c r="BG71" s="770"/>
      <c r="BH71" s="770"/>
      <c r="BI71" s="770"/>
    </row>
    <row r="72" spans="1:62">
      <c r="A72" s="4" t="s">
        <v>335</v>
      </c>
      <c r="B72" s="151" t="s">
        <v>336</v>
      </c>
      <c r="C72" s="760" t="s">
        <v>337</v>
      </c>
      <c r="D72" s="151"/>
      <c r="E72" s="151"/>
      <c r="F72" s="151"/>
      <c r="G72" s="152"/>
      <c r="H72" s="153"/>
      <c r="I72" s="154"/>
      <c r="J72" s="153"/>
      <c r="K72" s="172"/>
      <c r="L72" s="70">
        <v>2237303.7714999998</v>
      </c>
      <c r="M72" s="45"/>
      <c r="N72" s="45"/>
      <c r="O72" s="45"/>
      <c r="P72" s="45"/>
      <c r="Q72" s="45"/>
      <c r="R72" s="45"/>
      <c r="S72" s="45"/>
      <c r="T72" s="45"/>
      <c r="U72" s="45"/>
      <c r="V72" s="45"/>
      <c r="W72" s="45"/>
      <c r="X72" s="45"/>
      <c r="Y72" s="45"/>
      <c r="Z72" s="56"/>
      <c r="BE72" s="770"/>
      <c r="BF72" s="770"/>
      <c r="BG72" s="770"/>
      <c r="BH72" s="770"/>
      <c r="BI72" s="770"/>
    </row>
    <row r="73" spans="1:62">
      <c r="A73" s="6" t="s">
        <v>338</v>
      </c>
      <c r="B73" s="47" t="s">
        <v>339</v>
      </c>
      <c r="C73" s="47" t="s">
        <v>216</v>
      </c>
      <c r="D73" s="47" t="s">
        <v>228</v>
      </c>
      <c r="E73" s="595" t="s">
        <v>239</v>
      </c>
      <c r="F73" s="47" t="s">
        <v>61</v>
      </c>
      <c r="G73" s="42">
        <v>422635</v>
      </c>
      <c r="H73" s="61">
        <v>2.5</v>
      </c>
      <c r="I73" s="63">
        <v>0</v>
      </c>
      <c r="J73" s="66">
        <v>2.5</v>
      </c>
      <c r="K73" s="594">
        <v>1056587.5</v>
      </c>
      <c r="M73" s="596" t="s">
        <v>340</v>
      </c>
      <c r="N73" s="596"/>
      <c r="O73" s="596"/>
      <c r="P73" s="596"/>
      <c r="Q73" s="596"/>
      <c r="R73" s="596"/>
      <c r="S73" s="596"/>
      <c r="T73" s="596"/>
      <c r="U73" s="596"/>
      <c r="V73" s="596"/>
      <c r="W73" s="596"/>
      <c r="X73" s="596"/>
      <c r="Y73" s="596"/>
      <c r="Z73" s="56"/>
      <c r="BE73" s="770"/>
      <c r="BF73" s="770"/>
      <c r="BG73" s="770"/>
      <c r="BH73" s="770"/>
      <c r="BI73" s="770"/>
    </row>
    <row r="74" spans="1:62">
      <c r="A74" s="7" t="s">
        <v>154</v>
      </c>
      <c r="B74" s="40" t="s">
        <v>341</v>
      </c>
      <c r="C74" s="40" t="s">
        <v>216</v>
      </c>
      <c r="D74" s="40" t="s">
        <v>228</v>
      </c>
      <c r="E74" s="40" t="s">
        <v>312</v>
      </c>
      <c r="F74" s="40" t="s">
        <v>342</v>
      </c>
      <c r="G74" s="38">
        <v>1734.0110999999999</v>
      </c>
      <c r="H74" s="54">
        <v>565</v>
      </c>
      <c r="I74" s="53">
        <v>0</v>
      </c>
      <c r="J74" s="54">
        <v>565</v>
      </c>
      <c r="K74" s="54">
        <v>979716.27149999992</v>
      </c>
      <c r="M74" s="596" t="s">
        <v>343</v>
      </c>
      <c r="N74" s="45"/>
      <c r="O74" s="45"/>
      <c r="P74" s="45"/>
      <c r="Q74" s="45"/>
      <c r="R74" s="45"/>
      <c r="S74" s="45"/>
      <c r="T74" s="45"/>
      <c r="U74" s="45"/>
      <c r="V74" s="45"/>
      <c r="W74" s="45"/>
      <c r="X74" s="45"/>
      <c r="Y74" s="45"/>
      <c r="Z74" s="56"/>
    </row>
    <row r="75" spans="1:62">
      <c r="A75" s="7" t="s">
        <v>344</v>
      </c>
      <c r="B75" s="40" t="s">
        <v>345</v>
      </c>
      <c r="C75" s="40" t="s">
        <v>216</v>
      </c>
      <c r="D75" s="40" t="s">
        <v>303</v>
      </c>
      <c r="E75" s="40" t="s">
        <v>73</v>
      </c>
      <c r="F75" s="40" t="s">
        <v>71</v>
      </c>
      <c r="G75" s="38">
        <v>1</v>
      </c>
      <c r="H75" s="54">
        <v>5500</v>
      </c>
      <c r="I75" s="53">
        <v>0</v>
      </c>
      <c r="J75" s="54">
        <v>5500</v>
      </c>
      <c r="K75" s="54">
        <v>5500</v>
      </c>
      <c r="M75" s="45"/>
      <c r="N75" s="45"/>
      <c r="O75" s="45"/>
      <c r="P75" s="45"/>
      <c r="Q75" s="45"/>
      <c r="R75" s="45"/>
      <c r="S75" s="45"/>
      <c r="T75" s="45"/>
      <c r="U75" s="45"/>
      <c r="V75" s="45"/>
      <c r="W75" s="45"/>
      <c r="X75" s="45"/>
      <c r="Y75" s="45"/>
      <c r="Z75" s="56"/>
    </row>
    <row r="76" spans="1:62">
      <c r="A76" s="7" t="s">
        <v>346</v>
      </c>
      <c r="B76" s="40" t="s">
        <v>345</v>
      </c>
      <c r="C76" s="40" t="s">
        <v>216</v>
      </c>
      <c r="D76" s="40" t="s">
        <v>235</v>
      </c>
      <c r="E76" s="40" t="s">
        <v>73</v>
      </c>
      <c r="F76" s="40" t="s">
        <v>71</v>
      </c>
      <c r="G76" s="38">
        <v>1</v>
      </c>
      <c r="H76" s="54">
        <v>9500</v>
      </c>
      <c r="I76" s="53">
        <v>0</v>
      </c>
      <c r="J76" s="54">
        <v>9500</v>
      </c>
      <c r="K76" s="54">
        <v>9500</v>
      </c>
      <c r="M76" s="45"/>
      <c r="N76" s="45"/>
      <c r="O76" s="45"/>
      <c r="P76" s="45"/>
      <c r="Q76" s="45"/>
      <c r="R76" s="45"/>
      <c r="S76" s="45"/>
      <c r="T76" s="45"/>
      <c r="U76" s="45"/>
      <c r="V76" s="45"/>
      <c r="W76" s="45"/>
      <c r="X76" s="45"/>
      <c r="Y76" s="45"/>
      <c r="Z76" s="56"/>
    </row>
    <row r="77" spans="1:62">
      <c r="A77" s="7" t="s">
        <v>347</v>
      </c>
      <c r="B77" s="40" t="s">
        <v>348</v>
      </c>
      <c r="C77" s="40" t="s">
        <v>216</v>
      </c>
      <c r="D77" s="40" t="s">
        <v>250</v>
      </c>
      <c r="E77" s="40" t="s">
        <v>73</v>
      </c>
      <c r="F77" s="40" t="s">
        <v>71</v>
      </c>
      <c r="G77" s="38">
        <v>0</v>
      </c>
      <c r="H77" s="54">
        <v>7500</v>
      </c>
      <c r="I77" s="53">
        <v>0</v>
      </c>
      <c r="J77" s="54">
        <v>7500</v>
      </c>
      <c r="K77" s="54">
        <v>0</v>
      </c>
      <c r="M77" s="45"/>
      <c r="N77" s="45"/>
      <c r="O77" s="45"/>
      <c r="P77" s="45"/>
      <c r="Q77" s="45"/>
      <c r="R77" s="45"/>
      <c r="S77" s="45"/>
      <c r="T77" s="45"/>
      <c r="U77" s="45"/>
      <c r="V77" s="45"/>
      <c r="W77" s="45"/>
      <c r="X77" s="45"/>
      <c r="Y77" s="45"/>
      <c r="Z77" s="56"/>
    </row>
    <row r="78" spans="1:62">
      <c r="A78" s="7" t="s">
        <v>349</v>
      </c>
      <c r="B78" s="40" t="s">
        <v>350</v>
      </c>
      <c r="C78" s="40" t="s">
        <v>216</v>
      </c>
      <c r="D78" s="40" t="s">
        <v>238</v>
      </c>
      <c r="E78" s="40" t="s">
        <v>239</v>
      </c>
      <c r="F78" s="40" t="s">
        <v>108</v>
      </c>
      <c r="G78" s="38">
        <v>14</v>
      </c>
      <c r="H78" s="54">
        <v>6500</v>
      </c>
      <c r="I78" s="53">
        <v>0</v>
      </c>
      <c r="J78" s="54">
        <v>6500</v>
      </c>
      <c r="K78" s="54">
        <v>91000</v>
      </c>
      <c r="L78" s="194"/>
      <c r="M78" s="45"/>
      <c r="N78" s="45"/>
      <c r="O78" s="45"/>
      <c r="P78" s="45"/>
      <c r="Q78" s="45"/>
      <c r="R78" s="45"/>
      <c r="S78" s="45"/>
      <c r="T78" s="45"/>
      <c r="U78" s="45"/>
      <c r="V78" s="45"/>
      <c r="W78" s="45"/>
      <c r="X78" s="45"/>
      <c r="Y78" s="45"/>
      <c r="Z78" s="56"/>
    </row>
    <row r="79" spans="1:62">
      <c r="A79" s="7" t="s">
        <v>351</v>
      </c>
      <c r="B79" s="40" t="s">
        <v>352</v>
      </c>
      <c r="C79" s="40" t="s">
        <v>216</v>
      </c>
      <c r="D79" s="40" t="s">
        <v>228</v>
      </c>
      <c r="E79" s="40" t="s">
        <v>73</v>
      </c>
      <c r="F79" s="40" t="s">
        <v>71</v>
      </c>
      <c r="G79" s="38">
        <v>1</v>
      </c>
      <c r="H79" s="54">
        <v>25000</v>
      </c>
      <c r="I79" s="53">
        <v>0</v>
      </c>
      <c r="J79" s="54">
        <v>25000</v>
      </c>
      <c r="K79" s="54">
        <v>25000</v>
      </c>
      <c r="M79" s="1120"/>
      <c r="N79" s="1120"/>
      <c r="O79" s="1120"/>
      <c r="P79" s="1120"/>
      <c r="Q79" s="1120"/>
      <c r="R79" s="1120"/>
      <c r="S79" s="1120"/>
      <c r="T79" s="1120"/>
      <c r="U79" s="1120"/>
      <c r="V79" s="1120"/>
      <c r="W79" s="1120"/>
      <c r="X79" s="1120"/>
      <c r="Y79" s="1120"/>
      <c r="Z79" s="56"/>
    </row>
    <row r="80" spans="1:62">
      <c r="A80" s="7" t="s">
        <v>353</v>
      </c>
      <c r="B80" s="40" t="s">
        <v>354</v>
      </c>
      <c r="C80" s="40" t="s">
        <v>216</v>
      </c>
      <c r="D80" s="40" t="s">
        <v>228</v>
      </c>
      <c r="E80" s="40" t="s">
        <v>73</v>
      </c>
      <c r="F80" s="40" t="s">
        <v>71</v>
      </c>
      <c r="G80" s="38">
        <v>1</v>
      </c>
      <c r="H80" s="54">
        <v>25000</v>
      </c>
      <c r="I80" s="53">
        <v>0</v>
      </c>
      <c r="J80" s="54">
        <v>25000</v>
      </c>
      <c r="K80" s="54">
        <v>25000</v>
      </c>
      <c r="M80" s="1120"/>
      <c r="N80" s="1120"/>
      <c r="O80" s="1120"/>
      <c r="P80" s="1120"/>
      <c r="Q80" s="1120"/>
      <c r="R80" s="1120"/>
      <c r="S80" s="1120"/>
      <c r="T80" s="1120"/>
      <c r="U80" s="1120"/>
      <c r="V80" s="1120"/>
      <c r="W80" s="1120"/>
      <c r="X80" s="1120"/>
      <c r="Y80" s="1120"/>
      <c r="Z80" s="56"/>
    </row>
    <row r="81" spans="1:26">
      <c r="A81" s="7" t="s">
        <v>355</v>
      </c>
      <c r="B81" s="40" t="s">
        <v>356</v>
      </c>
      <c r="C81" s="40" t="s">
        <v>216</v>
      </c>
      <c r="D81" s="40" t="s">
        <v>228</v>
      </c>
      <c r="E81" s="40" t="s">
        <v>239</v>
      </c>
      <c r="F81" s="40" t="s">
        <v>108</v>
      </c>
      <c r="G81" s="38">
        <v>10</v>
      </c>
      <c r="H81" s="54">
        <v>1750</v>
      </c>
      <c r="I81" s="53">
        <v>0</v>
      </c>
      <c r="J81" s="54">
        <v>1750</v>
      </c>
      <c r="K81" s="54">
        <v>17500</v>
      </c>
      <c r="M81" s="45" t="s">
        <v>357</v>
      </c>
      <c r="N81" s="45"/>
      <c r="O81" s="45"/>
      <c r="P81" s="45"/>
      <c r="Q81" s="45"/>
      <c r="R81" s="45"/>
      <c r="S81" s="45"/>
      <c r="T81" s="45"/>
      <c r="U81" s="45"/>
      <c r="V81" s="45"/>
      <c r="W81" s="45"/>
      <c r="X81" s="45"/>
      <c r="Y81" s="45"/>
      <c r="Z81" s="56"/>
    </row>
    <row r="82" spans="1:26">
      <c r="A82" s="7" t="s">
        <v>358</v>
      </c>
      <c r="B82" s="40" t="s">
        <v>359</v>
      </c>
      <c r="C82" s="40" t="s">
        <v>216</v>
      </c>
      <c r="D82" s="40" t="s">
        <v>228</v>
      </c>
      <c r="E82" s="40" t="s">
        <v>239</v>
      </c>
      <c r="F82" s="40" t="s">
        <v>108</v>
      </c>
      <c r="G82" s="38">
        <v>10</v>
      </c>
      <c r="H82" s="54">
        <v>2750</v>
      </c>
      <c r="I82" s="53">
        <v>0</v>
      </c>
      <c r="J82" s="54">
        <v>2750</v>
      </c>
      <c r="K82" s="54">
        <v>27500</v>
      </c>
      <c r="M82" s="45" t="s">
        <v>357</v>
      </c>
      <c r="N82" s="45"/>
      <c r="O82" s="45"/>
      <c r="P82" s="45"/>
      <c r="Q82" s="45"/>
      <c r="R82" s="45"/>
      <c r="S82" s="45"/>
      <c r="T82" s="45"/>
      <c r="U82" s="45"/>
      <c r="V82" s="45"/>
      <c r="W82" s="45"/>
      <c r="X82" s="45"/>
      <c r="Y82" s="45"/>
      <c r="Z82" s="56"/>
    </row>
    <row r="83" spans="1:26">
      <c r="A83" s="7" t="s">
        <v>360</v>
      </c>
      <c r="B83" s="40" t="s">
        <v>361</v>
      </c>
      <c r="C83" s="40" t="s">
        <v>216</v>
      </c>
      <c r="D83" s="40" t="s">
        <v>228</v>
      </c>
      <c r="E83" s="40" t="s">
        <v>231</v>
      </c>
      <c r="F83" s="40"/>
      <c r="G83" s="38"/>
      <c r="H83" s="51"/>
      <c r="I83" s="53">
        <v>0</v>
      </c>
      <c r="J83" s="54">
        <v>0</v>
      </c>
      <c r="K83" s="54">
        <v>0</v>
      </c>
      <c r="L83" s="14"/>
      <c r="M83" s="45"/>
      <c r="N83" s="45"/>
      <c r="O83" s="45"/>
      <c r="P83" s="45"/>
      <c r="Q83" s="45"/>
      <c r="R83" s="45"/>
      <c r="S83" s="45"/>
      <c r="T83" s="45"/>
      <c r="U83" s="45"/>
      <c r="V83" s="45"/>
      <c r="W83" s="45"/>
      <c r="X83" s="45"/>
      <c r="Y83" s="45"/>
      <c r="Z83" s="56"/>
    </row>
    <row r="84" spans="1:26">
      <c r="A84" s="4" t="s">
        <v>362</v>
      </c>
      <c r="B84" s="151" t="s">
        <v>363</v>
      </c>
      <c r="C84" s="760" t="s">
        <v>337</v>
      </c>
      <c r="D84" s="151"/>
      <c r="E84" s="151"/>
      <c r="F84" s="151"/>
      <c r="G84" s="152"/>
      <c r="H84" s="153"/>
      <c r="I84" s="154"/>
      <c r="J84" s="153"/>
      <c r="K84" s="172"/>
      <c r="L84" s="70">
        <v>690619</v>
      </c>
      <c r="M84" s="45"/>
      <c r="N84" s="45"/>
      <c r="O84" s="45"/>
      <c r="P84" s="45"/>
      <c r="Q84" s="45"/>
      <c r="R84" s="45"/>
      <c r="S84" s="45"/>
      <c r="T84" s="45"/>
      <c r="U84" s="45"/>
      <c r="V84" s="45"/>
      <c r="W84" s="45"/>
      <c r="X84" s="45"/>
      <c r="Y84" s="45"/>
      <c r="Z84" s="56"/>
    </row>
    <row r="85" spans="1:26">
      <c r="A85" s="6" t="s">
        <v>307</v>
      </c>
      <c r="B85" s="47" t="s">
        <v>364</v>
      </c>
      <c r="C85" s="47" t="s">
        <v>216</v>
      </c>
      <c r="D85" s="47" t="s">
        <v>309</v>
      </c>
      <c r="E85" s="47"/>
      <c r="F85" s="47"/>
      <c r="G85" s="42"/>
      <c r="H85" s="461">
        <v>79</v>
      </c>
      <c r="I85" s="63">
        <v>0</v>
      </c>
      <c r="J85" s="67">
        <v>79</v>
      </c>
      <c r="K85" s="67">
        <v>0</v>
      </c>
      <c r="M85" s="45"/>
      <c r="N85" s="45"/>
      <c r="O85" s="45"/>
      <c r="P85" s="45"/>
      <c r="Q85" s="45"/>
      <c r="R85" s="45"/>
      <c r="S85" s="45"/>
      <c r="T85" s="45"/>
      <c r="U85" s="45"/>
      <c r="V85" s="45"/>
      <c r="W85" s="45"/>
      <c r="X85" s="45"/>
      <c r="Y85" s="45"/>
      <c r="Z85" s="56"/>
    </row>
    <row r="86" spans="1:26" hidden="1">
      <c r="A86" s="7" t="s">
        <v>365</v>
      </c>
      <c r="B86" s="40" t="s">
        <v>366</v>
      </c>
      <c r="C86" s="40" t="s">
        <v>216</v>
      </c>
      <c r="D86" s="40" t="s">
        <v>303</v>
      </c>
      <c r="E86" s="40" t="s">
        <v>231</v>
      </c>
      <c r="F86" s="40"/>
      <c r="G86" s="38"/>
      <c r="H86" s="54"/>
      <c r="I86" s="53">
        <v>0</v>
      </c>
      <c r="J86" s="54">
        <v>0</v>
      </c>
      <c r="K86" s="54">
        <v>0</v>
      </c>
      <c r="M86" s="45"/>
      <c r="N86" s="45"/>
      <c r="O86" s="45"/>
      <c r="P86" s="45"/>
      <c r="Q86" s="45"/>
      <c r="R86" s="45"/>
      <c r="S86" s="45"/>
      <c r="T86" s="45"/>
      <c r="U86" s="45"/>
      <c r="V86" s="45"/>
      <c r="W86" s="45"/>
      <c r="X86" s="45"/>
      <c r="Y86" s="45"/>
      <c r="Z86" s="56"/>
    </row>
    <row r="87" spans="1:26" hidden="1">
      <c r="A87" s="7" t="s">
        <v>367</v>
      </c>
      <c r="B87" s="40" t="s">
        <v>368</v>
      </c>
      <c r="C87" s="40" t="s">
        <v>216</v>
      </c>
      <c r="D87" s="40" t="s">
        <v>303</v>
      </c>
      <c r="E87" s="40" t="s">
        <v>369</v>
      </c>
      <c r="F87" s="40"/>
      <c r="G87" s="38"/>
      <c r="H87" s="54"/>
      <c r="I87" s="53">
        <v>0</v>
      </c>
      <c r="J87" s="54">
        <v>0</v>
      </c>
      <c r="K87" s="54">
        <v>0</v>
      </c>
      <c r="M87" s="45"/>
      <c r="N87" s="45"/>
      <c r="O87" s="45"/>
      <c r="P87" s="45"/>
      <c r="Q87" s="45"/>
      <c r="R87" s="45"/>
      <c r="S87" s="45"/>
      <c r="T87" s="45"/>
      <c r="U87" s="45"/>
      <c r="V87" s="45"/>
      <c r="W87" s="45"/>
      <c r="X87" s="45"/>
      <c r="Y87" s="45"/>
      <c r="Z87" s="56"/>
    </row>
    <row r="88" spans="1:26" hidden="1">
      <c r="A88" s="7" t="s">
        <v>370</v>
      </c>
      <c r="B88" s="40" t="s">
        <v>368</v>
      </c>
      <c r="C88" s="40" t="s">
        <v>216</v>
      </c>
      <c r="D88" s="40" t="s">
        <v>228</v>
      </c>
      <c r="E88" s="40" t="s">
        <v>231</v>
      </c>
      <c r="F88" s="40"/>
      <c r="G88" s="38"/>
      <c r="H88" s="54"/>
      <c r="I88" s="53">
        <v>0</v>
      </c>
      <c r="J88" s="54">
        <v>0</v>
      </c>
      <c r="K88" s="54">
        <v>0</v>
      </c>
      <c r="M88" s="45"/>
      <c r="N88" s="45"/>
      <c r="O88" s="45"/>
      <c r="P88" s="45"/>
      <c r="Q88" s="45"/>
      <c r="R88" s="45"/>
      <c r="S88" s="45"/>
      <c r="T88" s="45"/>
      <c r="U88" s="45"/>
      <c r="V88" s="45"/>
      <c r="W88" s="45"/>
      <c r="X88" s="45"/>
      <c r="Y88" s="45"/>
      <c r="Z88" s="56"/>
    </row>
    <row r="89" spans="1:26" hidden="1">
      <c r="A89" s="7" t="s">
        <v>371</v>
      </c>
      <c r="B89" s="40" t="s">
        <v>372</v>
      </c>
      <c r="C89" s="40" t="s">
        <v>216</v>
      </c>
      <c r="D89" s="40" t="s">
        <v>228</v>
      </c>
      <c r="E89" s="40" t="s">
        <v>231</v>
      </c>
      <c r="F89" s="40"/>
      <c r="G89" s="38"/>
      <c r="H89" s="54"/>
      <c r="I89" s="53">
        <v>0</v>
      </c>
      <c r="J89" s="54">
        <v>0</v>
      </c>
      <c r="K89" s="54">
        <v>0</v>
      </c>
      <c r="M89" s="45"/>
      <c r="N89" s="45"/>
      <c r="O89" s="45"/>
      <c r="P89" s="45"/>
      <c r="Q89" s="45"/>
      <c r="R89" s="45"/>
      <c r="S89" s="45"/>
      <c r="T89" s="45"/>
      <c r="U89" s="45"/>
      <c r="V89" s="45"/>
      <c r="W89" s="45"/>
      <c r="X89" s="45"/>
      <c r="Y89" s="45"/>
      <c r="Z89" s="56"/>
    </row>
    <row r="90" spans="1:26">
      <c r="A90" s="7" t="s">
        <v>373</v>
      </c>
      <c r="B90" s="40" t="s">
        <v>374</v>
      </c>
      <c r="C90" s="40" t="s">
        <v>216</v>
      </c>
      <c r="D90" s="40" t="s">
        <v>228</v>
      </c>
      <c r="E90" s="40" t="s">
        <v>239</v>
      </c>
      <c r="F90" s="40" t="s">
        <v>375</v>
      </c>
      <c r="G90" s="42">
        <v>390</v>
      </c>
      <c r="H90" s="54">
        <v>1336</v>
      </c>
      <c r="I90" s="53">
        <v>0.1</v>
      </c>
      <c r="J90" s="54">
        <v>1469.6000000000001</v>
      </c>
      <c r="K90" s="54">
        <v>573144</v>
      </c>
      <c r="L90" s="112"/>
      <c r="M90" s="45" t="s">
        <v>376</v>
      </c>
      <c r="N90" s="45"/>
      <c r="O90" s="45"/>
      <c r="P90" s="45"/>
      <c r="Q90" s="45"/>
      <c r="R90" s="45"/>
      <c r="S90" s="45"/>
      <c r="T90" s="45"/>
      <c r="U90" s="45"/>
      <c r="V90" s="45"/>
      <c r="W90" s="45"/>
      <c r="X90" s="45"/>
      <c r="Y90" s="45"/>
      <c r="Z90" s="56"/>
    </row>
    <row r="91" spans="1:26">
      <c r="A91" s="7" t="s">
        <v>377</v>
      </c>
      <c r="B91" s="40" t="s">
        <v>374</v>
      </c>
      <c r="C91" s="40" t="s">
        <v>233</v>
      </c>
      <c r="D91" s="40" t="s">
        <v>228</v>
      </c>
      <c r="E91" s="40" t="s">
        <v>73</v>
      </c>
      <c r="F91" s="40" t="s">
        <v>375</v>
      </c>
      <c r="G91" s="42">
        <v>390</v>
      </c>
      <c r="H91" s="54">
        <v>50</v>
      </c>
      <c r="I91" s="53">
        <v>0</v>
      </c>
      <c r="J91" s="54">
        <v>50</v>
      </c>
      <c r="K91" s="54">
        <v>19500</v>
      </c>
      <c r="M91" s="45"/>
      <c r="N91" s="45"/>
      <c r="O91" s="45"/>
      <c r="P91" s="45"/>
      <c r="Q91" s="45"/>
      <c r="R91" s="45"/>
      <c r="S91" s="45"/>
      <c r="T91" s="45"/>
      <c r="U91" s="45"/>
      <c r="V91" s="45"/>
      <c r="W91" s="45"/>
      <c r="X91" s="45"/>
      <c r="Y91" s="45"/>
      <c r="Z91" s="56"/>
    </row>
    <row r="92" spans="1:26" hidden="1">
      <c r="A92" s="7" t="s">
        <v>378</v>
      </c>
      <c r="B92" s="40" t="s">
        <v>379</v>
      </c>
      <c r="C92" s="40" t="s">
        <v>216</v>
      </c>
      <c r="D92" s="40" t="s">
        <v>250</v>
      </c>
      <c r="E92" s="40" t="s">
        <v>231</v>
      </c>
      <c r="F92" s="40"/>
      <c r="G92" s="38"/>
      <c r="H92" s="54"/>
      <c r="I92" s="53">
        <v>0</v>
      </c>
      <c r="J92" s="54">
        <v>0</v>
      </c>
      <c r="K92" s="54">
        <v>0</v>
      </c>
      <c r="M92" s="45"/>
      <c r="N92" s="45"/>
      <c r="O92" s="45"/>
      <c r="P92" s="45"/>
      <c r="Q92" s="45"/>
      <c r="R92" s="45"/>
      <c r="S92" s="45"/>
      <c r="T92" s="45"/>
      <c r="U92" s="45"/>
      <c r="V92" s="45"/>
      <c r="W92" s="45"/>
      <c r="X92" s="45"/>
      <c r="Y92" s="45"/>
      <c r="Z92" s="56"/>
    </row>
    <row r="93" spans="1:26" hidden="1">
      <c r="A93" s="7" t="s">
        <v>380</v>
      </c>
      <c r="B93" s="40" t="s">
        <v>381</v>
      </c>
      <c r="C93" s="40" t="s">
        <v>216</v>
      </c>
      <c r="D93" s="40" t="s">
        <v>242</v>
      </c>
      <c r="E93" s="40" t="s">
        <v>231</v>
      </c>
      <c r="F93" s="40"/>
      <c r="G93" s="38"/>
      <c r="H93" s="54"/>
      <c r="I93" s="53">
        <v>0</v>
      </c>
      <c r="J93" s="54">
        <v>0</v>
      </c>
      <c r="K93" s="54">
        <v>0</v>
      </c>
      <c r="M93" s="45"/>
      <c r="N93" s="45"/>
      <c r="O93" s="45"/>
      <c r="P93" s="45"/>
      <c r="Q93" s="45"/>
      <c r="R93" s="45"/>
      <c r="S93" s="45"/>
      <c r="T93" s="45"/>
      <c r="U93" s="45"/>
      <c r="V93" s="45"/>
      <c r="W93" s="45"/>
      <c r="X93" s="45"/>
      <c r="Y93" s="45"/>
      <c r="Z93" s="56"/>
    </row>
    <row r="94" spans="1:26" hidden="1">
      <c r="A94" s="7" t="s">
        <v>382</v>
      </c>
      <c r="B94" s="40" t="s">
        <v>383</v>
      </c>
      <c r="C94" s="40" t="s">
        <v>216</v>
      </c>
      <c r="D94" s="40" t="s">
        <v>228</v>
      </c>
      <c r="E94" s="40" t="s">
        <v>231</v>
      </c>
      <c r="F94" s="40"/>
      <c r="G94" s="38"/>
      <c r="H94" s="54"/>
      <c r="I94" s="53">
        <v>0</v>
      </c>
      <c r="J94" s="54">
        <v>0</v>
      </c>
      <c r="K94" s="54">
        <v>0</v>
      </c>
      <c r="M94" s="45"/>
      <c r="N94" s="45"/>
      <c r="O94" s="45"/>
      <c r="P94" s="45"/>
      <c r="Q94" s="45"/>
      <c r="R94" s="45"/>
      <c r="S94" s="45"/>
      <c r="T94" s="45"/>
      <c r="U94" s="45"/>
      <c r="V94" s="45"/>
      <c r="W94" s="45"/>
      <c r="X94" s="45"/>
      <c r="Y94" s="45"/>
      <c r="Z94" s="56"/>
    </row>
    <row r="95" spans="1:26" hidden="1">
      <c r="A95" s="7" t="s">
        <v>384</v>
      </c>
      <c r="B95" s="40" t="s">
        <v>385</v>
      </c>
      <c r="C95" s="40" t="s">
        <v>216</v>
      </c>
      <c r="D95" s="40" t="s">
        <v>228</v>
      </c>
      <c r="E95" s="40" t="s">
        <v>231</v>
      </c>
      <c r="F95" s="40"/>
      <c r="G95" s="38"/>
      <c r="H95" s="54"/>
      <c r="I95" s="53">
        <v>0</v>
      </c>
      <c r="J95" s="54">
        <v>0</v>
      </c>
      <c r="K95" s="54">
        <v>0</v>
      </c>
      <c r="M95" s="45"/>
      <c r="N95" s="45"/>
      <c r="O95" s="45"/>
      <c r="P95" s="45"/>
      <c r="Q95" s="45"/>
      <c r="R95" s="45"/>
      <c r="S95" s="45"/>
      <c r="T95" s="45"/>
      <c r="U95" s="45"/>
      <c r="V95" s="45"/>
      <c r="W95" s="45"/>
      <c r="X95" s="45"/>
      <c r="Y95" s="45"/>
      <c r="Z95" s="56"/>
    </row>
    <row r="96" spans="1:26" hidden="1">
      <c r="A96" s="7" t="s">
        <v>386</v>
      </c>
      <c r="B96" s="40" t="s">
        <v>387</v>
      </c>
      <c r="C96" s="40" t="s">
        <v>216</v>
      </c>
      <c r="D96" s="40" t="s">
        <v>228</v>
      </c>
      <c r="E96" s="40" t="s">
        <v>231</v>
      </c>
      <c r="F96" s="40"/>
      <c r="G96" s="38"/>
      <c r="H96" s="54"/>
      <c r="I96" s="53">
        <v>0</v>
      </c>
      <c r="J96" s="54">
        <v>0</v>
      </c>
      <c r="K96" s="54">
        <v>0</v>
      </c>
      <c r="M96" s="45"/>
      <c r="N96" s="45"/>
      <c r="O96" s="45"/>
      <c r="P96" s="45"/>
      <c r="Q96" s="45"/>
      <c r="R96" s="45"/>
      <c r="S96" s="45"/>
      <c r="T96" s="45"/>
      <c r="U96" s="45"/>
      <c r="V96" s="45"/>
      <c r="W96" s="45"/>
      <c r="X96" s="45"/>
      <c r="Y96" s="45"/>
      <c r="Z96" s="56"/>
    </row>
    <row r="97" spans="1:26" hidden="1">
      <c r="A97" s="7" t="s">
        <v>388</v>
      </c>
      <c r="B97" s="40" t="s">
        <v>385</v>
      </c>
      <c r="C97" s="40" t="s">
        <v>216</v>
      </c>
      <c r="D97" s="40" t="s">
        <v>228</v>
      </c>
      <c r="E97" s="40" t="s">
        <v>231</v>
      </c>
      <c r="F97" s="40"/>
      <c r="G97" s="38"/>
      <c r="H97" s="54"/>
      <c r="I97" s="53">
        <v>0</v>
      </c>
      <c r="J97" s="54">
        <v>0</v>
      </c>
      <c r="K97" s="54">
        <v>0</v>
      </c>
      <c r="M97" s="45"/>
      <c r="N97" s="45"/>
      <c r="O97" s="45"/>
      <c r="P97" s="45"/>
      <c r="Q97" s="45"/>
      <c r="R97" s="45"/>
      <c r="S97" s="45"/>
      <c r="T97" s="45"/>
      <c r="U97" s="45"/>
      <c r="V97" s="45"/>
      <c r="W97" s="45"/>
      <c r="X97" s="45"/>
      <c r="Y97" s="45"/>
      <c r="Z97" s="56"/>
    </row>
    <row r="98" spans="1:26">
      <c r="A98" s="7" t="s">
        <v>389</v>
      </c>
      <c r="B98" s="40" t="s">
        <v>385</v>
      </c>
      <c r="C98" s="40" t="s">
        <v>216</v>
      </c>
      <c r="D98" s="40" t="s">
        <v>228</v>
      </c>
      <c r="E98" s="40" t="s">
        <v>239</v>
      </c>
      <c r="F98" s="40" t="s">
        <v>102</v>
      </c>
      <c r="G98" s="42">
        <v>553</v>
      </c>
      <c r="H98" s="54">
        <v>175</v>
      </c>
      <c r="I98" s="53">
        <v>0</v>
      </c>
      <c r="J98" s="54">
        <v>175</v>
      </c>
      <c r="K98" s="54">
        <v>96775</v>
      </c>
      <c r="M98" s="45"/>
      <c r="N98" s="45"/>
      <c r="O98" s="45"/>
      <c r="P98" s="45"/>
      <c r="Q98" s="45"/>
      <c r="R98" s="45"/>
      <c r="S98" s="45"/>
      <c r="T98" s="45"/>
      <c r="U98" s="45"/>
      <c r="V98" s="45"/>
      <c r="W98" s="45"/>
      <c r="X98" s="45"/>
      <c r="Y98" s="45"/>
      <c r="Z98" s="56"/>
    </row>
    <row r="99" spans="1:26">
      <c r="A99" s="7" t="s">
        <v>390</v>
      </c>
      <c r="B99" s="40" t="s">
        <v>385</v>
      </c>
      <c r="C99" s="40" t="s">
        <v>216</v>
      </c>
      <c r="D99" s="40" t="s">
        <v>228</v>
      </c>
      <c r="E99" s="40" t="s">
        <v>73</v>
      </c>
      <c r="F99" s="40" t="s">
        <v>108</v>
      </c>
      <c r="G99" s="38">
        <v>4</v>
      </c>
      <c r="H99" s="54">
        <v>300</v>
      </c>
      <c r="I99" s="53">
        <v>0</v>
      </c>
      <c r="J99" s="54">
        <v>300</v>
      </c>
      <c r="K99" s="54">
        <v>1200</v>
      </c>
      <c r="M99" s="45"/>
      <c r="N99" s="45"/>
      <c r="O99" s="45"/>
      <c r="P99" s="45"/>
      <c r="Q99" s="45"/>
      <c r="R99" s="45"/>
      <c r="S99" s="45"/>
      <c r="T99" s="45"/>
      <c r="U99" s="45"/>
      <c r="V99" s="45"/>
      <c r="W99" s="45"/>
      <c r="X99" s="45"/>
      <c r="Y99" s="45"/>
      <c r="Z99" s="56"/>
    </row>
    <row r="100" spans="1:26">
      <c r="A100" s="4" t="s">
        <v>391</v>
      </c>
      <c r="B100" s="151" t="s">
        <v>392</v>
      </c>
      <c r="C100" s="760" t="s">
        <v>337</v>
      </c>
      <c r="D100" s="151"/>
      <c r="E100" s="151"/>
      <c r="F100" s="151"/>
      <c r="G100" s="152"/>
      <c r="H100" s="153"/>
      <c r="I100" s="154"/>
      <c r="J100" s="153"/>
      <c r="K100" s="172"/>
      <c r="L100" s="70">
        <v>6934652.5816400005</v>
      </c>
      <c r="M100" s="45"/>
      <c r="N100" s="45"/>
      <c r="O100" s="45"/>
      <c r="P100" s="45"/>
      <c r="Q100" s="45"/>
      <c r="R100" s="45"/>
      <c r="S100" s="45"/>
      <c r="T100" s="45"/>
      <c r="U100" s="45"/>
      <c r="V100" s="45"/>
      <c r="W100" s="45"/>
      <c r="X100" s="45"/>
      <c r="Y100" s="45"/>
      <c r="Z100" s="56"/>
    </row>
    <row r="101" spans="1:26">
      <c r="A101" s="6" t="s">
        <v>393</v>
      </c>
      <c r="B101" s="47" t="s">
        <v>394</v>
      </c>
      <c r="C101" s="47" t="s">
        <v>216</v>
      </c>
      <c r="D101" s="47" t="s">
        <v>228</v>
      </c>
      <c r="E101" s="47"/>
      <c r="F101" s="47"/>
      <c r="G101" s="42"/>
      <c r="H101" s="61">
        <v>0.05</v>
      </c>
      <c r="I101" s="63">
        <v>0</v>
      </c>
      <c r="J101" s="66">
        <v>0.05</v>
      </c>
      <c r="K101" s="67">
        <v>0</v>
      </c>
      <c r="M101" s="45"/>
      <c r="N101" s="45"/>
      <c r="O101" s="45"/>
      <c r="P101" s="45"/>
      <c r="Q101" s="45"/>
      <c r="R101" s="45"/>
      <c r="S101" s="45"/>
      <c r="T101" s="45"/>
      <c r="U101" s="45"/>
      <c r="V101" s="45"/>
      <c r="W101" s="45"/>
      <c r="X101" s="45"/>
      <c r="Y101" s="45"/>
      <c r="Z101" s="56"/>
    </row>
    <row r="102" spans="1:26">
      <c r="A102" s="7" t="s">
        <v>395</v>
      </c>
      <c r="B102" s="40" t="s">
        <v>396</v>
      </c>
      <c r="C102" s="40" t="s">
        <v>216</v>
      </c>
      <c r="D102" s="40" t="s">
        <v>228</v>
      </c>
      <c r="E102" s="40" t="s">
        <v>73</v>
      </c>
      <c r="F102" s="40" t="s">
        <v>71</v>
      </c>
      <c r="G102" s="38">
        <v>1</v>
      </c>
      <c r="H102" s="54">
        <v>25000</v>
      </c>
      <c r="I102" s="53">
        <v>0</v>
      </c>
      <c r="J102" s="54">
        <v>25000</v>
      </c>
      <c r="K102" s="54">
        <v>25000</v>
      </c>
      <c r="M102" s="45"/>
      <c r="N102" s="45"/>
      <c r="O102" s="45"/>
      <c r="P102" s="45"/>
      <c r="Q102" s="45"/>
      <c r="R102" s="45"/>
      <c r="S102" s="45"/>
      <c r="T102" s="45"/>
      <c r="U102" s="45"/>
      <c r="V102" s="45"/>
      <c r="W102" s="45"/>
      <c r="X102" s="45"/>
      <c r="Y102" s="45"/>
      <c r="Z102" s="56"/>
    </row>
    <row r="103" spans="1:26">
      <c r="A103" s="7" t="s">
        <v>397</v>
      </c>
      <c r="B103" s="40" t="s">
        <v>398</v>
      </c>
      <c r="C103" s="40" t="s">
        <v>216</v>
      </c>
      <c r="D103" s="40" t="s">
        <v>228</v>
      </c>
      <c r="E103" s="40" t="s">
        <v>239</v>
      </c>
      <c r="F103" s="40" t="s">
        <v>61</v>
      </c>
      <c r="G103" s="38">
        <v>422635</v>
      </c>
      <c r="H103" s="51">
        <v>0.85</v>
      </c>
      <c r="I103" s="53">
        <v>0</v>
      </c>
      <c r="J103" s="51">
        <v>0.85</v>
      </c>
      <c r="K103" s="54">
        <v>359239.75</v>
      </c>
      <c r="M103" s="45"/>
      <c r="N103" s="45"/>
      <c r="O103" s="45"/>
      <c r="P103" s="45"/>
      <c r="Q103" s="45"/>
      <c r="R103" s="45"/>
      <c r="S103" s="45"/>
      <c r="T103" s="45"/>
      <c r="U103" s="45"/>
      <c r="V103" s="45"/>
      <c r="W103" s="45"/>
      <c r="X103" s="45"/>
      <c r="Y103" s="45"/>
      <c r="Z103" s="56"/>
    </row>
    <row r="104" spans="1:26">
      <c r="A104" s="7" t="s">
        <v>399</v>
      </c>
      <c r="B104" s="40" t="s">
        <v>400</v>
      </c>
      <c r="C104" s="40" t="s">
        <v>216</v>
      </c>
      <c r="D104" s="40" t="s">
        <v>228</v>
      </c>
      <c r="E104" s="40" t="s">
        <v>73</v>
      </c>
      <c r="F104" s="40" t="s">
        <v>71</v>
      </c>
      <c r="G104" s="38">
        <v>1</v>
      </c>
      <c r="H104" s="54">
        <v>50000</v>
      </c>
      <c r="I104" s="53">
        <v>0</v>
      </c>
      <c r="J104" s="54">
        <v>50000</v>
      </c>
      <c r="K104" s="54">
        <v>50000</v>
      </c>
      <c r="M104" s="45"/>
      <c r="N104" s="45"/>
      <c r="O104" s="45"/>
      <c r="P104" s="45"/>
      <c r="Q104" s="45"/>
      <c r="R104" s="45"/>
      <c r="S104" s="45"/>
      <c r="T104" s="45"/>
      <c r="U104" s="45"/>
      <c r="V104" s="45"/>
      <c r="W104" s="45"/>
      <c r="X104" s="45"/>
      <c r="Y104" s="45"/>
      <c r="Z104" s="56"/>
    </row>
    <row r="105" spans="1:26">
      <c r="A105" s="7" t="s">
        <v>307</v>
      </c>
      <c r="B105" s="40" t="s">
        <v>401</v>
      </c>
      <c r="C105" s="40" t="s">
        <v>216</v>
      </c>
      <c r="D105" s="40" t="s">
        <v>309</v>
      </c>
      <c r="E105" s="40" t="s">
        <v>402</v>
      </c>
      <c r="F105" s="40" t="s">
        <v>403</v>
      </c>
      <c r="G105" s="42">
        <v>390</v>
      </c>
      <c r="H105" s="54">
        <v>79</v>
      </c>
      <c r="I105" s="53">
        <v>0</v>
      </c>
      <c r="J105" s="54">
        <v>79</v>
      </c>
      <c r="K105" s="54">
        <v>30810</v>
      </c>
      <c r="M105" s="45"/>
      <c r="N105" s="45"/>
      <c r="O105" s="45"/>
      <c r="P105" s="45"/>
      <c r="Q105" s="45"/>
      <c r="R105" s="45"/>
      <c r="S105" s="45"/>
      <c r="T105" s="45"/>
      <c r="U105" s="45"/>
      <c r="V105" s="45"/>
      <c r="W105" s="45"/>
      <c r="X105" s="45"/>
      <c r="Y105" s="45"/>
      <c r="Z105" s="56"/>
    </row>
    <row r="106" spans="1:26">
      <c r="A106" s="7" t="s">
        <v>404</v>
      </c>
      <c r="B106" s="40" t="s">
        <v>405</v>
      </c>
      <c r="C106" s="40" t="s">
        <v>216</v>
      </c>
      <c r="D106" s="40" t="s">
        <v>223</v>
      </c>
      <c r="E106" s="40" t="s">
        <v>73</v>
      </c>
      <c r="F106" s="40" t="s">
        <v>71</v>
      </c>
      <c r="G106" s="38">
        <v>1</v>
      </c>
      <c r="H106" s="54">
        <v>10000</v>
      </c>
      <c r="I106" s="53">
        <v>0</v>
      </c>
      <c r="J106" s="54">
        <v>10000</v>
      </c>
      <c r="K106" s="54">
        <v>10000</v>
      </c>
      <c r="M106" s="45"/>
      <c r="N106" s="45"/>
      <c r="O106" s="45"/>
      <c r="P106" s="45"/>
      <c r="Q106" s="45"/>
      <c r="R106" s="45"/>
      <c r="S106" s="45"/>
      <c r="T106" s="45"/>
      <c r="U106" s="45"/>
      <c r="V106" s="45"/>
      <c r="W106" s="45"/>
      <c r="X106" s="45"/>
      <c r="Y106" s="45"/>
      <c r="Z106" s="56"/>
    </row>
    <row r="107" spans="1:26">
      <c r="A107" s="7" t="s">
        <v>159</v>
      </c>
      <c r="B107" s="40" t="s">
        <v>406</v>
      </c>
      <c r="C107" s="40" t="s">
        <v>216</v>
      </c>
      <c r="D107" s="40" t="s">
        <v>228</v>
      </c>
      <c r="E107" s="40" t="s">
        <v>239</v>
      </c>
      <c r="F107" s="40" t="s">
        <v>62</v>
      </c>
      <c r="G107" s="38">
        <v>28186.002</v>
      </c>
      <c r="H107" s="51">
        <v>40.82</v>
      </c>
      <c r="I107" s="53">
        <v>0</v>
      </c>
      <c r="J107" s="51">
        <v>40.82</v>
      </c>
      <c r="K107" s="54">
        <v>1150552.60164</v>
      </c>
      <c r="M107" s="45"/>
      <c r="N107" s="45"/>
      <c r="O107" s="45"/>
      <c r="P107" s="45"/>
      <c r="Q107" s="45"/>
      <c r="R107" s="45"/>
      <c r="S107" s="45"/>
      <c r="T107" s="45"/>
      <c r="U107" s="45"/>
      <c r="V107" s="45"/>
      <c r="W107" s="45"/>
      <c r="X107" s="45"/>
      <c r="Y107" s="45"/>
      <c r="Z107" s="56"/>
    </row>
    <row r="108" spans="1:26">
      <c r="A108" s="7" t="s">
        <v>407</v>
      </c>
      <c r="B108" s="40" t="s">
        <v>406</v>
      </c>
      <c r="C108" s="40" t="s">
        <v>283</v>
      </c>
      <c r="D108" s="40" t="s">
        <v>235</v>
      </c>
      <c r="E108" s="40" t="s">
        <v>73</v>
      </c>
      <c r="F108" s="40" t="s">
        <v>71</v>
      </c>
      <c r="G108" s="38">
        <v>1</v>
      </c>
      <c r="H108" s="54">
        <v>6000</v>
      </c>
      <c r="I108" s="53">
        <v>0</v>
      </c>
      <c r="J108" s="54">
        <v>6000</v>
      </c>
      <c r="K108" s="54">
        <v>6000</v>
      </c>
      <c r="M108" s="45"/>
      <c r="N108" s="45"/>
      <c r="O108" s="45"/>
      <c r="P108" s="45"/>
      <c r="Q108" s="45"/>
      <c r="R108" s="45"/>
      <c r="S108" s="45"/>
      <c r="T108" s="45"/>
      <c r="U108" s="45"/>
      <c r="V108" s="45"/>
      <c r="W108" s="45"/>
      <c r="X108" s="45"/>
      <c r="Y108" s="45"/>
      <c r="Z108" s="56"/>
    </row>
    <row r="109" spans="1:26">
      <c r="A109" s="7" t="s">
        <v>408</v>
      </c>
      <c r="B109" s="40" t="s">
        <v>409</v>
      </c>
      <c r="C109" s="40" t="s">
        <v>216</v>
      </c>
      <c r="D109" s="40" t="s">
        <v>242</v>
      </c>
      <c r="E109" s="40" t="s">
        <v>231</v>
      </c>
      <c r="F109" s="40"/>
      <c r="G109" s="38"/>
      <c r="H109" s="51"/>
      <c r="I109" s="53">
        <v>0</v>
      </c>
      <c r="J109" s="54">
        <v>0</v>
      </c>
      <c r="K109" s="54">
        <v>0</v>
      </c>
      <c r="M109" s="45"/>
      <c r="N109" s="45"/>
      <c r="O109" s="45"/>
      <c r="P109" s="45"/>
      <c r="Q109" s="45"/>
      <c r="R109" s="45"/>
      <c r="S109" s="45"/>
      <c r="T109" s="45"/>
      <c r="U109" s="45"/>
      <c r="V109" s="45"/>
      <c r="W109" s="45"/>
      <c r="X109" s="45"/>
      <c r="Y109" s="45"/>
      <c r="Z109" s="56"/>
    </row>
    <row r="110" spans="1:26">
      <c r="A110" s="7" t="s">
        <v>410</v>
      </c>
      <c r="B110" s="40" t="s">
        <v>411</v>
      </c>
      <c r="C110" s="40" t="s">
        <v>283</v>
      </c>
      <c r="D110" s="40" t="s">
        <v>242</v>
      </c>
      <c r="E110" s="40" t="s">
        <v>73</v>
      </c>
      <c r="F110" s="40" t="s">
        <v>71</v>
      </c>
      <c r="G110" s="38">
        <v>1</v>
      </c>
      <c r="H110" s="54">
        <v>5000</v>
      </c>
      <c r="I110" s="53">
        <v>0</v>
      </c>
      <c r="J110" s="54">
        <v>5000</v>
      </c>
      <c r="K110" s="54">
        <v>5000</v>
      </c>
      <c r="M110" s="45"/>
      <c r="N110" s="45"/>
      <c r="O110" s="45"/>
      <c r="P110" s="45"/>
      <c r="Q110" s="45"/>
      <c r="R110" s="45"/>
      <c r="S110" s="45"/>
      <c r="T110" s="45"/>
      <c r="U110" s="45"/>
      <c r="V110" s="45"/>
      <c r="W110" s="45"/>
      <c r="X110" s="45"/>
      <c r="Y110" s="45"/>
      <c r="Z110" s="56"/>
    </row>
    <row r="111" spans="1:26">
      <c r="A111" s="7" t="s">
        <v>412</v>
      </c>
      <c r="B111" s="40" t="s">
        <v>413</v>
      </c>
      <c r="C111" s="40" t="s">
        <v>216</v>
      </c>
      <c r="D111" s="40" t="s">
        <v>242</v>
      </c>
      <c r="E111" s="40" t="s">
        <v>231</v>
      </c>
      <c r="F111" s="40" t="s">
        <v>71</v>
      </c>
      <c r="G111" s="38">
        <v>1</v>
      </c>
      <c r="H111" s="54">
        <v>7500</v>
      </c>
      <c r="I111" s="53">
        <v>0</v>
      </c>
      <c r="J111" s="54">
        <v>7500</v>
      </c>
      <c r="K111" s="54">
        <v>7500</v>
      </c>
      <c r="M111" s="45"/>
      <c r="N111" s="45"/>
      <c r="O111" s="45"/>
      <c r="P111" s="45"/>
      <c r="Q111" s="45"/>
      <c r="R111" s="45"/>
      <c r="S111" s="45"/>
      <c r="T111" s="45"/>
      <c r="U111" s="45"/>
      <c r="V111" s="45"/>
      <c r="W111" s="45"/>
      <c r="X111" s="45"/>
      <c r="Y111" s="45"/>
      <c r="Z111" s="56"/>
    </row>
    <row r="112" spans="1:26">
      <c r="A112" s="7" t="s">
        <v>414</v>
      </c>
      <c r="B112" s="40" t="s">
        <v>415</v>
      </c>
      <c r="C112" s="40" t="s">
        <v>216</v>
      </c>
      <c r="D112" s="40" t="s">
        <v>250</v>
      </c>
      <c r="E112" s="40" t="s">
        <v>231</v>
      </c>
      <c r="F112" s="40"/>
      <c r="G112" s="38"/>
      <c r="H112" s="51"/>
      <c r="I112" s="53">
        <v>0</v>
      </c>
      <c r="J112" s="54">
        <v>0</v>
      </c>
      <c r="K112" s="54">
        <v>0</v>
      </c>
      <c r="M112" s="45"/>
      <c r="N112" s="45"/>
      <c r="O112" s="45"/>
      <c r="P112" s="45"/>
      <c r="Q112" s="45"/>
      <c r="R112" s="45"/>
      <c r="S112" s="45"/>
      <c r="T112" s="45"/>
      <c r="U112" s="45"/>
      <c r="V112" s="45"/>
      <c r="W112" s="45"/>
      <c r="X112" s="45"/>
      <c r="Y112" s="45"/>
      <c r="Z112" s="56"/>
    </row>
    <row r="113" spans="1:60">
      <c r="A113" s="7" t="s">
        <v>416</v>
      </c>
      <c r="B113" s="201" t="s">
        <v>406</v>
      </c>
      <c r="C113" s="40" t="s">
        <v>283</v>
      </c>
      <c r="D113" s="40" t="s">
        <v>228</v>
      </c>
      <c r="E113" s="40" t="s">
        <v>73</v>
      </c>
      <c r="F113" s="40" t="s">
        <v>71</v>
      </c>
      <c r="G113" s="38">
        <v>1</v>
      </c>
      <c r="H113" s="54">
        <v>7500</v>
      </c>
      <c r="I113" s="53">
        <v>0</v>
      </c>
      <c r="J113" s="54">
        <v>7500</v>
      </c>
      <c r="K113" s="54">
        <v>7500</v>
      </c>
      <c r="M113" s="45"/>
      <c r="N113" s="45"/>
      <c r="O113" s="45"/>
      <c r="P113" s="45"/>
      <c r="Q113" s="45"/>
      <c r="R113" s="45"/>
      <c r="S113" s="45"/>
      <c r="T113" s="45"/>
      <c r="U113" s="45"/>
      <c r="V113" s="45"/>
      <c r="W113" s="45"/>
      <c r="X113" s="45"/>
      <c r="Y113" s="45"/>
      <c r="Z113" s="56"/>
    </row>
    <row r="114" spans="1:60">
      <c r="A114" s="7" t="s">
        <v>417</v>
      </c>
      <c r="B114" s="40" t="s">
        <v>418</v>
      </c>
      <c r="C114" s="40" t="s">
        <v>216</v>
      </c>
      <c r="D114" s="40" t="s">
        <v>228</v>
      </c>
      <c r="E114" s="206" t="s">
        <v>326</v>
      </c>
      <c r="F114" s="40" t="s">
        <v>61</v>
      </c>
      <c r="G114" s="38">
        <v>422635</v>
      </c>
      <c r="H114" s="51">
        <v>7.65</v>
      </c>
      <c r="I114" s="53">
        <v>0</v>
      </c>
      <c r="J114" s="51">
        <v>7.65</v>
      </c>
      <c r="K114" s="210">
        <v>3233157.75</v>
      </c>
      <c r="M114" s="1121" t="s">
        <v>419</v>
      </c>
      <c r="N114" s="1121"/>
      <c r="O114" s="1121"/>
      <c r="P114" s="1121"/>
      <c r="Q114" s="1121"/>
      <c r="R114" s="1121"/>
      <c r="S114" s="1121"/>
      <c r="T114" s="1121"/>
      <c r="U114" s="1121"/>
      <c r="V114" s="1121"/>
      <c r="W114" s="1121"/>
      <c r="X114" s="1121"/>
      <c r="Y114" s="1121"/>
      <c r="Z114" s="56"/>
    </row>
    <row r="115" spans="1:60">
      <c r="A115" s="7" t="s">
        <v>420</v>
      </c>
      <c r="B115" s="40" t="s">
        <v>418</v>
      </c>
      <c r="C115" s="40" t="s">
        <v>216</v>
      </c>
      <c r="D115" s="40" t="s">
        <v>235</v>
      </c>
      <c r="E115" s="206" t="s">
        <v>73</v>
      </c>
      <c r="F115" s="40" t="s">
        <v>71</v>
      </c>
      <c r="G115" s="38">
        <v>1</v>
      </c>
      <c r="H115" s="54">
        <v>2000</v>
      </c>
      <c r="I115" s="53">
        <v>0</v>
      </c>
      <c r="J115" s="54">
        <v>2000</v>
      </c>
      <c r="K115" s="210">
        <v>2000</v>
      </c>
      <c r="M115" s="596"/>
      <c r="N115" s="45"/>
      <c r="O115" s="45"/>
      <c r="P115" s="45"/>
      <c r="Q115" s="45"/>
      <c r="R115" s="45"/>
      <c r="S115" s="45"/>
      <c r="T115" s="45"/>
      <c r="U115" s="45"/>
      <c r="V115" s="45"/>
      <c r="W115" s="45"/>
      <c r="X115" s="45"/>
      <c r="Y115" s="45"/>
      <c r="Z115" s="56"/>
    </row>
    <row r="116" spans="1:60">
      <c r="A116" s="7" t="s">
        <v>421</v>
      </c>
      <c r="B116" s="201" t="s">
        <v>418</v>
      </c>
      <c r="C116" s="40" t="s">
        <v>283</v>
      </c>
      <c r="D116" s="40" t="s">
        <v>228</v>
      </c>
      <c r="E116" s="40" t="s">
        <v>73</v>
      </c>
      <c r="F116" s="40" t="s">
        <v>403</v>
      </c>
      <c r="G116" s="42">
        <v>390</v>
      </c>
      <c r="H116" s="51">
        <v>85</v>
      </c>
      <c r="I116" s="53">
        <v>0</v>
      </c>
      <c r="J116" s="54">
        <v>85</v>
      </c>
      <c r="K116" s="54">
        <v>33150</v>
      </c>
      <c r="M116" s="45"/>
      <c r="N116" s="45"/>
      <c r="O116" s="45"/>
      <c r="P116" s="45"/>
      <c r="Q116" s="45"/>
      <c r="R116" s="45"/>
      <c r="S116" s="45"/>
      <c r="T116" s="45"/>
      <c r="U116" s="45"/>
      <c r="V116" s="45"/>
      <c r="W116" s="45"/>
      <c r="X116" s="45"/>
      <c r="Y116" s="45"/>
      <c r="Z116" s="56"/>
    </row>
    <row r="117" spans="1:60">
      <c r="A117" s="7" t="s">
        <v>422</v>
      </c>
      <c r="B117" s="40" t="s">
        <v>423</v>
      </c>
      <c r="C117" s="40" t="s">
        <v>216</v>
      </c>
      <c r="D117" s="40" t="s">
        <v>228</v>
      </c>
      <c r="E117" s="40" t="s">
        <v>231</v>
      </c>
      <c r="F117" s="40"/>
      <c r="G117" s="38"/>
      <c r="H117" s="51"/>
      <c r="I117" s="53">
        <v>0</v>
      </c>
      <c r="J117" s="54">
        <v>0</v>
      </c>
      <c r="K117" s="54">
        <v>0</v>
      </c>
      <c r="M117" s="45"/>
      <c r="N117" s="45"/>
      <c r="O117" s="45"/>
      <c r="P117" s="45"/>
      <c r="Q117" s="45"/>
      <c r="R117" s="45"/>
      <c r="S117" s="45"/>
      <c r="T117" s="45"/>
      <c r="U117" s="45"/>
      <c r="V117" s="45"/>
      <c r="W117" s="45"/>
      <c r="X117" s="45"/>
      <c r="Y117" s="45"/>
      <c r="Z117" s="56"/>
    </row>
    <row r="118" spans="1:60">
      <c r="A118" s="7" t="s">
        <v>424</v>
      </c>
      <c r="B118" s="40" t="s">
        <v>425</v>
      </c>
      <c r="C118" s="40" t="s">
        <v>216</v>
      </c>
      <c r="D118" s="40" t="s">
        <v>303</v>
      </c>
      <c r="E118" s="40" t="s">
        <v>426</v>
      </c>
      <c r="F118" s="40" t="s">
        <v>403</v>
      </c>
      <c r="G118" s="42">
        <v>390</v>
      </c>
      <c r="H118" s="54">
        <v>346.95897435897433</v>
      </c>
      <c r="I118" s="53">
        <v>0</v>
      </c>
      <c r="J118" s="54">
        <v>346.95897435897433</v>
      </c>
      <c r="K118" s="54">
        <v>135314</v>
      </c>
      <c r="L118" s="194"/>
      <c r="M118" s="45"/>
      <c r="N118" s="45"/>
      <c r="O118" s="45"/>
      <c r="P118" s="45"/>
      <c r="Q118" s="45"/>
      <c r="R118" s="45"/>
      <c r="S118" s="45"/>
      <c r="T118" s="45"/>
      <c r="U118" s="45"/>
      <c r="V118" s="45"/>
      <c r="W118" s="45"/>
      <c r="X118" s="45"/>
      <c r="Y118" s="45"/>
      <c r="Z118" s="56"/>
    </row>
    <row r="119" spans="1:60">
      <c r="A119" s="7" t="s">
        <v>427</v>
      </c>
      <c r="B119" s="40" t="s">
        <v>428</v>
      </c>
      <c r="C119" s="40" t="s">
        <v>216</v>
      </c>
      <c r="D119" s="40" t="s">
        <v>228</v>
      </c>
      <c r="E119" s="40" t="s">
        <v>231</v>
      </c>
      <c r="F119" s="40"/>
      <c r="G119" s="38"/>
      <c r="H119" s="51"/>
      <c r="I119" s="53">
        <v>0</v>
      </c>
      <c r="J119" s="54">
        <v>0</v>
      </c>
      <c r="K119" s="54">
        <v>0</v>
      </c>
      <c r="M119" s="45"/>
      <c r="N119" s="45"/>
      <c r="O119" s="45"/>
      <c r="P119" s="45"/>
      <c r="Q119" s="45"/>
      <c r="R119" s="45"/>
      <c r="S119" s="45"/>
      <c r="T119" s="45"/>
      <c r="U119" s="45"/>
      <c r="V119" s="45"/>
      <c r="W119" s="45"/>
      <c r="X119" s="45"/>
      <c r="Y119" s="45"/>
      <c r="Z119" s="56"/>
    </row>
    <row r="120" spans="1:60">
      <c r="A120" s="7" t="s">
        <v>429</v>
      </c>
      <c r="B120" s="40" t="s">
        <v>430</v>
      </c>
      <c r="C120" s="40" t="s">
        <v>216</v>
      </c>
      <c r="D120" s="40" t="s">
        <v>242</v>
      </c>
      <c r="E120" s="40" t="s">
        <v>231</v>
      </c>
      <c r="F120" s="40"/>
      <c r="G120" s="38"/>
      <c r="H120" s="51"/>
      <c r="I120" s="53">
        <v>0</v>
      </c>
      <c r="J120" s="54">
        <v>0</v>
      </c>
      <c r="K120" s="54">
        <v>0</v>
      </c>
      <c r="M120" s="45"/>
      <c r="N120" s="45"/>
      <c r="O120" s="45"/>
      <c r="P120" s="45"/>
      <c r="Q120" s="45"/>
      <c r="R120" s="45"/>
      <c r="S120" s="45"/>
      <c r="T120" s="45"/>
      <c r="U120" s="45"/>
      <c r="V120" s="45"/>
      <c r="W120" s="45"/>
      <c r="X120" s="45"/>
      <c r="Y120" s="45"/>
      <c r="Z120" s="56"/>
    </row>
    <row r="121" spans="1:60" s="781" customFormat="1">
      <c r="A121" s="7" t="s">
        <v>431</v>
      </c>
      <c r="B121" s="40" t="s">
        <v>432</v>
      </c>
      <c r="C121" s="40" t="s">
        <v>216</v>
      </c>
      <c r="D121" s="40" t="s">
        <v>228</v>
      </c>
      <c r="E121" s="40" t="s">
        <v>433</v>
      </c>
      <c r="F121" s="40" t="s">
        <v>62</v>
      </c>
      <c r="G121" s="38">
        <v>36652.555555555555</v>
      </c>
      <c r="H121" s="51">
        <v>16.29</v>
      </c>
      <c r="I121" s="53">
        <v>0</v>
      </c>
      <c r="J121" s="51">
        <v>16.29</v>
      </c>
      <c r="K121" s="54">
        <v>597070.13</v>
      </c>
      <c r="M121" s="1119" t="s">
        <v>434</v>
      </c>
      <c r="N121" s="1119"/>
      <c r="O121" s="1119"/>
      <c r="P121" s="1119"/>
      <c r="Q121" s="1119"/>
      <c r="R121" s="1119"/>
      <c r="S121" s="1119"/>
      <c r="T121" s="1119"/>
      <c r="U121" s="1119"/>
      <c r="V121" s="1119"/>
      <c r="W121" s="1119"/>
      <c r="X121" s="1119"/>
      <c r="Y121" s="1119"/>
      <c r="Z121" s="783"/>
      <c r="BG121" s="783"/>
      <c r="BH121" s="783"/>
    </row>
    <row r="122" spans="1:60">
      <c r="A122" s="7" t="s">
        <v>435</v>
      </c>
      <c r="B122" s="40" t="s">
        <v>436</v>
      </c>
      <c r="C122" s="40" t="s">
        <v>216</v>
      </c>
      <c r="D122" s="40" t="s">
        <v>303</v>
      </c>
      <c r="E122" s="40"/>
      <c r="F122" s="40"/>
      <c r="G122" s="38">
        <v>0</v>
      </c>
      <c r="H122" s="54">
        <v>30184</v>
      </c>
      <c r="I122" s="53">
        <v>0</v>
      </c>
      <c r="J122" s="54">
        <v>30184</v>
      </c>
      <c r="K122" s="54">
        <v>0</v>
      </c>
      <c r="M122" s="45"/>
      <c r="N122" s="45"/>
      <c r="O122" s="45"/>
      <c r="P122" s="45"/>
      <c r="Q122" s="45"/>
      <c r="R122" s="45"/>
      <c r="S122" s="45"/>
      <c r="T122" s="45"/>
      <c r="U122" s="45"/>
      <c r="V122" s="45"/>
      <c r="W122" s="45"/>
      <c r="X122" s="45"/>
      <c r="Y122" s="45"/>
      <c r="Z122" s="56"/>
    </row>
    <row r="123" spans="1:60">
      <c r="A123" s="7" t="s">
        <v>437</v>
      </c>
      <c r="B123" s="40" t="s">
        <v>438</v>
      </c>
      <c r="C123" s="40" t="s">
        <v>216</v>
      </c>
      <c r="D123" s="40" t="s">
        <v>303</v>
      </c>
      <c r="E123" s="40"/>
      <c r="F123" s="40"/>
      <c r="G123" s="38">
        <v>0</v>
      </c>
      <c r="H123" s="54">
        <v>1994</v>
      </c>
      <c r="I123" s="53">
        <v>0</v>
      </c>
      <c r="J123" s="54">
        <v>1994</v>
      </c>
      <c r="K123" s="54">
        <v>0</v>
      </c>
      <c r="M123" s="45"/>
      <c r="N123" s="45"/>
      <c r="O123" s="45"/>
      <c r="P123" s="45"/>
      <c r="Q123" s="45"/>
      <c r="R123" s="45"/>
      <c r="S123" s="45"/>
      <c r="T123" s="45"/>
      <c r="U123" s="45"/>
      <c r="V123" s="45"/>
      <c r="W123" s="45"/>
      <c r="X123" s="45"/>
      <c r="Y123" s="45"/>
      <c r="Z123" s="56"/>
    </row>
    <row r="124" spans="1:60">
      <c r="A124" s="7" t="s">
        <v>439</v>
      </c>
      <c r="B124" s="40" t="s">
        <v>440</v>
      </c>
      <c r="C124" s="40" t="s">
        <v>216</v>
      </c>
      <c r="D124" s="40" t="s">
        <v>303</v>
      </c>
      <c r="E124" s="40" t="s">
        <v>44</v>
      </c>
      <c r="F124" s="40" t="s">
        <v>61</v>
      </c>
      <c r="G124" s="38">
        <v>48357.100000000006</v>
      </c>
      <c r="H124" s="51">
        <v>4.5</v>
      </c>
      <c r="I124" s="53">
        <v>0</v>
      </c>
      <c r="J124" s="51">
        <v>4.5</v>
      </c>
      <c r="K124" s="54">
        <v>217606.95</v>
      </c>
      <c r="L124" s="781"/>
      <c r="M124" s="1119"/>
      <c r="N124" s="1119"/>
      <c r="O124" s="1119"/>
      <c r="P124" s="1119"/>
      <c r="Q124" s="1119"/>
      <c r="R124" s="1119"/>
      <c r="S124" s="1119"/>
      <c r="T124" s="1119"/>
      <c r="U124" s="1119"/>
      <c r="V124" s="1119"/>
      <c r="W124" s="1119"/>
      <c r="X124" s="1119"/>
      <c r="Y124" s="1119"/>
      <c r="Z124" s="56"/>
    </row>
    <row r="125" spans="1:60">
      <c r="A125" s="7" t="s">
        <v>441</v>
      </c>
      <c r="B125" s="201" t="s">
        <v>440</v>
      </c>
      <c r="C125" s="40" t="s">
        <v>283</v>
      </c>
      <c r="D125" s="40" t="s">
        <v>303</v>
      </c>
      <c r="E125" s="40" t="s">
        <v>73</v>
      </c>
      <c r="F125" s="40" t="s">
        <v>108</v>
      </c>
      <c r="G125" s="38">
        <v>4</v>
      </c>
      <c r="H125" s="54">
        <v>1000</v>
      </c>
      <c r="I125" s="53">
        <v>0</v>
      </c>
      <c r="J125" s="54">
        <v>1000</v>
      </c>
      <c r="K125" s="54">
        <v>4000</v>
      </c>
      <c r="M125" s="45"/>
      <c r="N125" s="45"/>
      <c r="O125" s="45"/>
      <c r="P125" s="45"/>
      <c r="Q125" s="45"/>
      <c r="R125" s="45"/>
      <c r="S125" s="45"/>
      <c r="T125" s="45"/>
      <c r="U125" s="45"/>
      <c r="V125" s="45"/>
      <c r="W125" s="45"/>
      <c r="X125" s="45"/>
      <c r="Y125" s="45"/>
      <c r="Z125" s="56"/>
    </row>
    <row r="126" spans="1:60">
      <c r="A126" s="7" t="s">
        <v>442</v>
      </c>
      <c r="B126" s="40" t="s">
        <v>443</v>
      </c>
      <c r="C126" s="40" t="s">
        <v>216</v>
      </c>
      <c r="D126" s="40" t="s">
        <v>303</v>
      </c>
      <c r="E126" s="40"/>
      <c r="F126" s="40" t="s">
        <v>61</v>
      </c>
      <c r="G126" s="38">
        <v>0</v>
      </c>
      <c r="H126" s="51">
        <v>9.0909000000000004E-2</v>
      </c>
      <c r="I126" s="53">
        <v>0</v>
      </c>
      <c r="J126" s="51">
        <v>9.0909000000000004E-2</v>
      </c>
      <c r="K126" s="54">
        <v>0</v>
      </c>
      <c r="M126" s="45"/>
      <c r="N126" s="45"/>
      <c r="O126" s="45"/>
      <c r="P126" s="45"/>
      <c r="Q126" s="45"/>
      <c r="R126" s="45"/>
      <c r="S126" s="45"/>
      <c r="T126" s="45"/>
      <c r="U126" s="45"/>
      <c r="V126" s="45"/>
      <c r="W126" s="45"/>
      <c r="X126" s="45"/>
      <c r="Y126" s="45"/>
      <c r="Z126" s="56"/>
    </row>
    <row r="127" spans="1:60">
      <c r="A127" s="7" t="s">
        <v>444</v>
      </c>
      <c r="B127" s="40" t="s">
        <v>445</v>
      </c>
      <c r="C127" s="40" t="s">
        <v>216</v>
      </c>
      <c r="D127" s="40" t="s">
        <v>303</v>
      </c>
      <c r="E127" s="40"/>
      <c r="F127" s="40" t="s">
        <v>61</v>
      </c>
      <c r="G127" s="38">
        <v>0</v>
      </c>
      <c r="H127" s="51">
        <v>0.182</v>
      </c>
      <c r="I127" s="53">
        <v>0</v>
      </c>
      <c r="J127" s="51">
        <v>0.182</v>
      </c>
      <c r="K127" s="54">
        <v>0</v>
      </c>
      <c r="M127" s="45"/>
      <c r="N127" s="45"/>
      <c r="O127" s="45"/>
      <c r="P127" s="45"/>
      <c r="Q127" s="45"/>
      <c r="R127" s="45"/>
      <c r="S127" s="45"/>
      <c r="T127" s="45"/>
      <c r="U127" s="45"/>
      <c r="V127" s="45"/>
      <c r="W127" s="45"/>
      <c r="X127" s="45"/>
      <c r="Y127" s="45"/>
      <c r="Z127" s="56"/>
    </row>
    <row r="128" spans="1:60">
      <c r="A128" s="7" t="s">
        <v>446</v>
      </c>
      <c r="B128" s="40" t="s">
        <v>447</v>
      </c>
      <c r="C128" s="40" t="s">
        <v>216</v>
      </c>
      <c r="D128" s="40" t="s">
        <v>303</v>
      </c>
      <c r="E128" s="40" t="s">
        <v>239</v>
      </c>
      <c r="F128" s="40" t="s">
        <v>61</v>
      </c>
      <c r="G128" s="38">
        <v>2280</v>
      </c>
      <c r="H128" s="51">
        <v>19.54</v>
      </c>
      <c r="I128" s="53">
        <v>0</v>
      </c>
      <c r="J128" s="51">
        <v>19.54</v>
      </c>
      <c r="K128" s="54">
        <v>44551.199999999997</v>
      </c>
      <c r="M128" s="45"/>
      <c r="N128" s="45"/>
      <c r="O128" s="45"/>
      <c r="P128" s="45"/>
      <c r="Q128" s="45"/>
      <c r="R128" s="45"/>
      <c r="S128" s="45"/>
      <c r="T128" s="45"/>
      <c r="U128" s="45"/>
      <c r="V128" s="45"/>
      <c r="W128" s="45"/>
      <c r="X128" s="45"/>
      <c r="Y128" s="45"/>
      <c r="Z128" s="56"/>
    </row>
    <row r="129" spans="1:60">
      <c r="A129" s="7" t="s">
        <v>448</v>
      </c>
      <c r="B129" s="40" t="s">
        <v>449</v>
      </c>
      <c r="C129" s="40" t="s">
        <v>216</v>
      </c>
      <c r="D129" s="40" t="s">
        <v>303</v>
      </c>
      <c r="E129" s="40" t="s">
        <v>44</v>
      </c>
      <c r="F129" s="40" t="s">
        <v>450</v>
      </c>
      <c r="G129" s="38">
        <v>30</v>
      </c>
      <c r="H129" s="54">
        <v>1379.1666666666667</v>
      </c>
      <c r="I129" s="53">
        <v>0</v>
      </c>
      <c r="J129" s="54">
        <v>1379.1666666666667</v>
      </c>
      <c r="K129" s="54">
        <v>41375</v>
      </c>
      <c r="M129" s="45"/>
      <c r="N129" s="45"/>
      <c r="O129" s="45"/>
      <c r="P129" s="45"/>
      <c r="Q129" s="45"/>
      <c r="R129" s="45"/>
      <c r="S129" s="45"/>
      <c r="T129" s="45"/>
      <c r="U129" s="45"/>
      <c r="V129" s="45"/>
      <c r="W129" s="45"/>
      <c r="X129" s="45"/>
      <c r="Y129" s="45"/>
      <c r="Z129" s="56"/>
    </row>
    <row r="130" spans="1:60" s="764" customFormat="1">
      <c r="A130" s="7" t="s">
        <v>451</v>
      </c>
      <c r="B130" s="40" t="s">
        <v>452</v>
      </c>
      <c r="C130" s="40" t="s">
        <v>216</v>
      </c>
      <c r="D130" s="40" t="s">
        <v>303</v>
      </c>
      <c r="E130" s="40" t="s">
        <v>426</v>
      </c>
      <c r="F130" s="40" t="s">
        <v>88</v>
      </c>
      <c r="G130" s="42">
        <v>390</v>
      </c>
      <c r="H130" s="54">
        <v>48.348717948717947</v>
      </c>
      <c r="I130" s="53">
        <v>0</v>
      </c>
      <c r="J130" s="54">
        <v>48.348717948717947</v>
      </c>
      <c r="K130" s="54">
        <v>18856</v>
      </c>
      <c r="M130" s="597"/>
      <c r="N130" s="597"/>
      <c r="O130" s="597"/>
      <c r="P130" s="597"/>
      <c r="Q130" s="597"/>
      <c r="R130" s="597"/>
      <c r="S130" s="597"/>
      <c r="T130" s="597"/>
      <c r="U130" s="597"/>
      <c r="V130" s="597"/>
      <c r="W130" s="597"/>
      <c r="X130" s="597"/>
      <c r="Y130" s="597"/>
      <c r="Z130" s="836"/>
      <c r="BG130" s="836"/>
      <c r="BH130" s="836"/>
    </row>
    <row r="131" spans="1:60" s="764" customFormat="1">
      <c r="A131" s="7" t="s">
        <v>453</v>
      </c>
      <c r="B131" s="40" t="s">
        <v>454</v>
      </c>
      <c r="C131" s="40" t="s">
        <v>216</v>
      </c>
      <c r="D131" s="40" t="s">
        <v>303</v>
      </c>
      <c r="E131" s="40" t="s">
        <v>426</v>
      </c>
      <c r="F131" s="40" t="s">
        <v>88</v>
      </c>
      <c r="G131" s="42">
        <v>390</v>
      </c>
      <c r="H131" s="54">
        <v>280.41025641025641</v>
      </c>
      <c r="I131" s="53">
        <v>0</v>
      </c>
      <c r="J131" s="54">
        <v>280.41025641025641</v>
      </c>
      <c r="K131" s="54">
        <v>109360</v>
      </c>
      <c r="M131" s="597"/>
      <c r="N131" s="597"/>
      <c r="O131" s="597"/>
      <c r="P131" s="597"/>
      <c r="Q131" s="597"/>
      <c r="R131" s="597"/>
      <c r="S131" s="597"/>
      <c r="T131" s="597"/>
      <c r="U131" s="597"/>
      <c r="V131" s="597"/>
      <c r="W131" s="597"/>
      <c r="X131" s="597"/>
      <c r="Y131" s="597"/>
      <c r="Z131" s="836"/>
      <c r="BG131" s="836"/>
      <c r="BH131" s="836"/>
    </row>
    <row r="132" spans="1:60">
      <c r="A132" s="7" t="s">
        <v>455</v>
      </c>
      <c r="B132" s="201" t="s">
        <v>456</v>
      </c>
      <c r="C132" s="40" t="s">
        <v>283</v>
      </c>
      <c r="D132" s="40" t="s">
        <v>228</v>
      </c>
      <c r="E132" s="40" t="s">
        <v>73</v>
      </c>
      <c r="F132" s="40" t="s">
        <v>403</v>
      </c>
      <c r="G132" s="42">
        <v>390</v>
      </c>
      <c r="H132" s="54">
        <v>85</v>
      </c>
      <c r="I132" s="53">
        <v>0</v>
      </c>
      <c r="J132" s="54">
        <v>85</v>
      </c>
      <c r="K132" s="54">
        <v>33150</v>
      </c>
      <c r="M132" s="45"/>
      <c r="N132" s="45"/>
      <c r="O132" s="45"/>
      <c r="P132" s="45"/>
      <c r="Q132" s="45"/>
      <c r="R132" s="45"/>
      <c r="S132" s="45"/>
      <c r="T132" s="45"/>
      <c r="U132" s="45"/>
      <c r="V132" s="45"/>
      <c r="W132" s="45"/>
      <c r="X132" s="45"/>
      <c r="Y132" s="45"/>
      <c r="Z132" s="56"/>
    </row>
    <row r="133" spans="1:60">
      <c r="A133" s="7" t="s">
        <v>457</v>
      </c>
      <c r="B133" s="40" t="s">
        <v>456</v>
      </c>
      <c r="C133" s="40" t="s">
        <v>216</v>
      </c>
      <c r="D133" s="40" t="s">
        <v>228</v>
      </c>
      <c r="E133" s="40" t="s">
        <v>239</v>
      </c>
      <c r="F133" s="40" t="s">
        <v>61</v>
      </c>
      <c r="G133" s="38">
        <v>422635</v>
      </c>
      <c r="H133" s="51">
        <v>1.92</v>
      </c>
      <c r="I133" s="53">
        <v>0</v>
      </c>
      <c r="J133" s="51">
        <v>1.92</v>
      </c>
      <c r="K133" s="54">
        <v>811459.2</v>
      </c>
      <c r="M133" s="782" t="s">
        <v>458</v>
      </c>
      <c r="N133" s="45"/>
      <c r="O133" s="45"/>
      <c r="P133" s="45"/>
      <c r="Q133" s="45"/>
      <c r="R133" s="45"/>
      <c r="S133" s="45"/>
      <c r="T133" s="45"/>
      <c r="U133" s="45"/>
      <c r="V133" s="45"/>
      <c r="W133" s="45"/>
      <c r="X133" s="45"/>
      <c r="Y133" s="45"/>
      <c r="Z133" s="56"/>
    </row>
    <row r="134" spans="1:60">
      <c r="A134" s="7" t="s">
        <v>459</v>
      </c>
      <c r="B134" s="40" t="s">
        <v>456</v>
      </c>
      <c r="C134" s="40" t="s">
        <v>216</v>
      </c>
      <c r="D134" s="40" t="s">
        <v>235</v>
      </c>
      <c r="E134" s="40" t="s">
        <v>73</v>
      </c>
      <c r="F134" s="40" t="s">
        <v>71</v>
      </c>
      <c r="G134" s="38">
        <v>1</v>
      </c>
      <c r="H134" s="54">
        <v>2000</v>
      </c>
      <c r="I134" s="53">
        <v>0</v>
      </c>
      <c r="J134" s="54">
        <v>2000</v>
      </c>
      <c r="K134" s="54">
        <v>2000</v>
      </c>
      <c r="M134" s="596"/>
      <c r="N134" s="45"/>
      <c r="O134" s="45"/>
      <c r="P134" s="45"/>
      <c r="Q134" s="45"/>
      <c r="R134" s="45"/>
      <c r="S134" s="45"/>
      <c r="T134" s="45"/>
      <c r="U134" s="45"/>
      <c r="V134" s="45"/>
      <c r="W134" s="45"/>
      <c r="X134" s="45"/>
      <c r="Y134" s="45"/>
      <c r="Z134" s="56"/>
    </row>
    <row r="135" spans="1:60">
      <c r="A135" s="7" t="s">
        <v>460</v>
      </c>
      <c r="B135" s="40" t="s">
        <v>461</v>
      </c>
      <c r="C135" s="40" t="s">
        <v>216</v>
      </c>
      <c r="D135" s="40" t="s">
        <v>228</v>
      </c>
      <c r="E135" s="40" t="s">
        <v>231</v>
      </c>
      <c r="F135" s="40"/>
      <c r="G135" s="38"/>
      <c r="H135" s="54">
        <v>0</v>
      </c>
      <c r="I135" s="53">
        <v>0</v>
      </c>
      <c r="J135" s="54">
        <v>0</v>
      </c>
      <c r="K135" s="54">
        <v>0</v>
      </c>
      <c r="M135" s="45"/>
      <c r="N135" s="45"/>
      <c r="O135" s="45"/>
      <c r="P135" s="45"/>
      <c r="Q135" s="45"/>
      <c r="R135" s="45"/>
      <c r="S135" s="45"/>
      <c r="T135" s="45"/>
      <c r="U135" s="45"/>
      <c r="V135" s="45"/>
      <c r="W135" s="45"/>
      <c r="X135" s="45"/>
      <c r="Y135" s="45"/>
      <c r="Z135" s="56"/>
    </row>
    <row r="136" spans="1:60">
      <c r="A136" s="7" t="s">
        <v>462</v>
      </c>
      <c r="B136" s="40" t="s">
        <v>463</v>
      </c>
      <c r="C136" s="40" t="s">
        <v>216</v>
      </c>
      <c r="D136" s="40" t="s">
        <v>242</v>
      </c>
      <c r="E136" s="40" t="s">
        <v>231</v>
      </c>
      <c r="F136" s="40"/>
      <c r="G136" s="38"/>
      <c r="H136" s="54">
        <v>0</v>
      </c>
      <c r="I136" s="53">
        <v>0</v>
      </c>
      <c r="J136" s="54">
        <v>0</v>
      </c>
      <c r="K136" s="54">
        <v>0</v>
      </c>
      <c r="M136" s="45"/>
      <c r="N136" s="45"/>
      <c r="O136" s="45"/>
      <c r="P136" s="45"/>
      <c r="Q136" s="45"/>
      <c r="R136" s="45"/>
      <c r="S136" s="45"/>
      <c r="T136" s="45"/>
      <c r="U136" s="45"/>
      <c r="V136" s="45"/>
      <c r="W136" s="45"/>
      <c r="X136" s="45"/>
      <c r="Y136" s="45"/>
      <c r="Z136" s="56"/>
    </row>
    <row r="137" spans="1:60">
      <c r="A137" s="7" t="s">
        <v>464</v>
      </c>
      <c r="B137" s="40" t="s">
        <v>465</v>
      </c>
      <c r="C137" s="40" t="s">
        <v>216</v>
      </c>
      <c r="D137" s="40" t="s">
        <v>303</v>
      </c>
      <c r="E137" s="40" t="s">
        <v>73</v>
      </c>
      <c r="F137" s="40" t="s">
        <v>71</v>
      </c>
      <c r="G137" s="38">
        <v>1</v>
      </c>
      <c r="H137" s="54">
        <v>0</v>
      </c>
      <c r="I137" s="53">
        <v>0</v>
      </c>
      <c r="J137" s="54">
        <v>0</v>
      </c>
      <c r="K137" s="54">
        <v>0</v>
      </c>
      <c r="M137" s="45"/>
      <c r="N137" s="45"/>
      <c r="O137" s="45"/>
      <c r="P137" s="45"/>
      <c r="Q137" s="45"/>
      <c r="R137" s="45"/>
      <c r="S137" s="45"/>
      <c r="T137" s="45"/>
      <c r="U137" s="45"/>
      <c r="V137" s="45"/>
      <c r="W137" s="45"/>
      <c r="X137" s="45"/>
      <c r="Y137" s="45"/>
      <c r="Z137" s="56"/>
    </row>
    <row r="138" spans="1:60">
      <c r="A138" s="7" t="s">
        <v>466</v>
      </c>
      <c r="B138" s="40" t="s">
        <v>465</v>
      </c>
      <c r="C138" s="40" t="s">
        <v>216</v>
      </c>
      <c r="D138" s="40" t="s">
        <v>303</v>
      </c>
      <c r="E138" s="40" t="s">
        <v>73</v>
      </c>
      <c r="F138" s="40" t="s">
        <v>71</v>
      </c>
      <c r="G138" s="38">
        <v>1</v>
      </c>
      <c r="H138" s="54">
        <v>0</v>
      </c>
      <c r="I138" s="53">
        <v>0</v>
      </c>
      <c r="J138" s="54">
        <v>0</v>
      </c>
      <c r="K138" s="54">
        <v>0</v>
      </c>
      <c r="M138" s="45"/>
      <c r="N138" s="45"/>
      <c r="O138" s="45"/>
      <c r="P138" s="45"/>
      <c r="Q138" s="45"/>
      <c r="R138" s="45"/>
      <c r="S138" s="45"/>
      <c r="T138" s="45"/>
      <c r="U138" s="45"/>
      <c r="V138" s="45"/>
      <c r="W138" s="45"/>
      <c r="X138" s="45"/>
      <c r="Y138" s="45"/>
      <c r="Z138" s="56"/>
    </row>
    <row r="139" spans="1:60">
      <c r="A139" s="4" t="s">
        <v>467</v>
      </c>
      <c r="B139" s="151" t="s">
        <v>468</v>
      </c>
      <c r="C139" s="760" t="s">
        <v>337</v>
      </c>
      <c r="D139" s="151"/>
      <c r="E139" s="151"/>
      <c r="F139" s="151"/>
      <c r="G139" s="152"/>
      <c r="H139" s="153"/>
      <c r="I139" s="154"/>
      <c r="J139" s="153"/>
      <c r="K139" s="172"/>
      <c r="L139" s="70">
        <v>700376.28717948718</v>
      </c>
      <c r="M139" s="45"/>
      <c r="N139" s="45"/>
      <c r="O139" s="45"/>
      <c r="P139" s="45"/>
      <c r="Q139" s="45"/>
      <c r="R139" s="45"/>
      <c r="S139" s="45"/>
      <c r="T139" s="45"/>
      <c r="U139" s="45"/>
      <c r="V139" s="45"/>
      <c r="W139" s="45"/>
      <c r="X139" s="45"/>
      <c r="Y139" s="45"/>
      <c r="Z139" s="56"/>
    </row>
    <row r="140" spans="1:60">
      <c r="A140" s="6" t="s">
        <v>469</v>
      </c>
      <c r="B140" s="47" t="s">
        <v>470</v>
      </c>
      <c r="C140" s="47" t="s">
        <v>216</v>
      </c>
      <c r="D140" s="47" t="s">
        <v>223</v>
      </c>
      <c r="E140" s="47" t="s">
        <v>231</v>
      </c>
      <c r="F140" s="47"/>
      <c r="G140" s="42"/>
      <c r="H140" s="61"/>
      <c r="I140" s="63">
        <v>0</v>
      </c>
      <c r="J140" s="67">
        <v>0</v>
      </c>
      <c r="K140" s="67">
        <v>0</v>
      </c>
      <c r="L140" s="112"/>
      <c r="M140" s="45"/>
      <c r="N140" s="45"/>
      <c r="O140" s="45"/>
      <c r="P140" s="45"/>
      <c r="Q140" s="45"/>
      <c r="R140" s="45"/>
      <c r="S140" s="45"/>
      <c r="T140" s="45"/>
      <c r="U140" s="45"/>
      <c r="V140" s="45"/>
      <c r="W140" s="45"/>
      <c r="X140" s="45"/>
      <c r="Y140" s="45"/>
      <c r="Z140" s="56"/>
    </row>
    <row r="141" spans="1:60">
      <c r="A141" s="7" t="s">
        <v>471</v>
      </c>
      <c r="B141" s="40" t="s">
        <v>472</v>
      </c>
      <c r="C141" s="40" t="s">
        <v>216</v>
      </c>
      <c r="D141" s="40" t="s">
        <v>473</v>
      </c>
      <c r="E141" s="40" t="s">
        <v>426</v>
      </c>
      <c r="F141" s="40" t="s">
        <v>88</v>
      </c>
      <c r="G141" s="42">
        <v>390</v>
      </c>
      <c r="H141" s="54">
        <v>212</v>
      </c>
      <c r="I141" s="53">
        <v>0</v>
      </c>
      <c r="J141" s="54">
        <v>212</v>
      </c>
      <c r="K141" s="54">
        <v>82680</v>
      </c>
      <c r="M141" s="45"/>
      <c r="N141" s="45"/>
      <c r="O141" s="45"/>
      <c r="P141" s="45"/>
      <c r="Q141" s="45"/>
      <c r="R141" s="45"/>
      <c r="S141" s="45"/>
      <c r="T141" s="45"/>
      <c r="U141" s="45"/>
      <c r="V141" s="45"/>
      <c r="W141" s="45"/>
      <c r="X141" s="45"/>
      <c r="Y141" s="45"/>
      <c r="Z141" s="56"/>
    </row>
    <row r="142" spans="1:60">
      <c r="A142" s="7" t="s">
        <v>474</v>
      </c>
      <c r="B142" s="40" t="s">
        <v>475</v>
      </c>
      <c r="C142" s="40" t="s">
        <v>216</v>
      </c>
      <c r="D142" s="40" t="s">
        <v>223</v>
      </c>
      <c r="E142" s="60" t="s">
        <v>73</v>
      </c>
      <c r="F142" s="40" t="s">
        <v>71</v>
      </c>
      <c r="G142" s="38">
        <v>1</v>
      </c>
      <c r="H142" s="54">
        <v>20000</v>
      </c>
      <c r="I142" s="53">
        <v>0</v>
      </c>
      <c r="J142" s="54">
        <v>20000</v>
      </c>
      <c r="K142" s="54">
        <v>20000</v>
      </c>
      <c r="M142" s="45" t="s">
        <v>476</v>
      </c>
      <c r="N142" s="45"/>
      <c r="O142" s="45"/>
      <c r="P142" s="45"/>
      <c r="Q142" s="45"/>
      <c r="R142" s="45"/>
      <c r="S142" s="45"/>
      <c r="T142" s="45"/>
      <c r="U142" s="45"/>
      <c r="V142" s="45"/>
      <c r="W142" s="45"/>
      <c r="X142" s="45"/>
      <c r="Y142" s="45"/>
      <c r="Z142" s="56"/>
    </row>
    <row r="143" spans="1:60">
      <c r="A143" s="7" t="s">
        <v>477</v>
      </c>
      <c r="B143" s="40" t="s">
        <v>478</v>
      </c>
      <c r="C143" s="40" t="s">
        <v>216</v>
      </c>
      <c r="D143" s="40" t="s">
        <v>223</v>
      </c>
      <c r="E143" s="40" t="s">
        <v>73</v>
      </c>
      <c r="F143" s="40" t="s">
        <v>71</v>
      </c>
      <c r="G143" s="38">
        <v>1</v>
      </c>
      <c r="H143" s="54">
        <v>5000</v>
      </c>
      <c r="I143" s="53">
        <v>0</v>
      </c>
      <c r="J143" s="54">
        <v>5000</v>
      </c>
      <c r="K143" s="54">
        <v>5000</v>
      </c>
      <c r="M143" s="45"/>
      <c r="N143" s="45"/>
      <c r="O143" s="45"/>
      <c r="P143" s="45"/>
      <c r="Q143" s="45"/>
      <c r="R143" s="45"/>
      <c r="S143" s="45"/>
      <c r="T143" s="45"/>
      <c r="U143" s="45"/>
      <c r="V143" s="45"/>
      <c r="W143" s="45"/>
      <c r="X143" s="45"/>
      <c r="Y143" s="45"/>
      <c r="Z143" s="56"/>
    </row>
    <row r="144" spans="1:60">
      <c r="A144" s="7" t="s">
        <v>479</v>
      </c>
      <c r="B144" s="40" t="s">
        <v>480</v>
      </c>
      <c r="C144" s="40" t="s">
        <v>216</v>
      </c>
      <c r="D144" s="40" t="s">
        <v>481</v>
      </c>
      <c r="E144" s="40" t="s">
        <v>73</v>
      </c>
      <c r="F144" s="40" t="s">
        <v>71</v>
      </c>
      <c r="G144" s="38">
        <v>1</v>
      </c>
      <c r="H144" s="54">
        <v>7000</v>
      </c>
      <c r="I144" s="53">
        <v>0</v>
      </c>
      <c r="J144" s="54">
        <v>7000</v>
      </c>
      <c r="K144" s="54">
        <v>7000</v>
      </c>
      <c r="M144" s="45"/>
      <c r="N144" s="45"/>
      <c r="O144" s="45"/>
      <c r="P144" s="45"/>
      <c r="Q144" s="45"/>
      <c r="R144" s="45"/>
      <c r="S144" s="45"/>
      <c r="T144" s="45"/>
      <c r="U144" s="45"/>
      <c r="V144" s="45"/>
      <c r="W144" s="45"/>
      <c r="X144" s="45"/>
      <c r="Y144" s="45"/>
      <c r="Z144" s="56"/>
    </row>
    <row r="145" spans="1:30">
      <c r="A145" s="7" t="s">
        <v>482</v>
      </c>
      <c r="B145" s="40" t="s">
        <v>483</v>
      </c>
      <c r="C145" s="40" t="s">
        <v>216</v>
      </c>
      <c r="D145" s="40" t="s">
        <v>228</v>
      </c>
      <c r="E145" s="40" t="s">
        <v>426</v>
      </c>
      <c r="F145" s="40" t="s">
        <v>484</v>
      </c>
      <c r="G145" s="42">
        <v>553</v>
      </c>
      <c r="H145" s="54">
        <v>41.241025641025644</v>
      </c>
      <c r="I145" s="53">
        <v>0</v>
      </c>
      <c r="J145" s="54">
        <v>41.241025641025644</v>
      </c>
      <c r="K145" s="54">
        <v>22806.287179487183</v>
      </c>
      <c r="M145" s="45"/>
      <c r="N145" s="45"/>
      <c r="O145" s="45"/>
      <c r="P145" s="45"/>
      <c r="Q145" s="45"/>
      <c r="R145" s="45"/>
      <c r="S145" s="45"/>
      <c r="T145" s="45"/>
      <c r="U145" s="45"/>
      <c r="V145" s="45"/>
      <c r="W145" s="45"/>
      <c r="X145" s="45"/>
      <c r="Y145" s="45"/>
      <c r="Z145" s="56"/>
    </row>
    <row r="146" spans="1:30">
      <c r="A146" s="7" t="s">
        <v>485</v>
      </c>
      <c r="B146" s="40" t="s">
        <v>486</v>
      </c>
      <c r="C146" s="40" t="s">
        <v>216</v>
      </c>
      <c r="D146" s="40" t="s">
        <v>228</v>
      </c>
      <c r="E146" s="40" t="s">
        <v>231</v>
      </c>
      <c r="F146" s="40"/>
      <c r="G146" s="38"/>
      <c r="H146" s="51"/>
      <c r="I146" s="53">
        <v>0</v>
      </c>
      <c r="J146" s="54">
        <v>0</v>
      </c>
      <c r="K146" s="54">
        <v>0</v>
      </c>
      <c r="M146" s="45"/>
      <c r="N146" s="45"/>
      <c r="O146" s="45"/>
      <c r="P146" s="45"/>
      <c r="Q146" s="45"/>
      <c r="R146" s="45"/>
      <c r="S146" s="45"/>
      <c r="T146" s="45"/>
      <c r="U146" s="45"/>
      <c r="V146" s="45"/>
      <c r="W146" s="45"/>
      <c r="X146" s="45"/>
      <c r="Y146" s="45"/>
      <c r="Z146" s="56"/>
    </row>
    <row r="147" spans="1:30">
      <c r="A147" s="7" t="s">
        <v>487</v>
      </c>
      <c r="B147" s="40" t="s">
        <v>488</v>
      </c>
      <c r="C147" s="40" t="s">
        <v>216</v>
      </c>
      <c r="D147" s="40" t="s">
        <v>228</v>
      </c>
      <c r="E147" s="40" t="s">
        <v>73</v>
      </c>
      <c r="F147" s="40" t="s">
        <v>71</v>
      </c>
      <c r="G147" s="38">
        <v>2</v>
      </c>
      <c r="H147" s="54">
        <v>3500</v>
      </c>
      <c r="I147" s="53">
        <v>0</v>
      </c>
      <c r="J147" s="54">
        <v>3500</v>
      </c>
      <c r="K147" s="54">
        <v>7000</v>
      </c>
      <c r="M147" s="45"/>
      <c r="N147" s="45"/>
      <c r="O147" s="45"/>
      <c r="P147" s="45"/>
      <c r="Q147" s="45"/>
      <c r="R147" s="45"/>
      <c r="S147" s="45"/>
      <c r="T147" s="45"/>
      <c r="U147" s="45"/>
      <c r="V147" s="45"/>
      <c r="W147" s="45"/>
      <c r="X147" s="45"/>
      <c r="Y147" s="45"/>
      <c r="Z147" s="56"/>
    </row>
    <row r="148" spans="1:30">
      <c r="A148" s="7" t="s">
        <v>489</v>
      </c>
      <c r="B148" s="40" t="s">
        <v>490</v>
      </c>
      <c r="C148" s="40" t="s">
        <v>216</v>
      </c>
      <c r="D148" s="40" t="s">
        <v>242</v>
      </c>
      <c r="E148" s="40" t="s">
        <v>73</v>
      </c>
      <c r="F148" s="40" t="s">
        <v>71</v>
      </c>
      <c r="G148" s="38">
        <v>1</v>
      </c>
      <c r="H148" s="54">
        <v>3500</v>
      </c>
      <c r="I148" s="53">
        <v>0</v>
      </c>
      <c r="J148" s="54">
        <v>3500</v>
      </c>
      <c r="K148" s="54">
        <v>3500</v>
      </c>
      <c r="M148" s="45"/>
      <c r="N148" s="45"/>
      <c r="O148" s="45"/>
      <c r="P148" s="45"/>
      <c r="Q148" s="45"/>
      <c r="R148" s="45"/>
      <c r="S148" s="45"/>
      <c r="T148" s="45"/>
      <c r="U148" s="45"/>
      <c r="V148" s="45"/>
      <c r="W148" s="45"/>
      <c r="X148" s="45"/>
      <c r="Y148" s="45"/>
      <c r="Z148" s="56"/>
    </row>
    <row r="149" spans="1:30">
      <c r="A149" s="7" t="s">
        <v>491</v>
      </c>
      <c r="B149" s="40" t="s">
        <v>492</v>
      </c>
      <c r="C149" s="40" t="s">
        <v>216</v>
      </c>
      <c r="D149" s="40" t="s">
        <v>242</v>
      </c>
      <c r="E149" s="40" t="s">
        <v>493</v>
      </c>
      <c r="F149" s="40" t="s">
        <v>71</v>
      </c>
      <c r="G149" s="38">
        <v>8</v>
      </c>
      <c r="H149" s="54">
        <v>3360</v>
      </c>
      <c r="I149" s="53">
        <v>0</v>
      </c>
      <c r="J149" s="54">
        <v>3360</v>
      </c>
      <c r="K149" s="54">
        <v>26880</v>
      </c>
      <c r="M149" s="45"/>
      <c r="N149" s="45"/>
      <c r="O149" s="45"/>
      <c r="P149" s="45"/>
      <c r="Q149" s="45"/>
      <c r="R149" s="45"/>
      <c r="S149" s="45"/>
      <c r="T149" s="45"/>
      <c r="U149" s="45"/>
      <c r="V149" s="45"/>
      <c r="W149" s="45"/>
      <c r="X149" s="45"/>
      <c r="Y149" s="45"/>
      <c r="Z149" s="56"/>
    </row>
    <row r="150" spans="1:30">
      <c r="A150" s="7" t="s">
        <v>191</v>
      </c>
      <c r="B150" s="40" t="s">
        <v>494</v>
      </c>
      <c r="C150" s="40" t="s">
        <v>216</v>
      </c>
      <c r="D150" s="40" t="s">
        <v>223</v>
      </c>
      <c r="E150" s="40" t="s">
        <v>73</v>
      </c>
      <c r="F150" s="40" t="s">
        <v>108</v>
      </c>
      <c r="G150" s="38">
        <v>10</v>
      </c>
      <c r="H150" s="54">
        <v>600</v>
      </c>
      <c r="I150" s="53">
        <v>0</v>
      </c>
      <c r="J150" s="54">
        <v>600</v>
      </c>
      <c r="K150" s="54">
        <v>6000</v>
      </c>
      <c r="M150" s="45"/>
      <c r="N150" s="45"/>
      <c r="O150" s="45"/>
      <c r="P150" s="45"/>
      <c r="Q150" s="45"/>
      <c r="R150" s="45"/>
      <c r="S150" s="45"/>
      <c r="T150" s="45"/>
      <c r="U150" s="45"/>
      <c r="V150" s="45"/>
      <c r="W150" s="45"/>
      <c r="X150" s="45"/>
      <c r="Y150" s="45"/>
      <c r="Z150" s="56"/>
    </row>
    <row r="151" spans="1:30">
      <c r="A151" s="7" t="s">
        <v>495</v>
      </c>
      <c r="B151" s="40" t="s">
        <v>496</v>
      </c>
      <c r="C151" s="40" t="s">
        <v>216</v>
      </c>
      <c r="D151" s="40" t="s">
        <v>228</v>
      </c>
      <c r="E151" s="40" t="s">
        <v>73</v>
      </c>
      <c r="F151" s="40" t="s">
        <v>88</v>
      </c>
      <c r="G151" s="42">
        <v>390</v>
      </c>
      <c r="H151" s="54">
        <v>80</v>
      </c>
      <c r="I151" s="53">
        <v>0</v>
      </c>
      <c r="J151" s="54">
        <v>80</v>
      </c>
      <c r="K151" s="54">
        <v>31200</v>
      </c>
      <c r="M151" s="45"/>
      <c r="N151" s="45"/>
      <c r="O151" s="45"/>
      <c r="P151" s="45"/>
      <c r="Q151" s="45"/>
      <c r="R151" s="45"/>
      <c r="S151" s="45"/>
      <c r="T151" s="45"/>
      <c r="U151" s="45"/>
      <c r="V151" s="45"/>
      <c r="W151" s="45"/>
      <c r="X151" s="45"/>
      <c r="Y151" s="45"/>
      <c r="Z151" s="56"/>
    </row>
    <row r="152" spans="1:30">
      <c r="A152" s="7" t="s">
        <v>497</v>
      </c>
      <c r="B152" s="40" t="s">
        <v>498</v>
      </c>
      <c r="C152" s="40" t="s">
        <v>216</v>
      </c>
      <c r="D152" s="40" t="s">
        <v>228</v>
      </c>
      <c r="E152" s="40" t="s">
        <v>426</v>
      </c>
      <c r="F152" s="40" t="s">
        <v>88</v>
      </c>
      <c r="G152" s="42">
        <v>390</v>
      </c>
      <c r="H152" s="54">
        <v>230.28205128205127</v>
      </c>
      <c r="I152" s="53">
        <v>0</v>
      </c>
      <c r="J152" s="54">
        <v>230.28205128205127</v>
      </c>
      <c r="K152" s="210">
        <v>89810</v>
      </c>
      <c r="M152" s="597"/>
      <c r="N152" s="45"/>
      <c r="O152" s="45"/>
      <c r="P152" s="45"/>
      <c r="Q152" s="45"/>
      <c r="R152" s="45"/>
      <c r="S152" s="45"/>
      <c r="T152" s="45"/>
      <c r="U152" s="45"/>
      <c r="V152" s="45"/>
      <c r="W152" s="45"/>
      <c r="X152" s="45"/>
      <c r="Y152" s="45"/>
      <c r="Z152" s="56"/>
    </row>
    <row r="153" spans="1:30">
      <c r="A153" s="7" t="s">
        <v>499</v>
      </c>
      <c r="B153" s="40" t="s">
        <v>500</v>
      </c>
      <c r="C153" s="40" t="s">
        <v>216</v>
      </c>
      <c r="D153" s="40" t="s">
        <v>228</v>
      </c>
      <c r="E153" s="40" t="s">
        <v>326</v>
      </c>
      <c r="F153" s="40" t="s">
        <v>88</v>
      </c>
      <c r="G153" s="42">
        <v>390</v>
      </c>
      <c r="H153" s="54">
        <v>425.64102564102564</v>
      </c>
      <c r="I153" s="53">
        <v>0</v>
      </c>
      <c r="J153" s="54">
        <v>425.64102564102564</v>
      </c>
      <c r="K153" s="54">
        <v>166000</v>
      </c>
      <c r="M153" s="45" t="s">
        <v>501</v>
      </c>
      <c r="N153" s="45"/>
      <c r="O153" s="45"/>
      <c r="P153" s="45"/>
      <c r="Q153" s="45"/>
      <c r="R153" s="45"/>
      <c r="S153" s="45"/>
      <c r="T153" s="45"/>
      <c r="U153" s="45"/>
      <c r="V153" s="45"/>
      <c r="W153" s="45"/>
      <c r="X153" s="45"/>
      <c r="Y153" s="45"/>
      <c r="Z153" s="56"/>
    </row>
    <row r="154" spans="1:30">
      <c r="A154" s="7" t="s">
        <v>502</v>
      </c>
      <c r="B154" s="40" t="s">
        <v>503</v>
      </c>
      <c r="C154" s="40" t="s">
        <v>216</v>
      </c>
      <c r="D154" s="40" t="s">
        <v>228</v>
      </c>
      <c r="E154" s="40" t="s">
        <v>44</v>
      </c>
      <c r="F154" s="40" t="s">
        <v>186</v>
      </c>
      <c r="G154" s="38">
        <v>58</v>
      </c>
      <c r="H154" s="54">
        <v>2500</v>
      </c>
      <c r="I154" s="53">
        <v>0</v>
      </c>
      <c r="J154" s="54">
        <v>2500</v>
      </c>
      <c r="K154" s="54">
        <v>145000</v>
      </c>
      <c r="M154" s="45"/>
      <c r="N154" s="45"/>
      <c r="O154" s="45"/>
      <c r="P154" s="45"/>
      <c r="Q154" s="45"/>
      <c r="R154" s="45"/>
      <c r="S154" s="45"/>
      <c r="T154" s="45"/>
      <c r="U154" s="45"/>
      <c r="V154" s="45"/>
      <c r="W154" s="45"/>
      <c r="X154" s="45"/>
      <c r="Y154" s="45"/>
      <c r="Z154" s="56"/>
      <c r="AB154" s="55">
        <f>2*3</f>
        <v>6</v>
      </c>
      <c r="AC154" s="55">
        <v>35546.666666666664</v>
      </c>
      <c r="AD154" s="55">
        <f>AC154*AB154</f>
        <v>213280</v>
      </c>
    </row>
    <row r="155" spans="1:30">
      <c r="A155" s="7" t="s">
        <v>504</v>
      </c>
      <c r="B155" s="40" t="s">
        <v>503</v>
      </c>
      <c r="C155" s="40" t="s">
        <v>216</v>
      </c>
      <c r="D155" s="40" t="s">
        <v>228</v>
      </c>
      <c r="E155" s="40" t="s">
        <v>44</v>
      </c>
      <c r="F155" s="40" t="s">
        <v>186</v>
      </c>
      <c r="G155" s="38">
        <v>10</v>
      </c>
      <c r="H155" s="54">
        <v>8750</v>
      </c>
      <c r="I155" s="53">
        <v>0</v>
      </c>
      <c r="J155" s="54">
        <v>8750</v>
      </c>
      <c r="K155" s="54">
        <v>87500</v>
      </c>
      <c r="M155" s="45"/>
      <c r="N155" s="45"/>
      <c r="O155" s="45"/>
      <c r="P155" s="45"/>
      <c r="Q155" s="45"/>
      <c r="R155" s="45"/>
      <c r="S155" s="45"/>
      <c r="T155" s="45"/>
      <c r="U155" s="45"/>
      <c r="V155" s="45"/>
      <c r="W155" s="45"/>
      <c r="X155" s="45"/>
      <c r="Y155" s="45"/>
      <c r="Z155" s="56"/>
      <c r="AB155" s="55">
        <f>2*3</f>
        <v>6</v>
      </c>
      <c r="AC155" s="55">
        <v>35546.666666666664</v>
      </c>
      <c r="AD155" s="55">
        <f t="shared" ref="AD155:AD156" si="9">AC155*AB155</f>
        <v>213280</v>
      </c>
    </row>
    <row r="156" spans="1:30">
      <c r="A156" s="4" t="s">
        <v>505</v>
      </c>
      <c r="B156" s="151" t="s">
        <v>506</v>
      </c>
      <c r="C156" s="760" t="s">
        <v>337</v>
      </c>
      <c r="D156" s="151"/>
      <c r="E156" s="151"/>
      <c r="F156" s="151"/>
      <c r="G156" s="152"/>
      <c r="H156" s="153"/>
      <c r="I156" s="154"/>
      <c r="J156" s="153"/>
      <c r="K156" s="172"/>
      <c r="L156" s="70">
        <v>1385515</v>
      </c>
      <c r="M156" s="45"/>
      <c r="N156" s="45"/>
      <c r="O156" s="45"/>
      <c r="P156" s="45"/>
      <c r="Q156" s="45"/>
      <c r="R156" s="45"/>
      <c r="S156" s="45"/>
      <c r="T156" s="45"/>
      <c r="U156" s="45"/>
      <c r="V156" s="45"/>
      <c r="W156" s="45"/>
      <c r="X156" s="45"/>
      <c r="Y156" s="45"/>
      <c r="Z156" s="56"/>
      <c r="AB156" s="55">
        <f>2*2</f>
        <v>4</v>
      </c>
      <c r="AC156" s="55">
        <v>35546.666666666664</v>
      </c>
      <c r="AD156" s="55">
        <f t="shared" si="9"/>
        <v>142186.66666666666</v>
      </c>
    </row>
    <row r="157" spans="1:30">
      <c r="A157" s="7" t="s">
        <v>507</v>
      </c>
      <c r="B157" s="40" t="s">
        <v>508</v>
      </c>
      <c r="C157" s="40" t="s">
        <v>216</v>
      </c>
      <c r="D157" s="40" t="s">
        <v>228</v>
      </c>
      <c r="E157" s="40" t="s">
        <v>44</v>
      </c>
      <c r="F157" s="40" t="s">
        <v>88</v>
      </c>
      <c r="G157" s="38">
        <v>390</v>
      </c>
      <c r="H157" s="54">
        <v>3488.5</v>
      </c>
      <c r="I157" s="53">
        <v>0</v>
      </c>
      <c r="J157" s="54">
        <v>3488.5</v>
      </c>
      <c r="K157" s="54">
        <v>1360515</v>
      </c>
      <c r="L157" s="112"/>
      <c r="M157" s="45"/>
      <c r="N157" s="45"/>
      <c r="O157" s="45"/>
      <c r="P157" s="45"/>
      <c r="Q157" s="45"/>
      <c r="R157" s="45"/>
      <c r="S157" s="45"/>
      <c r="T157" s="45"/>
      <c r="U157" s="45"/>
      <c r="V157" s="45"/>
      <c r="W157" s="45"/>
      <c r="X157" s="45"/>
      <c r="Y157" s="45"/>
      <c r="Z157" s="56"/>
      <c r="AD157" s="55">
        <f>SUM(AD154:AD156)</f>
        <v>568746.66666666663</v>
      </c>
    </row>
    <row r="158" spans="1:30">
      <c r="A158" s="7" t="s">
        <v>509</v>
      </c>
      <c r="B158" s="40" t="s">
        <v>508</v>
      </c>
      <c r="C158" s="40" t="s">
        <v>216</v>
      </c>
      <c r="D158" s="40" t="s">
        <v>228</v>
      </c>
      <c r="E158" s="40" t="s">
        <v>73</v>
      </c>
      <c r="F158" s="40" t="s">
        <v>71</v>
      </c>
      <c r="G158" s="38">
        <v>1</v>
      </c>
      <c r="H158" s="54">
        <v>25000</v>
      </c>
      <c r="I158" s="53">
        <v>0</v>
      </c>
      <c r="J158" s="54">
        <v>25000</v>
      </c>
      <c r="K158" s="54">
        <v>25000</v>
      </c>
      <c r="M158" s="45"/>
      <c r="N158" s="45"/>
      <c r="O158" s="45"/>
      <c r="P158" s="45"/>
      <c r="Q158" s="45"/>
      <c r="R158" s="45"/>
      <c r="S158" s="45"/>
      <c r="T158" s="45"/>
      <c r="U158" s="45"/>
      <c r="V158" s="45"/>
      <c r="W158" s="45"/>
      <c r="X158" s="45"/>
      <c r="Y158" s="45"/>
      <c r="Z158" s="56"/>
    </row>
    <row r="159" spans="1:30">
      <c r="A159" s="4" t="s">
        <v>510</v>
      </c>
      <c r="B159" s="151" t="s">
        <v>511</v>
      </c>
      <c r="C159" s="760" t="s">
        <v>337</v>
      </c>
      <c r="D159" s="151"/>
      <c r="E159" s="151"/>
      <c r="F159" s="151"/>
      <c r="G159" s="152"/>
      <c r="H159" s="172"/>
      <c r="I159" s="154"/>
      <c r="J159" s="153"/>
      <c r="K159" s="172"/>
      <c r="L159" s="70">
        <v>2369433.4150845585</v>
      </c>
      <c r="M159" s="45"/>
      <c r="N159" s="45"/>
      <c r="O159" s="45"/>
      <c r="P159" s="45"/>
      <c r="Q159" s="45"/>
      <c r="R159" s="45"/>
      <c r="S159" s="45"/>
      <c r="T159" s="45"/>
      <c r="U159" s="45"/>
      <c r="V159" s="45"/>
      <c r="W159" s="45"/>
      <c r="X159" s="45"/>
      <c r="Y159" s="45"/>
      <c r="Z159" s="56"/>
      <c r="AD159" s="55">
        <f>AD157/16</f>
        <v>35546.666666666664</v>
      </c>
    </row>
    <row r="160" spans="1:30">
      <c r="A160" s="6" t="s">
        <v>307</v>
      </c>
      <c r="B160" s="47" t="s">
        <v>512</v>
      </c>
      <c r="C160" s="47" t="s">
        <v>216</v>
      </c>
      <c r="D160" s="47" t="s">
        <v>309</v>
      </c>
      <c r="E160" s="47"/>
      <c r="F160" s="47" t="s">
        <v>88</v>
      </c>
      <c r="G160" s="42">
        <v>0</v>
      </c>
      <c r="H160" s="461">
        <v>79</v>
      </c>
      <c r="I160" s="63">
        <v>0</v>
      </c>
      <c r="J160" s="67">
        <v>79</v>
      </c>
      <c r="K160" s="67">
        <v>0</v>
      </c>
      <c r="M160" s="45"/>
      <c r="N160" s="45"/>
      <c r="O160" s="45"/>
      <c r="P160" s="45"/>
      <c r="Q160" s="45"/>
      <c r="R160" s="45"/>
      <c r="S160" s="45"/>
      <c r="T160" s="45"/>
      <c r="U160" s="45"/>
      <c r="V160" s="45"/>
      <c r="W160" s="45"/>
      <c r="X160" s="45"/>
      <c r="Y160" s="45"/>
      <c r="Z160" s="56"/>
    </row>
    <row r="161" spans="1:60">
      <c r="A161" s="7" t="s">
        <v>513</v>
      </c>
      <c r="B161" s="40" t="s">
        <v>514</v>
      </c>
      <c r="C161" s="40" t="s">
        <v>216</v>
      </c>
      <c r="D161" s="40" t="s">
        <v>228</v>
      </c>
      <c r="E161" s="40" t="s">
        <v>239</v>
      </c>
      <c r="F161" s="40" t="s">
        <v>375</v>
      </c>
      <c r="G161" s="38">
        <v>390</v>
      </c>
      <c r="H161" s="54">
        <v>396.90721649484539</v>
      </c>
      <c r="I161" s="53">
        <v>0.1</v>
      </c>
      <c r="J161" s="54">
        <v>436.59793814432999</v>
      </c>
      <c r="K161" s="54">
        <v>170273.19587628869</v>
      </c>
      <c r="M161" s="45" t="s">
        <v>515</v>
      </c>
      <c r="N161" s="45"/>
      <c r="O161" s="45"/>
      <c r="P161" s="45"/>
      <c r="Q161" s="45"/>
      <c r="R161" s="45"/>
      <c r="S161" s="45"/>
      <c r="T161" s="45"/>
      <c r="U161" s="45"/>
      <c r="V161" s="45"/>
      <c r="W161" s="45"/>
      <c r="X161" s="45"/>
      <c r="Y161" s="45"/>
      <c r="Z161" s="56"/>
    </row>
    <row r="162" spans="1:60" s="781" customFormat="1">
      <c r="A162" s="7" t="s">
        <v>516</v>
      </c>
      <c r="B162" s="40" t="s">
        <v>517</v>
      </c>
      <c r="C162" s="40" t="s">
        <v>216</v>
      </c>
      <c r="D162" s="40" t="s">
        <v>228</v>
      </c>
      <c r="E162" s="40" t="s">
        <v>239</v>
      </c>
      <c r="F162" s="40" t="s">
        <v>518</v>
      </c>
      <c r="G162" s="42">
        <v>8559</v>
      </c>
      <c r="H162" s="54">
        <v>137.80000000000001</v>
      </c>
      <c r="I162" s="53">
        <v>0</v>
      </c>
      <c r="J162" s="54">
        <v>137.80000000000001</v>
      </c>
      <c r="K162" s="54">
        <v>1179430.2000000002</v>
      </c>
      <c r="M162" s="1119" t="s">
        <v>519</v>
      </c>
      <c r="N162" s="1119"/>
      <c r="O162" s="1119"/>
      <c r="P162" s="1119"/>
      <c r="Q162" s="1119"/>
      <c r="R162" s="1119"/>
      <c r="S162" s="1119"/>
      <c r="T162" s="1119"/>
      <c r="U162" s="1119"/>
      <c r="V162" s="1119"/>
      <c r="W162" s="1119"/>
      <c r="X162" s="815"/>
      <c r="Y162" s="815"/>
      <c r="Z162" s="783"/>
      <c r="BG162" s="783"/>
      <c r="BH162" s="783"/>
    </row>
    <row r="163" spans="1:60">
      <c r="A163" s="7" t="s">
        <v>520</v>
      </c>
      <c r="B163" s="40" t="s">
        <v>521</v>
      </c>
      <c r="C163" s="40" t="s">
        <v>216</v>
      </c>
      <c r="D163" s="40" t="s">
        <v>228</v>
      </c>
      <c r="E163" s="40" t="s">
        <v>73</v>
      </c>
      <c r="F163" s="40" t="s">
        <v>71</v>
      </c>
      <c r="G163" s="183">
        <v>1</v>
      </c>
      <c r="H163" s="54">
        <v>128400</v>
      </c>
      <c r="I163" s="53">
        <v>0</v>
      </c>
      <c r="J163" s="54">
        <v>128400</v>
      </c>
      <c r="K163" s="54">
        <v>128400</v>
      </c>
      <c r="M163" s="45" t="s">
        <v>522</v>
      </c>
      <c r="N163" s="45"/>
      <c r="O163" s="45"/>
      <c r="P163" s="45"/>
      <c r="Q163" s="45"/>
      <c r="R163" s="45"/>
      <c r="S163" s="45"/>
      <c r="T163" s="45"/>
      <c r="U163" s="45"/>
      <c r="V163" s="45"/>
      <c r="W163" s="45"/>
      <c r="X163" s="45"/>
      <c r="Y163" s="45"/>
      <c r="Z163" s="56"/>
    </row>
    <row r="164" spans="1:60" s="781" customFormat="1">
      <c r="A164" s="7" t="s">
        <v>523</v>
      </c>
      <c r="B164" s="40" t="s">
        <v>524</v>
      </c>
      <c r="C164" s="40" t="s">
        <v>216</v>
      </c>
      <c r="D164" s="40" t="s">
        <v>228</v>
      </c>
      <c r="E164" s="40" t="s">
        <v>239</v>
      </c>
      <c r="F164" s="40" t="s">
        <v>61</v>
      </c>
      <c r="G164" s="42">
        <v>32355.899999999998</v>
      </c>
      <c r="H164" s="843">
        <v>24.855498355498355</v>
      </c>
      <c r="I164" s="53">
        <v>0</v>
      </c>
      <c r="J164" s="843">
        <v>24.855498355498355</v>
      </c>
      <c r="K164" s="54">
        <v>804222.01924066921</v>
      </c>
      <c r="M164" s="1119" t="s">
        <v>525</v>
      </c>
      <c r="N164" s="1119"/>
      <c r="O164" s="1119"/>
      <c r="P164" s="1119"/>
      <c r="Q164" s="1119"/>
      <c r="R164" s="1119"/>
      <c r="S164" s="1119"/>
      <c r="T164" s="1119"/>
      <c r="U164" s="1119"/>
      <c r="V164" s="1119"/>
      <c r="W164" s="1119"/>
      <c r="X164" s="1119"/>
      <c r="Y164" s="1119"/>
      <c r="Z164" s="783"/>
      <c r="BG164" s="783"/>
      <c r="BH164" s="783"/>
    </row>
    <row r="165" spans="1:60">
      <c r="A165" s="7" t="s">
        <v>526</v>
      </c>
      <c r="B165" s="40" t="s">
        <v>527</v>
      </c>
      <c r="C165" s="40" t="s">
        <v>283</v>
      </c>
      <c r="D165" s="40" t="s">
        <v>228</v>
      </c>
      <c r="E165" s="40" t="s">
        <v>44</v>
      </c>
      <c r="F165" s="40" t="s">
        <v>71</v>
      </c>
      <c r="G165" s="183">
        <v>1</v>
      </c>
      <c r="H165" s="54">
        <v>39107.999967600001</v>
      </c>
      <c r="I165" s="53">
        <v>0</v>
      </c>
      <c r="J165" s="54">
        <v>39107.999967600001</v>
      </c>
      <c r="K165" s="54">
        <v>39107.999967600001</v>
      </c>
      <c r="M165" s="45" t="s">
        <v>528</v>
      </c>
      <c r="N165" s="45"/>
      <c r="O165" s="45"/>
      <c r="P165" s="45"/>
      <c r="Q165" s="45"/>
      <c r="R165" s="45"/>
      <c r="S165" s="45"/>
      <c r="T165" s="45"/>
      <c r="U165" s="45"/>
      <c r="V165" s="45"/>
      <c r="W165" s="45"/>
      <c r="X165" s="45"/>
      <c r="Y165" s="45"/>
      <c r="Z165" s="56"/>
    </row>
    <row r="166" spans="1:60">
      <c r="A166" s="7" t="s">
        <v>529</v>
      </c>
      <c r="B166" s="40" t="s">
        <v>530</v>
      </c>
      <c r="C166" s="40" t="s">
        <v>216</v>
      </c>
      <c r="D166" s="40" t="s">
        <v>242</v>
      </c>
      <c r="E166" s="40" t="s">
        <v>73</v>
      </c>
      <c r="F166" s="40" t="s">
        <v>71</v>
      </c>
      <c r="G166" s="38">
        <v>0</v>
      </c>
      <c r="H166" s="54">
        <v>2500</v>
      </c>
      <c r="I166" s="53">
        <v>0</v>
      </c>
      <c r="J166" s="54">
        <v>2500</v>
      </c>
      <c r="K166" s="54">
        <v>0</v>
      </c>
      <c r="M166" s="45"/>
      <c r="N166" s="45"/>
      <c r="O166" s="45"/>
      <c r="P166" s="45"/>
      <c r="Q166" s="45"/>
      <c r="R166" s="45"/>
      <c r="S166" s="45"/>
      <c r="T166" s="45"/>
      <c r="U166" s="45"/>
      <c r="V166" s="45"/>
      <c r="W166" s="45"/>
      <c r="X166" s="45"/>
      <c r="Y166" s="45"/>
      <c r="Z166" s="56"/>
    </row>
    <row r="167" spans="1:60">
      <c r="A167" s="7" t="s">
        <v>531</v>
      </c>
      <c r="B167" s="40" t="s">
        <v>532</v>
      </c>
      <c r="C167" s="40" t="s">
        <v>216</v>
      </c>
      <c r="D167" s="40" t="s">
        <v>242</v>
      </c>
      <c r="E167" s="40" t="s">
        <v>73</v>
      </c>
      <c r="F167" s="40" t="s">
        <v>71</v>
      </c>
      <c r="G167" s="38">
        <v>8</v>
      </c>
      <c r="H167" s="54">
        <v>6000</v>
      </c>
      <c r="I167" s="53">
        <v>0</v>
      </c>
      <c r="J167" s="54">
        <v>6000</v>
      </c>
      <c r="K167" s="54">
        <v>48000</v>
      </c>
      <c r="M167" s="45" t="s">
        <v>533</v>
      </c>
      <c r="N167" s="45"/>
      <c r="O167" s="45"/>
      <c r="P167" s="45"/>
      <c r="Q167" s="45"/>
      <c r="R167" s="45"/>
      <c r="S167" s="45"/>
      <c r="T167" s="45"/>
      <c r="U167" s="45"/>
      <c r="V167" s="45"/>
      <c r="W167" s="45"/>
      <c r="X167" s="45"/>
      <c r="Y167" s="45"/>
      <c r="Z167" s="56"/>
    </row>
    <row r="168" spans="1:60">
      <c r="A168" s="4" t="s">
        <v>534</v>
      </c>
      <c r="B168" s="151" t="s">
        <v>535</v>
      </c>
      <c r="C168" s="760" t="s">
        <v>337</v>
      </c>
      <c r="D168" s="151"/>
      <c r="E168" s="151"/>
      <c r="F168" s="151"/>
      <c r="G168" s="152"/>
      <c r="H168" s="172"/>
      <c r="I168" s="154"/>
      <c r="J168" s="172"/>
      <c r="K168" s="172"/>
      <c r="L168" s="70">
        <v>1134489</v>
      </c>
      <c r="M168" s="45"/>
      <c r="N168" s="45"/>
      <c r="O168" s="45"/>
      <c r="P168" s="45"/>
      <c r="Q168" s="45"/>
      <c r="R168" s="45"/>
      <c r="S168" s="45"/>
      <c r="T168" s="45"/>
      <c r="U168" s="45"/>
      <c r="V168" s="45"/>
      <c r="W168" s="45"/>
      <c r="X168" s="45"/>
      <c r="Y168" s="45"/>
      <c r="Z168" s="56"/>
    </row>
    <row r="169" spans="1:60">
      <c r="A169" s="6" t="s">
        <v>536</v>
      </c>
      <c r="B169" s="47" t="s">
        <v>537</v>
      </c>
      <c r="C169" s="47" t="s">
        <v>216</v>
      </c>
      <c r="D169" s="47" t="s">
        <v>242</v>
      </c>
      <c r="E169" s="47" t="s">
        <v>326</v>
      </c>
      <c r="F169" s="47" t="s">
        <v>71</v>
      </c>
      <c r="G169" s="42">
        <v>1</v>
      </c>
      <c r="H169" s="461">
        <v>267940</v>
      </c>
      <c r="I169" s="63">
        <v>0</v>
      </c>
      <c r="J169" s="67">
        <v>267940</v>
      </c>
      <c r="K169" s="67">
        <v>267940</v>
      </c>
      <c r="M169" s="45" t="s">
        <v>538</v>
      </c>
      <c r="N169" s="45"/>
      <c r="O169" s="45"/>
      <c r="P169" s="45"/>
      <c r="Q169" s="45"/>
      <c r="R169" s="45"/>
      <c r="S169" s="45"/>
      <c r="T169" s="45"/>
      <c r="U169" s="45"/>
      <c r="V169" s="45"/>
      <c r="W169" s="45"/>
      <c r="X169" s="45"/>
      <c r="Y169" s="45"/>
      <c r="Z169" s="56"/>
    </row>
    <row r="170" spans="1:60">
      <c r="A170" s="7" t="s">
        <v>172</v>
      </c>
      <c r="B170" s="40" t="s">
        <v>539</v>
      </c>
      <c r="C170" s="40" t="s">
        <v>216</v>
      </c>
      <c r="D170" s="40" t="s">
        <v>473</v>
      </c>
      <c r="E170" s="40" t="s">
        <v>44</v>
      </c>
      <c r="F170" s="40" t="s">
        <v>108</v>
      </c>
      <c r="G170" s="38">
        <v>375</v>
      </c>
      <c r="H170" s="54">
        <v>2292</v>
      </c>
      <c r="I170" s="53">
        <v>0</v>
      </c>
      <c r="J170" s="54">
        <v>2292</v>
      </c>
      <c r="K170" s="54">
        <v>859500</v>
      </c>
      <c r="M170" s="45" t="s">
        <v>540</v>
      </c>
      <c r="N170" s="45"/>
      <c r="O170" s="45"/>
      <c r="P170" s="45"/>
      <c r="Q170" s="45"/>
      <c r="R170" s="45"/>
      <c r="S170" s="45"/>
      <c r="T170" s="45"/>
      <c r="U170" s="45"/>
      <c r="V170" s="45"/>
      <c r="W170" s="45"/>
      <c r="X170" s="45"/>
      <c r="Y170" s="45"/>
      <c r="Z170" s="56"/>
    </row>
    <row r="171" spans="1:60">
      <c r="A171" s="7" t="s">
        <v>541</v>
      </c>
      <c r="B171" s="40" t="s">
        <v>542</v>
      </c>
      <c r="C171" s="40" t="s">
        <v>216</v>
      </c>
      <c r="D171" s="40" t="s">
        <v>250</v>
      </c>
      <c r="E171" s="40" t="s">
        <v>543</v>
      </c>
      <c r="F171" s="40" t="s">
        <v>108</v>
      </c>
      <c r="G171" s="38">
        <v>1</v>
      </c>
      <c r="H171" s="54">
        <v>7049</v>
      </c>
      <c r="I171" s="53">
        <v>0</v>
      </c>
      <c r="J171" s="54">
        <v>7049</v>
      </c>
      <c r="K171" s="54">
        <v>7049</v>
      </c>
      <c r="M171" s="45"/>
      <c r="N171" s="45"/>
      <c r="O171" s="45"/>
      <c r="P171" s="45"/>
      <c r="Q171" s="45"/>
      <c r="R171" s="45"/>
      <c r="S171" s="45"/>
      <c r="T171" s="45"/>
      <c r="U171" s="45"/>
      <c r="V171" s="45"/>
      <c r="W171" s="45"/>
      <c r="X171" s="45"/>
      <c r="Y171" s="45"/>
      <c r="Z171" s="56"/>
    </row>
    <row r="172" spans="1:60" hidden="1">
      <c r="A172" s="4" t="s">
        <v>544</v>
      </c>
      <c r="B172" s="151" t="s">
        <v>545</v>
      </c>
      <c r="C172" s="151"/>
      <c r="D172" s="151"/>
      <c r="E172" s="151"/>
      <c r="F172" s="151"/>
      <c r="G172" s="152"/>
      <c r="H172" s="153"/>
      <c r="I172" s="154"/>
      <c r="J172" s="153"/>
      <c r="K172" s="172"/>
      <c r="L172" s="70">
        <v>0</v>
      </c>
      <c r="M172" s="45"/>
      <c r="N172" s="45"/>
      <c r="O172" s="45"/>
      <c r="P172" s="45"/>
      <c r="Q172" s="45"/>
      <c r="R172" s="45"/>
      <c r="S172" s="45"/>
      <c r="T172" s="45"/>
      <c r="U172" s="45"/>
      <c r="V172" s="45"/>
      <c r="W172" s="45"/>
      <c r="X172" s="45"/>
      <c r="Y172" s="45"/>
      <c r="Z172" s="56"/>
    </row>
    <row r="173" spans="1:60" hidden="1">
      <c r="A173" s="5" t="s">
        <v>546</v>
      </c>
      <c r="B173" s="65" t="s">
        <v>545</v>
      </c>
      <c r="C173" s="65" t="s">
        <v>216</v>
      </c>
      <c r="D173" s="65" t="s">
        <v>228</v>
      </c>
      <c r="E173" s="65" t="s">
        <v>231</v>
      </c>
      <c r="F173" s="65"/>
      <c r="G173" s="43"/>
      <c r="H173" s="64"/>
      <c r="I173" s="157">
        <v>0</v>
      </c>
      <c r="J173" s="158">
        <v>0</v>
      </c>
      <c r="K173" s="159">
        <v>0</v>
      </c>
      <c r="M173" s="45"/>
      <c r="N173" s="45"/>
      <c r="O173" s="45"/>
      <c r="P173" s="45"/>
      <c r="Q173" s="45"/>
      <c r="R173" s="45"/>
      <c r="S173" s="45"/>
      <c r="T173" s="45"/>
      <c r="U173" s="45"/>
      <c r="V173" s="45"/>
      <c r="W173" s="45"/>
      <c r="X173" s="45"/>
      <c r="Y173" s="45"/>
      <c r="Z173" s="56"/>
    </row>
    <row r="174" spans="1:60">
      <c r="A174" s="4" t="s">
        <v>547</v>
      </c>
      <c r="B174" s="151" t="s">
        <v>548</v>
      </c>
      <c r="C174" s="760" t="s">
        <v>337</v>
      </c>
      <c r="D174" s="151"/>
      <c r="E174" s="151"/>
      <c r="F174" s="151"/>
      <c r="G174" s="152"/>
      <c r="H174" s="153"/>
      <c r="I174" s="154"/>
      <c r="J174" s="153"/>
      <c r="K174" s="172"/>
      <c r="L174" s="70">
        <v>508000</v>
      </c>
      <c r="M174" s="45"/>
      <c r="N174" s="45"/>
      <c r="O174" s="45"/>
      <c r="P174" s="45"/>
      <c r="Q174" s="45"/>
      <c r="R174" s="45"/>
      <c r="S174" s="45"/>
      <c r="T174" s="45"/>
      <c r="U174" s="45"/>
      <c r="V174" s="45"/>
      <c r="W174" s="45"/>
      <c r="X174" s="45"/>
      <c r="Y174" s="45"/>
      <c r="Z174" s="56"/>
    </row>
    <row r="175" spans="1:60">
      <c r="A175" s="6" t="s">
        <v>549</v>
      </c>
      <c r="B175" s="47" t="s">
        <v>550</v>
      </c>
      <c r="C175" s="47" t="s">
        <v>216</v>
      </c>
      <c r="D175" s="47" t="s">
        <v>228</v>
      </c>
      <c r="E175" s="47" t="s">
        <v>326</v>
      </c>
      <c r="F175" s="47" t="s">
        <v>551</v>
      </c>
      <c r="G175" s="42">
        <v>12</v>
      </c>
      <c r="H175" s="461">
        <v>41250</v>
      </c>
      <c r="I175" s="63">
        <v>0</v>
      </c>
      <c r="J175" s="67">
        <v>41250</v>
      </c>
      <c r="K175" s="67">
        <v>495000</v>
      </c>
      <c r="M175" s="45" t="s">
        <v>552</v>
      </c>
      <c r="N175" s="45"/>
      <c r="O175" s="45"/>
      <c r="P175" s="45"/>
      <c r="Q175" s="45"/>
      <c r="R175" s="45"/>
      <c r="S175" s="45"/>
      <c r="T175" s="45"/>
      <c r="U175" s="45"/>
      <c r="V175" s="45"/>
      <c r="W175" s="45"/>
      <c r="X175" s="45"/>
      <c r="Y175" s="45"/>
      <c r="Z175" s="56"/>
    </row>
    <row r="176" spans="1:60">
      <c r="A176" s="7" t="s">
        <v>553</v>
      </c>
      <c r="B176" s="40" t="s">
        <v>554</v>
      </c>
      <c r="C176" s="40" t="s">
        <v>216</v>
      </c>
      <c r="D176" s="40" t="s">
        <v>242</v>
      </c>
      <c r="E176" s="40" t="s">
        <v>555</v>
      </c>
      <c r="F176" s="40" t="s">
        <v>108</v>
      </c>
      <c r="G176" s="38">
        <v>2</v>
      </c>
      <c r="H176" s="54">
        <v>6500</v>
      </c>
      <c r="I176" s="53">
        <v>0</v>
      </c>
      <c r="J176" s="54">
        <v>6500</v>
      </c>
      <c r="K176" s="54">
        <v>13000</v>
      </c>
      <c r="M176" s="45"/>
      <c r="N176" s="45"/>
      <c r="O176" s="45"/>
      <c r="P176" s="45"/>
      <c r="Q176" s="45"/>
      <c r="R176" s="45"/>
      <c r="S176" s="45"/>
      <c r="T176" s="45"/>
      <c r="U176" s="45"/>
      <c r="V176" s="45"/>
      <c r="W176" s="45"/>
      <c r="X176" s="45"/>
      <c r="Y176" s="45"/>
      <c r="Z176" s="56"/>
    </row>
    <row r="177" spans="1:30">
      <c r="A177" s="4" t="s">
        <v>556</v>
      </c>
      <c r="B177" s="151" t="s">
        <v>557</v>
      </c>
      <c r="C177" s="151"/>
      <c r="D177" s="151"/>
      <c r="E177" s="151"/>
      <c r="F177" s="151"/>
      <c r="G177" s="152"/>
      <c r="H177" s="172"/>
      <c r="I177" s="154"/>
      <c r="J177" s="172"/>
      <c r="K177" s="172"/>
      <c r="L177" s="70">
        <v>1322806.25</v>
      </c>
      <c r="M177" s="45"/>
      <c r="N177" s="45"/>
      <c r="O177" s="45"/>
      <c r="P177" s="45"/>
      <c r="Q177" s="45"/>
      <c r="R177" s="45"/>
      <c r="S177" s="45"/>
      <c r="T177" s="45"/>
      <c r="U177" s="45"/>
      <c r="V177" s="45"/>
      <c r="W177" s="45"/>
      <c r="X177" s="45"/>
      <c r="Y177" s="45"/>
      <c r="Z177" s="56"/>
    </row>
    <row r="178" spans="1:30">
      <c r="A178" s="6" t="s">
        <v>558</v>
      </c>
      <c r="B178" s="47" t="s">
        <v>559</v>
      </c>
      <c r="C178" s="47" t="s">
        <v>216</v>
      </c>
      <c r="D178" s="47" t="s">
        <v>228</v>
      </c>
      <c r="E178" s="47" t="s">
        <v>73</v>
      </c>
      <c r="F178" s="47" t="s">
        <v>61</v>
      </c>
      <c r="G178" s="42">
        <v>422635</v>
      </c>
      <c r="H178" s="61">
        <v>0.1</v>
      </c>
      <c r="I178" s="63">
        <v>0</v>
      </c>
      <c r="J178" s="66">
        <v>0.1</v>
      </c>
      <c r="K178" s="67">
        <v>42263.5</v>
      </c>
      <c r="M178" s="45"/>
      <c r="N178" s="45"/>
      <c r="O178" s="45"/>
      <c r="P178" s="45"/>
      <c r="Q178" s="45"/>
      <c r="R178" s="45"/>
      <c r="S178" s="45"/>
      <c r="T178" s="45"/>
      <c r="U178" s="45"/>
      <c r="V178" s="45"/>
      <c r="W178" s="45"/>
      <c r="X178" s="45"/>
      <c r="Y178" s="45"/>
      <c r="Z178" s="56"/>
    </row>
    <row r="179" spans="1:30">
      <c r="A179" s="7" t="s">
        <v>560</v>
      </c>
      <c r="B179" s="40" t="s">
        <v>561</v>
      </c>
      <c r="C179" s="40" t="s">
        <v>216</v>
      </c>
      <c r="D179" s="40" t="s">
        <v>228</v>
      </c>
      <c r="E179" s="40" t="s">
        <v>239</v>
      </c>
      <c r="F179" s="40" t="s">
        <v>61</v>
      </c>
      <c r="G179" s="38">
        <v>422635</v>
      </c>
      <c r="H179" s="51">
        <v>2.65</v>
      </c>
      <c r="I179" s="53">
        <v>0</v>
      </c>
      <c r="J179" s="51">
        <v>2.65</v>
      </c>
      <c r="K179" s="54">
        <v>1119982.75</v>
      </c>
      <c r="M179" s="45"/>
      <c r="N179" s="45"/>
      <c r="O179" s="45"/>
      <c r="P179" s="45"/>
      <c r="Q179" s="45"/>
      <c r="R179" s="45"/>
      <c r="S179" s="45"/>
      <c r="T179" s="45"/>
      <c r="U179" s="45"/>
      <c r="V179" s="45"/>
      <c r="W179" s="45"/>
      <c r="X179" s="45"/>
      <c r="Y179" s="45"/>
      <c r="Z179" s="56"/>
    </row>
    <row r="180" spans="1:30">
      <c r="A180" s="7" t="s">
        <v>562</v>
      </c>
      <c r="B180" s="40" t="s">
        <v>563</v>
      </c>
      <c r="C180" s="40" t="s">
        <v>216</v>
      </c>
      <c r="D180" s="40" t="s">
        <v>235</v>
      </c>
      <c r="E180" s="40" t="s">
        <v>543</v>
      </c>
      <c r="F180" s="40" t="s">
        <v>108</v>
      </c>
      <c r="G180" s="38">
        <v>1</v>
      </c>
      <c r="H180" s="54">
        <v>160560</v>
      </c>
      <c r="I180" s="53">
        <v>0</v>
      </c>
      <c r="J180" s="54">
        <v>160560</v>
      </c>
      <c r="K180" s="54">
        <v>160560</v>
      </c>
      <c r="M180" s="45"/>
      <c r="N180" s="45"/>
      <c r="O180" s="45"/>
      <c r="P180" s="45"/>
      <c r="Q180" s="45"/>
      <c r="R180" s="45"/>
      <c r="S180" s="45"/>
      <c r="T180" s="45"/>
      <c r="U180" s="45"/>
      <c r="V180" s="45"/>
      <c r="W180" s="45"/>
      <c r="X180" s="45"/>
      <c r="Y180" s="45"/>
      <c r="Z180" s="56"/>
    </row>
    <row r="181" spans="1:30">
      <c r="A181" s="4" t="s">
        <v>564</v>
      </c>
      <c r="B181" s="151" t="s">
        <v>565</v>
      </c>
      <c r="C181" s="151"/>
      <c r="D181" s="151"/>
      <c r="E181" s="151"/>
      <c r="F181" s="151"/>
      <c r="G181" s="152"/>
      <c r="H181" s="172"/>
      <c r="I181" s="154"/>
      <c r="J181" s="172"/>
      <c r="K181" s="172"/>
      <c r="L181" s="70">
        <v>4783145.5</v>
      </c>
      <c r="M181" s="45"/>
      <c r="N181" s="45"/>
      <c r="O181" s="45"/>
      <c r="P181" s="45"/>
      <c r="Q181" s="45"/>
      <c r="R181" s="45"/>
      <c r="S181" s="45"/>
      <c r="T181" s="45"/>
      <c r="U181" s="45"/>
      <c r="V181" s="45"/>
      <c r="W181" s="45"/>
      <c r="X181" s="45"/>
      <c r="Y181" s="45"/>
      <c r="Z181" s="56"/>
    </row>
    <row r="182" spans="1:30">
      <c r="A182" s="6" t="s">
        <v>566</v>
      </c>
      <c r="B182" s="47" t="s">
        <v>567</v>
      </c>
      <c r="C182" s="47" t="s">
        <v>216</v>
      </c>
      <c r="D182" s="47" t="s">
        <v>228</v>
      </c>
      <c r="E182" s="47" t="s">
        <v>239</v>
      </c>
      <c r="F182" s="47" t="s">
        <v>108</v>
      </c>
      <c r="G182" s="42">
        <v>227</v>
      </c>
      <c r="H182" s="461">
        <v>10069</v>
      </c>
      <c r="I182" s="63">
        <v>0</v>
      </c>
      <c r="J182" s="67">
        <v>10069</v>
      </c>
      <c r="K182" s="67">
        <v>2285663</v>
      </c>
      <c r="L182" s="194"/>
      <c r="M182" s="45" t="s">
        <v>568</v>
      </c>
      <c r="N182" s="45"/>
      <c r="O182" s="45"/>
      <c r="P182" s="45"/>
      <c r="Q182" s="45"/>
      <c r="R182" s="45"/>
      <c r="S182" s="45"/>
      <c r="T182" s="45"/>
      <c r="U182" s="45"/>
      <c r="V182" s="45"/>
      <c r="W182" s="45"/>
      <c r="X182" s="45"/>
      <c r="Y182" s="45"/>
      <c r="Z182" s="56"/>
    </row>
    <row r="183" spans="1:30">
      <c r="A183" s="7" t="s">
        <v>569</v>
      </c>
      <c r="B183" s="40" t="s">
        <v>567</v>
      </c>
      <c r="C183" s="40" t="s">
        <v>216</v>
      </c>
      <c r="D183" s="40" t="s">
        <v>228</v>
      </c>
      <c r="E183" s="47" t="s">
        <v>570</v>
      </c>
      <c r="F183" s="40" t="s">
        <v>108</v>
      </c>
      <c r="G183" s="38">
        <v>163</v>
      </c>
      <c r="H183" s="54">
        <v>15103.5</v>
      </c>
      <c r="I183" s="53">
        <v>0</v>
      </c>
      <c r="J183" s="54">
        <v>15103.5</v>
      </c>
      <c r="K183" s="54">
        <v>2461870.5</v>
      </c>
      <c r="M183" s="45"/>
      <c r="N183" s="45"/>
      <c r="O183" s="45"/>
      <c r="P183" s="45"/>
      <c r="Q183" s="45"/>
      <c r="R183" s="45"/>
      <c r="S183" s="45"/>
      <c r="T183" s="45"/>
      <c r="U183" s="45"/>
      <c r="V183" s="45"/>
      <c r="W183" s="45"/>
      <c r="X183" s="45"/>
      <c r="Y183" s="45"/>
      <c r="Z183" s="56"/>
    </row>
    <row r="184" spans="1:30">
      <c r="A184" s="7" t="s">
        <v>571</v>
      </c>
      <c r="B184" s="40" t="s">
        <v>567</v>
      </c>
      <c r="C184" s="40" t="s">
        <v>216</v>
      </c>
      <c r="D184" s="40" t="s">
        <v>235</v>
      </c>
      <c r="E184" s="40" t="s">
        <v>73</v>
      </c>
      <c r="F184" s="40" t="s">
        <v>71</v>
      </c>
      <c r="G184" s="38">
        <v>1</v>
      </c>
      <c r="H184" s="54">
        <v>5000</v>
      </c>
      <c r="I184" s="53">
        <v>0</v>
      </c>
      <c r="J184" s="54">
        <v>5000</v>
      </c>
      <c r="K184" s="54">
        <v>5000</v>
      </c>
      <c r="M184" s="45"/>
      <c r="N184" s="45"/>
      <c r="O184" s="45"/>
      <c r="P184" s="45"/>
      <c r="Q184" s="45"/>
      <c r="R184" s="45"/>
      <c r="S184" s="45"/>
      <c r="T184" s="45"/>
      <c r="U184" s="45"/>
      <c r="V184" s="45"/>
      <c r="W184" s="45"/>
      <c r="X184" s="45"/>
      <c r="Y184" s="45"/>
      <c r="Z184" s="56"/>
    </row>
    <row r="185" spans="1:30">
      <c r="A185" s="7" t="s">
        <v>572</v>
      </c>
      <c r="B185" s="40" t="s">
        <v>573</v>
      </c>
      <c r="C185" s="40" t="s">
        <v>216</v>
      </c>
      <c r="D185" s="40" t="s">
        <v>242</v>
      </c>
      <c r="E185" s="40" t="s">
        <v>44</v>
      </c>
      <c r="F185" s="40" t="s">
        <v>71</v>
      </c>
      <c r="G185" s="38">
        <v>1</v>
      </c>
      <c r="H185" s="54">
        <v>24612</v>
      </c>
      <c r="I185" s="53">
        <v>0</v>
      </c>
      <c r="J185" s="54">
        <v>24612</v>
      </c>
      <c r="K185" s="54">
        <v>24612</v>
      </c>
      <c r="M185" s="45" t="s">
        <v>574</v>
      </c>
      <c r="N185" s="45"/>
      <c r="O185" s="45"/>
      <c r="P185" s="45"/>
      <c r="Q185" s="45"/>
      <c r="R185" s="45"/>
      <c r="S185" s="45"/>
      <c r="T185" s="45"/>
      <c r="U185" s="45"/>
      <c r="V185" s="45"/>
      <c r="W185" s="45"/>
      <c r="X185" s="45"/>
      <c r="Y185" s="45"/>
      <c r="Z185" s="56"/>
    </row>
    <row r="186" spans="1:30" ht="15" thickBot="1">
      <c r="A186" s="7" t="s">
        <v>575</v>
      </c>
      <c r="B186" s="40" t="s">
        <v>576</v>
      </c>
      <c r="C186" s="40" t="s">
        <v>216</v>
      </c>
      <c r="D186" s="40" t="s">
        <v>250</v>
      </c>
      <c r="E186" s="40" t="s">
        <v>73</v>
      </c>
      <c r="F186" s="40" t="s">
        <v>71</v>
      </c>
      <c r="G186" s="38">
        <v>1</v>
      </c>
      <c r="H186" s="54">
        <v>6000</v>
      </c>
      <c r="I186" s="53">
        <v>0</v>
      </c>
      <c r="J186" s="54">
        <v>6000</v>
      </c>
      <c r="K186" s="54">
        <v>6000</v>
      </c>
      <c r="M186" s="45" t="s">
        <v>574</v>
      </c>
      <c r="N186" s="45"/>
      <c r="O186" s="45"/>
      <c r="P186" s="45"/>
      <c r="Q186" s="45"/>
      <c r="R186" s="45"/>
      <c r="S186" s="45"/>
      <c r="T186" s="45"/>
      <c r="U186" s="45"/>
      <c r="V186" s="45"/>
      <c r="W186" s="45"/>
      <c r="X186" s="45"/>
      <c r="Y186" s="45"/>
      <c r="Z186" s="56"/>
    </row>
    <row r="187" spans="1:30">
      <c r="A187" s="4" t="s">
        <v>577</v>
      </c>
      <c r="B187" s="151" t="s">
        <v>578</v>
      </c>
      <c r="C187" s="151"/>
      <c r="D187" s="151"/>
      <c r="E187" s="151"/>
      <c r="F187" s="151"/>
      <c r="G187" s="152"/>
      <c r="H187" s="172"/>
      <c r="I187" s="154"/>
      <c r="J187" s="172"/>
      <c r="K187" s="172"/>
      <c r="L187" s="70">
        <v>3866250</v>
      </c>
      <c r="M187" s="45"/>
      <c r="N187" s="45"/>
      <c r="O187" s="45"/>
      <c r="P187" s="45"/>
      <c r="Q187" s="45"/>
      <c r="R187" s="45"/>
      <c r="S187" s="45"/>
      <c r="T187" s="45"/>
      <c r="U187" s="45"/>
      <c r="V187" s="45"/>
      <c r="W187" s="45"/>
      <c r="X187" s="45"/>
      <c r="Y187" s="45"/>
      <c r="Z187" s="56"/>
      <c r="AA187" s="173" t="s">
        <v>579</v>
      </c>
      <c r="AB187" s="163" t="s">
        <v>580</v>
      </c>
      <c r="AC187" s="163" t="s">
        <v>209</v>
      </c>
      <c r="AD187" s="174" t="s">
        <v>581</v>
      </c>
    </row>
    <row r="188" spans="1:30" ht="15.6">
      <c r="A188" s="6" t="s">
        <v>582</v>
      </c>
      <c r="B188" s="47" t="s">
        <v>583</v>
      </c>
      <c r="C188" s="47" t="s">
        <v>216</v>
      </c>
      <c r="D188" s="47" t="s">
        <v>228</v>
      </c>
      <c r="E188" s="47" t="s">
        <v>239</v>
      </c>
      <c r="F188" s="47" t="s">
        <v>88</v>
      </c>
      <c r="G188" s="42">
        <v>390</v>
      </c>
      <c r="H188" s="461">
        <v>9875</v>
      </c>
      <c r="I188" s="63">
        <v>0</v>
      </c>
      <c r="J188" s="67">
        <v>9875</v>
      </c>
      <c r="K188" s="67">
        <v>3851250</v>
      </c>
      <c r="L188" s="112"/>
      <c r="M188" s="45" t="s">
        <v>584</v>
      </c>
      <c r="N188" s="45"/>
      <c r="O188" s="45"/>
      <c r="P188" s="45"/>
      <c r="Q188" s="45"/>
      <c r="R188" s="45"/>
      <c r="S188" s="45"/>
      <c r="T188" s="45"/>
      <c r="U188" s="45"/>
      <c r="V188" s="45"/>
      <c r="W188" s="45"/>
      <c r="X188" s="45"/>
      <c r="Y188" s="45"/>
      <c r="Z188" s="56"/>
      <c r="AA188" s="175" t="s">
        <v>585</v>
      </c>
      <c r="AB188" s="176">
        <v>52</v>
      </c>
      <c r="AC188" s="176">
        <v>250</v>
      </c>
      <c r="AD188" s="177">
        <f>AB188*AC188</f>
        <v>13000</v>
      </c>
    </row>
    <row r="189" spans="1:30" ht="15.6">
      <c r="A189" s="7" t="s">
        <v>586</v>
      </c>
      <c r="B189" s="40" t="s">
        <v>583</v>
      </c>
      <c r="C189" s="40" t="s">
        <v>216</v>
      </c>
      <c r="D189" s="40" t="s">
        <v>235</v>
      </c>
      <c r="E189" s="47" t="s">
        <v>73</v>
      </c>
      <c r="F189" s="40" t="s">
        <v>71</v>
      </c>
      <c r="G189" s="38">
        <v>1</v>
      </c>
      <c r="H189" s="54">
        <v>15000</v>
      </c>
      <c r="I189" s="53">
        <v>0</v>
      </c>
      <c r="J189" s="54">
        <v>15000</v>
      </c>
      <c r="K189" s="54">
        <v>15000</v>
      </c>
      <c r="M189" s="45"/>
      <c r="N189" s="45"/>
      <c r="O189" s="45"/>
      <c r="P189" s="45"/>
      <c r="Q189" s="45"/>
      <c r="R189" s="45"/>
      <c r="S189" s="45"/>
      <c r="T189" s="45"/>
      <c r="U189" s="45"/>
      <c r="V189" s="45"/>
      <c r="W189" s="45"/>
      <c r="X189" s="45"/>
      <c r="Y189" s="45"/>
      <c r="Z189" s="56"/>
      <c r="AA189" s="175"/>
      <c r="AB189" s="176"/>
      <c r="AC189" s="176"/>
      <c r="AD189" s="177"/>
    </row>
    <row r="190" spans="1:30" ht="15.6">
      <c r="A190" s="4" t="s">
        <v>587</v>
      </c>
      <c r="B190" s="151" t="s">
        <v>588</v>
      </c>
      <c r="C190" s="151"/>
      <c r="D190" s="151"/>
      <c r="E190" s="151"/>
      <c r="F190" s="151"/>
      <c r="G190" s="152"/>
      <c r="H190" s="172"/>
      <c r="I190" s="154"/>
      <c r="J190" s="153"/>
      <c r="K190" s="172"/>
      <c r="L190" s="70">
        <v>5287886.1000000006</v>
      </c>
      <c r="M190" s="45"/>
      <c r="N190" s="45"/>
      <c r="O190" s="45"/>
      <c r="P190" s="45"/>
      <c r="Q190" s="45"/>
      <c r="R190" s="45"/>
      <c r="S190" s="45"/>
      <c r="T190" s="45"/>
      <c r="U190" s="45"/>
      <c r="V190" s="45"/>
      <c r="W190" s="45"/>
      <c r="X190" s="45"/>
      <c r="Y190" s="45"/>
      <c r="Z190" s="56"/>
      <c r="AA190" s="175" t="s">
        <v>589</v>
      </c>
      <c r="AB190" s="176">
        <v>118</v>
      </c>
      <c r="AC190" s="176">
        <v>500</v>
      </c>
      <c r="AD190" s="177">
        <f t="shared" ref="AD190:AD191" si="10">AB190*AC190</f>
        <v>59000</v>
      </c>
    </row>
    <row r="191" spans="1:30" ht="15.6">
      <c r="A191" s="6" t="s">
        <v>590</v>
      </c>
      <c r="B191" s="47" t="s">
        <v>591</v>
      </c>
      <c r="C191" s="47" t="s">
        <v>216</v>
      </c>
      <c r="D191" s="47" t="s">
        <v>228</v>
      </c>
      <c r="E191" s="47" t="s">
        <v>239</v>
      </c>
      <c r="F191" s="47" t="s">
        <v>61</v>
      </c>
      <c r="G191" s="42">
        <v>422635</v>
      </c>
      <c r="H191" s="61">
        <v>10.06</v>
      </c>
      <c r="I191" s="63">
        <v>0</v>
      </c>
      <c r="J191" s="66">
        <v>10.06</v>
      </c>
      <c r="K191" s="380">
        <v>4251708.1000000006</v>
      </c>
      <c r="L191" s="194"/>
      <c r="M191" s="45"/>
      <c r="N191" s="178"/>
      <c r="O191" s="178"/>
      <c r="P191" s="45"/>
      <c r="Q191" s="45"/>
      <c r="R191" s="45"/>
      <c r="S191" s="45"/>
      <c r="T191" s="45"/>
      <c r="U191" s="45"/>
      <c r="V191" s="45"/>
      <c r="W191" s="45"/>
      <c r="X191" s="45"/>
      <c r="Y191" s="45"/>
      <c r="Z191" s="56"/>
      <c r="AA191" s="175" t="s">
        <v>592</v>
      </c>
      <c r="AB191" s="176">
        <v>50</v>
      </c>
      <c r="AC191" s="176">
        <v>750</v>
      </c>
      <c r="AD191" s="177">
        <f t="shared" si="10"/>
        <v>37500</v>
      </c>
    </row>
    <row r="192" spans="1:30" ht="15.6">
      <c r="A192" s="6" t="s">
        <v>593</v>
      </c>
      <c r="B192" s="47" t="s">
        <v>591</v>
      </c>
      <c r="C192" s="47" t="s">
        <v>216</v>
      </c>
      <c r="D192" s="47" t="s">
        <v>235</v>
      </c>
      <c r="E192" s="47" t="s">
        <v>73</v>
      </c>
      <c r="F192" s="47" t="s">
        <v>71</v>
      </c>
      <c r="G192" s="42">
        <v>1</v>
      </c>
      <c r="H192" s="461">
        <v>10000</v>
      </c>
      <c r="I192" s="63">
        <v>0</v>
      </c>
      <c r="J192" s="67">
        <v>10000</v>
      </c>
      <c r="K192" s="380">
        <v>10000</v>
      </c>
      <c r="M192" s="45"/>
      <c r="N192" s="178"/>
      <c r="O192" s="178"/>
      <c r="P192" s="45"/>
      <c r="Q192" s="45"/>
      <c r="R192" s="45"/>
      <c r="S192" s="45"/>
      <c r="T192" s="45"/>
      <c r="U192" s="45"/>
      <c r="V192" s="45"/>
      <c r="W192" s="45"/>
      <c r="X192" s="45"/>
      <c r="Y192" s="45"/>
      <c r="Z192" s="56"/>
      <c r="AA192" s="175"/>
      <c r="AB192" s="176"/>
      <c r="AC192" s="176"/>
      <c r="AD192" s="177"/>
    </row>
    <row r="193" spans="1:30" ht="15.6">
      <c r="A193" s="7" t="s">
        <v>594</v>
      </c>
      <c r="B193" s="40" t="s">
        <v>595</v>
      </c>
      <c r="C193" s="40" t="s">
        <v>216</v>
      </c>
      <c r="D193" s="40" t="s">
        <v>228</v>
      </c>
      <c r="E193" s="40" t="s">
        <v>426</v>
      </c>
      <c r="F193" s="40" t="s">
        <v>88</v>
      </c>
      <c r="G193" s="38">
        <v>390</v>
      </c>
      <c r="H193" s="54">
        <v>700</v>
      </c>
      <c r="I193" s="53">
        <v>0</v>
      </c>
      <c r="J193" s="54">
        <v>700</v>
      </c>
      <c r="K193" s="54">
        <v>273000</v>
      </c>
      <c r="M193" s="45" t="s">
        <v>596</v>
      </c>
      <c r="N193" s="45"/>
      <c r="O193" s="45"/>
      <c r="P193" s="45"/>
      <c r="Q193" s="45"/>
      <c r="R193" s="45"/>
      <c r="S193" s="45"/>
      <c r="T193" s="45"/>
      <c r="U193" s="45"/>
      <c r="V193" s="45"/>
      <c r="W193" s="45"/>
      <c r="X193" s="45"/>
      <c r="Y193" s="45"/>
      <c r="Z193" s="56"/>
      <c r="AA193" s="179"/>
      <c r="AB193" s="176"/>
      <c r="AC193" s="176"/>
      <c r="AD193" s="177">
        <f>SUM(AD188:AD191)</f>
        <v>109500</v>
      </c>
    </row>
    <row r="194" spans="1:30" ht="16.149999999999999" thickBot="1">
      <c r="A194" s="7" t="s">
        <v>597</v>
      </c>
      <c r="B194" s="40" t="s">
        <v>598</v>
      </c>
      <c r="C194" s="40" t="s">
        <v>216</v>
      </c>
      <c r="D194" s="40" t="s">
        <v>228</v>
      </c>
      <c r="E194" s="40" t="s">
        <v>73</v>
      </c>
      <c r="F194" s="40" t="s">
        <v>88</v>
      </c>
      <c r="G194" s="38">
        <v>390</v>
      </c>
      <c r="H194" s="54">
        <v>120</v>
      </c>
      <c r="I194" s="53">
        <v>0</v>
      </c>
      <c r="J194" s="54">
        <v>120</v>
      </c>
      <c r="K194" s="54">
        <v>46800</v>
      </c>
      <c r="L194" s="190"/>
      <c r="M194" s="45"/>
      <c r="N194" s="45"/>
      <c r="O194" s="45"/>
      <c r="P194" s="45"/>
      <c r="Q194" s="45"/>
      <c r="R194" s="45"/>
      <c r="S194" s="45"/>
      <c r="T194" s="45"/>
      <c r="U194" s="45"/>
      <c r="V194" s="45"/>
      <c r="W194" s="45"/>
      <c r="X194" s="45"/>
      <c r="Y194" s="45"/>
      <c r="Z194" s="56"/>
      <c r="AA194" s="180"/>
      <c r="AB194" s="181"/>
      <c r="AC194" s="181"/>
      <c r="AD194" s="182">
        <f>AD193/391</f>
        <v>280.05115089514067</v>
      </c>
    </row>
    <row r="195" spans="1:30" ht="15" thickBot="1">
      <c r="A195" s="7" t="s">
        <v>599</v>
      </c>
      <c r="B195" s="40" t="s">
        <v>600</v>
      </c>
      <c r="C195" s="40" t="s">
        <v>216</v>
      </c>
      <c r="D195" s="40" t="s">
        <v>228</v>
      </c>
      <c r="E195" s="40" t="s">
        <v>73</v>
      </c>
      <c r="F195" s="40" t="s">
        <v>88</v>
      </c>
      <c r="G195" s="38">
        <v>390</v>
      </c>
      <c r="H195" s="54">
        <v>115</v>
      </c>
      <c r="I195" s="53">
        <v>0</v>
      </c>
      <c r="J195" s="54">
        <v>115</v>
      </c>
      <c r="K195" s="54">
        <v>44850</v>
      </c>
      <c r="L195" s="112"/>
      <c r="M195" s="45"/>
      <c r="N195" s="45"/>
      <c r="O195" s="45"/>
      <c r="P195" s="45"/>
      <c r="Q195" s="45"/>
      <c r="R195" s="45"/>
      <c r="S195" s="45"/>
      <c r="T195" s="45"/>
      <c r="U195" s="45"/>
      <c r="V195" s="45"/>
      <c r="W195" s="45"/>
      <c r="X195" s="45"/>
      <c r="Y195" s="45"/>
      <c r="Z195" s="56"/>
    </row>
    <row r="196" spans="1:30">
      <c r="A196" s="7" t="s">
        <v>601</v>
      </c>
      <c r="B196" s="40" t="s">
        <v>591</v>
      </c>
      <c r="C196" s="40" t="s">
        <v>216</v>
      </c>
      <c r="D196" s="40" t="s">
        <v>473</v>
      </c>
      <c r="E196" s="40" t="s">
        <v>73</v>
      </c>
      <c r="F196" s="40" t="s">
        <v>602</v>
      </c>
      <c r="G196" s="38">
        <v>375</v>
      </c>
      <c r="H196" s="54">
        <v>200</v>
      </c>
      <c r="I196" s="53">
        <v>0</v>
      </c>
      <c r="J196" s="54">
        <v>200</v>
      </c>
      <c r="K196" s="205">
        <v>75000</v>
      </c>
      <c r="M196" s="45"/>
      <c r="N196" s="45"/>
      <c r="O196" s="45"/>
      <c r="P196" s="45"/>
      <c r="Q196" s="45"/>
      <c r="R196" s="45"/>
      <c r="S196" s="45"/>
      <c r="T196" s="45"/>
      <c r="U196" s="45"/>
      <c r="V196" s="45"/>
      <c r="W196" s="45"/>
      <c r="X196" s="45"/>
      <c r="Y196" s="45"/>
      <c r="Z196" s="56"/>
      <c r="AA196" s="173" t="s">
        <v>603</v>
      </c>
      <c r="AB196" s="163" t="s">
        <v>580</v>
      </c>
      <c r="AC196" s="163" t="s">
        <v>209</v>
      </c>
      <c r="AD196" s="174" t="s">
        <v>581</v>
      </c>
    </row>
    <row r="197" spans="1:30" ht="15.6">
      <c r="A197" s="7" t="s">
        <v>604</v>
      </c>
      <c r="B197" s="40" t="s">
        <v>595</v>
      </c>
      <c r="C197" s="40" t="s">
        <v>216</v>
      </c>
      <c r="D197" s="40" t="s">
        <v>473</v>
      </c>
      <c r="E197" s="40" t="s">
        <v>73</v>
      </c>
      <c r="F197" s="40" t="s">
        <v>602</v>
      </c>
      <c r="G197" s="38">
        <v>375</v>
      </c>
      <c r="H197" s="54">
        <v>50</v>
      </c>
      <c r="I197" s="53">
        <v>0</v>
      </c>
      <c r="J197" s="54">
        <v>50</v>
      </c>
      <c r="K197" s="54">
        <v>18750</v>
      </c>
      <c r="M197" s="45"/>
      <c r="N197" s="45"/>
      <c r="O197" s="45"/>
      <c r="P197" s="45"/>
      <c r="Q197" s="45"/>
      <c r="R197" s="45"/>
      <c r="S197" s="45"/>
      <c r="T197" s="45"/>
      <c r="U197" s="45"/>
      <c r="V197" s="45"/>
      <c r="W197" s="45"/>
      <c r="X197" s="45"/>
      <c r="Y197" s="45"/>
      <c r="Z197" s="56"/>
      <c r="AA197" s="175" t="s">
        <v>585</v>
      </c>
      <c r="AB197" s="176">
        <v>52</v>
      </c>
      <c r="AC197" s="176">
        <f>25*2</f>
        <v>50</v>
      </c>
      <c r="AD197" s="177">
        <f>AB197*AC197</f>
        <v>2600</v>
      </c>
    </row>
    <row r="198" spans="1:30" ht="15.6" hidden="1">
      <c r="A198" s="7" t="s">
        <v>605</v>
      </c>
      <c r="B198" s="40" t="s">
        <v>591</v>
      </c>
      <c r="C198" s="40" t="s">
        <v>216</v>
      </c>
      <c r="D198" s="40" t="s">
        <v>242</v>
      </c>
      <c r="E198" s="40" t="s">
        <v>73</v>
      </c>
      <c r="F198" s="40" t="s">
        <v>71</v>
      </c>
      <c r="G198" s="38">
        <v>1</v>
      </c>
      <c r="H198" s="54">
        <v>5000</v>
      </c>
      <c r="I198" s="53">
        <v>0</v>
      </c>
      <c r="J198" s="54">
        <v>5000</v>
      </c>
      <c r="K198" s="54">
        <v>5000</v>
      </c>
      <c r="M198" s="45"/>
      <c r="N198" s="45"/>
      <c r="O198" s="45"/>
      <c r="P198" s="45"/>
      <c r="Q198" s="45"/>
      <c r="R198" s="45"/>
      <c r="S198" s="45"/>
      <c r="T198" s="45"/>
      <c r="U198" s="45"/>
      <c r="V198" s="45"/>
      <c r="W198" s="45"/>
      <c r="X198" s="45"/>
      <c r="Y198" s="45"/>
      <c r="Z198" s="56"/>
      <c r="AA198" s="175" t="s">
        <v>589</v>
      </c>
      <c r="AB198" s="176">
        <v>118</v>
      </c>
      <c r="AC198" s="176">
        <f>150+25*2</f>
        <v>200</v>
      </c>
      <c r="AD198" s="177">
        <f t="shared" ref="AD198:AD199" si="11">AB198*AC198</f>
        <v>23600</v>
      </c>
    </row>
    <row r="199" spans="1:30" ht="15.6" hidden="1">
      <c r="A199" s="7" t="s">
        <v>606</v>
      </c>
      <c r="B199" s="40" t="s">
        <v>607</v>
      </c>
      <c r="C199" s="40" t="s">
        <v>216</v>
      </c>
      <c r="D199" s="40" t="s">
        <v>242</v>
      </c>
      <c r="E199" s="40" t="s">
        <v>73</v>
      </c>
      <c r="F199" s="40" t="s">
        <v>71</v>
      </c>
      <c r="G199" s="38">
        <v>1</v>
      </c>
      <c r="H199" s="54">
        <v>5000</v>
      </c>
      <c r="I199" s="53">
        <v>0</v>
      </c>
      <c r="J199" s="54">
        <v>5000</v>
      </c>
      <c r="K199" s="54">
        <v>5000</v>
      </c>
      <c r="M199" s="45"/>
      <c r="N199" s="45"/>
      <c r="O199" s="45"/>
      <c r="P199" s="45"/>
      <c r="Q199" s="45"/>
      <c r="R199" s="45"/>
      <c r="S199" s="45"/>
      <c r="T199" s="45"/>
      <c r="U199" s="45"/>
      <c r="V199" s="45"/>
      <c r="W199" s="45"/>
      <c r="X199" s="45"/>
      <c r="Y199" s="45"/>
      <c r="Z199" s="56"/>
      <c r="AA199" s="175" t="s">
        <v>592</v>
      </c>
      <c r="AB199" s="176">
        <v>50</v>
      </c>
      <c r="AC199" s="176">
        <f>150+150+25*2</f>
        <v>350</v>
      </c>
      <c r="AD199" s="177">
        <f t="shared" si="11"/>
        <v>17500</v>
      </c>
    </row>
    <row r="200" spans="1:30" ht="16.5" customHeight="1">
      <c r="A200" s="7" t="s">
        <v>608</v>
      </c>
      <c r="B200" s="40" t="s">
        <v>609</v>
      </c>
      <c r="C200" s="40" t="s">
        <v>216</v>
      </c>
      <c r="D200" s="40" t="s">
        <v>481</v>
      </c>
      <c r="E200" s="40" t="s">
        <v>71</v>
      </c>
      <c r="F200" s="40" t="s">
        <v>71</v>
      </c>
      <c r="G200" s="38">
        <v>1</v>
      </c>
      <c r="H200" s="54">
        <v>390398</v>
      </c>
      <c r="I200" s="53">
        <v>0</v>
      </c>
      <c r="J200" s="54">
        <v>390398</v>
      </c>
      <c r="K200" s="54">
        <v>390398</v>
      </c>
      <c r="M200" s="45" t="s">
        <v>610</v>
      </c>
      <c r="N200" s="45"/>
      <c r="O200" s="45"/>
      <c r="P200" s="45"/>
      <c r="Q200" s="45"/>
      <c r="R200" s="45"/>
      <c r="S200" s="45"/>
      <c r="T200" s="45"/>
      <c r="U200" s="45"/>
      <c r="V200" s="45"/>
      <c r="W200" s="45"/>
      <c r="X200" s="45"/>
      <c r="Y200" s="45"/>
      <c r="Z200" s="56"/>
      <c r="AA200" s="179" t="s">
        <v>611</v>
      </c>
      <c r="AB200" s="176"/>
      <c r="AC200" s="176"/>
      <c r="AD200" s="177">
        <f>SUM(AD197:AD199)</f>
        <v>43700</v>
      </c>
    </row>
    <row r="201" spans="1:30" ht="15.6">
      <c r="A201" s="7" t="s">
        <v>612</v>
      </c>
      <c r="B201" s="40" t="s">
        <v>609</v>
      </c>
      <c r="C201" s="40" t="s">
        <v>216</v>
      </c>
      <c r="D201" s="40" t="s">
        <v>481</v>
      </c>
      <c r="E201" s="40" t="s">
        <v>71</v>
      </c>
      <c r="F201" s="40" t="s">
        <v>71</v>
      </c>
      <c r="G201" s="38">
        <v>0</v>
      </c>
      <c r="H201" s="54">
        <v>125000</v>
      </c>
      <c r="I201" s="53">
        <v>0</v>
      </c>
      <c r="J201" s="54">
        <v>125000</v>
      </c>
      <c r="K201" s="54">
        <v>0</v>
      </c>
      <c r="M201" s="45"/>
      <c r="N201" s="45"/>
      <c r="O201" s="45"/>
      <c r="P201" s="45"/>
      <c r="Q201" s="45"/>
      <c r="R201" s="45"/>
      <c r="S201" s="45"/>
      <c r="T201" s="45"/>
      <c r="U201" s="45"/>
      <c r="V201" s="45"/>
      <c r="W201" s="45"/>
      <c r="X201" s="45"/>
      <c r="Y201" s="45"/>
      <c r="Z201" s="56"/>
      <c r="AA201" s="179"/>
      <c r="AB201" s="176"/>
      <c r="AC201" s="176"/>
      <c r="AD201" s="177"/>
    </row>
    <row r="202" spans="1:30" ht="16.149999999999999" thickBot="1">
      <c r="A202" s="7" t="s">
        <v>613</v>
      </c>
      <c r="B202" s="40" t="s">
        <v>614</v>
      </c>
      <c r="C202" s="40" t="s">
        <v>216</v>
      </c>
      <c r="D202" s="40" t="s">
        <v>223</v>
      </c>
      <c r="E202" s="40" t="s">
        <v>73</v>
      </c>
      <c r="F202" s="40" t="s">
        <v>615</v>
      </c>
      <c r="G202" s="183">
        <v>15.826000000000001</v>
      </c>
      <c r="H202" s="54">
        <v>2500</v>
      </c>
      <c r="I202" s="53">
        <v>0</v>
      </c>
      <c r="J202" s="54">
        <v>2500</v>
      </c>
      <c r="K202" s="205">
        <v>39565</v>
      </c>
      <c r="M202" s="45"/>
      <c r="N202" s="45"/>
      <c r="O202" s="45"/>
      <c r="P202" s="45"/>
      <c r="Q202" s="45"/>
      <c r="R202" s="45"/>
      <c r="S202" s="45"/>
      <c r="T202" s="45"/>
      <c r="U202" s="45"/>
      <c r="V202" s="45"/>
      <c r="W202" s="45"/>
      <c r="X202" s="45"/>
      <c r="Y202" s="45"/>
      <c r="Z202" s="56"/>
      <c r="AA202" s="180" t="s">
        <v>616</v>
      </c>
      <c r="AB202" s="181"/>
      <c r="AC202" s="181"/>
      <c r="AD202" s="184">
        <f>AD200/391</f>
        <v>111.76470588235294</v>
      </c>
    </row>
    <row r="203" spans="1:30">
      <c r="A203" s="7" t="s">
        <v>617</v>
      </c>
      <c r="B203" s="40" t="s">
        <v>618</v>
      </c>
      <c r="C203" s="40" t="s">
        <v>216</v>
      </c>
      <c r="D203" s="40" t="s">
        <v>223</v>
      </c>
      <c r="E203" s="40" t="s">
        <v>73</v>
      </c>
      <c r="F203" s="40" t="s">
        <v>615</v>
      </c>
      <c r="G203" s="183">
        <v>15.826000000000001</v>
      </c>
      <c r="H203" s="54">
        <v>2500</v>
      </c>
      <c r="I203" s="53">
        <v>0</v>
      </c>
      <c r="J203" s="54">
        <v>2500</v>
      </c>
      <c r="K203" s="54">
        <v>39565</v>
      </c>
      <c r="M203" s="45"/>
      <c r="N203" s="45"/>
      <c r="O203" s="45"/>
      <c r="P203" s="45"/>
      <c r="Q203" s="45"/>
      <c r="R203" s="45"/>
      <c r="S203" s="45"/>
      <c r="T203" s="45"/>
      <c r="U203" s="45"/>
      <c r="V203" s="45"/>
      <c r="W203" s="45"/>
      <c r="X203" s="45"/>
      <c r="Y203" s="45"/>
      <c r="Z203" s="56"/>
    </row>
    <row r="204" spans="1:30">
      <c r="A204" s="7" t="s">
        <v>619</v>
      </c>
      <c r="B204" s="40" t="s">
        <v>620</v>
      </c>
      <c r="C204" s="40" t="s">
        <v>216</v>
      </c>
      <c r="D204" s="40" t="s">
        <v>242</v>
      </c>
      <c r="E204" s="40" t="s">
        <v>73</v>
      </c>
      <c r="F204" s="40" t="s">
        <v>71</v>
      </c>
      <c r="G204" s="38">
        <v>4</v>
      </c>
      <c r="H204" s="54">
        <v>12500</v>
      </c>
      <c r="I204" s="53">
        <v>0</v>
      </c>
      <c r="J204" s="54">
        <v>12500</v>
      </c>
      <c r="K204" s="205">
        <v>50000</v>
      </c>
      <c r="M204" s="45"/>
      <c r="N204" s="45"/>
      <c r="O204" s="45"/>
      <c r="P204" s="45"/>
      <c r="Q204" s="45"/>
      <c r="R204" s="45"/>
      <c r="S204" s="45"/>
      <c r="T204" s="45"/>
      <c r="U204" s="45"/>
      <c r="V204" s="45"/>
      <c r="W204" s="45"/>
      <c r="X204" s="45"/>
      <c r="Y204" s="45"/>
      <c r="Z204" s="56"/>
    </row>
    <row r="205" spans="1:30">
      <c r="A205" s="7" t="s">
        <v>621</v>
      </c>
      <c r="B205" s="40" t="s">
        <v>622</v>
      </c>
      <c r="C205" s="40" t="s">
        <v>216</v>
      </c>
      <c r="D205" s="40" t="s">
        <v>242</v>
      </c>
      <c r="E205" s="40" t="s">
        <v>73</v>
      </c>
      <c r="F205" s="40" t="s">
        <v>71</v>
      </c>
      <c r="G205" s="38">
        <v>4</v>
      </c>
      <c r="H205" s="54">
        <v>5000</v>
      </c>
      <c r="I205" s="53">
        <v>0</v>
      </c>
      <c r="J205" s="54">
        <v>5000</v>
      </c>
      <c r="K205" s="54">
        <v>20000</v>
      </c>
      <c r="M205" s="45"/>
      <c r="N205" s="45"/>
      <c r="O205" s="45"/>
      <c r="P205" s="45"/>
      <c r="Q205" s="45"/>
      <c r="R205" s="45"/>
      <c r="S205" s="45"/>
      <c r="T205" s="45"/>
      <c r="U205" s="45"/>
      <c r="V205" s="45"/>
      <c r="W205" s="45"/>
      <c r="X205" s="45"/>
      <c r="Y205" s="45"/>
      <c r="Z205" s="56"/>
    </row>
    <row r="206" spans="1:30">
      <c r="A206" s="7" t="s">
        <v>623</v>
      </c>
      <c r="B206" s="40" t="s">
        <v>624</v>
      </c>
      <c r="C206" s="40" t="s">
        <v>216</v>
      </c>
      <c r="D206" s="40" t="s">
        <v>250</v>
      </c>
      <c r="E206" s="40" t="s">
        <v>73</v>
      </c>
      <c r="F206" s="40" t="s">
        <v>71</v>
      </c>
      <c r="G206" s="38">
        <v>1</v>
      </c>
      <c r="H206" s="54">
        <v>2500</v>
      </c>
      <c r="I206" s="53">
        <v>0</v>
      </c>
      <c r="J206" s="54">
        <v>2500</v>
      </c>
      <c r="K206" s="205">
        <v>2500</v>
      </c>
      <c r="M206" s="45"/>
      <c r="N206" s="45"/>
      <c r="O206" s="45"/>
      <c r="P206" s="45"/>
      <c r="Q206" s="45"/>
      <c r="R206" s="45"/>
      <c r="S206" s="45"/>
      <c r="T206" s="45"/>
      <c r="U206" s="45"/>
      <c r="V206" s="45"/>
      <c r="W206" s="45"/>
      <c r="X206" s="45"/>
      <c r="Y206" s="45"/>
      <c r="Z206" s="56"/>
    </row>
    <row r="207" spans="1:30">
      <c r="A207" s="7" t="s">
        <v>625</v>
      </c>
      <c r="B207" s="40" t="s">
        <v>591</v>
      </c>
      <c r="C207" s="40" t="s">
        <v>216</v>
      </c>
      <c r="D207" s="40" t="s">
        <v>235</v>
      </c>
      <c r="E207" s="40" t="s">
        <v>73</v>
      </c>
      <c r="F207" s="40" t="s">
        <v>71</v>
      </c>
      <c r="G207" s="38">
        <v>1</v>
      </c>
      <c r="H207" s="54">
        <v>14250</v>
      </c>
      <c r="I207" s="53">
        <v>0</v>
      </c>
      <c r="J207" s="54">
        <v>14250</v>
      </c>
      <c r="K207" s="205">
        <v>14250</v>
      </c>
      <c r="M207" s="45"/>
      <c r="N207" s="45"/>
      <c r="O207" s="45"/>
      <c r="P207" s="45"/>
      <c r="Q207" s="45"/>
      <c r="R207" s="45"/>
      <c r="S207" s="45"/>
      <c r="T207" s="45"/>
      <c r="U207" s="45"/>
      <c r="V207" s="45"/>
      <c r="W207" s="45"/>
      <c r="X207" s="45"/>
      <c r="Y207" s="45"/>
      <c r="Z207" s="56"/>
    </row>
    <row r="208" spans="1:30">
      <c r="A208" s="7" t="s">
        <v>626</v>
      </c>
      <c r="B208" s="40" t="s">
        <v>595</v>
      </c>
      <c r="C208" s="40" t="s">
        <v>216</v>
      </c>
      <c r="D208" s="40" t="s">
        <v>235</v>
      </c>
      <c r="E208" s="40" t="s">
        <v>73</v>
      </c>
      <c r="F208" s="40" t="s">
        <v>71</v>
      </c>
      <c r="G208" s="38">
        <v>1</v>
      </c>
      <c r="H208" s="54">
        <v>1500</v>
      </c>
      <c r="I208" s="53">
        <v>0</v>
      </c>
      <c r="J208" s="54">
        <v>1500</v>
      </c>
      <c r="K208" s="54">
        <v>1500</v>
      </c>
      <c r="M208" s="45"/>
      <c r="N208" s="45"/>
      <c r="O208" s="45"/>
      <c r="P208" s="45"/>
      <c r="Q208" s="45"/>
      <c r="R208" s="45"/>
      <c r="S208" s="45"/>
      <c r="T208" s="45"/>
      <c r="U208" s="45"/>
      <c r="V208" s="45"/>
      <c r="W208" s="45"/>
      <c r="X208" s="45"/>
      <c r="Y208" s="45"/>
      <c r="Z208" s="56"/>
    </row>
    <row r="209" spans="1:26">
      <c r="A209" s="4" t="s">
        <v>627</v>
      </c>
      <c r="B209" s="151" t="s">
        <v>628</v>
      </c>
      <c r="C209" s="760" t="s">
        <v>337</v>
      </c>
      <c r="D209" s="151"/>
      <c r="E209" s="151"/>
      <c r="F209" s="151"/>
      <c r="G209" s="152"/>
      <c r="H209" s="153"/>
      <c r="I209" s="154"/>
      <c r="J209" s="153"/>
      <c r="K209" s="172"/>
      <c r="L209" s="70">
        <v>253754.65</v>
      </c>
      <c r="M209" s="45"/>
      <c r="N209" s="45"/>
      <c r="O209" s="45"/>
      <c r="P209" s="45"/>
      <c r="Q209" s="45"/>
      <c r="R209" s="45"/>
      <c r="S209" s="45"/>
      <c r="T209" s="45"/>
      <c r="U209" s="45"/>
      <c r="V209" s="45"/>
      <c r="W209" s="45"/>
      <c r="X209" s="45"/>
      <c r="Y209" s="45"/>
      <c r="Z209" s="56"/>
    </row>
    <row r="210" spans="1:26">
      <c r="A210" s="6" t="s">
        <v>629</v>
      </c>
      <c r="B210" s="47" t="s">
        <v>630</v>
      </c>
      <c r="C210" s="47" t="s">
        <v>283</v>
      </c>
      <c r="D210" s="47" t="s">
        <v>228</v>
      </c>
      <c r="E210" s="47" t="s">
        <v>73</v>
      </c>
      <c r="F210" s="47" t="s">
        <v>186</v>
      </c>
      <c r="G210" s="42">
        <v>4</v>
      </c>
      <c r="H210" s="461">
        <v>900</v>
      </c>
      <c r="I210" s="63">
        <v>0</v>
      </c>
      <c r="J210" s="67">
        <v>900</v>
      </c>
      <c r="K210" s="67">
        <v>3600</v>
      </c>
      <c r="M210" s="45" t="s">
        <v>631</v>
      </c>
      <c r="N210" s="45"/>
      <c r="O210" s="45"/>
      <c r="P210" s="45"/>
      <c r="Q210" s="45"/>
      <c r="R210" s="45"/>
      <c r="S210" s="45"/>
      <c r="T210" s="45"/>
      <c r="U210" s="45"/>
      <c r="V210" s="45"/>
      <c r="W210" s="45"/>
      <c r="X210" s="45"/>
      <c r="Y210" s="45"/>
      <c r="Z210" s="56"/>
    </row>
    <row r="211" spans="1:26">
      <c r="A211" s="7" t="s">
        <v>632</v>
      </c>
      <c r="B211" s="40" t="s">
        <v>633</v>
      </c>
      <c r="C211" s="40" t="s">
        <v>216</v>
      </c>
      <c r="D211" s="40" t="s">
        <v>228</v>
      </c>
      <c r="E211" s="40" t="s">
        <v>426</v>
      </c>
      <c r="F211" s="40" t="s">
        <v>61</v>
      </c>
      <c r="G211" s="38">
        <v>422635</v>
      </c>
      <c r="H211" s="51">
        <v>0.59</v>
      </c>
      <c r="I211" s="53">
        <v>0</v>
      </c>
      <c r="J211" s="51">
        <v>0.59</v>
      </c>
      <c r="K211" s="54">
        <v>249354.65</v>
      </c>
      <c r="M211" s="45"/>
      <c r="N211" s="45"/>
      <c r="O211" s="45"/>
      <c r="P211" s="45"/>
      <c r="Q211" s="45"/>
      <c r="R211" s="45"/>
      <c r="S211" s="45"/>
      <c r="T211" s="45"/>
      <c r="U211" s="45"/>
      <c r="V211" s="45"/>
      <c r="W211" s="45"/>
      <c r="X211" s="45"/>
      <c r="Y211" s="45"/>
      <c r="Z211" s="56"/>
    </row>
    <row r="212" spans="1:26">
      <c r="A212" s="7" t="s">
        <v>634</v>
      </c>
      <c r="B212" s="40" t="s">
        <v>635</v>
      </c>
      <c r="C212" s="40" t="s">
        <v>216</v>
      </c>
      <c r="D212" s="40" t="s">
        <v>242</v>
      </c>
      <c r="E212" s="40" t="s">
        <v>73</v>
      </c>
      <c r="F212" s="40" t="s">
        <v>186</v>
      </c>
      <c r="G212" s="38">
        <v>1</v>
      </c>
      <c r="H212" s="54">
        <v>800</v>
      </c>
      <c r="I212" s="53">
        <v>0</v>
      </c>
      <c r="J212" s="54">
        <v>800</v>
      </c>
      <c r="K212" s="54">
        <v>800</v>
      </c>
      <c r="M212" s="45"/>
      <c r="N212" s="45"/>
      <c r="O212" s="45"/>
      <c r="P212" s="45"/>
      <c r="Q212" s="45"/>
      <c r="R212" s="45"/>
      <c r="S212" s="45"/>
      <c r="T212" s="45"/>
      <c r="U212" s="45"/>
      <c r="V212" s="45"/>
      <c r="W212" s="45"/>
      <c r="X212" s="45"/>
      <c r="Y212" s="45"/>
      <c r="Z212" s="56"/>
    </row>
    <row r="213" spans="1:26">
      <c r="A213" s="4" t="s">
        <v>636</v>
      </c>
      <c r="B213" s="151" t="s">
        <v>637</v>
      </c>
      <c r="C213" s="760" t="s">
        <v>337</v>
      </c>
      <c r="D213" s="151"/>
      <c r="E213" s="151"/>
      <c r="F213" s="151"/>
      <c r="G213" s="152"/>
      <c r="H213" s="153"/>
      <c r="I213" s="154"/>
      <c r="J213" s="153"/>
      <c r="K213" s="172"/>
      <c r="L213" s="70">
        <v>1349898.75</v>
      </c>
      <c r="M213" s="45"/>
      <c r="N213" s="45"/>
      <c r="O213" s="45"/>
      <c r="P213" s="45"/>
      <c r="Q213" s="45"/>
      <c r="R213" s="45"/>
      <c r="S213" s="45"/>
      <c r="T213" s="45"/>
      <c r="U213" s="45"/>
      <c r="V213" s="45"/>
      <c r="W213" s="45"/>
      <c r="X213" s="45"/>
      <c r="Y213" s="45"/>
      <c r="Z213" s="56"/>
    </row>
    <row r="214" spans="1:26">
      <c r="A214" s="41" t="s">
        <v>638</v>
      </c>
      <c r="B214" s="47" t="s">
        <v>639</v>
      </c>
      <c r="C214" s="47" t="s">
        <v>216</v>
      </c>
      <c r="D214" s="47" t="s">
        <v>228</v>
      </c>
      <c r="E214" s="47" t="s">
        <v>543</v>
      </c>
      <c r="F214" s="47" t="s">
        <v>88</v>
      </c>
      <c r="G214" s="42">
        <v>390</v>
      </c>
      <c r="H214" s="461">
        <v>581</v>
      </c>
      <c r="I214" s="63">
        <v>0</v>
      </c>
      <c r="J214" s="67">
        <v>581</v>
      </c>
      <c r="K214" s="67">
        <v>226590</v>
      </c>
      <c r="M214" s="45"/>
      <c r="N214" s="45"/>
      <c r="O214" s="45"/>
      <c r="P214" s="45"/>
      <c r="Q214" s="45"/>
      <c r="R214" s="45"/>
      <c r="S214" s="45"/>
      <c r="T214" s="45"/>
      <c r="U214" s="45"/>
      <c r="V214" s="45"/>
      <c r="W214" s="45"/>
      <c r="X214" s="45"/>
      <c r="Y214" s="45"/>
      <c r="Z214" s="56"/>
    </row>
    <row r="215" spans="1:26">
      <c r="A215" s="7" t="s">
        <v>640</v>
      </c>
      <c r="B215" s="40" t="s">
        <v>641</v>
      </c>
      <c r="C215" s="40" t="s">
        <v>216</v>
      </c>
      <c r="D215" s="40" t="s">
        <v>223</v>
      </c>
      <c r="E215" s="40" t="s">
        <v>426</v>
      </c>
      <c r="F215" s="40" t="s">
        <v>88</v>
      </c>
      <c r="G215" s="38">
        <v>390</v>
      </c>
      <c r="H215" s="54">
        <v>442</v>
      </c>
      <c r="I215" s="53">
        <v>0</v>
      </c>
      <c r="J215" s="54">
        <v>442</v>
      </c>
      <c r="K215" s="54">
        <v>172380</v>
      </c>
      <c r="M215" s="45"/>
      <c r="N215" s="45"/>
      <c r="O215" s="45"/>
      <c r="P215" s="45"/>
      <c r="Q215" s="45"/>
      <c r="R215" s="45"/>
      <c r="S215" s="45"/>
      <c r="T215" s="45"/>
      <c r="U215" s="45"/>
      <c r="V215" s="45"/>
      <c r="W215" s="45"/>
      <c r="X215" s="45"/>
      <c r="Y215" s="45"/>
      <c r="Z215" s="56"/>
    </row>
    <row r="216" spans="1:26">
      <c r="A216" s="7" t="s">
        <v>642</v>
      </c>
      <c r="B216" s="40" t="s">
        <v>643</v>
      </c>
      <c r="C216" s="40" t="s">
        <v>216</v>
      </c>
      <c r="D216" s="40" t="s">
        <v>228</v>
      </c>
      <c r="E216" s="40" t="s">
        <v>326</v>
      </c>
      <c r="F216" s="40" t="s">
        <v>61</v>
      </c>
      <c r="G216" s="38">
        <v>422635</v>
      </c>
      <c r="H216" s="51">
        <v>2.25</v>
      </c>
      <c r="I216" s="53">
        <v>0</v>
      </c>
      <c r="J216" s="51">
        <v>2.25</v>
      </c>
      <c r="K216" s="54">
        <v>950928.75</v>
      </c>
      <c r="M216" s="45"/>
      <c r="N216" s="45"/>
      <c r="O216" s="45"/>
      <c r="P216" s="45"/>
      <c r="Q216" s="45"/>
      <c r="R216" s="45"/>
      <c r="S216" s="45"/>
      <c r="T216" s="45"/>
      <c r="U216" s="45"/>
      <c r="V216" s="45"/>
      <c r="W216" s="45"/>
      <c r="X216" s="45"/>
      <c r="Y216" s="45"/>
      <c r="Z216" s="56"/>
    </row>
    <row r="217" spans="1:26">
      <c r="A217" s="4" t="s">
        <v>644</v>
      </c>
      <c r="B217" s="151" t="s">
        <v>645</v>
      </c>
      <c r="C217" s="151"/>
      <c r="D217" s="151"/>
      <c r="E217" s="151"/>
      <c r="F217" s="151"/>
      <c r="G217" s="152"/>
      <c r="H217" s="153"/>
      <c r="I217" s="154"/>
      <c r="J217" s="153"/>
      <c r="K217" s="172"/>
      <c r="L217" s="70">
        <v>1455055.4581000002</v>
      </c>
      <c r="M217" s="45"/>
      <c r="N217" s="45"/>
      <c r="O217" s="45"/>
      <c r="P217" s="45"/>
      <c r="Q217" s="45"/>
      <c r="R217" s="45"/>
      <c r="S217" s="45"/>
      <c r="T217" s="45"/>
      <c r="U217" s="45"/>
      <c r="V217" s="45"/>
      <c r="W217" s="45"/>
      <c r="X217" s="45"/>
      <c r="Y217" s="45"/>
      <c r="Z217" s="56"/>
    </row>
    <row r="218" spans="1:26">
      <c r="A218" s="6" t="s">
        <v>646</v>
      </c>
      <c r="B218" s="47" t="s">
        <v>647</v>
      </c>
      <c r="C218" s="47" t="s">
        <v>216</v>
      </c>
      <c r="D218" s="47" t="s">
        <v>223</v>
      </c>
      <c r="E218" s="47" t="s">
        <v>426</v>
      </c>
      <c r="F218" s="47" t="s">
        <v>615</v>
      </c>
      <c r="G218" s="185">
        <v>15.826000000000001</v>
      </c>
      <c r="H218" s="461">
        <v>7600</v>
      </c>
      <c r="I218" s="63">
        <v>0</v>
      </c>
      <c r="J218" s="67">
        <v>7600</v>
      </c>
      <c r="K218" s="67">
        <v>120277.6</v>
      </c>
      <c r="M218" s="45"/>
      <c r="N218" s="45"/>
      <c r="O218" s="45"/>
      <c r="P218" s="45"/>
      <c r="Q218" s="45"/>
      <c r="R218" s="45"/>
      <c r="S218" s="45"/>
      <c r="T218" s="45"/>
      <c r="U218" s="45"/>
      <c r="V218" s="45"/>
      <c r="W218" s="45"/>
      <c r="X218" s="45"/>
      <c r="Y218" s="45"/>
      <c r="Z218" s="56"/>
    </row>
    <row r="219" spans="1:26">
      <c r="A219" s="7" t="s">
        <v>648</v>
      </c>
      <c r="B219" s="40" t="s">
        <v>649</v>
      </c>
      <c r="C219" s="40" t="s">
        <v>216</v>
      </c>
      <c r="D219" s="40" t="s">
        <v>223</v>
      </c>
      <c r="E219" s="40" t="s">
        <v>73</v>
      </c>
      <c r="F219" s="40" t="s">
        <v>615</v>
      </c>
      <c r="G219" s="183">
        <v>15.826000000000001</v>
      </c>
      <c r="H219" s="54">
        <v>3485.6</v>
      </c>
      <c r="I219" s="53">
        <v>0</v>
      </c>
      <c r="J219" s="54">
        <v>3485.6</v>
      </c>
      <c r="K219" s="54">
        <v>55163.105600000003</v>
      </c>
      <c r="M219" s="45"/>
      <c r="N219" s="45"/>
      <c r="O219" s="45"/>
      <c r="P219" s="45"/>
      <c r="Q219" s="45"/>
      <c r="R219" s="45"/>
      <c r="S219" s="45"/>
      <c r="T219" s="45"/>
      <c r="U219" s="45"/>
      <c r="V219" s="45"/>
      <c r="W219" s="45"/>
      <c r="X219" s="45"/>
      <c r="Y219" s="45"/>
      <c r="Z219" s="56"/>
    </row>
    <row r="220" spans="1:26">
      <c r="A220" s="7" t="s">
        <v>650</v>
      </c>
      <c r="B220" s="40" t="s">
        <v>651</v>
      </c>
      <c r="C220" s="40" t="s">
        <v>216</v>
      </c>
      <c r="D220" s="40" t="s">
        <v>223</v>
      </c>
      <c r="E220" s="40" t="s">
        <v>73</v>
      </c>
      <c r="F220" s="40" t="s">
        <v>71</v>
      </c>
      <c r="G220" s="38">
        <v>1</v>
      </c>
      <c r="H220" s="54">
        <v>45000</v>
      </c>
      <c r="I220" s="53">
        <v>0</v>
      </c>
      <c r="J220" s="54">
        <v>45000</v>
      </c>
      <c r="K220" s="54">
        <v>45000</v>
      </c>
      <c r="M220" s="45"/>
      <c r="N220" s="45"/>
      <c r="O220" s="45"/>
      <c r="P220" s="45"/>
      <c r="Q220" s="45"/>
      <c r="R220" s="45"/>
      <c r="S220" s="45"/>
      <c r="T220" s="45"/>
      <c r="U220" s="45"/>
      <c r="V220" s="45"/>
      <c r="W220" s="45"/>
      <c r="X220" s="45"/>
      <c r="Y220" s="45"/>
      <c r="Z220" s="56"/>
    </row>
    <row r="221" spans="1:26">
      <c r="A221" s="7" t="s">
        <v>652</v>
      </c>
      <c r="B221" s="40" t="s">
        <v>653</v>
      </c>
      <c r="C221" s="40" t="s">
        <v>216</v>
      </c>
      <c r="D221" s="40" t="s">
        <v>223</v>
      </c>
      <c r="E221" s="40" t="s">
        <v>6</v>
      </c>
      <c r="F221" s="40" t="s">
        <v>71</v>
      </c>
      <c r="G221" s="38">
        <v>1</v>
      </c>
      <c r="H221" s="54">
        <v>75000</v>
      </c>
      <c r="I221" s="53">
        <v>0</v>
      </c>
      <c r="J221" s="54">
        <v>75000</v>
      </c>
      <c r="K221" s="54">
        <v>75000</v>
      </c>
      <c r="M221" s="45" t="s">
        <v>654</v>
      </c>
      <c r="N221" s="45"/>
      <c r="O221" s="45"/>
      <c r="P221" s="45"/>
      <c r="Q221" s="45"/>
      <c r="R221" s="45"/>
      <c r="S221" s="45"/>
      <c r="T221" s="45"/>
      <c r="U221" s="45"/>
      <c r="V221" s="45"/>
      <c r="W221" s="45"/>
      <c r="X221" s="45"/>
      <c r="Y221" s="45"/>
      <c r="Z221" s="56"/>
    </row>
    <row r="222" spans="1:26">
      <c r="A222" s="7" t="s">
        <v>655</v>
      </c>
      <c r="B222" s="40" t="s">
        <v>656</v>
      </c>
      <c r="C222" s="40" t="s">
        <v>216</v>
      </c>
      <c r="D222" s="40" t="s">
        <v>223</v>
      </c>
      <c r="E222" s="40" t="s">
        <v>6</v>
      </c>
      <c r="F222" s="40" t="s">
        <v>71</v>
      </c>
      <c r="G222" s="38">
        <v>1</v>
      </c>
      <c r="H222" s="54">
        <v>876756</v>
      </c>
      <c r="I222" s="53">
        <v>0</v>
      </c>
      <c r="J222" s="54">
        <v>876756</v>
      </c>
      <c r="K222" s="54">
        <v>876756</v>
      </c>
      <c r="M222" s="45" t="s">
        <v>657</v>
      </c>
      <c r="N222" s="45"/>
      <c r="O222" s="45"/>
      <c r="P222" s="45"/>
      <c r="Q222" s="45"/>
      <c r="R222" s="45"/>
      <c r="S222" s="45"/>
      <c r="T222" s="45"/>
      <c r="U222" s="45"/>
      <c r="V222" s="45"/>
      <c r="W222" s="45"/>
      <c r="X222" s="45"/>
      <c r="Y222" s="45"/>
      <c r="Z222" s="56"/>
    </row>
    <row r="223" spans="1:26">
      <c r="A223" s="7" t="s">
        <v>658</v>
      </c>
      <c r="B223" s="40" t="s">
        <v>659</v>
      </c>
      <c r="C223" s="40" t="s">
        <v>216</v>
      </c>
      <c r="D223" s="40" t="s">
        <v>223</v>
      </c>
      <c r="E223" s="40" t="s">
        <v>6</v>
      </c>
      <c r="F223" s="40" t="s">
        <v>71</v>
      </c>
      <c r="G223" s="38">
        <v>1</v>
      </c>
      <c r="H223" s="54">
        <v>41869.412500000006</v>
      </c>
      <c r="I223" s="53">
        <v>0</v>
      </c>
      <c r="J223" s="54">
        <v>41869.412500000006</v>
      </c>
      <c r="K223" s="54">
        <v>41869.412500000006</v>
      </c>
      <c r="M223" s="45" t="s">
        <v>654</v>
      </c>
      <c r="N223" s="45"/>
      <c r="O223" s="45"/>
      <c r="P223" s="45"/>
      <c r="Q223" s="45"/>
      <c r="R223" s="45"/>
      <c r="S223" s="45"/>
      <c r="T223" s="45"/>
      <c r="U223" s="45"/>
      <c r="V223" s="45"/>
      <c r="W223" s="45"/>
      <c r="X223" s="45"/>
      <c r="Y223" s="45"/>
      <c r="Z223" s="56"/>
    </row>
    <row r="224" spans="1:26">
      <c r="A224" s="7" t="s">
        <v>660</v>
      </c>
      <c r="B224" s="40" t="s">
        <v>661</v>
      </c>
      <c r="C224" s="40" t="s">
        <v>216</v>
      </c>
      <c r="D224" s="40" t="s">
        <v>223</v>
      </c>
      <c r="E224" s="40" t="s">
        <v>6</v>
      </c>
      <c r="F224" s="40" t="s">
        <v>71</v>
      </c>
      <c r="G224" s="38">
        <v>1</v>
      </c>
      <c r="H224" s="54">
        <v>200000</v>
      </c>
      <c r="I224" s="53">
        <v>0</v>
      </c>
      <c r="J224" s="54">
        <v>200000</v>
      </c>
      <c r="K224" s="54">
        <v>200000</v>
      </c>
      <c r="M224" s="45"/>
      <c r="N224" s="45"/>
      <c r="O224" s="45"/>
      <c r="P224" s="45"/>
      <c r="Q224" s="45"/>
      <c r="R224" s="45"/>
      <c r="S224" s="45"/>
      <c r="T224" s="45"/>
      <c r="U224" s="45"/>
      <c r="V224" s="45"/>
      <c r="W224" s="45"/>
      <c r="X224" s="45"/>
      <c r="Y224" s="45"/>
      <c r="Z224" s="56"/>
    </row>
    <row r="225" spans="1:26">
      <c r="A225" s="7" t="s">
        <v>662</v>
      </c>
      <c r="B225" s="40" t="s">
        <v>663</v>
      </c>
      <c r="C225" s="40" t="s">
        <v>216</v>
      </c>
      <c r="D225" s="40" t="s">
        <v>223</v>
      </c>
      <c r="E225" s="40" t="s">
        <v>231</v>
      </c>
      <c r="F225" s="40"/>
      <c r="G225" s="38"/>
      <c r="H225" s="54">
        <v>0</v>
      </c>
      <c r="I225" s="53">
        <v>0</v>
      </c>
      <c r="J225" s="54">
        <v>0</v>
      </c>
      <c r="K225" s="54">
        <v>0</v>
      </c>
      <c r="M225" s="45"/>
      <c r="N225" s="45"/>
      <c r="O225" s="45"/>
      <c r="P225" s="45"/>
      <c r="Q225" s="45"/>
      <c r="R225" s="45"/>
      <c r="S225" s="45"/>
      <c r="T225" s="45"/>
      <c r="U225" s="45"/>
      <c r="V225" s="45"/>
      <c r="W225" s="45"/>
      <c r="X225" s="45"/>
      <c r="Y225" s="45"/>
      <c r="Z225" s="56"/>
    </row>
    <row r="226" spans="1:26">
      <c r="A226" s="7" t="s">
        <v>664</v>
      </c>
      <c r="B226" s="40" t="s">
        <v>665</v>
      </c>
      <c r="C226" s="40" t="s">
        <v>216</v>
      </c>
      <c r="D226" s="40" t="s">
        <v>223</v>
      </c>
      <c r="E226" s="40" t="s">
        <v>73</v>
      </c>
      <c r="F226" s="40" t="s">
        <v>615</v>
      </c>
      <c r="G226" s="183">
        <v>15.826000000000001</v>
      </c>
      <c r="H226" s="54">
        <v>2590</v>
      </c>
      <c r="I226" s="53">
        <v>0</v>
      </c>
      <c r="J226" s="54">
        <v>2590</v>
      </c>
      <c r="K226" s="54">
        <v>40989.340000000004</v>
      </c>
      <c r="M226" s="45"/>
      <c r="N226" s="45"/>
      <c r="O226" s="45"/>
      <c r="P226" s="45"/>
      <c r="Q226" s="45"/>
      <c r="R226" s="45"/>
      <c r="S226" s="45"/>
      <c r="T226" s="45"/>
      <c r="U226" s="45"/>
      <c r="V226" s="45"/>
      <c r="W226" s="45"/>
      <c r="X226" s="45"/>
      <c r="Y226" s="45"/>
      <c r="Z226" s="56"/>
    </row>
    <row r="227" spans="1:26">
      <c r="A227" s="4" t="s">
        <v>666</v>
      </c>
      <c r="B227" s="151" t="s">
        <v>667</v>
      </c>
      <c r="C227" s="151"/>
      <c r="D227" s="151"/>
      <c r="E227" s="151"/>
      <c r="F227" s="151"/>
      <c r="G227" s="152"/>
      <c r="H227" s="153"/>
      <c r="I227" s="154"/>
      <c r="J227" s="153"/>
      <c r="K227" s="172"/>
      <c r="L227" s="70">
        <v>7622826.8914367436</v>
      </c>
      <c r="M227" s="45"/>
      <c r="N227" s="45"/>
      <c r="O227" s="45"/>
      <c r="P227" s="45"/>
      <c r="Q227" s="45"/>
      <c r="R227" s="45"/>
      <c r="S227" s="45"/>
      <c r="T227" s="45"/>
      <c r="U227" s="45"/>
      <c r="V227" s="45"/>
      <c r="W227" s="45"/>
      <c r="X227" s="45"/>
      <c r="Y227" s="45"/>
      <c r="Z227" s="56"/>
    </row>
    <row r="228" spans="1:26">
      <c r="A228" s="6" t="s">
        <v>668</v>
      </c>
      <c r="B228" s="47" t="s">
        <v>669</v>
      </c>
      <c r="C228" s="47" t="s">
        <v>233</v>
      </c>
      <c r="D228" s="47" t="s">
        <v>223</v>
      </c>
      <c r="E228" s="47" t="s">
        <v>73</v>
      </c>
      <c r="F228" s="47" t="s">
        <v>71</v>
      </c>
      <c r="G228" s="42">
        <v>1</v>
      </c>
      <c r="H228" s="461">
        <v>10000</v>
      </c>
      <c r="I228" s="63">
        <v>0</v>
      </c>
      <c r="J228" s="67">
        <v>10000</v>
      </c>
      <c r="K228" s="67">
        <v>10000</v>
      </c>
      <c r="M228" s="45"/>
      <c r="N228" s="45"/>
      <c r="O228" s="45"/>
      <c r="P228" s="45"/>
      <c r="Q228" s="45"/>
      <c r="R228" s="45"/>
      <c r="S228" s="45"/>
      <c r="T228" s="45"/>
      <c r="U228" s="45"/>
      <c r="V228" s="45"/>
      <c r="W228" s="45"/>
      <c r="X228" s="45"/>
      <c r="Y228" s="45"/>
      <c r="Z228" s="56"/>
    </row>
    <row r="229" spans="1:26">
      <c r="A229" s="7" t="s">
        <v>670</v>
      </c>
      <c r="B229" s="40" t="s">
        <v>671</v>
      </c>
      <c r="C229" s="40" t="s">
        <v>216</v>
      </c>
      <c r="D229" s="40" t="s">
        <v>238</v>
      </c>
      <c r="E229" s="40" t="s">
        <v>73</v>
      </c>
      <c r="F229" s="40" t="s">
        <v>71</v>
      </c>
      <c r="G229" s="38">
        <v>1</v>
      </c>
      <c r="H229" s="54">
        <v>15000</v>
      </c>
      <c r="I229" s="53">
        <v>0</v>
      </c>
      <c r="J229" s="54">
        <v>15000</v>
      </c>
      <c r="K229" s="54">
        <v>15000</v>
      </c>
      <c r="M229" s="45"/>
      <c r="N229" s="45"/>
      <c r="O229" s="45"/>
      <c r="P229" s="45"/>
      <c r="Q229" s="45"/>
      <c r="R229" s="45"/>
      <c r="S229" s="45"/>
      <c r="T229" s="45"/>
      <c r="U229" s="45"/>
      <c r="V229" s="45"/>
      <c r="W229" s="45"/>
      <c r="X229" s="45"/>
      <c r="Y229" s="45"/>
      <c r="Z229" s="56"/>
    </row>
    <row r="230" spans="1:26">
      <c r="A230" s="7" t="s">
        <v>672</v>
      </c>
      <c r="B230" s="40" t="s">
        <v>673</v>
      </c>
      <c r="C230" s="40" t="s">
        <v>216</v>
      </c>
      <c r="D230" s="40" t="s">
        <v>223</v>
      </c>
      <c r="E230" s="40" t="s">
        <v>73</v>
      </c>
      <c r="F230" s="40" t="s">
        <v>71</v>
      </c>
      <c r="G230" s="38">
        <v>1</v>
      </c>
      <c r="H230" s="54">
        <v>25000</v>
      </c>
      <c r="I230" s="53">
        <v>0</v>
      </c>
      <c r="J230" s="54">
        <v>25000</v>
      </c>
      <c r="K230" s="54">
        <v>25000</v>
      </c>
      <c r="M230" s="45" t="s">
        <v>654</v>
      </c>
      <c r="N230" s="45"/>
      <c r="O230" s="45"/>
      <c r="P230" s="45"/>
      <c r="Q230" s="45"/>
      <c r="R230" s="45"/>
      <c r="S230" s="45"/>
      <c r="T230" s="45"/>
      <c r="U230" s="45"/>
      <c r="V230" s="45"/>
      <c r="W230" s="45"/>
      <c r="X230" s="45"/>
      <c r="Y230" s="45"/>
      <c r="Z230" s="56"/>
    </row>
    <row r="231" spans="1:26">
      <c r="A231" s="7" t="s">
        <v>674</v>
      </c>
      <c r="B231" s="40" t="s">
        <v>675</v>
      </c>
      <c r="C231" s="40" t="s">
        <v>216</v>
      </c>
      <c r="D231" s="40" t="s">
        <v>223</v>
      </c>
      <c r="E231" s="40" t="s">
        <v>6</v>
      </c>
      <c r="F231" s="40" t="s">
        <v>71</v>
      </c>
      <c r="G231" s="38">
        <v>1</v>
      </c>
      <c r="H231" s="54">
        <v>835764.13949999993</v>
      </c>
      <c r="I231" s="53">
        <v>0</v>
      </c>
      <c r="J231" s="54">
        <v>835764.13949999993</v>
      </c>
      <c r="K231" s="54">
        <v>835764.13949999993</v>
      </c>
      <c r="M231" s="45" t="s">
        <v>654</v>
      </c>
      <c r="N231" s="45"/>
      <c r="O231" s="45"/>
      <c r="P231" s="45"/>
      <c r="Q231" s="45"/>
      <c r="R231" s="45"/>
      <c r="S231" s="45"/>
      <c r="T231" s="45"/>
      <c r="U231" s="45"/>
      <c r="V231" s="45"/>
      <c r="W231" s="45"/>
      <c r="X231" s="45"/>
      <c r="Y231" s="45"/>
      <c r="Z231" s="56"/>
    </row>
    <row r="232" spans="1:26">
      <c r="A232" s="7" t="s">
        <v>676</v>
      </c>
      <c r="B232" s="40" t="s">
        <v>677</v>
      </c>
      <c r="C232" s="40" t="s">
        <v>216</v>
      </c>
      <c r="D232" s="40" t="s">
        <v>223</v>
      </c>
      <c r="E232" s="40" t="s">
        <v>543</v>
      </c>
      <c r="F232" s="40" t="s">
        <v>61</v>
      </c>
      <c r="G232" s="38">
        <v>256408.47</v>
      </c>
      <c r="H232" s="51">
        <v>0.24948059168754505</v>
      </c>
      <c r="I232" s="53">
        <v>0</v>
      </c>
      <c r="J232" s="51">
        <v>0.24948059168754505</v>
      </c>
      <c r="K232" s="54">
        <v>63968.936809298146</v>
      </c>
      <c r="M232" s="45"/>
      <c r="N232" s="45"/>
      <c r="O232" s="45"/>
      <c r="P232" s="45"/>
      <c r="Q232" s="45"/>
      <c r="R232" s="45"/>
      <c r="S232" s="45"/>
      <c r="T232" s="45"/>
      <c r="U232" s="45"/>
      <c r="V232" s="45"/>
      <c r="W232" s="45"/>
      <c r="X232" s="45"/>
      <c r="Y232" s="45"/>
      <c r="Z232" s="56"/>
    </row>
    <row r="233" spans="1:26">
      <c r="A233" s="7" t="s">
        <v>149</v>
      </c>
      <c r="B233" s="40" t="s">
        <v>678</v>
      </c>
      <c r="C233" s="40" t="s">
        <v>216</v>
      </c>
      <c r="D233" s="40" t="s">
        <v>238</v>
      </c>
      <c r="E233" s="40" t="s">
        <v>44</v>
      </c>
      <c r="F233" s="40" t="s">
        <v>148</v>
      </c>
      <c r="G233" s="38">
        <v>9808</v>
      </c>
      <c r="H233" s="51">
        <v>8.5</v>
      </c>
      <c r="I233" s="53">
        <v>0</v>
      </c>
      <c r="J233" s="51">
        <v>8.5</v>
      </c>
      <c r="K233" s="54">
        <v>83368</v>
      </c>
      <c r="M233" s="45"/>
      <c r="N233" s="45"/>
      <c r="O233" s="45"/>
      <c r="P233" s="45"/>
      <c r="Q233" s="45"/>
      <c r="R233" s="45"/>
      <c r="S233" s="45"/>
      <c r="T233" s="45"/>
      <c r="U233" s="45"/>
      <c r="V233" s="45"/>
      <c r="W233" s="45"/>
      <c r="X233" s="45"/>
      <c r="Y233" s="45"/>
      <c r="Z233" s="56"/>
    </row>
    <row r="234" spans="1:26">
      <c r="A234" s="7" t="s">
        <v>679</v>
      </c>
      <c r="B234" s="40" t="s">
        <v>680</v>
      </c>
      <c r="C234" s="40" t="s">
        <v>216</v>
      </c>
      <c r="D234" s="40" t="s">
        <v>242</v>
      </c>
      <c r="E234" s="40" t="s">
        <v>44</v>
      </c>
      <c r="F234" s="40" t="s">
        <v>61</v>
      </c>
      <c r="G234" s="38">
        <v>4638</v>
      </c>
      <c r="H234" s="54">
        <v>10</v>
      </c>
      <c r="I234" s="53">
        <v>0</v>
      </c>
      <c r="J234" s="54">
        <v>10</v>
      </c>
      <c r="K234" s="54">
        <v>46380</v>
      </c>
      <c r="M234" s="45"/>
      <c r="N234" s="45"/>
      <c r="O234" s="45"/>
      <c r="P234" s="45"/>
      <c r="Q234" s="45"/>
      <c r="R234" s="45"/>
      <c r="S234" s="45"/>
      <c r="T234" s="45"/>
      <c r="U234" s="45"/>
      <c r="V234" s="45"/>
      <c r="W234" s="45"/>
      <c r="X234" s="45"/>
      <c r="Y234" s="45"/>
      <c r="Z234" s="56"/>
    </row>
    <row r="235" spans="1:26">
      <c r="A235" s="7" t="s">
        <v>681</v>
      </c>
      <c r="B235" s="40" t="s">
        <v>682</v>
      </c>
      <c r="C235" s="40" t="s">
        <v>216</v>
      </c>
      <c r="D235" s="40" t="s">
        <v>223</v>
      </c>
      <c r="E235" s="40" t="s">
        <v>6</v>
      </c>
      <c r="F235" s="40" t="s">
        <v>71</v>
      </c>
      <c r="G235" s="38">
        <v>1</v>
      </c>
      <c r="H235" s="54">
        <v>105445</v>
      </c>
      <c r="I235" s="53">
        <v>0</v>
      </c>
      <c r="J235" s="54">
        <v>105445</v>
      </c>
      <c r="K235" s="54">
        <v>105445</v>
      </c>
      <c r="M235" s="45" t="s">
        <v>654</v>
      </c>
      <c r="N235" s="45"/>
      <c r="O235" s="45"/>
      <c r="P235" s="45"/>
      <c r="Q235" s="45"/>
      <c r="R235" s="45"/>
      <c r="S235" s="45"/>
      <c r="T235" s="45"/>
      <c r="U235" s="45"/>
      <c r="V235" s="45"/>
      <c r="W235" s="45"/>
      <c r="X235" s="45"/>
      <c r="Y235" s="45"/>
      <c r="Z235" s="56"/>
    </row>
    <row r="236" spans="1:26">
      <c r="A236" s="7" t="s">
        <v>683</v>
      </c>
      <c r="B236" s="40" t="s">
        <v>684</v>
      </c>
      <c r="C236" s="40" t="s">
        <v>216</v>
      </c>
      <c r="D236" s="40" t="s">
        <v>223</v>
      </c>
      <c r="E236" s="40" t="s">
        <v>6</v>
      </c>
      <c r="F236" s="40" t="s">
        <v>71</v>
      </c>
      <c r="G236" s="38">
        <v>1</v>
      </c>
      <c r="H236" s="54">
        <v>199263.6</v>
      </c>
      <c r="I236" s="53">
        <v>0</v>
      </c>
      <c r="J236" s="54">
        <v>199263.6</v>
      </c>
      <c r="K236" s="54">
        <v>199263.6</v>
      </c>
      <c r="M236" s="45" t="s">
        <v>654</v>
      </c>
      <c r="N236" s="45"/>
      <c r="O236" s="45"/>
      <c r="P236" s="45"/>
      <c r="Q236" s="45"/>
      <c r="R236" s="45"/>
      <c r="S236" s="45"/>
      <c r="T236" s="45"/>
      <c r="U236" s="45"/>
      <c r="V236" s="45"/>
      <c r="W236" s="45"/>
      <c r="X236" s="45"/>
      <c r="Y236" s="45"/>
      <c r="Z236" s="56"/>
    </row>
    <row r="237" spans="1:26">
      <c r="A237" s="52" t="s">
        <v>685</v>
      </c>
      <c r="B237" s="40" t="s">
        <v>686</v>
      </c>
      <c r="C237" s="40" t="s">
        <v>216</v>
      </c>
      <c r="D237" s="40" t="s">
        <v>223</v>
      </c>
      <c r="E237" s="40" t="s">
        <v>6</v>
      </c>
      <c r="F237" s="40" t="s">
        <v>71</v>
      </c>
      <c r="G237" s="38">
        <v>1</v>
      </c>
      <c r="H237" s="54">
        <v>312701</v>
      </c>
      <c r="I237" s="53">
        <v>0</v>
      </c>
      <c r="J237" s="54">
        <v>312701</v>
      </c>
      <c r="K237" s="54">
        <v>312701</v>
      </c>
      <c r="M237" s="45" t="s">
        <v>654</v>
      </c>
      <c r="N237" s="45"/>
      <c r="O237" s="45"/>
      <c r="P237" s="45"/>
      <c r="Q237" s="45"/>
      <c r="R237" s="45"/>
      <c r="S237" s="45"/>
      <c r="T237" s="45"/>
      <c r="U237" s="45"/>
      <c r="V237" s="45"/>
      <c r="W237" s="45"/>
      <c r="X237" s="45"/>
      <c r="Y237" s="45"/>
      <c r="Z237" s="56"/>
    </row>
    <row r="238" spans="1:26">
      <c r="A238" s="7" t="s">
        <v>687</v>
      </c>
      <c r="B238" s="40" t="s">
        <v>688</v>
      </c>
      <c r="C238" s="40" t="s">
        <v>216</v>
      </c>
      <c r="D238" s="40" t="s">
        <v>238</v>
      </c>
      <c r="E238" s="40" t="s">
        <v>231</v>
      </c>
      <c r="F238" s="40"/>
      <c r="G238" s="38"/>
      <c r="H238" s="51"/>
      <c r="I238" s="53">
        <v>0</v>
      </c>
      <c r="J238" s="54">
        <v>0</v>
      </c>
      <c r="K238" s="54">
        <v>0</v>
      </c>
      <c r="M238" s="45"/>
      <c r="N238" s="45"/>
      <c r="O238" s="45"/>
      <c r="P238" s="45"/>
      <c r="Q238" s="45"/>
      <c r="R238" s="45"/>
      <c r="S238" s="45"/>
      <c r="T238" s="45"/>
      <c r="U238" s="45"/>
      <c r="V238" s="45"/>
      <c r="W238" s="45"/>
      <c r="X238" s="45"/>
      <c r="Y238" s="45"/>
      <c r="Z238" s="56"/>
    </row>
    <row r="239" spans="1:26" ht="14.25" customHeight="1">
      <c r="A239" s="7" t="s">
        <v>689</v>
      </c>
      <c r="B239" s="40" t="s">
        <v>690</v>
      </c>
      <c r="C239" s="40" t="s">
        <v>216</v>
      </c>
      <c r="D239" s="40" t="s">
        <v>242</v>
      </c>
      <c r="E239" s="40" t="s">
        <v>73</v>
      </c>
      <c r="F239" s="40" t="s">
        <v>71</v>
      </c>
      <c r="G239" s="38">
        <v>1</v>
      </c>
      <c r="H239" s="54">
        <v>10000</v>
      </c>
      <c r="I239" s="53">
        <v>0</v>
      </c>
      <c r="J239" s="54">
        <v>10000</v>
      </c>
      <c r="K239" s="54">
        <v>10000</v>
      </c>
      <c r="M239" s="45"/>
      <c r="N239" s="45"/>
      <c r="O239" s="45"/>
      <c r="P239" s="45"/>
      <c r="Q239" s="45"/>
      <c r="R239" s="45"/>
      <c r="S239" s="45"/>
      <c r="T239" s="45"/>
      <c r="U239" s="45"/>
      <c r="V239" s="45"/>
      <c r="W239" s="45"/>
      <c r="X239" s="45"/>
      <c r="Y239" s="45"/>
      <c r="Z239" s="56"/>
    </row>
    <row r="240" spans="1:26">
      <c r="A240" s="7" t="s">
        <v>691</v>
      </c>
      <c r="B240" s="40" t="s">
        <v>692</v>
      </c>
      <c r="C240" s="40" t="s">
        <v>216</v>
      </c>
      <c r="D240" s="40" t="s">
        <v>223</v>
      </c>
      <c r="E240" s="40" t="s">
        <v>543</v>
      </c>
      <c r="F240" s="40" t="s">
        <v>61</v>
      </c>
      <c r="G240" s="38">
        <v>256408.47</v>
      </c>
      <c r="H240" s="51">
        <v>0.19021862237018225</v>
      </c>
      <c r="I240" s="53">
        <v>0</v>
      </c>
      <c r="J240" s="51">
        <v>0.19021862237018225</v>
      </c>
      <c r="K240" s="54">
        <v>48773.665927446207</v>
      </c>
      <c r="M240" s="45"/>
      <c r="N240" s="45"/>
      <c r="O240" s="45"/>
      <c r="P240" s="45"/>
      <c r="Q240" s="45"/>
      <c r="R240" s="45"/>
      <c r="S240" s="45"/>
      <c r="T240" s="45"/>
      <c r="U240" s="45"/>
      <c r="V240" s="45"/>
      <c r="W240" s="45"/>
      <c r="X240" s="45"/>
      <c r="Y240" s="45"/>
      <c r="Z240" s="56"/>
    </row>
    <row r="241" spans="1:26">
      <c r="A241" s="7" t="s">
        <v>693</v>
      </c>
      <c r="B241" s="40" t="s">
        <v>694</v>
      </c>
      <c r="C241" s="40" t="s">
        <v>216</v>
      </c>
      <c r="D241" s="40" t="s">
        <v>223</v>
      </c>
      <c r="E241" s="40" t="s">
        <v>6</v>
      </c>
      <c r="F241" s="40" t="s">
        <v>71</v>
      </c>
      <c r="G241" s="38">
        <v>1</v>
      </c>
      <c r="H241" s="54">
        <v>159878</v>
      </c>
      <c r="I241" s="53">
        <v>0</v>
      </c>
      <c r="J241" s="54">
        <v>159878</v>
      </c>
      <c r="K241" s="54">
        <v>159878</v>
      </c>
      <c r="M241" s="45" t="s">
        <v>695</v>
      </c>
      <c r="N241" s="45"/>
      <c r="O241" s="45"/>
      <c r="P241" s="45"/>
      <c r="Q241" s="45"/>
      <c r="R241" s="45"/>
      <c r="S241" s="45"/>
      <c r="T241" s="45"/>
      <c r="U241" s="45"/>
      <c r="V241" s="45"/>
      <c r="W241" s="45"/>
      <c r="X241" s="45"/>
      <c r="Y241" s="45"/>
      <c r="Z241" s="56"/>
    </row>
    <row r="242" spans="1:26">
      <c r="A242" s="7" t="s">
        <v>696</v>
      </c>
      <c r="B242" s="40" t="s">
        <v>697</v>
      </c>
      <c r="C242" s="40" t="s">
        <v>216</v>
      </c>
      <c r="D242" s="40" t="s">
        <v>238</v>
      </c>
      <c r="E242" s="40" t="s">
        <v>6</v>
      </c>
      <c r="F242" s="40" t="s">
        <v>108</v>
      </c>
      <c r="G242" s="38">
        <v>14</v>
      </c>
      <c r="H242" s="54">
        <v>2500</v>
      </c>
      <c r="I242" s="53">
        <v>0</v>
      </c>
      <c r="J242" s="54">
        <v>2500</v>
      </c>
      <c r="K242" s="54">
        <v>35000</v>
      </c>
      <c r="M242" s="45"/>
      <c r="N242" s="45"/>
      <c r="O242" s="45"/>
      <c r="P242" s="45"/>
      <c r="Q242" s="45"/>
      <c r="R242" s="45"/>
      <c r="S242" s="45"/>
      <c r="T242" s="45"/>
      <c r="U242" s="45"/>
      <c r="V242" s="45"/>
      <c r="W242" s="45"/>
      <c r="X242" s="45"/>
      <c r="Y242" s="45"/>
      <c r="Z242" s="56"/>
    </row>
    <row r="243" spans="1:26">
      <c r="A243" s="7" t="s">
        <v>698</v>
      </c>
      <c r="B243" s="40" t="s">
        <v>699</v>
      </c>
      <c r="C243" s="40" t="s">
        <v>283</v>
      </c>
      <c r="D243" s="40" t="s">
        <v>238</v>
      </c>
      <c r="E243" s="40" t="s">
        <v>6</v>
      </c>
      <c r="F243" s="40" t="s">
        <v>71</v>
      </c>
      <c r="G243" s="38">
        <v>1</v>
      </c>
      <c r="H243" s="54">
        <v>20000</v>
      </c>
      <c r="I243" s="53">
        <v>0</v>
      </c>
      <c r="J243" s="54">
        <v>20000</v>
      </c>
      <c r="K243" s="54">
        <v>20000</v>
      </c>
      <c r="M243" s="45"/>
      <c r="N243" s="45"/>
      <c r="O243" s="45"/>
      <c r="P243" s="45"/>
      <c r="Q243" s="45"/>
      <c r="R243" s="45"/>
      <c r="S243" s="45"/>
      <c r="T243" s="45"/>
      <c r="U243" s="45"/>
      <c r="V243" s="45"/>
      <c r="W243" s="45"/>
      <c r="X243" s="45"/>
      <c r="Y243" s="45"/>
      <c r="Z243" s="56"/>
    </row>
    <row r="244" spans="1:26">
      <c r="A244" s="7" t="s">
        <v>700</v>
      </c>
      <c r="B244" s="40" t="s">
        <v>701</v>
      </c>
      <c r="C244" s="40" t="s">
        <v>216</v>
      </c>
      <c r="D244" s="40" t="s">
        <v>223</v>
      </c>
      <c r="E244" s="40" t="s">
        <v>44</v>
      </c>
      <c r="F244" s="40" t="s">
        <v>148</v>
      </c>
      <c r="G244" s="38">
        <v>350</v>
      </c>
      <c r="H244" s="54">
        <v>72</v>
      </c>
      <c r="I244" s="53">
        <v>0</v>
      </c>
      <c r="J244" s="54">
        <v>72</v>
      </c>
      <c r="K244" s="54">
        <v>25200</v>
      </c>
      <c r="M244" s="45" t="s">
        <v>702</v>
      </c>
      <c r="N244" s="45"/>
      <c r="O244" s="45"/>
      <c r="P244" s="45"/>
      <c r="Q244" s="45"/>
      <c r="R244" s="45"/>
      <c r="S244" s="45"/>
      <c r="T244" s="45"/>
      <c r="U244" s="45"/>
      <c r="V244" s="45"/>
      <c r="W244" s="45"/>
      <c r="X244" s="45"/>
      <c r="Y244" s="45"/>
      <c r="Z244" s="56"/>
    </row>
    <row r="245" spans="1:26">
      <c r="A245" s="7" t="s">
        <v>161</v>
      </c>
      <c r="B245" s="40" t="s">
        <v>703</v>
      </c>
      <c r="C245" s="40" t="s">
        <v>216</v>
      </c>
      <c r="D245" s="40" t="s">
        <v>242</v>
      </c>
      <c r="E245" s="40" t="s">
        <v>6</v>
      </c>
      <c r="F245" s="40" t="s">
        <v>148</v>
      </c>
      <c r="G245" s="38">
        <v>400</v>
      </c>
      <c r="H245" s="54">
        <v>80</v>
      </c>
      <c r="I245" s="53">
        <v>0</v>
      </c>
      <c r="J245" s="54">
        <v>80</v>
      </c>
      <c r="K245" s="54">
        <v>32000</v>
      </c>
      <c r="M245" s="45"/>
      <c r="N245" s="45"/>
      <c r="O245" s="45"/>
      <c r="P245" s="45"/>
      <c r="Q245" s="45"/>
      <c r="R245" s="45"/>
      <c r="S245" s="45"/>
      <c r="T245" s="45"/>
      <c r="U245" s="45"/>
      <c r="V245" s="45"/>
      <c r="W245" s="45"/>
      <c r="X245" s="45"/>
      <c r="Y245" s="45"/>
      <c r="Z245" s="56"/>
    </row>
    <row r="246" spans="1:26">
      <c r="A246" s="7" t="s">
        <v>704</v>
      </c>
      <c r="B246" s="40" t="s">
        <v>703</v>
      </c>
      <c r="C246" s="40" t="s">
        <v>216</v>
      </c>
      <c r="D246" s="40" t="s">
        <v>242</v>
      </c>
      <c r="E246" s="40" t="s">
        <v>6</v>
      </c>
      <c r="F246" s="40" t="s">
        <v>108</v>
      </c>
      <c r="G246" s="38">
        <v>2</v>
      </c>
      <c r="H246" s="54">
        <v>1950</v>
      </c>
      <c r="I246" s="53">
        <v>0</v>
      </c>
      <c r="J246" s="54">
        <v>1950</v>
      </c>
      <c r="K246" s="54">
        <v>3900</v>
      </c>
      <c r="M246" s="45"/>
      <c r="N246" s="45"/>
      <c r="O246" s="45"/>
      <c r="P246" s="45"/>
      <c r="Q246" s="45"/>
      <c r="R246" s="45"/>
      <c r="S246" s="45"/>
      <c r="T246" s="45"/>
      <c r="U246" s="45"/>
      <c r="V246" s="45"/>
      <c r="W246" s="45"/>
      <c r="X246" s="45"/>
      <c r="Y246" s="45"/>
      <c r="Z246" s="56"/>
    </row>
    <row r="247" spans="1:26">
      <c r="A247" s="7" t="s">
        <v>705</v>
      </c>
      <c r="B247" s="40" t="s">
        <v>706</v>
      </c>
      <c r="C247" s="40" t="s">
        <v>216</v>
      </c>
      <c r="D247" s="40" t="s">
        <v>223</v>
      </c>
      <c r="E247" s="40" t="s">
        <v>71</v>
      </c>
      <c r="F247" s="40" t="s">
        <v>108</v>
      </c>
      <c r="G247" s="38">
        <v>2</v>
      </c>
      <c r="H247" s="54">
        <v>96000</v>
      </c>
      <c r="I247" s="53">
        <v>0</v>
      </c>
      <c r="J247" s="54">
        <v>96000</v>
      </c>
      <c r="K247" s="54">
        <v>192000</v>
      </c>
      <c r="M247" s="45"/>
      <c r="N247" s="45"/>
      <c r="O247" s="45"/>
      <c r="P247" s="45"/>
      <c r="Q247" s="45"/>
      <c r="R247" s="45"/>
      <c r="S247" s="45"/>
      <c r="T247" s="45"/>
      <c r="U247" s="45"/>
      <c r="V247" s="45"/>
      <c r="W247" s="45"/>
      <c r="X247" s="45"/>
      <c r="Y247" s="45"/>
      <c r="Z247" s="56"/>
    </row>
    <row r="248" spans="1:26">
      <c r="A248" s="7" t="s">
        <v>707</v>
      </c>
      <c r="B248" s="40" t="s">
        <v>708</v>
      </c>
      <c r="C248" s="40" t="s">
        <v>216</v>
      </c>
      <c r="D248" s="40" t="s">
        <v>223</v>
      </c>
      <c r="E248" s="40" t="s">
        <v>71</v>
      </c>
      <c r="F248" s="40" t="s">
        <v>108</v>
      </c>
      <c r="G248" s="38">
        <v>2</v>
      </c>
      <c r="H248" s="54">
        <v>4500</v>
      </c>
      <c r="I248" s="53">
        <v>0</v>
      </c>
      <c r="J248" s="54">
        <v>4500</v>
      </c>
      <c r="K248" s="54">
        <v>9000</v>
      </c>
      <c r="M248" s="45"/>
      <c r="N248" s="45"/>
      <c r="O248" s="45"/>
      <c r="P248" s="45"/>
      <c r="Q248" s="45"/>
      <c r="R248" s="45"/>
      <c r="S248" s="45"/>
      <c r="T248" s="45"/>
      <c r="U248" s="45"/>
      <c r="V248" s="45"/>
      <c r="W248" s="45"/>
      <c r="X248" s="45"/>
      <c r="Y248" s="45"/>
      <c r="Z248" s="56"/>
    </row>
    <row r="249" spans="1:26">
      <c r="A249" s="7" t="s">
        <v>709</v>
      </c>
      <c r="B249" s="40" t="s">
        <v>710</v>
      </c>
      <c r="C249" s="40" t="s">
        <v>216</v>
      </c>
      <c r="D249" s="40" t="s">
        <v>223</v>
      </c>
      <c r="E249" s="40" t="s">
        <v>73</v>
      </c>
      <c r="F249" s="47" t="s">
        <v>88</v>
      </c>
      <c r="G249" s="42">
        <v>390</v>
      </c>
      <c r="H249" s="54">
        <v>50</v>
      </c>
      <c r="I249" s="53">
        <v>0</v>
      </c>
      <c r="J249" s="54">
        <v>50</v>
      </c>
      <c r="K249" s="54">
        <v>19500</v>
      </c>
      <c r="M249" s="45"/>
      <c r="N249" s="45"/>
      <c r="O249" s="45"/>
      <c r="P249" s="45"/>
      <c r="Q249" s="45"/>
      <c r="R249" s="45"/>
      <c r="S249" s="45"/>
      <c r="T249" s="45"/>
      <c r="U249" s="45"/>
      <c r="V249" s="45"/>
      <c r="W249" s="45"/>
      <c r="X249" s="45"/>
      <c r="Y249" s="45"/>
      <c r="Z249" s="56"/>
    </row>
    <row r="250" spans="1:26">
      <c r="A250" s="7" t="s">
        <v>711</v>
      </c>
      <c r="B250" s="40" t="s">
        <v>712</v>
      </c>
      <c r="C250" s="40" t="s">
        <v>216</v>
      </c>
      <c r="D250" s="40" t="s">
        <v>223</v>
      </c>
      <c r="E250" s="40" t="s">
        <v>6</v>
      </c>
      <c r="F250" s="40" t="s">
        <v>108</v>
      </c>
      <c r="G250" s="38">
        <v>2</v>
      </c>
      <c r="H250" s="54">
        <v>1950</v>
      </c>
      <c r="I250" s="53">
        <v>0</v>
      </c>
      <c r="J250" s="54">
        <v>1950</v>
      </c>
      <c r="K250" s="54">
        <v>3900</v>
      </c>
      <c r="M250" s="45"/>
      <c r="N250" s="45"/>
      <c r="O250" s="45"/>
      <c r="P250" s="45"/>
      <c r="Q250" s="45"/>
      <c r="R250" s="45"/>
      <c r="S250" s="45"/>
      <c r="T250" s="45"/>
      <c r="U250" s="45"/>
      <c r="V250" s="45"/>
      <c r="W250" s="45"/>
      <c r="X250" s="45"/>
      <c r="Y250" s="45"/>
      <c r="Z250" s="56"/>
    </row>
    <row r="251" spans="1:26">
      <c r="A251" s="7" t="s">
        <v>713</v>
      </c>
      <c r="B251" s="40" t="s">
        <v>714</v>
      </c>
      <c r="C251" s="40" t="s">
        <v>216</v>
      </c>
      <c r="D251" s="40" t="s">
        <v>223</v>
      </c>
      <c r="E251" s="40" t="s">
        <v>73</v>
      </c>
      <c r="F251" s="40" t="s">
        <v>615</v>
      </c>
      <c r="G251" s="183">
        <v>15.826000000000001</v>
      </c>
      <c r="H251" s="54">
        <v>5000</v>
      </c>
      <c r="I251" s="53">
        <v>0</v>
      </c>
      <c r="J251" s="54">
        <v>5000</v>
      </c>
      <c r="K251" s="54">
        <v>79130</v>
      </c>
      <c r="M251" s="45"/>
      <c r="N251" s="45"/>
      <c r="O251" s="45"/>
      <c r="P251" s="45"/>
      <c r="Q251" s="45"/>
      <c r="R251" s="45"/>
      <c r="S251" s="45"/>
      <c r="T251" s="45"/>
      <c r="U251" s="45"/>
      <c r="V251" s="45"/>
      <c r="W251" s="45"/>
      <c r="X251" s="45"/>
      <c r="Y251" s="45"/>
      <c r="Z251" s="56"/>
    </row>
    <row r="252" spans="1:26">
      <c r="A252" s="7" t="s">
        <v>715</v>
      </c>
      <c r="B252" s="40" t="s">
        <v>716</v>
      </c>
      <c r="C252" s="40" t="s">
        <v>216</v>
      </c>
      <c r="D252" s="40" t="s">
        <v>223</v>
      </c>
      <c r="E252" s="40" t="s">
        <v>6</v>
      </c>
      <c r="F252" s="40" t="s">
        <v>71</v>
      </c>
      <c r="G252" s="38">
        <v>1</v>
      </c>
      <c r="H252" s="54">
        <v>319393</v>
      </c>
      <c r="I252" s="53">
        <v>0</v>
      </c>
      <c r="J252" s="54">
        <v>319393</v>
      </c>
      <c r="K252" s="54">
        <v>319393</v>
      </c>
      <c r="M252" s="45" t="s">
        <v>717</v>
      </c>
      <c r="N252" s="45"/>
      <c r="O252" s="45"/>
      <c r="P252" s="45"/>
      <c r="Q252" s="45"/>
      <c r="R252" s="45"/>
      <c r="S252" s="45"/>
      <c r="T252" s="45"/>
      <c r="U252" s="45"/>
      <c r="V252" s="45"/>
      <c r="W252" s="45"/>
      <c r="X252" s="45"/>
      <c r="Y252" s="45"/>
      <c r="Z252" s="56"/>
    </row>
    <row r="253" spans="1:26">
      <c r="A253" s="7" t="s">
        <v>718</v>
      </c>
      <c r="B253" s="40" t="s">
        <v>719</v>
      </c>
      <c r="C253" s="40" t="s">
        <v>216</v>
      </c>
      <c r="D253" s="40" t="s">
        <v>223</v>
      </c>
      <c r="E253" s="40" t="s">
        <v>369</v>
      </c>
      <c r="F253" s="40" t="s">
        <v>71</v>
      </c>
      <c r="G253" s="38">
        <v>1</v>
      </c>
      <c r="H253" s="54">
        <v>0</v>
      </c>
      <c r="I253" s="53">
        <v>0</v>
      </c>
      <c r="J253" s="54">
        <v>0</v>
      </c>
      <c r="K253" s="54">
        <v>0</v>
      </c>
      <c r="M253" s="45" t="s">
        <v>654</v>
      </c>
      <c r="N253" s="45"/>
      <c r="O253" s="45"/>
      <c r="P253" s="45"/>
      <c r="Q253" s="45"/>
      <c r="R253" s="45"/>
      <c r="S253" s="45"/>
      <c r="T253" s="45"/>
      <c r="U253" s="45"/>
      <c r="V253" s="45"/>
      <c r="W253" s="45"/>
      <c r="X253" s="45"/>
      <c r="Y253" s="45"/>
      <c r="Z253" s="56"/>
    </row>
    <row r="254" spans="1:26">
      <c r="A254" s="7" t="s">
        <v>720</v>
      </c>
      <c r="B254" s="40" t="s">
        <v>721</v>
      </c>
      <c r="C254" s="40" t="s">
        <v>216</v>
      </c>
      <c r="D254" s="40" t="s">
        <v>223</v>
      </c>
      <c r="E254" s="40" t="s">
        <v>73</v>
      </c>
      <c r="F254" s="40" t="s">
        <v>71</v>
      </c>
      <c r="G254" s="38">
        <v>1</v>
      </c>
      <c r="H254" s="54">
        <v>114584</v>
      </c>
      <c r="I254" s="53">
        <v>0</v>
      </c>
      <c r="J254" s="54">
        <v>114584</v>
      </c>
      <c r="K254" s="54">
        <v>114584</v>
      </c>
      <c r="M254" s="45"/>
      <c r="N254" s="45"/>
      <c r="O254" s="45"/>
      <c r="P254" s="45"/>
      <c r="Q254" s="45"/>
      <c r="R254" s="45"/>
      <c r="S254" s="45"/>
      <c r="T254" s="45"/>
      <c r="U254" s="45"/>
      <c r="V254" s="45"/>
      <c r="W254" s="45"/>
      <c r="X254" s="45"/>
      <c r="Y254" s="45"/>
      <c r="Z254" s="56"/>
    </row>
    <row r="255" spans="1:26">
      <c r="A255" s="7" t="s">
        <v>722</v>
      </c>
      <c r="B255" s="40" t="s">
        <v>723</v>
      </c>
      <c r="C255" s="40" t="s">
        <v>283</v>
      </c>
      <c r="D255" s="40" t="s">
        <v>242</v>
      </c>
      <c r="E255" s="40" t="s">
        <v>73</v>
      </c>
      <c r="F255" s="40" t="s">
        <v>71</v>
      </c>
      <c r="G255" s="38">
        <v>2</v>
      </c>
      <c r="H255" s="54">
        <v>30000</v>
      </c>
      <c r="I255" s="53">
        <v>0</v>
      </c>
      <c r="J255" s="54">
        <v>30000</v>
      </c>
      <c r="K255" s="54">
        <v>60000</v>
      </c>
      <c r="M255" s="45"/>
      <c r="N255" s="45"/>
      <c r="O255" s="45"/>
      <c r="P255" s="45"/>
      <c r="Q255" s="45"/>
      <c r="R255" s="45"/>
      <c r="S255" s="45"/>
      <c r="T255" s="45"/>
      <c r="U255" s="45"/>
      <c r="V255" s="45"/>
      <c r="W255" s="45"/>
      <c r="X255" s="45"/>
      <c r="Y255" s="45"/>
      <c r="Z255" s="56"/>
    </row>
    <row r="256" spans="1:26">
      <c r="A256" s="7" t="s">
        <v>724</v>
      </c>
      <c r="B256" s="40" t="s">
        <v>725</v>
      </c>
      <c r="C256" s="40" t="s">
        <v>283</v>
      </c>
      <c r="D256" s="40" t="s">
        <v>228</v>
      </c>
      <c r="E256" s="40" t="s">
        <v>73</v>
      </c>
      <c r="F256" s="40" t="s">
        <v>71</v>
      </c>
      <c r="G256" s="38">
        <v>1</v>
      </c>
      <c r="H256" s="54">
        <v>7000</v>
      </c>
      <c r="I256" s="53">
        <v>0</v>
      </c>
      <c r="J256" s="54">
        <v>7000</v>
      </c>
      <c r="K256" s="54">
        <v>7000</v>
      </c>
      <c r="M256" s="45"/>
      <c r="N256" s="45"/>
      <c r="O256" s="45"/>
      <c r="P256" s="45"/>
      <c r="Q256" s="45"/>
      <c r="R256" s="45"/>
      <c r="S256" s="45"/>
      <c r="T256" s="45"/>
      <c r="U256" s="45"/>
      <c r="V256" s="45"/>
      <c r="W256" s="45"/>
      <c r="X256" s="45"/>
      <c r="Y256" s="45"/>
      <c r="Z256" s="56"/>
    </row>
    <row r="257" spans="1:60" s="781" customFormat="1">
      <c r="A257" s="7" t="s">
        <v>726</v>
      </c>
      <c r="B257" s="40" t="s">
        <v>727</v>
      </c>
      <c r="C257" s="40" t="s">
        <v>216</v>
      </c>
      <c r="D257" s="40" t="s">
        <v>223</v>
      </c>
      <c r="E257" s="40" t="s">
        <v>44</v>
      </c>
      <c r="F257" s="40" t="s">
        <v>61</v>
      </c>
      <c r="G257" s="666">
        <v>304972.92</v>
      </c>
      <c r="H257" s="50">
        <v>12.01</v>
      </c>
      <c r="I257" s="53">
        <v>0</v>
      </c>
      <c r="J257" s="51">
        <v>12.01</v>
      </c>
      <c r="K257" s="54">
        <v>3662724.7691999995</v>
      </c>
      <c r="M257" s="45" t="s">
        <v>728</v>
      </c>
      <c r="N257" s="782"/>
      <c r="O257" s="782"/>
      <c r="P257" s="782"/>
      <c r="Q257" s="782"/>
      <c r="R257" s="782"/>
      <c r="S257" s="782"/>
      <c r="T257" s="782"/>
      <c r="U257" s="782"/>
      <c r="V257" s="782"/>
      <c r="W257" s="782"/>
      <c r="X257" s="782"/>
      <c r="Y257" s="782"/>
      <c r="Z257" s="783"/>
      <c r="BG257" s="783"/>
      <c r="BH257" s="783"/>
    </row>
    <row r="258" spans="1:60">
      <c r="A258" s="7" t="s">
        <v>729</v>
      </c>
      <c r="B258" s="40" t="s">
        <v>727</v>
      </c>
      <c r="C258" s="40" t="s">
        <v>216</v>
      </c>
      <c r="D258" s="40" t="s">
        <v>223</v>
      </c>
      <c r="E258" s="40" t="s">
        <v>73</v>
      </c>
      <c r="F258" s="40" t="s">
        <v>71</v>
      </c>
      <c r="G258" s="38">
        <v>1</v>
      </c>
      <c r="H258" s="54">
        <v>10000</v>
      </c>
      <c r="I258" s="53">
        <v>0</v>
      </c>
      <c r="J258" s="54">
        <v>10000</v>
      </c>
      <c r="K258" s="54">
        <v>10000</v>
      </c>
      <c r="M258" s="45"/>
      <c r="N258" s="45"/>
      <c r="O258" s="45"/>
      <c r="P258" s="45"/>
      <c r="Q258" s="45"/>
      <c r="R258" s="45"/>
      <c r="S258" s="45"/>
      <c r="T258" s="45"/>
      <c r="U258" s="45"/>
      <c r="V258" s="45"/>
      <c r="W258" s="45"/>
      <c r="X258" s="45"/>
      <c r="Y258" s="45"/>
      <c r="Z258" s="56"/>
    </row>
    <row r="259" spans="1:60">
      <c r="A259" s="7" t="s">
        <v>730</v>
      </c>
      <c r="B259" s="40" t="s">
        <v>731</v>
      </c>
      <c r="C259" s="40" t="s">
        <v>216</v>
      </c>
      <c r="D259" s="40" t="s">
        <v>223</v>
      </c>
      <c r="E259" s="40" t="s">
        <v>326</v>
      </c>
      <c r="F259" s="40" t="s">
        <v>71</v>
      </c>
      <c r="G259" s="38">
        <v>0</v>
      </c>
      <c r="H259" s="54">
        <v>39687</v>
      </c>
      <c r="I259" s="53">
        <v>0</v>
      </c>
      <c r="J259" s="54">
        <v>39687</v>
      </c>
      <c r="K259" s="54">
        <v>0</v>
      </c>
      <c r="M259" s="45"/>
      <c r="N259" s="45"/>
      <c r="O259" s="45"/>
      <c r="P259" s="45"/>
      <c r="Q259" s="45"/>
      <c r="R259" s="45"/>
      <c r="S259" s="45"/>
      <c r="T259" s="45"/>
      <c r="U259" s="45"/>
      <c r="V259" s="45"/>
      <c r="W259" s="45"/>
      <c r="X259" s="45"/>
      <c r="Y259" s="45"/>
      <c r="Z259" s="56"/>
    </row>
    <row r="260" spans="1:60">
      <c r="A260" s="7" t="s">
        <v>732</v>
      </c>
      <c r="B260" s="40" t="s">
        <v>673</v>
      </c>
      <c r="C260" s="40" t="s">
        <v>216</v>
      </c>
      <c r="D260" s="40" t="s">
        <v>481</v>
      </c>
      <c r="E260" s="40" t="s">
        <v>733</v>
      </c>
      <c r="F260" s="40" t="s">
        <v>71</v>
      </c>
      <c r="G260" s="38">
        <v>1</v>
      </c>
      <c r="H260" s="54">
        <v>25000</v>
      </c>
      <c r="I260" s="53">
        <v>0</v>
      </c>
      <c r="J260" s="54">
        <v>25000</v>
      </c>
      <c r="K260" s="54">
        <v>25000</v>
      </c>
      <c r="M260" s="45"/>
      <c r="N260" s="45"/>
      <c r="O260" s="45"/>
      <c r="P260" s="45"/>
      <c r="Q260" s="45"/>
      <c r="R260" s="45"/>
      <c r="S260" s="45"/>
      <c r="T260" s="45"/>
      <c r="U260" s="45"/>
      <c r="V260" s="45"/>
      <c r="W260" s="45"/>
      <c r="X260" s="45"/>
      <c r="Y260" s="45"/>
      <c r="Z260" s="56"/>
    </row>
    <row r="261" spans="1:60">
      <c r="A261" s="7" t="s">
        <v>734</v>
      </c>
      <c r="B261" s="40" t="s">
        <v>675</v>
      </c>
      <c r="C261" s="40" t="s">
        <v>216</v>
      </c>
      <c r="D261" s="40" t="s">
        <v>481</v>
      </c>
      <c r="E261" s="40" t="s">
        <v>6</v>
      </c>
      <c r="F261" s="40" t="s">
        <v>71</v>
      </c>
      <c r="G261" s="38">
        <v>1</v>
      </c>
      <c r="H261" s="54">
        <v>795028.78</v>
      </c>
      <c r="I261" s="53">
        <v>0</v>
      </c>
      <c r="J261" s="54">
        <v>795028.78</v>
      </c>
      <c r="K261" s="54">
        <v>795028.78</v>
      </c>
      <c r="M261" s="45" t="s">
        <v>735</v>
      </c>
      <c r="N261" s="45"/>
      <c r="O261" s="45"/>
      <c r="P261" s="45"/>
      <c r="Q261" s="45"/>
      <c r="R261" s="45"/>
      <c r="S261" s="45"/>
      <c r="T261" s="45"/>
      <c r="U261" s="45"/>
      <c r="V261" s="45"/>
      <c r="W261" s="45"/>
      <c r="X261" s="45"/>
      <c r="Y261" s="45"/>
      <c r="Z261" s="56"/>
    </row>
    <row r="262" spans="1:60">
      <c r="A262" s="7" t="s">
        <v>736</v>
      </c>
      <c r="B262" s="40" t="s">
        <v>682</v>
      </c>
      <c r="C262" s="40" t="s">
        <v>216</v>
      </c>
      <c r="D262" s="40" t="s">
        <v>481</v>
      </c>
      <c r="E262" s="40" t="s">
        <v>6</v>
      </c>
      <c r="F262" s="40" t="s">
        <v>71</v>
      </c>
      <c r="G262" s="38">
        <v>1</v>
      </c>
      <c r="H262" s="54">
        <v>139232</v>
      </c>
      <c r="I262" s="53">
        <v>0</v>
      </c>
      <c r="J262" s="54">
        <v>139232</v>
      </c>
      <c r="K262" s="54">
        <v>139232</v>
      </c>
      <c r="M262" s="45"/>
      <c r="N262" s="45"/>
      <c r="O262" s="45"/>
      <c r="P262" s="45"/>
      <c r="Q262" s="45"/>
      <c r="R262" s="45"/>
      <c r="S262" s="45"/>
      <c r="T262" s="45"/>
      <c r="U262" s="45"/>
      <c r="V262" s="45"/>
      <c r="W262" s="45"/>
      <c r="X262" s="45"/>
      <c r="Y262" s="45"/>
      <c r="Z262" s="56"/>
    </row>
    <row r="263" spans="1:60">
      <c r="A263" s="7" t="s">
        <v>737</v>
      </c>
      <c r="B263" s="40" t="s">
        <v>686</v>
      </c>
      <c r="C263" s="40" t="s">
        <v>216</v>
      </c>
      <c r="D263" s="40" t="s">
        <v>481</v>
      </c>
      <c r="E263" s="40" t="s">
        <v>6</v>
      </c>
      <c r="F263" s="40" t="s">
        <v>71</v>
      </c>
      <c r="G263" s="38">
        <v>1</v>
      </c>
      <c r="H263" s="54">
        <v>154692</v>
      </c>
      <c r="I263" s="53">
        <v>0</v>
      </c>
      <c r="J263" s="54">
        <v>154692</v>
      </c>
      <c r="K263" s="54">
        <v>154692</v>
      </c>
      <c r="M263" s="45"/>
      <c r="N263" s="45"/>
      <c r="O263" s="45"/>
      <c r="P263" s="45"/>
      <c r="Q263" s="45"/>
      <c r="R263" s="45"/>
      <c r="S263" s="45"/>
      <c r="T263" s="45"/>
      <c r="U263" s="45"/>
      <c r="V263" s="45"/>
      <c r="W263" s="45"/>
      <c r="X263" s="45"/>
      <c r="Y263" s="45"/>
      <c r="Z263" s="56"/>
    </row>
    <row r="264" spans="1:60">
      <c r="A264" s="4" t="s">
        <v>738</v>
      </c>
      <c r="B264" s="151" t="s">
        <v>739</v>
      </c>
      <c r="C264" s="151"/>
      <c r="D264" s="151"/>
      <c r="E264" s="151"/>
      <c r="F264" s="151"/>
      <c r="G264" s="152"/>
      <c r="H264" s="153"/>
      <c r="I264" s="154"/>
      <c r="J264" s="153"/>
      <c r="K264" s="172"/>
      <c r="L264" s="70">
        <v>7092245.0699999984</v>
      </c>
      <c r="M264" s="45"/>
      <c r="N264" s="45"/>
      <c r="O264" s="45"/>
      <c r="P264" s="45"/>
      <c r="Q264" s="45"/>
      <c r="R264" s="45"/>
      <c r="S264" s="45"/>
      <c r="T264" s="45"/>
      <c r="U264" s="45"/>
      <c r="V264" s="178"/>
      <c r="W264" s="45"/>
      <c r="X264" s="45"/>
      <c r="Y264" s="45"/>
      <c r="Z264" s="56"/>
    </row>
    <row r="265" spans="1:60">
      <c r="A265" s="6" t="s">
        <v>740</v>
      </c>
      <c r="B265" s="47" t="s">
        <v>741</v>
      </c>
      <c r="C265" s="47" t="s">
        <v>283</v>
      </c>
      <c r="D265" s="47"/>
      <c r="E265" s="47" t="s">
        <v>742</v>
      </c>
      <c r="F265" s="47" t="s">
        <v>88</v>
      </c>
      <c r="G265" s="42">
        <v>390</v>
      </c>
      <c r="H265" s="61">
        <v>360.11538461538464</v>
      </c>
      <c r="I265" s="63">
        <v>0</v>
      </c>
      <c r="J265" s="66">
        <v>360.11538461538464</v>
      </c>
      <c r="K265" s="67">
        <v>140445</v>
      </c>
      <c r="M265" s="45" t="s">
        <v>743</v>
      </c>
      <c r="N265" s="45"/>
      <c r="O265" s="45"/>
      <c r="P265" s="45"/>
      <c r="Q265" s="45"/>
      <c r="R265" s="45"/>
      <c r="S265" s="45"/>
      <c r="T265" s="45"/>
      <c r="U265" s="45"/>
      <c r="V265" s="199"/>
      <c r="W265" s="45"/>
      <c r="X265" s="45"/>
      <c r="Y265" s="45"/>
      <c r="Z265" s="56"/>
    </row>
    <row r="266" spans="1:60">
      <c r="A266" s="7" t="s">
        <v>744</v>
      </c>
      <c r="B266" s="40" t="s">
        <v>745</v>
      </c>
      <c r="C266" s="40" t="s">
        <v>283</v>
      </c>
      <c r="D266" s="40" t="s">
        <v>481</v>
      </c>
      <c r="E266" s="40" t="s">
        <v>231</v>
      </c>
      <c r="F266" s="40"/>
      <c r="G266" s="38"/>
      <c r="H266" s="51"/>
      <c r="I266" s="53">
        <v>0</v>
      </c>
      <c r="J266" s="51">
        <v>0</v>
      </c>
      <c r="K266" s="54">
        <v>0</v>
      </c>
      <c r="M266" s="45"/>
      <c r="N266" s="45"/>
      <c r="O266" s="45"/>
      <c r="P266" s="45"/>
      <c r="Q266" s="45"/>
      <c r="R266" s="45"/>
      <c r="S266" s="45"/>
      <c r="T266" s="45"/>
      <c r="U266" s="45"/>
      <c r="V266" s="45"/>
      <c r="W266" s="45"/>
      <c r="X266" s="45"/>
      <c r="Y266" s="45"/>
      <c r="Z266" s="56"/>
    </row>
    <row r="267" spans="1:60">
      <c r="A267" s="44" t="s">
        <v>746</v>
      </c>
      <c r="B267" s="40" t="s">
        <v>745</v>
      </c>
      <c r="C267" s="40" t="s">
        <v>216</v>
      </c>
      <c r="D267" s="40" t="s">
        <v>223</v>
      </c>
      <c r="E267" s="40" t="s">
        <v>6</v>
      </c>
      <c r="F267" s="40" t="s">
        <v>71</v>
      </c>
      <c r="G267" s="38">
        <v>1</v>
      </c>
      <c r="H267" s="54">
        <v>703298.46</v>
      </c>
      <c r="I267" s="53">
        <v>0</v>
      </c>
      <c r="J267" s="54">
        <v>703298.46</v>
      </c>
      <c r="K267" s="54">
        <v>703298.46</v>
      </c>
      <c r="M267" s="45" t="s">
        <v>747</v>
      </c>
      <c r="N267" s="45"/>
      <c r="O267" s="45"/>
      <c r="P267" s="45"/>
      <c r="Q267" s="45"/>
      <c r="R267" s="45"/>
      <c r="S267" s="45"/>
      <c r="T267" s="45"/>
      <c r="U267" s="45"/>
      <c r="V267" s="45"/>
      <c r="W267" s="45"/>
      <c r="X267" s="45"/>
      <c r="Y267" s="45"/>
      <c r="Z267" s="56"/>
    </row>
    <row r="268" spans="1:60">
      <c r="A268" s="52" t="s">
        <v>748</v>
      </c>
      <c r="B268" s="40" t="s">
        <v>749</v>
      </c>
      <c r="C268" s="40" t="s">
        <v>216</v>
      </c>
      <c r="D268" s="40" t="s">
        <v>223</v>
      </c>
      <c r="E268" s="40" t="s">
        <v>6</v>
      </c>
      <c r="F268" s="40" t="s">
        <v>71</v>
      </c>
      <c r="G268" s="38">
        <v>1</v>
      </c>
      <c r="H268" s="54">
        <v>419249</v>
      </c>
      <c r="I268" s="53">
        <v>0</v>
      </c>
      <c r="J268" s="54">
        <v>419249</v>
      </c>
      <c r="K268" s="54">
        <v>419249</v>
      </c>
      <c r="M268" s="45" t="s">
        <v>750</v>
      </c>
      <c r="N268" s="45"/>
      <c r="O268" s="45"/>
      <c r="P268" s="45"/>
      <c r="Q268" s="45"/>
      <c r="R268" s="45"/>
      <c r="S268" s="45"/>
      <c r="T268" s="45"/>
      <c r="U268" s="45"/>
      <c r="V268" s="45"/>
      <c r="W268" s="45"/>
      <c r="X268" s="45"/>
      <c r="Y268" s="45"/>
      <c r="Z268" s="56"/>
    </row>
    <row r="269" spans="1:60">
      <c r="A269" s="44" t="s">
        <v>751</v>
      </c>
      <c r="B269" s="40" t="s">
        <v>752</v>
      </c>
      <c r="C269" s="40" t="s">
        <v>216</v>
      </c>
      <c r="D269" s="40" t="s">
        <v>223</v>
      </c>
      <c r="E269" s="40" t="s">
        <v>231</v>
      </c>
      <c r="F269" s="40"/>
      <c r="G269" s="38"/>
      <c r="H269" s="54"/>
      <c r="I269" s="53">
        <v>0</v>
      </c>
      <c r="J269" s="54">
        <v>0</v>
      </c>
      <c r="K269" s="54">
        <v>0</v>
      </c>
      <c r="M269" s="45"/>
      <c r="N269" s="45"/>
      <c r="O269" s="45"/>
      <c r="P269" s="45"/>
      <c r="Q269" s="45"/>
      <c r="R269" s="45"/>
      <c r="S269" s="45"/>
      <c r="T269" s="45"/>
      <c r="U269" s="45"/>
      <c r="V269" s="45"/>
      <c r="W269" s="45"/>
      <c r="X269" s="45"/>
      <c r="Y269" s="45"/>
      <c r="Z269" s="56"/>
    </row>
    <row r="270" spans="1:60">
      <c r="A270" s="7" t="s">
        <v>753</v>
      </c>
      <c r="B270" s="40" t="s">
        <v>754</v>
      </c>
      <c r="C270" s="40" t="s">
        <v>283</v>
      </c>
      <c r="D270" s="40" t="s">
        <v>223</v>
      </c>
      <c r="E270" s="40" t="s">
        <v>73</v>
      </c>
      <c r="F270" s="40" t="s">
        <v>71</v>
      </c>
      <c r="G270" s="38">
        <v>1</v>
      </c>
      <c r="H270" s="54">
        <v>15000</v>
      </c>
      <c r="I270" s="53">
        <v>0</v>
      </c>
      <c r="J270" s="54">
        <v>15000</v>
      </c>
      <c r="K270" s="54">
        <v>15000</v>
      </c>
      <c r="M270" s="45"/>
      <c r="N270" s="45"/>
      <c r="O270" s="45"/>
      <c r="P270" s="45"/>
      <c r="Q270" s="45"/>
      <c r="R270" s="45"/>
      <c r="S270" s="45"/>
      <c r="T270" s="45"/>
      <c r="U270" s="45"/>
      <c r="V270" s="45"/>
      <c r="W270" s="45"/>
      <c r="X270" s="45"/>
      <c r="Y270" s="45"/>
      <c r="Z270" s="56"/>
    </row>
    <row r="271" spans="1:60">
      <c r="A271" s="7" t="s">
        <v>755</v>
      </c>
      <c r="B271" s="40" t="s">
        <v>756</v>
      </c>
      <c r="C271" s="40" t="s">
        <v>216</v>
      </c>
      <c r="D271" s="40" t="s">
        <v>481</v>
      </c>
      <c r="E271" s="40" t="s">
        <v>757</v>
      </c>
      <c r="F271" s="40" t="s">
        <v>148</v>
      </c>
      <c r="G271" s="38">
        <v>1400</v>
      </c>
      <c r="H271" s="54">
        <v>218</v>
      </c>
      <c r="I271" s="53">
        <v>0</v>
      </c>
      <c r="J271" s="54">
        <v>218</v>
      </c>
      <c r="K271" s="54">
        <v>305200</v>
      </c>
      <c r="M271" s="45" t="s">
        <v>758</v>
      </c>
      <c r="N271" s="45"/>
      <c r="O271" s="45"/>
      <c r="P271" s="45"/>
      <c r="Q271" s="45"/>
      <c r="R271" s="45"/>
      <c r="S271" s="45"/>
      <c r="T271" s="45"/>
      <c r="U271" s="45"/>
      <c r="V271" s="45"/>
      <c r="W271" s="45"/>
      <c r="X271" s="45"/>
      <c r="Y271" s="45"/>
      <c r="Z271" s="56"/>
    </row>
    <row r="272" spans="1:60">
      <c r="A272" s="7" t="s">
        <v>759</v>
      </c>
      <c r="B272" s="40" t="s">
        <v>760</v>
      </c>
      <c r="C272" s="40" t="s">
        <v>216</v>
      </c>
      <c r="D272" s="40" t="s">
        <v>223</v>
      </c>
      <c r="E272" s="40" t="s">
        <v>6</v>
      </c>
      <c r="F272" s="40" t="s">
        <v>71</v>
      </c>
      <c r="G272" s="38">
        <v>1</v>
      </c>
      <c r="H272" s="54">
        <v>499016</v>
      </c>
      <c r="I272" s="53">
        <v>0</v>
      </c>
      <c r="J272" s="54">
        <v>499016</v>
      </c>
      <c r="K272" s="54">
        <v>499016</v>
      </c>
      <c r="M272" s="45" t="s">
        <v>761</v>
      </c>
      <c r="N272" s="45"/>
      <c r="O272" s="45"/>
      <c r="P272" s="45"/>
      <c r="Q272" s="45"/>
      <c r="R272" s="45"/>
      <c r="S272" s="45"/>
      <c r="T272" s="45"/>
      <c r="U272" s="45"/>
      <c r="V272" s="45"/>
      <c r="W272" s="45"/>
      <c r="X272" s="45"/>
      <c r="Y272" s="45"/>
      <c r="Z272" s="56"/>
    </row>
    <row r="273" spans="1:26">
      <c r="A273" s="7" t="s">
        <v>762</v>
      </c>
      <c r="B273" s="40" t="s">
        <v>763</v>
      </c>
      <c r="C273" s="40" t="s">
        <v>283</v>
      </c>
      <c r="D273" s="40" t="s">
        <v>223</v>
      </c>
      <c r="E273" s="40" t="s">
        <v>73</v>
      </c>
      <c r="F273" s="40" t="s">
        <v>71</v>
      </c>
      <c r="G273" s="38">
        <v>1</v>
      </c>
      <c r="H273" s="54">
        <v>50000</v>
      </c>
      <c r="I273" s="53">
        <v>0</v>
      </c>
      <c r="J273" s="54">
        <v>50000</v>
      </c>
      <c r="K273" s="54">
        <v>50000</v>
      </c>
      <c r="M273" s="45"/>
      <c r="N273" s="45"/>
      <c r="O273" s="45"/>
      <c r="P273" s="45"/>
      <c r="Q273" s="45"/>
      <c r="R273" s="45"/>
      <c r="S273" s="45"/>
      <c r="T273" s="45"/>
      <c r="U273" s="45"/>
      <c r="V273" s="45"/>
      <c r="W273" s="45"/>
      <c r="X273" s="45"/>
      <c r="Y273" s="45"/>
      <c r="Z273" s="56"/>
    </row>
    <row r="274" spans="1:26">
      <c r="A274" s="7" t="s">
        <v>764</v>
      </c>
      <c r="B274" s="40" t="s">
        <v>765</v>
      </c>
      <c r="C274" s="40" t="s">
        <v>216</v>
      </c>
      <c r="D274" s="40" t="s">
        <v>223</v>
      </c>
      <c r="E274" s="40" t="s">
        <v>231</v>
      </c>
      <c r="F274" s="40"/>
      <c r="G274" s="38"/>
      <c r="H274" s="54"/>
      <c r="I274" s="53">
        <v>0</v>
      </c>
      <c r="J274" s="54">
        <v>0</v>
      </c>
      <c r="K274" s="54">
        <v>0</v>
      </c>
      <c r="M274" s="45"/>
      <c r="N274" s="45"/>
      <c r="O274" s="45"/>
      <c r="P274" s="45"/>
      <c r="Q274" s="45"/>
      <c r="R274" s="45"/>
      <c r="S274" s="45"/>
      <c r="T274" s="45"/>
      <c r="U274" s="45"/>
      <c r="V274" s="45"/>
      <c r="W274" s="45"/>
      <c r="X274" s="45"/>
      <c r="Y274" s="45"/>
      <c r="Z274" s="56"/>
    </row>
    <row r="275" spans="1:26">
      <c r="A275" s="7" t="s">
        <v>766</v>
      </c>
      <c r="B275" s="40" t="s">
        <v>767</v>
      </c>
      <c r="C275" s="40" t="s">
        <v>216</v>
      </c>
      <c r="D275" s="40" t="s">
        <v>223</v>
      </c>
      <c r="E275" s="40" t="s">
        <v>231</v>
      </c>
      <c r="F275" s="40"/>
      <c r="G275" s="38"/>
      <c r="H275" s="54"/>
      <c r="I275" s="53">
        <v>0</v>
      </c>
      <c r="J275" s="54">
        <v>0</v>
      </c>
      <c r="K275" s="54">
        <v>0</v>
      </c>
      <c r="M275" s="45"/>
      <c r="N275" s="45"/>
      <c r="O275" s="45"/>
      <c r="P275" s="45"/>
      <c r="Q275" s="45"/>
      <c r="R275" s="45"/>
      <c r="S275" s="45"/>
      <c r="T275" s="45"/>
      <c r="U275" s="45"/>
      <c r="V275" s="45"/>
      <c r="W275" s="45"/>
      <c r="X275" s="45"/>
      <c r="Y275" s="45"/>
      <c r="Z275" s="56"/>
    </row>
    <row r="276" spans="1:26">
      <c r="A276" s="7" t="s">
        <v>768</v>
      </c>
      <c r="B276" s="40" t="s">
        <v>769</v>
      </c>
      <c r="C276" s="40" t="s">
        <v>216</v>
      </c>
      <c r="D276" s="40" t="s">
        <v>223</v>
      </c>
      <c r="E276" s="40" t="s">
        <v>231</v>
      </c>
      <c r="F276" s="40"/>
      <c r="G276" s="38"/>
      <c r="H276" s="54"/>
      <c r="I276" s="53">
        <v>0</v>
      </c>
      <c r="J276" s="54">
        <v>0</v>
      </c>
      <c r="K276" s="54">
        <v>0</v>
      </c>
      <c r="M276" s="45"/>
      <c r="N276" s="45"/>
      <c r="O276" s="45"/>
      <c r="P276" s="45"/>
      <c r="Q276" s="45"/>
      <c r="R276" s="45"/>
      <c r="S276" s="45"/>
      <c r="T276" s="45"/>
      <c r="U276" s="45"/>
      <c r="V276" s="45"/>
      <c r="W276" s="45"/>
      <c r="X276" s="45"/>
      <c r="Y276" s="45"/>
      <c r="Z276" s="56"/>
    </row>
    <row r="277" spans="1:26">
      <c r="A277" s="7" t="s">
        <v>770</v>
      </c>
      <c r="B277" s="40" t="s">
        <v>745</v>
      </c>
      <c r="C277" s="40" t="s">
        <v>216</v>
      </c>
      <c r="D277" s="40" t="s">
        <v>481</v>
      </c>
      <c r="E277" s="40" t="s">
        <v>6</v>
      </c>
      <c r="F277" s="40" t="s">
        <v>71</v>
      </c>
      <c r="G277" s="38">
        <v>1</v>
      </c>
      <c r="H277" s="54">
        <v>2362698.4</v>
      </c>
      <c r="I277" s="53">
        <v>0</v>
      </c>
      <c r="J277" s="54">
        <v>2362698.4</v>
      </c>
      <c r="K277" s="54">
        <v>2362698.4</v>
      </c>
      <c r="M277" s="45"/>
      <c r="N277" s="45"/>
      <c r="O277" s="45"/>
      <c r="P277" s="45"/>
      <c r="Q277" s="45"/>
      <c r="R277" s="45"/>
      <c r="S277" s="45"/>
      <c r="T277" s="45"/>
      <c r="U277" s="45"/>
      <c r="V277" s="45"/>
      <c r="W277" s="45"/>
      <c r="X277" s="45"/>
      <c r="Y277" s="45"/>
      <c r="Z277" s="56"/>
    </row>
    <row r="278" spans="1:26">
      <c r="A278" s="7" t="s">
        <v>771</v>
      </c>
      <c r="B278" s="40" t="s">
        <v>749</v>
      </c>
      <c r="C278" s="40" t="s">
        <v>216</v>
      </c>
      <c r="D278" s="40" t="s">
        <v>481</v>
      </c>
      <c r="E278" s="40" t="s">
        <v>6</v>
      </c>
      <c r="F278" s="40" t="s">
        <v>71</v>
      </c>
      <c r="G278" s="38">
        <v>1</v>
      </c>
      <c r="H278" s="54">
        <v>1073770.8499999999</v>
      </c>
      <c r="I278" s="53">
        <v>0</v>
      </c>
      <c r="J278" s="54">
        <v>1073770.8499999999</v>
      </c>
      <c r="K278" s="54">
        <v>1073770.8499999999</v>
      </c>
      <c r="M278" s="45"/>
      <c r="N278" s="45"/>
      <c r="O278" s="45"/>
      <c r="P278" s="45"/>
      <c r="Q278" s="45"/>
      <c r="R278" s="45"/>
      <c r="S278" s="45"/>
      <c r="T278" s="45"/>
      <c r="U278" s="45"/>
      <c r="V278" s="45"/>
      <c r="W278" s="45"/>
      <c r="X278" s="45"/>
      <c r="Y278" s="45"/>
      <c r="Z278" s="56"/>
    </row>
    <row r="279" spans="1:26">
      <c r="A279" s="7" t="s">
        <v>772</v>
      </c>
      <c r="B279" s="40" t="s">
        <v>752</v>
      </c>
      <c r="C279" s="40" t="s">
        <v>216</v>
      </c>
      <c r="D279" s="40" t="s">
        <v>481</v>
      </c>
      <c r="E279" s="40" t="s">
        <v>6</v>
      </c>
      <c r="F279" s="40" t="s">
        <v>71</v>
      </c>
      <c r="G279" s="38">
        <v>1</v>
      </c>
      <c r="H279" s="54">
        <v>779503.1</v>
      </c>
      <c r="I279" s="53">
        <v>0</v>
      </c>
      <c r="J279" s="54">
        <v>779503.1</v>
      </c>
      <c r="K279" s="54">
        <v>779503.1</v>
      </c>
      <c r="M279" s="45"/>
      <c r="N279" s="45"/>
      <c r="O279" s="45"/>
      <c r="P279" s="45"/>
      <c r="Q279" s="45"/>
      <c r="R279" s="45"/>
      <c r="S279" s="45"/>
      <c r="T279" s="45"/>
      <c r="U279" s="45"/>
      <c r="V279" s="45"/>
      <c r="W279" s="45"/>
      <c r="X279" s="45"/>
      <c r="Y279" s="45"/>
      <c r="Z279" s="56"/>
    </row>
    <row r="280" spans="1:26">
      <c r="A280" s="7" t="s">
        <v>773</v>
      </c>
      <c r="B280" s="40" t="s">
        <v>760</v>
      </c>
      <c r="C280" s="40" t="s">
        <v>216</v>
      </c>
      <c r="D280" s="40" t="s">
        <v>481</v>
      </c>
      <c r="E280" s="40" t="s">
        <v>6</v>
      </c>
      <c r="F280" s="40" t="s">
        <v>71</v>
      </c>
      <c r="G280" s="38">
        <v>1</v>
      </c>
      <c r="H280" s="54">
        <v>744064.26</v>
      </c>
      <c r="I280" s="53">
        <v>0</v>
      </c>
      <c r="J280" s="54">
        <v>744064.26</v>
      </c>
      <c r="K280" s="54">
        <v>744064.26</v>
      </c>
      <c r="M280" s="346"/>
      <c r="N280" s="45"/>
      <c r="O280" s="45"/>
      <c r="P280" s="45"/>
      <c r="Q280" s="45"/>
      <c r="R280" s="45"/>
      <c r="S280" s="45"/>
      <c r="T280" s="45"/>
      <c r="U280" s="45"/>
      <c r="V280" s="45"/>
      <c r="W280" s="45"/>
      <c r="X280" s="45"/>
      <c r="Y280" s="45"/>
      <c r="Z280" s="56"/>
    </row>
    <row r="281" spans="1:26">
      <c r="A281" s="4" t="s">
        <v>774</v>
      </c>
      <c r="B281" s="151" t="s">
        <v>775</v>
      </c>
      <c r="C281" s="151"/>
      <c r="D281" s="151"/>
      <c r="E281" s="151"/>
      <c r="F281" s="151"/>
      <c r="G281" s="152"/>
      <c r="H281" s="153"/>
      <c r="I281" s="154"/>
      <c r="J281" s="153"/>
      <c r="K281" s="172"/>
      <c r="L281" s="70">
        <v>15000</v>
      </c>
      <c r="M281" s="45"/>
      <c r="N281" s="45"/>
      <c r="O281" s="45"/>
      <c r="P281" s="45"/>
      <c r="Q281" s="45"/>
      <c r="R281" s="45"/>
      <c r="S281" s="45"/>
      <c r="T281" s="45"/>
      <c r="U281" s="45"/>
      <c r="V281" s="45"/>
      <c r="W281" s="45"/>
      <c r="X281" s="45"/>
      <c r="Y281" s="45"/>
      <c r="Z281" s="56"/>
    </row>
    <row r="282" spans="1:26">
      <c r="A282" s="5" t="s">
        <v>776</v>
      </c>
      <c r="B282" s="65" t="s">
        <v>777</v>
      </c>
      <c r="C282" s="65" t="s">
        <v>283</v>
      </c>
      <c r="D282" s="40" t="s">
        <v>481</v>
      </c>
      <c r="E282" s="65" t="s">
        <v>73</v>
      </c>
      <c r="F282" s="65" t="s">
        <v>71</v>
      </c>
      <c r="G282" s="43">
        <v>1</v>
      </c>
      <c r="H282" s="463">
        <v>15000</v>
      </c>
      <c r="I282" s="157">
        <v>0</v>
      </c>
      <c r="J282" s="159">
        <v>15000</v>
      </c>
      <c r="K282" s="159">
        <v>15000</v>
      </c>
      <c r="M282" s="45"/>
      <c r="N282" s="45"/>
      <c r="O282" s="45"/>
      <c r="P282" s="45"/>
      <c r="Q282" s="45"/>
      <c r="R282" s="45"/>
      <c r="S282" s="45"/>
      <c r="T282" s="45"/>
      <c r="U282" s="45"/>
      <c r="V282" s="45"/>
      <c r="W282" s="45"/>
      <c r="X282" s="45"/>
      <c r="Y282" s="45"/>
      <c r="Z282" s="56"/>
    </row>
    <row r="283" spans="1:26">
      <c r="A283" s="4" t="s">
        <v>778</v>
      </c>
      <c r="B283" s="151" t="s">
        <v>779</v>
      </c>
      <c r="C283" s="151"/>
      <c r="D283" s="151"/>
      <c r="E283" s="151"/>
      <c r="F283" s="151"/>
      <c r="G283" s="152"/>
      <c r="H283" s="153"/>
      <c r="I283" s="154"/>
      <c r="J283" s="153"/>
      <c r="K283" s="172"/>
      <c r="L283" s="70">
        <v>469750</v>
      </c>
      <c r="M283" s="45"/>
      <c r="N283" s="45"/>
      <c r="O283" s="45"/>
      <c r="P283" s="45"/>
      <c r="Q283" s="45"/>
      <c r="R283" s="45"/>
      <c r="S283" s="45"/>
      <c r="T283" s="45"/>
      <c r="U283" s="45"/>
      <c r="V283" s="45"/>
      <c r="W283" s="45"/>
      <c r="X283" s="45"/>
      <c r="Y283" s="45"/>
      <c r="Z283" s="56"/>
    </row>
    <row r="284" spans="1:26">
      <c r="A284" s="6" t="s">
        <v>780</v>
      </c>
      <c r="B284" s="47" t="s">
        <v>781</v>
      </c>
      <c r="C284" s="47" t="s">
        <v>216</v>
      </c>
      <c r="D284" s="47"/>
      <c r="E284" s="47" t="s">
        <v>782</v>
      </c>
      <c r="F284" s="47" t="s">
        <v>88</v>
      </c>
      <c r="G284" s="42">
        <v>390</v>
      </c>
      <c r="H284" s="461">
        <v>1025</v>
      </c>
      <c r="I284" s="63">
        <v>0</v>
      </c>
      <c r="J284" s="67">
        <v>1025</v>
      </c>
      <c r="K284" s="67">
        <v>399750</v>
      </c>
      <c r="M284" s="45"/>
      <c r="N284" s="45"/>
      <c r="O284" s="45"/>
      <c r="P284" s="45"/>
      <c r="Q284" s="45"/>
      <c r="R284" s="45"/>
      <c r="S284" s="45"/>
      <c r="T284" s="45"/>
      <c r="U284" s="45"/>
      <c r="V284" s="45"/>
      <c r="W284" s="45"/>
      <c r="X284" s="45"/>
      <c r="Y284" s="45"/>
      <c r="Z284" s="56"/>
    </row>
    <row r="285" spans="1:26">
      <c r="A285" s="7" t="s">
        <v>783</v>
      </c>
      <c r="B285" s="40" t="s">
        <v>784</v>
      </c>
      <c r="C285" s="40" t="s">
        <v>283</v>
      </c>
      <c r="D285" s="40"/>
      <c r="E285" s="40" t="s">
        <v>73</v>
      </c>
      <c r="F285" s="40" t="s">
        <v>71</v>
      </c>
      <c r="G285" s="38">
        <v>1</v>
      </c>
      <c r="H285" s="54">
        <v>50000</v>
      </c>
      <c r="I285" s="53">
        <v>0</v>
      </c>
      <c r="J285" s="54">
        <v>50000</v>
      </c>
      <c r="K285" s="54">
        <v>50000</v>
      </c>
      <c r="M285" s="45" t="s">
        <v>785</v>
      </c>
      <c r="N285" s="45"/>
      <c r="O285" s="45"/>
      <c r="P285" s="45"/>
      <c r="Q285" s="45"/>
      <c r="R285" s="45"/>
      <c r="S285" s="45"/>
      <c r="T285" s="45"/>
      <c r="U285" s="45"/>
      <c r="V285" s="45"/>
      <c r="W285" s="45"/>
      <c r="X285" s="45"/>
      <c r="Y285" s="45"/>
      <c r="Z285" s="56"/>
    </row>
    <row r="286" spans="1:26">
      <c r="A286" s="7" t="s">
        <v>786</v>
      </c>
      <c r="B286" s="40" t="s">
        <v>787</v>
      </c>
      <c r="C286" s="40" t="s">
        <v>283</v>
      </c>
      <c r="D286" s="40"/>
      <c r="E286" s="40" t="s">
        <v>73</v>
      </c>
      <c r="F286" s="40" t="s">
        <v>71</v>
      </c>
      <c r="G286" s="38">
        <v>1</v>
      </c>
      <c r="H286" s="54">
        <v>20000</v>
      </c>
      <c r="I286" s="53">
        <v>0</v>
      </c>
      <c r="J286" s="54">
        <v>20000</v>
      </c>
      <c r="K286" s="54">
        <v>20000</v>
      </c>
      <c r="M286" s="45"/>
      <c r="N286" s="45"/>
      <c r="O286" s="45"/>
      <c r="P286" s="45"/>
      <c r="Q286" s="45"/>
      <c r="R286" s="45"/>
      <c r="S286" s="45"/>
      <c r="T286" s="45"/>
      <c r="U286" s="45"/>
      <c r="V286" s="45"/>
      <c r="W286" s="45"/>
      <c r="X286" s="45"/>
      <c r="Y286" s="45"/>
      <c r="Z286" s="56"/>
    </row>
    <row r="287" spans="1:26">
      <c r="A287" s="4" t="s">
        <v>788</v>
      </c>
      <c r="B287" s="151" t="s">
        <v>789</v>
      </c>
      <c r="C287" s="151"/>
      <c r="D287" s="151"/>
      <c r="E287" s="151"/>
      <c r="F287" s="151"/>
      <c r="G287" s="152"/>
      <c r="H287" s="172"/>
      <c r="I287" s="154"/>
      <c r="J287" s="172"/>
      <c r="K287" s="172"/>
      <c r="L287" s="70">
        <v>486632.15</v>
      </c>
      <c r="M287" s="45"/>
      <c r="N287" s="45"/>
      <c r="O287" s="45"/>
      <c r="P287" s="45"/>
      <c r="Q287" s="45"/>
      <c r="R287" s="45"/>
      <c r="S287" s="45"/>
      <c r="T287" s="45"/>
      <c r="U287" s="45"/>
      <c r="V287" s="45"/>
      <c r="W287" s="45"/>
      <c r="X287" s="45"/>
      <c r="Y287" s="45"/>
      <c r="Z287" s="56"/>
    </row>
    <row r="288" spans="1:26">
      <c r="A288" s="6" t="s">
        <v>790</v>
      </c>
      <c r="B288" s="47" t="s">
        <v>791</v>
      </c>
      <c r="C288" s="47" t="s">
        <v>216</v>
      </c>
      <c r="D288" s="47"/>
      <c r="E288" s="47" t="s">
        <v>426</v>
      </c>
      <c r="F288" s="47" t="s">
        <v>71</v>
      </c>
      <c r="G288" s="185">
        <v>15.826000000000001</v>
      </c>
      <c r="H288" s="461">
        <v>9000</v>
      </c>
      <c r="I288" s="63">
        <v>0</v>
      </c>
      <c r="J288" s="67">
        <v>9000</v>
      </c>
      <c r="K288" s="67">
        <v>142434</v>
      </c>
      <c r="M288" s="45"/>
      <c r="N288" s="45"/>
      <c r="O288" s="45"/>
      <c r="P288" s="45"/>
      <c r="Q288" s="45"/>
      <c r="R288" s="45"/>
      <c r="S288" s="45"/>
      <c r="T288" s="45"/>
      <c r="U288" s="45"/>
      <c r="V288" s="45"/>
      <c r="W288" s="45"/>
      <c r="X288" s="45"/>
      <c r="Y288" s="45"/>
      <c r="Z288" s="56"/>
    </row>
    <row r="289" spans="1:26">
      <c r="A289" s="7" t="s">
        <v>792</v>
      </c>
      <c r="B289" s="40" t="s">
        <v>793</v>
      </c>
      <c r="C289" s="40" t="s">
        <v>216</v>
      </c>
      <c r="D289" s="40"/>
      <c r="E289" s="40" t="s">
        <v>73</v>
      </c>
      <c r="F289" s="40" t="s">
        <v>71</v>
      </c>
      <c r="G289" s="183">
        <v>15.826000000000001</v>
      </c>
      <c r="H289" s="54">
        <v>1000</v>
      </c>
      <c r="I289" s="53">
        <v>0</v>
      </c>
      <c r="J289" s="54">
        <v>1000</v>
      </c>
      <c r="K289" s="54">
        <v>15826</v>
      </c>
      <c r="M289" s="45" t="s">
        <v>794</v>
      </c>
      <c r="N289" s="45"/>
      <c r="O289" s="45"/>
      <c r="P289" s="45"/>
      <c r="Q289" s="45"/>
      <c r="R289" s="45"/>
      <c r="S289" s="45"/>
      <c r="T289" s="45"/>
      <c r="U289" s="45"/>
      <c r="V289" s="45"/>
      <c r="W289" s="45"/>
      <c r="X289" s="45"/>
      <c r="Y289" s="45"/>
      <c r="Z289" s="56"/>
    </row>
    <row r="290" spans="1:26">
      <c r="A290" s="7" t="s">
        <v>795</v>
      </c>
      <c r="B290" s="40" t="s">
        <v>796</v>
      </c>
      <c r="C290" s="40" t="s">
        <v>216</v>
      </c>
      <c r="D290" s="40"/>
      <c r="E290" s="40" t="s">
        <v>73</v>
      </c>
      <c r="F290" s="40" t="s">
        <v>71</v>
      </c>
      <c r="G290" s="183">
        <v>1</v>
      </c>
      <c r="H290" s="54">
        <v>7500</v>
      </c>
      <c r="I290" s="53">
        <v>0</v>
      </c>
      <c r="J290" s="54">
        <v>7500</v>
      </c>
      <c r="K290" s="54">
        <v>7500</v>
      </c>
      <c r="M290" s="45"/>
      <c r="N290" s="45"/>
      <c r="O290" s="45"/>
      <c r="P290" s="45"/>
      <c r="Q290" s="45"/>
      <c r="R290" s="45"/>
      <c r="S290" s="45"/>
      <c r="T290" s="45"/>
      <c r="U290" s="45"/>
      <c r="V290" s="45"/>
      <c r="W290" s="45"/>
      <c r="X290" s="45"/>
      <c r="Y290" s="45"/>
      <c r="Z290" s="56"/>
    </row>
    <row r="291" spans="1:26">
      <c r="A291" s="7" t="s">
        <v>797</v>
      </c>
      <c r="B291" s="40" t="s">
        <v>798</v>
      </c>
      <c r="C291" s="40" t="s">
        <v>216</v>
      </c>
      <c r="D291" s="40"/>
      <c r="E291" s="40" t="s">
        <v>426</v>
      </c>
      <c r="F291" s="40" t="s">
        <v>71</v>
      </c>
      <c r="G291" s="183">
        <v>15.826000000000001</v>
      </c>
      <c r="H291" s="54">
        <v>5775</v>
      </c>
      <c r="I291" s="53">
        <v>0</v>
      </c>
      <c r="J291" s="54">
        <v>5775</v>
      </c>
      <c r="K291" s="54">
        <v>91395.150000000009</v>
      </c>
      <c r="M291" s="45"/>
      <c r="N291" s="45"/>
      <c r="O291" s="45"/>
      <c r="P291" s="45"/>
      <c r="Q291" s="45"/>
      <c r="R291" s="45"/>
      <c r="S291" s="45"/>
      <c r="T291" s="45"/>
      <c r="U291" s="45"/>
      <c r="V291" s="45"/>
      <c r="W291" s="45"/>
      <c r="X291" s="45"/>
      <c r="Y291" s="45"/>
      <c r="Z291" s="56"/>
    </row>
    <row r="292" spans="1:26">
      <c r="A292" s="7" t="s">
        <v>799</v>
      </c>
      <c r="B292" s="40" t="s">
        <v>800</v>
      </c>
      <c r="C292" s="40" t="s">
        <v>216</v>
      </c>
      <c r="D292" s="40"/>
      <c r="E292" s="40" t="s">
        <v>426</v>
      </c>
      <c r="F292" s="40" t="s">
        <v>71</v>
      </c>
      <c r="G292" s="183">
        <v>15.826000000000001</v>
      </c>
      <c r="H292" s="54">
        <v>5000</v>
      </c>
      <c r="I292" s="53">
        <v>0</v>
      </c>
      <c r="J292" s="54">
        <v>5000</v>
      </c>
      <c r="K292" s="54">
        <v>79130</v>
      </c>
      <c r="M292" s="45"/>
      <c r="N292" s="45"/>
      <c r="O292" s="45"/>
      <c r="P292" s="45"/>
      <c r="Q292" s="45"/>
      <c r="R292" s="45"/>
      <c r="S292" s="45"/>
      <c r="T292" s="45"/>
      <c r="U292" s="45"/>
      <c r="V292" s="45"/>
      <c r="W292" s="45"/>
      <c r="X292" s="45"/>
      <c r="Y292" s="45"/>
      <c r="Z292" s="56"/>
    </row>
    <row r="293" spans="1:26">
      <c r="A293" s="7" t="s">
        <v>801</v>
      </c>
      <c r="B293" s="40" t="s">
        <v>802</v>
      </c>
      <c r="C293" s="40" t="s">
        <v>216</v>
      </c>
      <c r="D293" s="40"/>
      <c r="E293" s="40" t="s">
        <v>426</v>
      </c>
      <c r="F293" s="40" t="s">
        <v>71</v>
      </c>
      <c r="G293" s="183">
        <v>15.826000000000001</v>
      </c>
      <c r="H293" s="54">
        <v>5000</v>
      </c>
      <c r="I293" s="53">
        <v>0</v>
      </c>
      <c r="J293" s="54">
        <v>5000</v>
      </c>
      <c r="K293" s="54">
        <v>79130</v>
      </c>
      <c r="M293" s="45"/>
      <c r="N293" s="45"/>
      <c r="O293" s="45"/>
      <c r="P293" s="45"/>
      <c r="Q293" s="45"/>
      <c r="R293" s="45"/>
      <c r="S293" s="45"/>
      <c r="T293" s="45"/>
      <c r="U293" s="45"/>
      <c r="V293" s="45"/>
      <c r="W293" s="45"/>
      <c r="X293" s="45"/>
      <c r="Y293" s="45"/>
      <c r="Z293" s="56"/>
    </row>
    <row r="294" spans="1:26">
      <c r="A294" s="7" t="s">
        <v>803</v>
      </c>
      <c r="B294" s="40" t="s">
        <v>804</v>
      </c>
      <c r="C294" s="40" t="s">
        <v>216</v>
      </c>
      <c r="D294" s="40"/>
      <c r="E294" s="40" t="s">
        <v>73</v>
      </c>
      <c r="F294" s="40" t="s">
        <v>71</v>
      </c>
      <c r="G294" s="183">
        <v>15.826000000000001</v>
      </c>
      <c r="H294" s="54">
        <v>1000</v>
      </c>
      <c r="I294" s="53">
        <v>0</v>
      </c>
      <c r="J294" s="54">
        <v>1000</v>
      </c>
      <c r="K294" s="54">
        <v>15826</v>
      </c>
      <c r="M294" s="45"/>
      <c r="N294" s="45"/>
      <c r="O294" s="45"/>
      <c r="P294" s="45"/>
      <c r="Q294" s="45"/>
      <c r="R294" s="45"/>
      <c r="S294" s="45"/>
      <c r="T294" s="45"/>
      <c r="U294" s="45"/>
      <c r="V294" s="45"/>
      <c r="W294" s="45"/>
      <c r="X294" s="45"/>
      <c r="Y294" s="45"/>
      <c r="Z294" s="56"/>
    </row>
    <row r="295" spans="1:26">
      <c r="A295" s="7" t="s">
        <v>805</v>
      </c>
      <c r="B295" s="40" t="s">
        <v>806</v>
      </c>
      <c r="C295" s="40" t="s">
        <v>216</v>
      </c>
      <c r="D295" s="40"/>
      <c r="E295" s="40" t="s">
        <v>73</v>
      </c>
      <c r="F295" s="40" t="s">
        <v>71</v>
      </c>
      <c r="G295" s="183">
        <v>15.826000000000001</v>
      </c>
      <c r="H295" s="54">
        <v>1000</v>
      </c>
      <c r="I295" s="53">
        <v>0</v>
      </c>
      <c r="J295" s="54">
        <v>1000</v>
      </c>
      <c r="K295" s="54">
        <v>15826</v>
      </c>
      <c r="M295" s="45"/>
      <c r="N295" s="45"/>
      <c r="O295" s="45"/>
      <c r="P295" s="45"/>
      <c r="Q295" s="45"/>
      <c r="R295" s="45"/>
      <c r="S295" s="45"/>
      <c r="T295" s="45"/>
      <c r="U295" s="45"/>
      <c r="V295" s="45"/>
      <c r="W295" s="45"/>
      <c r="X295" s="45"/>
      <c r="Y295" s="45"/>
      <c r="Z295" s="56"/>
    </row>
    <row r="296" spans="1:26">
      <c r="A296" s="7" t="s">
        <v>807</v>
      </c>
      <c r="B296" s="40" t="s">
        <v>808</v>
      </c>
      <c r="C296" s="40" t="s">
        <v>216</v>
      </c>
      <c r="D296" s="40"/>
      <c r="E296" s="40" t="s">
        <v>426</v>
      </c>
      <c r="F296" s="40" t="s">
        <v>71</v>
      </c>
      <c r="G296" s="183">
        <v>15.826000000000001</v>
      </c>
      <c r="H296" s="54">
        <v>2500</v>
      </c>
      <c r="I296" s="53">
        <v>0</v>
      </c>
      <c r="J296" s="54">
        <v>2500</v>
      </c>
      <c r="K296" s="54">
        <v>39565</v>
      </c>
      <c r="M296" s="45"/>
      <c r="N296" s="45"/>
      <c r="O296" s="45"/>
      <c r="P296" s="45"/>
      <c r="Q296" s="45"/>
      <c r="R296" s="45"/>
      <c r="S296" s="45"/>
      <c r="T296" s="45"/>
      <c r="U296" s="45"/>
      <c r="V296" s="45"/>
      <c r="W296" s="45"/>
      <c r="X296" s="45"/>
      <c r="Y296" s="45"/>
      <c r="Z296" s="56"/>
    </row>
    <row r="297" spans="1:26" hidden="1">
      <c r="A297" s="4" t="s">
        <v>809</v>
      </c>
      <c r="B297" s="151"/>
      <c r="C297" s="151"/>
      <c r="D297" s="151"/>
      <c r="E297" s="151"/>
      <c r="F297" s="151"/>
      <c r="G297" s="152"/>
      <c r="H297" s="153"/>
      <c r="I297" s="154"/>
      <c r="J297" s="153"/>
      <c r="K297" s="172"/>
      <c r="L297" s="70">
        <v>0</v>
      </c>
      <c r="M297" s="45"/>
      <c r="N297" s="45"/>
      <c r="O297" s="45"/>
      <c r="P297" s="45"/>
      <c r="Q297" s="45"/>
      <c r="R297" s="45"/>
      <c r="S297" s="45"/>
      <c r="T297" s="45"/>
      <c r="U297" s="45"/>
      <c r="V297" s="45"/>
      <c r="W297" s="45"/>
      <c r="X297" s="45"/>
      <c r="Y297" s="45"/>
      <c r="Z297" s="56"/>
    </row>
    <row r="298" spans="1:26" hidden="1">
      <c r="A298" s="6" t="s">
        <v>809</v>
      </c>
      <c r="B298" s="47"/>
      <c r="C298" s="47"/>
      <c r="D298" s="47"/>
      <c r="E298" s="47" t="s">
        <v>231</v>
      </c>
      <c r="F298" s="47"/>
      <c r="G298" s="42"/>
      <c r="H298" s="61"/>
      <c r="I298" s="63">
        <v>0</v>
      </c>
      <c r="J298" s="66">
        <v>0</v>
      </c>
      <c r="K298" s="67">
        <v>0</v>
      </c>
      <c r="M298" s="45"/>
      <c r="N298" s="45"/>
      <c r="O298" s="45"/>
      <c r="P298" s="45"/>
      <c r="Q298" s="45"/>
      <c r="R298" s="45"/>
      <c r="S298" s="45"/>
      <c r="T298" s="45"/>
      <c r="U298" s="45"/>
      <c r="V298" s="45"/>
      <c r="W298" s="45"/>
      <c r="X298" s="45"/>
      <c r="Y298" s="45"/>
      <c r="Z298" s="56"/>
    </row>
    <row r="299" spans="1:26" hidden="1">
      <c r="A299" s="7" t="s">
        <v>810</v>
      </c>
      <c r="B299" s="40"/>
      <c r="C299" s="40"/>
      <c r="D299" s="40"/>
      <c r="E299" s="40" t="s">
        <v>231</v>
      </c>
      <c r="F299" s="40"/>
      <c r="G299" s="38"/>
      <c r="H299" s="51"/>
      <c r="I299" s="53">
        <v>0</v>
      </c>
      <c r="J299" s="51">
        <v>0</v>
      </c>
      <c r="K299" s="54">
        <v>0</v>
      </c>
      <c r="M299" s="45"/>
      <c r="N299" s="45"/>
      <c r="O299" s="45"/>
      <c r="P299" s="45"/>
      <c r="Q299" s="45"/>
      <c r="R299" s="45"/>
      <c r="S299" s="45"/>
      <c r="T299" s="45"/>
      <c r="U299" s="45"/>
      <c r="V299" s="45"/>
      <c r="W299" s="45"/>
      <c r="X299" s="45"/>
      <c r="Y299" s="45"/>
      <c r="Z299" s="56"/>
    </row>
    <row r="300" spans="1:26" hidden="1">
      <c r="A300" s="7" t="s">
        <v>811</v>
      </c>
      <c r="B300" s="40"/>
      <c r="C300" s="40"/>
      <c r="D300" s="40"/>
      <c r="E300" s="40" t="s">
        <v>231</v>
      </c>
      <c r="F300" s="40"/>
      <c r="G300" s="38"/>
      <c r="H300" s="51"/>
      <c r="I300" s="53">
        <v>0</v>
      </c>
      <c r="J300" s="51">
        <v>0</v>
      </c>
      <c r="K300" s="54">
        <v>0</v>
      </c>
      <c r="M300" s="45"/>
      <c r="N300" s="45"/>
      <c r="O300" s="45"/>
      <c r="P300" s="45"/>
      <c r="Q300" s="45"/>
      <c r="R300" s="45"/>
      <c r="S300" s="45"/>
      <c r="T300" s="45"/>
      <c r="U300" s="45"/>
      <c r="V300" s="45"/>
      <c r="W300" s="45"/>
      <c r="X300" s="45"/>
      <c r="Y300" s="45"/>
      <c r="Z300" s="56"/>
    </row>
    <row r="301" spans="1:26" hidden="1">
      <c r="A301" s="7" t="s">
        <v>812</v>
      </c>
      <c r="B301" s="40"/>
      <c r="C301" s="40"/>
      <c r="D301" s="40"/>
      <c r="E301" s="40" t="s">
        <v>231</v>
      </c>
      <c r="F301" s="40"/>
      <c r="G301" s="38"/>
      <c r="H301" s="51"/>
      <c r="I301" s="53">
        <v>0</v>
      </c>
      <c r="J301" s="51">
        <v>0</v>
      </c>
      <c r="K301" s="54">
        <v>0</v>
      </c>
      <c r="M301" s="45"/>
      <c r="N301" s="45"/>
      <c r="O301" s="45"/>
      <c r="P301" s="45"/>
      <c r="Q301" s="45"/>
      <c r="R301" s="45"/>
      <c r="S301" s="45"/>
      <c r="T301" s="45"/>
      <c r="U301" s="45"/>
      <c r="V301" s="45"/>
      <c r="W301" s="45"/>
      <c r="X301" s="45"/>
      <c r="Y301" s="45"/>
      <c r="Z301" s="56"/>
    </row>
    <row r="302" spans="1:26" hidden="1">
      <c r="A302" s="7" t="s">
        <v>813</v>
      </c>
      <c r="B302" s="40"/>
      <c r="C302" s="40"/>
      <c r="D302" s="40"/>
      <c r="E302" s="40" t="s">
        <v>231</v>
      </c>
      <c r="F302" s="40"/>
      <c r="G302" s="38"/>
      <c r="H302" s="51"/>
      <c r="I302" s="53">
        <v>0</v>
      </c>
      <c r="J302" s="51">
        <v>0</v>
      </c>
      <c r="K302" s="54">
        <v>0</v>
      </c>
      <c r="M302" s="45"/>
      <c r="N302" s="45"/>
      <c r="O302" s="45"/>
      <c r="P302" s="45"/>
      <c r="Q302" s="45"/>
      <c r="R302" s="45"/>
      <c r="S302" s="45"/>
      <c r="T302" s="45"/>
      <c r="U302" s="45"/>
      <c r="V302" s="45"/>
      <c r="W302" s="45"/>
      <c r="X302" s="45"/>
      <c r="Y302" s="45"/>
      <c r="Z302" s="56"/>
    </row>
    <row r="303" spans="1:26" hidden="1">
      <c r="A303" s="7" t="s">
        <v>814</v>
      </c>
      <c r="B303" s="40"/>
      <c r="C303" s="40"/>
      <c r="D303" s="40"/>
      <c r="E303" s="40" t="s">
        <v>231</v>
      </c>
      <c r="F303" s="40"/>
      <c r="G303" s="38"/>
      <c r="H303" s="51"/>
      <c r="I303" s="53">
        <v>0</v>
      </c>
      <c r="J303" s="51">
        <v>0</v>
      </c>
      <c r="K303" s="54">
        <v>0</v>
      </c>
      <c r="M303" s="45"/>
      <c r="N303" s="45"/>
      <c r="O303" s="45"/>
      <c r="P303" s="45"/>
      <c r="Q303" s="45"/>
      <c r="R303" s="45"/>
      <c r="S303" s="45"/>
      <c r="T303" s="45"/>
      <c r="U303" s="45"/>
      <c r="V303" s="45"/>
      <c r="W303" s="45"/>
      <c r="X303" s="45"/>
      <c r="Y303" s="45"/>
      <c r="Z303" s="56"/>
    </row>
    <row r="304" spans="1:26" hidden="1">
      <c r="A304" s="7" t="s">
        <v>815</v>
      </c>
      <c r="B304" s="40"/>
      <c r="C304" s="40"/>
      <c r="D304" s="40"/>
      <c r="E304" s="40" t="s">
        <v>231</v>
      </c>
      <c r="F304" s="40"/>
      <c r="G304" s="38"/>
      <c r="H304" s="51"/>
      <c r="I304" s="53">
        <v>0</v>
      </c>
      <c r="J304" s="51">
        <v>0</v>
      </c>
      <c r="K304" s="54">
        <v>0</v>
      </c>
      <c r="M304" s="45"/>
      <c r="N304" s="45"/>
      <c r="O304" s="45"/>
      <c r="P304" s="45"/>
      <c r="Q304" s="45"/>
      <c r="R304" s="45"/>
      <c r="S304" s="45"/>
      <c r="T304" s="45"/>
      <c r="U304" s="45"/>
      <c r="V304" s="45"/>
      <c r="W304" s="45"/>
      <c r="X304" s="45"/>
      <c r="Y304" s="45"/>
      <c r="Z304" s="56"/>
    </row>
    <row r="305" spans="1:26" hidden="1">
      <c r="A305" s="7" t="s">
        <v>816</v>
      </c>
      <c r="B305" s="40"/>
      <c r="C305" s="40"/>
      <c r="D305" s="40"/>
      <c r="E305" s="40" t="s">
        <v>231</v>
      </c>
      <c r="F305" s="40"/>
      <c r="G305" s="38"/>
      <c r="H305" s="51"/>
      <c r="I305" s="53">
        <v>0</v>
      </c>
      <c r="J305" s="51">
        <v>0</v>
      </c>
      <c r="K305" s="54">
        <v>0</v>
      </c>
      <c r="M305" s="45"/>
      <c r="N305" s="45"/>
      <c r="O305" s="45"/>
      <c r="P305" s="45"/>
      <c r="Q305" s="45"/>
      <c r="R305" s="45"/>
      <c r="S305" s="45"/>
      <c r="T305" s="45"/>
      <c r="U305" s="45"/>
      <c r="V305" s="45"/>
      <c r="W305" s="45"/>
      <c r="X305" s="45"/>
      <c r="Y305" s="45"/>
      <c r="Z305" s="56"/>
    </row>
    <row r="306" spans="1:26">
      <c r="A306" s="4" t="s">
        <v>817</v>
      </c>
      <c r="B306" s="151" t="s">
        <v>817</v>
      </c>
      <c r="C306" s="151"/>
      <c r="D306" s="151"/>
      <c r="E306" s="151"/>
      <c r="F306" s="151"/>
      <c r="G306" s="152"/>
      <c r="H306" s="153"/>
      <c r="I306" s="154"/>
      <c r="J306" s="153"/>
      <c r="K306" s="172"/>
      <c r="L306" s="70">
        <v>1254667.1409720625</v>
      </c>
      <c r="M306" s="45"/>
      <c r="N306" s="45"/>
      <c r="O306" s="45"/>
      <c r="P306" s="45"/>
      <c r="Q306" s="45"/>
      <c r="R306" s="45"/>
      <c r="S306" s="45"/>
      <c r="T306" s="45"/>
      <c r="U306" s="45"/>
      <c r="V306" s="45"/>
      <c r="W306" s="45"/>
      <c r="X306" s="45"/>
      <c r="Y306" s="45"/>
      <c r="Z306" s="56"/>
    </row>
    <row r="307" spans="1:26">
      <c r="A307" s="6" t="s">
        <v>818</v>
      </c>
      <c r="B307" s="47"/>
      <c r="C307" s="47"/>
      <c r="D307" s="47"/>
      <c r="E307" s="47"/>
      <c r="F307" s="47"/>
      <c r="G307" s="198">
        <v>0</v>
      </c>
      <c r="H307" s="61"/>
      <c r="I307" s="63"/>
      <c r="J307" s="66"/>
      <c r="K307" s="67">
        <v>0</v>
      </c>
      <c r="M307" s="45"/>
      <c r="N307" s="45"/>
      <c r="O307" s="45"/>
      <c r="P307" s="45"/>
      <c r="Q307" s="45"/>
      <c r="R307" s="45"/>
      <c r="S307" s="45"/>
      <c r="T307" s="45"/>
      <c r="U307" s="45"/>
      <c r="V307" s="45"/>
      <c r="W307" s="45"/>
      <c r="X307" s="45"/>
      <c r="Y307" s="45"/>
      <c r="Z307" s="56"/>
    </row>
    <row r="308" spans="1:26">
      <c r="A308" s="5" t="s">
        <v>817</v>
      </c>
      <c r="B308" s="65"/>
      <c r="C308" s="65"/>
      <c r="D308" s="65"/>
      <c r="E308" s="65"/>
      <c r="F308" s="65"/>
      <c r="G308" s="186">
        <v>0.02</v>
      </c>
      <c r="H308" s="64"/>
      <c r="I308" s="157"/>
      <c r="J308" s="158"/>
      <c r="K308" s="159">
        <v>1254667.1409720625</v>
      </c>
      <c r="M308" s="45" t="s">
        <v>819</v>
      </c>
      <c r="N308" s="45"/>
      <c r="O308" s="45"/>
      <c r="P308" s="45"/>
      <c r="Q308" s="45"/>
      <c r="R308" s="45"/>
      <c r="S308" s="45"/>
      <c r="T308" s="45"/>
      <c r="U308" s="45"/>
      <c r="V308" s="45"/>
      <c r="W308" s="45"/>
      <c r="X308" s="45"/>
      <c r="Y308" s="45"/>
      <c r="Z308" s="56"/>
    </row>
    <row r="309" spans="1:26">
      <c r="A309" s="4" t="s">
        <v>820</v>
      </c>
      <c r="B309" s="151" t="s">
        <v>821</v>
      </c>
      <c r="C309" s="151"/>
      <c r="D309" s="151"/>
      <c r="E309" s="151"/>
      <c r="F309" s="151"/>
      <c r="G309" s="152"/>
      <c r="H309" s="172"/>
      <c r="I309" s="154"/>
      <c r="J309" s="153"/>
      <c r="K309" s="172"/>
      <c r="L309" s="70">
        <v>1430148</v>
      </c>
      <c r="M309" s="45"/>
      <c r="N309" s="45"/>
      <c r="O309" s="45"/>
      <c r="P309" s="45"/>
      <c r="Q309" s="45"/>
      <c r="R309" s="45"/>
      <c r="S309" s="45"/>
      <c r="T309" s="45"/>
      <c r="U309" s="45"/>
      <c r="V309" s="45"/>
      <c r="W309" s="45"/>
      <c r="X309" s="45"/>
      <c r="Y309" s="45"/>
      <c r="Z309" s="56"/>
    </row>
    <row r="310" spans="1:26">
      <c r="A310" s="6" t="s">
        <v>822</v>
      </c>
      <c r="B310" s="47" t="s">
        <v>823</v>
      </c>
      <c r="C310" s="47" t="s">
        <v>216</v>
      </c>
      <c r="D310" s="47"/>
      <c r="E310" s="47" t="s">
        <v>824</v>
      </c>
      <c r="F310" s="47" t="s">
        <v>71</v>
      </c>
      <c r="G310" s="42">
        <v>2</v>
      </c>
      <c r="H310" s="461">
        <v>10000</v>
      </c>
      <c r="I310" s="63">
        <v>0</v>
      </c>
      <c r="J310" s="67">
        <v>10000</v>
      </c>
      <c r="K310" s="67">
        <v>20000</v>
      </c>
      <c r="M310" s="45"/>
      <c r="N310" s="45"/>
      <c r="O310" s="45"/>
      <c r="P310" s="45"/>
      <c r="Q310" s="45"/>
      <c r="R310" s="45"/>
      <c r="S310" s="45"/>
      <c r="T310" s="45"/>
      <c r="U310" s="45"/>
      <c r="V310" s="45"/>
      <c r="W310" s="45"/>
      <c r="X310" s="45"/>
      <c r="Y310" s="45"/>
      <c r="Z310" s="56"/>
    </row>
    <row r="311" spans="1:26">
      <c r="A311" s="7" t="s">
        <v>825</v>
      </c>
      <c r="B311" s="40" t="s">
        <v>826</v>
      </c>
      <c r="C311" s="40" t="s">
        <v>216</v>
      </c>
      <c r="D311" s="40"/>
      <c r="E311" s="40" t="s">
        <v>231</v>
      </c>
      <c r="F311" s="40"/>
      <c r="G311" s="38"/>
      <c r="H311" s="54">
        <v>0</v>
      </c>
      <c r="I311" s="53">
        <v>0</v>
      </c>
      <c r="J311" s="54">
        <v>0</v>
      </c>
      <c r="K311" s="67">
        <v>0</v>
      </c>
      <c r="M311" s="45"/>
      <c r="N311" s="45"/>
      <c r="O311" s="45"/>
      <c r="P311" s="45"/>
      <c r="Q311" s="45"/>
      <c r="R311" s="45"/>
      <c r="S311" s="45"/>
      <c r="T311" s="45"/>
      <c r="U311" s="45"/>
      <c r="V311" s="45"/>
      <c r="W311" s="45"/>
      <c r="X311" s="45"/>
      <c r="Y311" s="45"/>
      <c r="Z311" s="56"/>
    </row>
    <row r="312" spans="1:26">
      <c r="A312" s="7" t="s">
        <v>827</v>
      </c>
      <c r="B312" s="40" t="s">
        <v>828</v>
      </c>
      <c r="C312" s="40" t="s">
        <v>216</v>
      </c>
      <c r="D312" s="40"/>
      <c r="E312" s="40" t="s">
        <v>73</v>
      </c>
      <c r="F312" s="40" t="s">
        <v>71</v>
      </c>
      <c r="G312" s="38">
        <v>1</v>
      </c>
      <c r="H312" s="54">
        <v>20000</v>
      </c>
      <c r="I312" s="53">
        <v>0</v>
      </c>
      <c r="J312" s="54">
        <v>20000</v>
      </c>
      <c r="K312" s="54">
        <v>20000</v>
      </c>
      <c r="M312" s="45"/>
      <c r="N312" s="45"/>
      <c r="O312" s="45"/>
      <c r="P312" s="45"/>
      <c r="Q312" s="45"/>
      <c r="R312" s="45"/>
      <c r="S312" s="45"/>
      <c r="T312" s="45"/>
      <c r="U312" s="45"/>
      <c r="V312" s="45"/>
      <c r="W312" s="45"/>
      <c r="X312" s="45"/>
      <c r="Y312" s="45"/>
      <c r="Z312" s="56"/>
    </row>
    <row r="313" spans="1:26">
      <c r="A313" s="7" t="s">
        <v>829</v>
      </c>
      <c r="B313" s="40" t="s">
        <v>830</v>
      </c>
      <c r="C313" s="40" t="s">
        <v>216</v>
      </c>
      <c r="D313" s="40"/>
      <c r="E313" s="40" t="s">
        <v>73</v>
      </c>
      <c r="F313" s="40" t="s">
        <v>71</v>
      </c>
      <c r="G313" s="38">
        <v>1</v>
      </c>
      <c r="H313" s="54">
        <v>20000</v>
      </c>
      <c r="I313" s="53">
        <v>0</v>
      </c>
      <c r="J313" s="54">
        <v>20000</v>
      </c>
      <c r="K313" s="54">
        <v>20000</v>
      </c>
      <c r="M313" s="45"/>
      <c r="N313" s="45"/>
      <c r="O313" s="45"/>
      <c r="P313" s="45"/>
      <c r="Q313" s="45"/>
      <c r="R313" s="45"/>
      <c r="S313" s="45"/>
      <c r="T313" s="45"/>
      <c r="U313" s="45"/>
      <c r="V313" s="45"/>
      <c r="W313" s="45"/>
      <c r="X313" s="45"/>
      <c r="Y313" s="45"/>
      <c r="Z313" s="56"/>
    </row>
    <row r="314" spans="1:26">
      <c r="A314" s="9" t="s">
        <v>831</v>
      </c>
      <c r="B314" s="40" t="s">
        <v>832</v>
      </c>
      <c r="C314" s="40" t="s">
        <v>216</v>
      </c>
      <c r="D314" s="40"/>
      <c r="E314" s="40" t="s">
        <v>543</v>
      </c>
      <c r="F314" s="40" t="s">
        <v>71</v>
      </c>
      <c r="G314" s="38">
        <v>2</v>
      </c>
      <c r="H314" s="775">
        <v>47324</v>
      </c>
      <c r="I314" s="53">
        <v>0</v>
      </c>
      <c r="J314" s="54">
        <v>47324</v>
      </c>
      <c r="K314" s="54">
        <v>94648</v>
      </c>
      <c r="M314" s="45"/>
      <c r="N314" s="45"/>
      <c r="O314" s="45"/>
      <c r="P314" s="45"/>
      <c r="Q314" s="45"/>
      <c r="R314" s="45"/>
      <c r="S314" s="45"/>
      <c r="T314" s="45"/>
      <c r="U314" s="45"/>
      <c r="V314" s="45"/>
      <c r="W314" s="45"/>
      <c r="X314" s="45"/>
      <c r="Y314" s="45"/>
      <c r="Z314" s="56"/>
    </row>
    <row r="315" spans="1:26">
      <c r="A315" s="9" t="s">
        <v>833</v>
      </c>
      <c r="B315" s="40" t="s">
        <v>834</v>
      </c>
      <c r="C315" s="40" t="s">
        <v>216</v>
      </c>
      <c r="D315" s="40"/>
      <c r="E315" s="40" t="s">
        <v>73</v>
      </c>
      <c r="F315" s="40" t="s">
        <v>71</v>
      </c>
      <c r="G315" s="38">
        <v>1</v>
      </c>
      <c r="H315" s="54">
        <v>25000</v>
      </c>
      <c r="I315" s="53">
        <v>0</v>
      </c>
      <c r="J315" s="54">
        <v>25000</v>
      </c>
      <c r="K315" s="54">
        <v>25000</v>
      </c>
      <c r="M315" s="45"/>
      <c r="N315" s="45"/>
      <c r="O315" s="45"/>
      <c r="P315" s="45"/>
      <c r="Q315" s="45"/>
      <c r="R315" s="45"/>
      <c r="S315" s="45"/>
      <c r="T315" s="45"/>
      <c r="U315" s="45"/>
      <c r="V315" s="45"/>
      <c r="W315" s="45"/>
      <c r="X315" s="45"/>
      <c r="Y315" s="45"/>
      <c r="Z315" s="56"/>
    </row>
    <row r="316" spans="1:26">
      <c r="A316" s="9" t="s">
        <v>835</v>
      </c>
      <c r="B316" s="40" t="s">
        <v>836</v>
      </c>
      <c r="C316" s="40" t="s">
        <v>216</v>
      </c>
      <c r="D316" s="40"/>
      <c r="E316" s="40" t="s">
        <v>73</v>
      </c>
      <c r="F316" s="40" t="s">
        <v>71</v>
      </c>
      <c r="G316" s="38">
        <v>1</v>
      </c>
      <c r="H316" s="54">
        <v>15000</v>
      </c>
      <c r="I316" s="53">
        <v>0</v>
      </c>
      <c r="J316" s="54">
        <v>15000</v>
      </c>
      <c r="K316" s="54">
        <v>15000</v>
      </c>
      <c r="M316" s="45"/>
      <c r="N316" s="45"/>
      <c r="O316" s="45"/>
      <c r="P316" s="45"/>
      <c r="Q316" s="45"/>
      <c r="R316" s="45"/>
      <c r="S316" s="45"/>
      <c r="T316" s="45"/>
      <c r="U316" s="45"/>
      <c r="V316" s="45"/>
      <c r="W316" s="45"/>
      <c r="X316" s="45"/>
      <c r="Y316" s="45"/>
      <c r="Z316" s="56"/>
    </row>
    <row r="317" spans="1:26">
      <c r="A317" s="9" t="s">
        <v>837</v>
      </c>
      <c r="B317" s="40" t="s">
        <v>838</v>
      </c>
      <c r="C317" s="40" t="s">
        <v>216</v>
      </c>
      <c r="D317" s="40"/>
      <c r="E317" s="40" t="s">
        <v>73</v>
      </c>
      <c r="F317" s="40" t="s">
        <v>71</v>
      </c>
      <c r="G317" s="38">
        <v>1</v>
      </c>
      <c r="H317" s="54">
        <v>5000</v>
      </c>
      <c r="I317" s="53">
        <v>0</v>
      </c>
      <c r="J317" s="54">
        <v>5000</v>
      </c>
      <c r="K317" s="54">
        <v>5000</v>
      </c>
      <c r="M317" s="45"/>
      <c r="N317" s="45"/>
      <c r="O317" s="45"/>
      <c r="P317" s="45"/>
      <c r="Q317" s="45"/>
      <c r="R317" s="45"/>
      <c r="S317" s="45"/>
      <c r="T317" s="45"/>
      <c r="U317" s="45"/>
      <c r="V317" s="45"/>
      <c r="W317" s="45"/>
      <c r="X317" s="45"/>
      <c r="Y317" s="45"/>
      <c r="Z317" s="56"/>
    </row>
    <row r="318" spans="1:26">
      <c r="A318" s="9" t="s">
        <v>839</v>
      </c>
      <c r="B318" s="40" t="s">
        <v>840</v>
      </c>
      <c r="C318" s="40" t="s">
        <v>216</v>
      </c>
      <c r="D318" s="40"/>
      <c r="E318" s="40" t="s">
        <v>231</v>
      </c>
      <c r="F318" s="40"/>
      <c r="G318" s="38"/>
      <c r="H318" s="54"/>
      <c r="I318" s="53">
        <v>0</v>
      </c>
      <c r="J318" s="54">
        <v>0</v>
      </c>
      <c r="K318" s="54">
        <v>0</v>
      </c>
      <c r="M318" s="45"/>
      <c r="N318" s="45"/>
      <c r="O318" s="45"/>
      <c r="P318" s="45"/>
      <c r="Q318" s="45"/>
      <c r="R318" s="45"/>
      <c r="S318" s="45"/>
      <c r="T318" s="45"/>
      <c r="U318" s="45"/>
      <c r="V318" s="45"/>
      <c r="W318" s="45"/>
      <c r="X318" s="45"/>
      <c r="Y318" s="45"/>
      <c r="Z318" s="56"/>
    </row>
    <row r="319" spans="1:26">
      <c r="A319" s="7" t="s">
        <v>841</v>
      </c>
      <c r="B319" s="40" t="s">
        <v>842</v>
      </c>
      <c r="C319" s="40" t="s">
        <v>216</v>
      </c>
      <c r="D319" s="40"/>
      <c r="E319" s="40" t="s">
        <v>73</v>
      </c>
      <c r="F319" s="40" t="s">
        <v>71</v>
      </c>
      <c r="G319" s="38">
        <v>1</v>
      </c>
      <c r="H319" s="54">
        <v>1000000</v>
      </c>
      <c r="I319" s="53">
        <v>0</v>
      </c>
      <c r="J319" s="54">
        <v>1000000</v>
      </c>
      <c r="K319" s="54">
        <v>1000000</v>
      </c>
      <c r="M319" s="45"/>
      <c r="N319" s="45"/>
      <c r="O319" s="45"/>
      <c r="P319" s="45"/>
      <c r="Q319" s="45"/>
      <c r="R319" s="45"/>
      <c r="S319" s="45"/>
      <c r="T319" s="45"/>
      <c r="U319" s="45"/>
      <c r="V319" s="45"/>
      <c r="W319" s="45"/>
      <c r="X319" s="45"/>
      <c r="Y319" s="45"/>
      <c r="Z319" s="56"/>
    </row>
    <row r="320" spans="1:26">
      <c r="A320" s="7" t="s">
        <v>843</v>
      </c>
      <c r="B320" s="40" t="s">
        <v>844</v>
      </c>
      <c r="C320" s="40" t="s">
        <v>216</v>
      </c>
      <c r="D320" s="40"/>
      <c r="E320" s="40" t="s">
        <v>733</v>
      </c>
      <c r="F320" s="40" t="s">
        <v>71</v>
      </c>
      <c r="G320" s="38">
        <v>1</v>
      </c>
      <c r="H320" s="54">
        <v>200000</v>
      </c>
      <c r="I320" s="53">
        <v>0</v>
      </c>
      <c r="J320" s="54">
        <v>200000</v>
      </c>
      <c r="K320" s="54">
        <v>200000</v>
      </c>
      <c r="M320" s="45" t="s">
        <v>845</v>
      </c>
      <c r="N320" s="45"/>
      <c r="O320" s="45"/>
      <c r="P320" s="45"/>
      <c r="Q320" s="45"/>
      <c r="R320" s="45"/>
      <c r="S320" s="45"/>
      <c r="T320" s="45"/>
      <c r="U320" s="45"/>
      <c r="V320" s="45"/>
      <c r="W320" s="45"/>
      <c r="X320" s="45"/>
      <c r="Y320" s="45"/>
      <c r="Z320" s="56"/>
    </row>
    <row r="321" spans="1:26">
      <c r="A321" s="9" t="s">
        <v>846</v>
      </c>
      <c r="B321" s="40" t="s">
        <v>630</v>
      </c>
      <c r="C321" s="40" t="s">
        <v>216</v>
      </c>
      <c r="D321" s="40"/>
      <c r="E321" s="40" t="s">
        <v>73</v>
      </c>
      <c r="F321" s="40" t="s">
        <v>71</v>
      </c>
      <c r="G321" s="38">
        <v>1</v>
      </c>
      <c r="H321" s="54">
        <v>25000</v>
      </c>
      <c r="I321" s="53">
        <v>0</v>
      </c>
      <c r="J321" s="54">
        <v>25000</v>
      </c>
      <c r="K321" s="54">
        <v>25000</v>
      </c>
      <c r="M321" s="45"/>
      <c r="N321" s="45"/>
      <c r="O321" s="45"/>
      <c r="P321" s="45"/>
      <c r="Q321" s="45"/>
      <c r="R321" s="45"/>
      <c r="S321" s="45"/>
      <c r="T321" s="45"/>
      <c r="U321" s="45"/>
      <c r="V321" s="45"/>
      <c r="W321" s="45"/>
      <c r="X321" s="45"/>
      <c r="Y321" s="45"/>
      <c r="Z321" s="56"/>
    </row>
    <row r="322" spans="1:26">
      <c r="A322" s="9" t="s">
        <v>847</v>
      </c>
      <c r="B322" s="40" t="s">
        <v>848</v>
      </c>
      <c r="C322" s="40" t="s">
        <v>216</v>
      </c>
      <c r="D322" s="40"/>
      <c r="E322" s="40" t="s">
        <v>73</v>
      </c>
      <c r="F322" s="40" t="s">
        <v>71</v>
      </c>
      <c r="G322" s="38">
        <v>1</v>
      </c>
      <c r="H322" s="54">
        <v>2500</v>
      </c>
      <c r="I322" s="53">
        <v>0</v>
      </c>
      <c r="J322" s="54">
        <v>2500</v>
      </c>
      <c r="K322" s="54">
        <v>2500</v>
      </c>
      <c r="M322" s="45"/>
      <c r="N322" s="45"/>
      <c r="O322" s="45"/>
      <c r="P322" s="45"/>
      <c r="Q322" s="45"/>
      <c r="R322" s="45"/>
      <c r="S322" s="45"/>
      <c r="T322" s="45"/>
      <c r="U322" s="45"/>
      <c r="V322" s="45"/>
      <c r="W322" s="45"/>
      <c r="X322" s="45"/>
      <c r="Y322" s="45"/>
      <c r="Z322" s="56"/>
    </row>
    <row r="323" spans="1:26">
      <c r="A323" s="9" t="s">
        <v>849</v>
      </c>
      <c r="B323" s="40" t="s">
        <v>850</v>
      </c>
      <c r="C323" s="40" t="s">
        <v>216</v>
      </c>
      <c r="D323" s="40"/>
      <c r="E323" s="40" t="s">
        <v>73</v>
      </c>
      <c r="F323" s="40" t="s">
        <v>71</v>
      </c>
      <c r="G323" s="38">
        <v>2</v>
      </c>
      <c r="H323" s="54">
        <v>1500</v>
      </c>
      <c r="I323" s="53">
        <v>0</v>
      </c>
      <c r="J323" s="54">
        <v>1500</v>
      </c>
      <c r="K323" s="54">
        <v>3000</v>
      </c>
      <c r="M323" s="45"/>
      <c r="N323" s="45"/>
      <c r="O323" s="45"/>
      <c r="P323" s="45"/>
      <c r="Q323" s="45"/>
      <c r="R323" s="45"/>
      <c r="S323" s="45"/>
      <c r="T323" s="45"/>
      <c r="U323" s="45"/>
      <c r="V323" s="45"/>
      <c r="W323" s="45"/>
      <c r="X323" s="45"/>
      <c r="Y323" s="45"/>
      <c r="Z323" s="56"/>
    </row>
    <row r="324" spans="1:26">
      <c r="A324" s="4" t="s">
        <v>851</v>
      </c>
      <c r="B324" s="151" t="s">
        <v>852</v>
      </c>
      <c r="C324" s="151"/>
      <c r="D324" s="151"/>
      <c r="E324" s="151"/>
      <c r="F324" s="151"/>
      <c r="G324" s="152"/>
      <c r="H324" s="153"/>
      <c r="I324" s="154"/>
      <c r="J324" s="153"/>
      <c r="K324" s="172"/>
      <c r="L324" s="70">
        <v>3849810.3029161878</v>
      </c>
      <c r="M324" s="45"/>
      <c r="N324" s="45"/>
      <c r="O324" s="45"/>
      <c r="P324" s="45"/>
      <c r="Q324" s="45"/>
      <c r="R324" s="45"/>
      <c r="S324" s="45"/>
      <c r="T324" s="45"/>
      <c r="U324" s="45"/>
      <c r="V324" s="45"/>
      <c r="W324" s="45"/>
      <c r="X324" s="45"/>
      <c r="Y324" s="45"/>
      <c r="Z324" s="56"/>
    </row>
    <row r="325" spans="1:26">
      <c r="A325" s="5" t="s">
        <v>851</v>
      </c>
      <c r="B325" s="65" t="s">
        <v>853</v>
      </c>
      <c r="C325" s="65"/>
      <c r="D325" s="65"/>
      <c r="E325" s="65"/>
      <c r="F325" s="65"/>
      <c r="G325" s="186">
        <v>0.06</v>
      </c>
      <c r="H325" s="64"/>
      <c r="I325" s="157"/>
      <c r="J325" s="158"/>
      <c r="K325" s="159">
        <v>3849810.3029161878</v>
      </c>
      <c r="M325" s="45" t="s">
        <v>854</v>
      </c>
      <c r="N325" s="45"/>
      <c r="O325" s="45"/>
      <c r="P325" s="45"/>
      <c r="Q325" s="45"/>
      <c r="R325" s="45"/>
      <c r="S325" s="45"/>
      <c r="T325" s="45"/>
      <c r="U325" s="45"/>
      <c r="V325" s="45"/>
      <c r="W325" s="45"/>
      <c r="X325" s="45"/>
      <c r="Y325" s="45"/>
      <c r="Z325" s="56"/>
    </row>
    <row r="326" spans="1:26">
      <c r="A326" s="4" t="s">
        <v>855</v>
      </c>
      <c r="B326" s="151" t="s">
        <v>856</v>
      </c>
      <c r="C326" s="151"/>
      <c r="D326" s="151"/>
      <c r="E326" s="151"/>
      <c r="F326" s="151"/>
      <c r="G326" s="152"/>
      <c r="H326" s="153"/>
      <c r="I326" s="154"/>
      <c r="J326" s="153"/>
      <c r="K326" s="172"/>
      <c r="L326" s="70">
        <v>705798.55553463439</v>
      </c>
      <c r="M326" s="45"/>
      <c r="N326" s="45"/>
      <c r="O326" s="45"/>
      <c r="P326" s="45"/>
      <c r="Q326" s="45"/>
      <c r="R326" s="45"/>
      <c r="S326" s="45"/>
      <c r="T326" s="45"/>
      <c r="U326" s="45"/>
      <c r="V326" s="45"/>
      <c r="W326" s="45"/>
      <c r="X326" s="45"/>
      <c r="Y326" s="45"/>
      <c r="Z326" s="56"/>
    </row>
    <row r="327" spans="1:26">
      <c r="A327" s="5" t="s">
        <v>855</v>
      </c>
      <c r="B327" s="65" t="s">
        <v>857</v>
      </c>
      <c r="C327" s="65" t="s">
        <v>858</v>
      </c>
      <c r="D327" s="65"/>
      <c r="E327" s="65"/>
      <c r="F327" s="65"/>
      <c r="G327" s="186">
        <v>1.0999999999999999E-2</v>
      </c>
      <c r="H327" s="64"/>
      <c r="I327" s="157"/>
      <c r="J327" s="158"/>
      <c r="K327" s="159">
        <v>705798.55553463439</v>
      </c>
      <c r="M327" s="45" t="s">
        <v>854</v>
      </c>
      <c r="N327" s="45"/>
      <c r="O327" s="45"/>
      <c r="P327" s="45"/>
      <c r="Q327" s="45"/>
      <c r="R327" s="45"/>
      <c r="S327" s="45"/>
      <c r="T327" s="45"/>
      <c r="U327" s="45"/>
      <c r="V327" s="45"/>
      <c r="W327" s="45"/>
      <c r="X327" s="45"/>
      <c r="Y327" s="45"/>
      <c r="Z327" s="56"/>
    </row>
    <row r="328" spans="1:26">
      <c r="A328" s="4" t="s">
        <v>859</v>
      </c>
      <c r="B328" s="151" t="s">
        <v>856</v>
      </c>
      <c r="C328" s="151"/>
      <c r="D328" s="151"/>
      <c r="E328" s="151"/>
      <c r="F328" s="151"/>
      <c r="G328" s="152"/>
      <c r="H328" s="153"/>
      <c r="I328" s="154"/>
      <c r="J328" s="153"/>
      <c r="K328" s="172"/>
      <c r="L328" s="70">
        <v>680000</v>
      </c>
      <c r="M328" s="45"/>
      <c r="N328" s="45"/>
      <c r="O328" s="45"/>
      <c r="P328" s="45"/>
      <c r="Q328" s="45"/>
      <c r="R328" s="45"/>
      <c r="S328" s="45"/>
      <c r="T328" s="45"/>
      <c r="U328" s="45"/>
      <c r="V328" s="45"/>
      <c r="W328" s="45"/>
      <c r="X328" s="45"/>
      <c r="Y328" s="45"/>
      <c r="Z328" s="56"/>
    </row>
    <row r="329" spans="1:26">
      <c r="A329" s="6" t="s">
        <v>860</v>
      </c>
      <c r="B329" s="47" t="s">
        <v>861</v>
      </c>
      <c r="C329" s="47"/>
      <c r="D329" s="47"/>
      <c r="E329" s="47"/>
      <c r="F329" s="47" t="s">
        <v>862</v>
      </c>
      <c r="G329" s="187">
        <v>3.03</v>
      </c>
      <c r="H329" s="61"/>
      <c r="I329" s="63"/>
      <c r="J329" s="66"/>
      <c r="K329" s="67">
        <v>350000</v>
      </c>
      <c r="M329" s="45" t="s">
        <v>854</v>
      </c>
      <c r="N329" s="45"/>
      <c r="O329" s="45"/>
      <c r="P329" s="45"/>
      <c r="Q329" s="45"/>
      <c r="R329" s="45"/>
      <c r="S329" s="45"/>
      <c r="T329" s="45"/>
      <c r="U329" s="45"/>
      <c r="V329" s="45"/>
      <c r="W329" s="45"/>
      <c r="X329" s="45"/>
      <c r="Y329" s="45"/>
      <c r="Z329" s="56"/>
    </row>
    <row r="330" spans="1:26">
      <c r="A330" s="9" t="s">
        <v>863</v>
      </c>
      <c r="B330" s="40" t="s">
        <v>861</v>
      </c>
      <c r="C330" s="40"/>
      <c r="D330" s="40"/>
      <c r="E330" s="40"/>
      <c r="F330" s="40" t="s">
        <v>864</v>
      </c>
      <c r="G330" s="53">
        <v>0.05</v>
      </c>
      <c r="H330" s="51"/>
      <c r="I330" s="53"/>
      <c r="J330" s="51"/>
      <c r="K330" s="54">
        <v>15000</v>
      </c>
      <c r="M330" s="45" t="s">
        <v>854</v>
      </c>
      <c r="N330" s="45"/>
      <c r="O330" s="45"/>
      <c r="P330" s="45"/>
      <c r="Q330" s="45"/>
      <c r="R330" s="45"/>
      <c r="S330" s="45"/>
      <c r="T330" s="45"/>
      <c r="U330" s="45"/>
      <c r="V330" s="45"/>
      <c r="W330" s="45"/>
      <c r="X330" s="45"/>
      <c r="Y330" s="45"/>
      <c r="Z330" s="56"/>
    </row>
    <row r="331" spans="1:26">
      <c r="A331" s="9" t="s">
        <v>865</v>
      </c>
      <c r="B331" s="40" t="s">
        <v>861</v>
      </c>
      <c r="C331" s="40"/>
      <c r="D331" s="40"/>
      <c r="E331" s="40"/>
      <c r="F331" s="40" t="s">
        <v>866</v>
      </c>
      <c r="G331" s="53">
        <v>0.95</v>
      </c>
      <c r="H331" s="51"/>
      <c r="I331" s="53"/>
      <c r="J331" s="51"/>
      <c r="K331" s="54">
        <v>315000</v>
      </c>
      <c r="M331" s="45" t="s">
        <v>854</v>
      </c>
      <c r="N331" s="45"/>
      <c r="O331" s="45"/>
      <c r="P331" s="45"/>
      <c r="Q331" s="45"/>
      <c r="R331" s="45"/>
      <c r="S331" s="45"/>
      <c r="T331" s="45"/>
      <c r="U331" s="45"/>
      <c r="V331" s="45"/>
      <c r="W331" s="45"/>
      <c r="X331" s="45"/>
      <c r="Y331" s="45"/>
      <c r="Z331" s="56"/>
    </row>
    <row r="332" spans="1:26">
      <c r="A332" s="4" t="s">
        <v>867</v>
      </c>
      <c r="B332" s="151" t="s">
        <v>868</v>
      </c>
      <c r="C332" s="151"/>
      <c r="D332" s="151"/>
      <c r="E332" s="151"/>
      <c r="F332" s="151"/>
      <c r="G332" s="152"/>
      <c r="H332" s="153"/>
      <c r="I332" s="154"/>
      <c r="J332" s="153"/>
      <c r="K332" s="172"/>
      <c r="L332" s="70">
        <v>5344317.6596087851</v>
      </c>
      <c r="M332" s="45"/>
      <c r="N332" s="45"/>
      <c r="O332" s="45"/>
      <c r="P332" s="45"/>
      <c r="Q332" s="45"/>
      <c r="R332" s="45"/>
      <c r="S332" s="45"/>
      <c r="T332" s="45"/>
      <c r="U332" s="45"/>
      <c r="V332" s="45"/>
      <c r="W332" s="45"/>
      <c r="X332" s="45"/>
      <c r="Y332" s="45"/>
      <c r="Z332" s="56"/>
    </row>
    <row r="333" spans="1:26">
      <c r="A333" s="3" t="s">
        <v>869</v>
      </c>
      <c r="B333" s="60" t="s">
        <v>868</v>
      </c>
      <c r="C333" s="60"/>
      <c r="D333" s="60"/>
      <c r="E333" s="60"/>
      <c r="F333" s="60"/>
      <c r="G333" s="188">
        <v>0.02</v>
      </c>
      <c r="H333" s="147"/>
      <c r="I333" s="148"/>
      <c r="J333" s="149"/>
      <c r="K333" s="150">
        <v>1336079.4149021965</v>
      </c>
      <c r="M333" s="45"/>
      <c r="N333" s="45"/>
      <c r="O333" s="45"/>
      <c r="P333" s="45"/>
      <c r="Q333" s="45"/>
      <c r="R333" s="45"/>
      <c r="S333" s="45"/>
      <c r="T333" s="45"/>
      <c r="U333" s="45"/>
      <c r="V333" s="45"/>
      <c r="W333" s="45"/>
      <c r="X333" s="45"/>
      <c r="Y333" s="45"/>
      <c r="Z333" s="56"/>
    </row>
    <row r="334" spans="1:26">
      <c r="A334" s="3" t="s">
        <v>867</v>
      </c>
      <c r="B334" s="60" t="s">
        <v>868</v>
      </c>
      <c r="C334" s="60"/>
      <c r="D334" s="60"/>
      <c r="E334" s="60"/>
      <c r="F334" s="60"/>
      <c r="G334" s="188">
        <v>0.06</v>
      </c>
      <c r="H334" s="147"/>
      <c r="I334" s="148"/>
      <c r="J334" s="149"/>
      <c r="K334" s="150">
        <v>4008238.2447065888</v>
      </c>
      <c r="M334" s="45"/>
      <c r="N334" s="45"/>
      <c r="O334" s="45"/>
      <c r="P334" s="45"/>
      <c r="Q334" s="45"/>
      <c r="R334" s="45"/>
      <c r="S334" s="45"/>
      <c r="T334" s="45"/>
      <c r="U334" s="45"/>
      <c r="V334" s="45"/>
      <c r="W334" s="45"/>
      <c r="X334" s="45"/>
      <c r="Y334" s="45"/>
      <c r="Z334" s="56"/>
    </row>
    <row r="335" spans="1:26" ht="15" thickBot="1">
      <c r="A335" s="16" t="s">
        <v>870</v>
      </c>
      <c r="B335" s="17"/>
      <c r="C335" s="17"/>
      <c r="D335" s="17"/>
      <c r="E335" s="17"/>
      <c r="F335" s="17"/>
      <c r="G335" s="17"/>
      <c r="H335" s="18"/>
      <c r="I335" s="19"/>
      <c r="J335" s="20"/>
      <c r="K335" s="20"/>
      <c r="L335" s="21">
        <v>79847909.010550961</v>
      </c>
      <c r="M335" s="15"/>
      <c r="N335" s="15"/>
      <c r="O335" s="15"/>
      <c r="P335" s="15"/>
      <c r="Q335" s="15"/>
      <c r="R335" s="15"/>
      <c r="S335" s="15"/>
      <c r="T335" s="15"/>
      <c r="U335" s="15"/>
      <c r="V335" s="15"/>
      <c r="W335" s="15"/>
      <c r="X335" s="15"/>
      <c r="Y335" s="15"/>
      <c r="Z335" s="56"/>
    </row>
    <row r="336" spans="1:26" ht="15" thickBot="1">
      <c r="G336" s="56"/>
      <c r="H336" s="56"/>
      <c r="I336" s="189"/>
      <c r="L336" s="190">
        <f>SUM(K20:K335)-L335</f>
        <v>0</v>
      </c>
      <c r="M336" s="190"/>
    </row>
    <row r="337" spans="1:17">
      <c r="A337" s="10" t="s">
        <v>214</v>
      </c>
      <c r="B337" s="88" t="s">
        <v>215</v>
      </c>
      <c r="C337" s="88"/>
      <c r="D337" s="88"/>
      <c r="E337" s="191">
        <f t="shared" ref="E337:E372" si="12">_xlfn.XLOOKUP(A337,$A$20:$A$335,$L$20:$L$335)</f>
        <v>3849810.3029161878</v>
      </c>
      <c r="P337" s="161" t="s">
        <v>871</v>
      </c>
      <c r="Q337" s="92"/>
    </row>
    <row r="338" spans="1:17">
      <c r="A338" s="11" t="s">
        <v>219</v>
      </c>
      <c r="B338" s="86" t="s">
        <v>220</v>
      </c>
      <c r="C338" s="86"/>
      <c r="D338" s="86"/>
      <c r="E338" s="192">
        <f t="shared" si="12"/>
        <v>12000</v>
      </c>
      <c r="P338" s="196">
        <f>SUM(K309:K323,K23:K305)</f>
        <v>64163505.048603132</v>
      </c>
      <c r="Q338" s="96"/>
    </row>
    <row r="339" spans="1:17">
      <c r="A339" s="11" t="s">
        <v>224</v>
      </c>
      <c r="B339" s="86" t="s">
        <v>225</v>
      </c>
      <c r="C339" s="86"/>
      <c r="D339" s="86"/>
      <c r="E339" s="192">
        <f t="shared" si="12"/>
        <v>2546599.198062331</v>
      </c>
      <c r="K339" s="194"/>
      <c r="L339" s="190"/>
      <c r="M339" s="200"/>
      <c r="P339" s="196">
        <f>P338*G325</f>
        <v>3849810.3029161878</v>
      </c>
      <c r="Q339" s="96"/>
    </row>
    <row r="340" spans="1:17" ht="15" thickBot="1">
      <c r="A340" s="11" t="s">
        <v>259</v>
      </c>
      <c r="B340" s="86" t="s">
        <v>260</v>
      </c>
      <c r="C340" s="86"/>
      <c r="D340" s="86"/>
      <c r="E340" s="192">
        <f t="shared" si="12"/>
        <v>0</v>
      </c>
      <c r="L340" s="668"/>
      <c r="P340" s="197">
        <f>P339/B6</f>
        <v>148069.62703523799</v>
      </c>
      <c r="Q340" s="139"/>
    </row>
    <row r="341" spans="1:17">
      <c r="A341" s="11" t="s">
        <v>269</v>
      </c>
      <c r="B341" s="86" t="s">
        <v>270</v>
      </c>
      <c r="C341" s="86"/>
      <c r="D341" s="86"/>
      <c r="E341" s="192">
        <f t="shared" si="12"/>
        <v>275600</v>
      </c>
      <c r="L341" s="190"/>
    </row>
    <row r="342" spans="1:17">
      <c r="A342" s="11" t="s">
        <v>284</v>
      </c>
      <c r="B342" s="86" t="s">
        <v>285</v>
      </c>
      <c r="C342" s="86"/>
      <c r="D342" s="86"/>
      <c r="E342" s="192">
        <f t="shared" si="12"/>
        <v>609026.97560000001</v>
      </c>
      <c r="L342" s="190">
        <f>L324*2+L306+L326+L328+L332</f>
        <v>15684403.961947858</v>
      </c>
    </row>
    <row r="343" spans="1:17">
      <c r="A343" s="11" t="s">
        <v>305</v>
      </c>
      <c r="B343" s="86" t="s">
        <v>306</v>
      </c>
      <c r="C343" s="86"/>
      <c r="D343" s="86"/>
      <c r="E343" s="192">
        <f t="shared" si="12"/>
        <v>9324491</v>
      </c>
      <c r="L343" s="190">
        <f>L335-L342</f>
        <v>64163505.048603103</v>
      </c>
    </row>
    <row r="344" spans="1:17">
      <c r="A344" s="11" t="s">
        <v>335</v>
      </c>
      <c r="B344" s="86" t="s">
        <v>336</v>
      </c>
      <c r="C344" s="86"/>
      <c r="D344" s="86"/>
      <c r="E344" s="192">
        <f t="shared" si="12"/>
        <v>2237303.7714999998</v>
      </c>
      <c r="L344" s="112"/>
    </row>
    <row r="345" spans="1:17">
      <c r="A345" s="11" t="s">
        <v>362</v>
      </c>
      <c r="B345" s="86" t="s">
        <v>363</v>
      </c>
      <c r="C345" s="86"/>
      <c r="D345" s="86"/>
      <c r="E345" s="192">
        <f t="shared" si="12"/>
        <v>690619</v>
      </c>
      <c r="L345" s="112"/>
    </row>
    <row r="346" spans="1:17">
      <c r="A346" s="11" t="s">
        <v>391</v>
      </c>
      <c r="B346" s="86" t="s">
        <v>392</v>
      </c>
      <c r="C346" s="86"/>
      <c r="D346" s="86"/>
      <c r="E346" s="192">
        <f t="shared" si="12"/>
        <v>6934652.5816400005</v>
      </c>
      <c r="K346" s="194"/>
      <c r="L346" s="112"/>
    </row>
    <row r="347" spans="1:17">
      <c r="A347" s="11" t="s">
        <v>467</v>
      </c>
      <c r="B347" s="86" t="s">
        <v>468</v>
      </c>
      <c r="C347" s="86"/>
      <c r="D347" s="86"/>
      <c r="E347" s="192">
        <f t="shared" si="12"/>
        <v>700376.28717948718</v>
      </c>
      <c r="K347" s="194"/>
      <c r="L347" s="112"/>
    </row>
    <row r="348" spans="1:17">
      <c r="A348" s="13" t="s">
        <v>505</v>
      </c>
      <c r="B348" s="101" t="s">
        <v>506</v>
      </c>
      <c r="C348" s="101"/>
      <c r="D348" s="101"/>
      <c r="E348" s="193">
        <f t="shared" si="12"/>
        <v>1385515</v>
      </c>
      <c r="K348" s="194"/>
      <c r="L348" s="112">
        <f>63482311.33-1369774.75</f>
        <v>62112536.579999998</v>
      </c>
    </row>
    <row r="349" spans="1:17">
      <c r="A349" s="10" t="s">
        <v>510</v>
      </c>
      <c r="B349" s="88" t="s">
        <v>511</v>
      </c>
      <c r="C349" s="88"/>
      <c r="D349" s="88"/>
      <c r="E349" s="191">
        <f t="shared" si="12"/>
        <v>2369433.4150845585</v>
      </c>
      <c r="L349" s="112">
        <f>L343-L348</f>
        <v>2050968.4686031044</v>
      </c>
    </row>
    <row r="350" spans="1:17">
      <c r="A350" s="11" t="s">
        <v>534</v>
      </c>
      <c r="B350" s="86" t="s">
        <v>535</v>
      </c>
      <c r="C350" s="86"/>
      <c r="D350" s="86"/>
      <c r="E350" s="192">
        <f t="shared" si="12"/>
        <v>1134489</v>
      </c>
    </row>
    <row r="351" spans="1:17">
      <c r="A351" s="11" t="s">
        <v>546</v>
      </c>
      <c r="B351" s="86" t="s">
        <v>545</v>
      </c>
      <c r="C351" s="86"/>
      <c r="D351" s="86"/>
      <c r="E351" s="192">
        <f t="shared" si="12"/>
        <v>0</v>
      </c>
      <c r="L351" s="190">
        <v>79465440</v>
      </c>
    </row>
    <row r="352" spans="1:17">
      <c r="A352" s="11" t="s">
        <v>547</v>
      </c>
      <c r="B352" s="86" t="s">
        <v>548</v>
      </c>
      <c r="C352" s="86"/>
      <c r="D352" s="86"/>
      <c r="E352" s="192">
        <f t="shared" si="12"/>
        <v>508000</v>
      </c>
      <c r="L352" s="112">
        <f>L351-L335</f>
        <v>-382469.0105509609</v>
      </c>
    </row>
    <row r="353" spans="1:12">
      <c r="A353" s="11" t="s">
        <v>556</v>
      </c>
      <c r="B353" s="86" t="s">
        <v>557</v>
      </c>
      <c r="C353" s="86"/>
      <c r="D353" s="86"/>
      <c r="E353" s="192">
        <f t="shared" si="12"/>
        <v>1322806.25</v>
      </c>
      <c r="L353" s="55">
        <v>1369774.75</v>
      </c>
    </row>
    <row r="354" spans="1:12">
      <c r="A354" s="11" t="s">
        <v>564</v>
      </c>
      <c r="B354" s="86" t="s">
        <v>565</v>
      </c>
      <c r="C354" s="86"/>
      <c r="D354" s="86"/>
      <c r="E354" s="192">
        <f t="shared" si="12"/>
        <v>4783145.5</v>
      </c>
      <c r="L354" s="112">
        <f>L353+L352</f>
        <v>987305.7394490391</v>
      </c>
    </row>
    <row r="355" spans="1:12">
      <c r="A355" s="11" t="s">
        <v>577</v>
      </c>
      <c r="B355" s="86" t="s">
        <v>578</v>
      </c>
      <c r="C355" s="86"/>
      <c r="D355" s="86"/>
      <c r="E355" s="192">
        <f t="shared" si="12"/>
        <v>3866250</v>
      </c>
    </row>
    <row r="356" spans="1:12">
      <c r="A356" s="11" t="s">
        <v>587</v>
      </c>
      <c r="B356" s="86" t="s">
        <v>588</v>
      </c>
      <c r="C356" s="86"/>
      <c r="D356" s="86"/>
      <c r="E356" s="192">
        <f t="shared" si="12"/>
        <v>5287886.1000000006</v>
      </c>
    </row>
    <row r="357" spans="1:12">
      <c r="A357" s="11" t="s">
        <v>627</v>
      </c>
      <c r="B357" s="86" t="s">
        <v>628</v>
      </c>
      <c r="C357" s="86"/>
      <c r="D357" s="86"/>
      <c r="E357" s="192">
        <f t="shared" si="12"/>
        <v>253754.65</v>
      </c>
    </row>
    <row r="358" spans="1:12">
      <c r="A358" s="11" t="s">
        <v>636</v>
      </c>
      <c r="B358" s="86" t="s">
        <v>637</v>
      </c>
      <c r="C358" s="86"/>
      <c r="D358" s="86"/>
      <c r="E358" s="192">
        <f t="shared" si="12"/>
        <v>1349898.75</v>
      </c>
    </row>
    <row r="359" spans="1:12">
      <c r="A359" s="11" t="s">
        <v>644</v>
      </c>
      <c r="B359" s="86" t="s">
        <v>645</v>
      </c>
      <c r="C359" s="86"/>
      <c r="D359" s="86"/>
      <c r="E359" s="192">
        <f t="shared" si="12"/>
        <v>1455055.4581000002</v>
      </c>
    </row>
    <row r="360" spans="1:12">
      <c r="A360" s="13" t="s">
        <v>666</v>
      </c>
      <c r="B360" s="101" t="s">
        <v>667</v>
      </c>
      <c r="C360" s="101"/>
      <c r="D360" s="101"/>
      <c r="E360" s="193">
        <f t="shared" si="12"/>
        <v>7622826.8914367436</v>
      </c>
    </row>
    <row r="361" spans="1:12">
      <c r="A361" s="10" t="s">
        <v>738</v>
      </c>
      <c r="B361" s="88" t="s">
        <v>739</v>
      </c>
      <c r="C361" s="88"/>
      <c r="D361" s="88"/>
      <c r="E361" s="191">
        <f t="shared" si="12"/>
        <v>7092245.0699999984</v>
      </c>
    </row>
    <row r="362" spans="1:12">
      <c r="A362" s="11" t="s">
        <v>774</v>
      </c>
      <c r="B362" s="86" t="s">
        <v>775</v>
      </c>
      <c r="C362" s="86"/>
      <c r="D362" s="86"/>
      <c r="E362" s="192">
        <f t="shared" si="12"/>
        <v>15000</v>
      </c>
    </row>
    <row r="363" spans="1:12">
      <c r="A363" s="11" t="s">
        <v>778</v>
      </c>
      <c r="B363" s="86" t="s">
        <v>779</v>
      </c>
      <c r="C363" s="86"/>
      <c r="D363" s="86"/>
      <c r="E363" s="192">
        <f t="shared" si="12"/>
        <v>469750</v>
      </c>
    </row>
    <row r="364" spans="1:12">
      <c r="A364" s="11" t="s">
        <v>788</v>
      </c>
      <c r="B364" s="86" t="s">
        <v>789</v>
      </c>
      <c r="C364" s="86"/>
      <c r="D364" s="86"/>
      <c r="E364" s="192">
        <f t="shared" si="12"/>
        <v>486632.15</v>
      </c>
    </row>
    <row r="365" spans="1:12">
      <c r="A365" s="11" t="s">
        <v>809</v>
      </c>
      <c r="B365" s="86"/>
      <c r="C365" s="86"/>
      <c r="D365" s="86"/>
      <c r="E365" s="192">
        <f t="shared" si="12"/>
        <v>0</v>
      </c>
    </row>
    <row r="366" spans="1:12">
      <c r="A366" s="11" t="s">
        <v>817</v>
      </c>
      <c r="B366" s="86"/>
      <c r="C366" s="86"/>
      <c r="D366" s="86"/>
      <c r="E366" s="192">
        <f t="shared" si="12"/>
        <v>1254667.1409720625</v>
      </c>
    </row>
    <row r="367" spans="1:12">
      <c r="A367" s="11" t="s">
        <v>820</v>
      </c>
      <c r="B367" s="86"/>
      <c r="C367" s="86"/>
      <c r="D367" s="86"/>
      <c r="E367" s="192">
        <f t="shared" si="12"/>
        <v>1430148</v>
      </c>
    </row>
    <row r="368" spans="1:12">
      <c r="A368" s="11" t="s">
        <v>851</v>
      </c>
      <c r="B368" s="86" t="s">
        <v>852</v>
      </c>
      <c r="C368" s="86"/>
      <c r="D368" s="86"/>
      <c r="E368" s="192">
        <f t="shared" si="12"/>
        <v>3849810.3029161878</v>
      </c>
    </row>
    <row r="369" spans="1:6">
      <c r="A369" s="11" t="s">
        <v>855</v>
      </c>
      <c r="B369" s="86" t="s">
        <v>856</v>
      </c>
      <c r="C369" s="86"/>
      <c r="D369" s="86"/>
      <c r="E369" s="192">
        <f t="shared" si="12"/>
        <v>705798.55553463439</v>
      </c>
    </row>
    <row r="370" spans="1:6">
      <c r="A370" s="11" t="s">
        <v>859</v>
      </c>
      <c r="B370" s="86" t="s">
        <v>856</v>
      </c>
      <c r="C370" s="86"/>
      <c r="D370" s="86"/>
      <c r="E370" s="192">
        <f t="shared" si="12"/>
        <v>680000</v>
      </c>
    </row>
    <row r="371" spans="1:6">
      <c r="A371" s="11" t="s">
        <v>867</v>
      </c>
      <c r="B371" s="86" t="s">
        <v>868</v>
      </c>
      <c r="C371" s="86"/>
      <c r="D371" s="86"/>
      <c r="E371" s="192">
        <f t="shared" si="12"/>
        <v>5344317.6596087851</v>
      </c>
    </row>
    <row r="372" spans="1:6">
      <c r="A372" s="12" t="s">
        <v>870</v>
      </c>
      <c r="B372" s="101"/>
      <c r="C372" s="101"/>
      <c r="D372" s="101"/>
      <c r="E372" s="193">
        <f t="shared" si="12"/>
        <v>79847909.010550961</v>
      </c>
    </row>
    <row r="373" spans="1:6">
      <c r="B373" s="55"/>
      <c r="C373" s="55"/>
      <c r="D373" s="55"/>
      <c r="E373" s="194">
        <f>SUM(E337:E348,E349:E360,E361:E371)-E372</f>
        <v>0</v>
      </c>
    </row>
    <row r="377" spans="1:6">
      <c r="F377" s="23" t="s">
        <v>203</v>
      </c>
    </row>
    <row r="378" spans="1:6">
      <c r="A378" s="14"/>
      <c r="B378" s="22"/>
      <c r="C378" s="22"/>
      <c r="D378" s="22"/>
      <c r="E378" s="22"/>
      <c r="F378" s="23" t="s">
        <v>119</v>
      </c>
    </row>
    <row r="379" spans="1:6">
      <c r="A379" s="14" t="s">
        <v>872</v>
      </c>
      <c r="B379" s="22" t="s">
        <v>215</v>
      </c>
      <c r="C379" s="22"/>
      <c r="D379" s="22"/>
      <c r="E379" s="22"/>
      <c r="F379" s="24">
        <f t="shared" ref="F379:F409" si="13">SUMIF($B$20:$B$335,B379,$L$20:$L$335)</f>
        <v>3849810.3029161878</v>
      </c>
    </row>
    <row r="380" spans="1:6">
      <c r="A380" s="14" t="s">
        <v>873</v>
      </c>
      <c r="B380" s="22" t="s">
        <v>220</v>
      </c>
      <c r="C380" s="22"/>
      <c r="D380" s="22"/>
      <c r="E380" s="22"/>
      <c r="F380" s="24">
        <f t="shared" si="13"/>
        <v>12000</v>
      </c>
    </row>
    <row r="381" spans="1:6">
      <c r="A381" s="14" t="s">
        <v>874</v>
      </c>
      <c r="B381" s="22" t="s">
        <v>225</v>
      </c>
      <c r="C381" s="22"/>
      <c r="D381" s="22"/>
      <c r="E381" s="22"/>
      <c r="F381" s="24">
        <f t="shared" si="13"/>
        <v>2546599.198062331</v>
      </c>
    </row>
    <row r="382" spans="1:6">
      <c r="A382" s="14" t="s">
        <v>875</v>
      </c>
      <c r="B382" s="22" t="s">
        <v>270</v>
      </c>
      <c r="C382" s="22"/>
      <c r="D382" s="22"/>
      <c r="E382" s="22"/>
      <c r="F382" s="24">
        <f t="shared" si="13"/>
        <v>275600</v>
      </c>
    </row>
    <row r="383" spans="1:6">
      <c r="A383" s="14" t="s">
        <v>876</v>
      </c>
      <c r="B383" s="22" t="s">
        <v>285</v>
      </c>
      <c r="C383" s="22"/>
      <c r="D383" s="22"/>
      <c r="E383" s="22"/>
      <c r="F383" s="24">
        <f t="shared" si="13"/>
        <v>609026.97560000001</v>
      </c>
    </row>
    <row r="384" spans="1:6">
      <c r="A384" s="14" t="s">
        <v>877</v>
      </c>
      <c r="B384" s="22" t="s">
        <v>306</v>
      </c>
      <c r="C384" s="22"/>
      <c r="D384" s="22"/>
      <c r="E384" s="22"/>
      <c r="F384" s="24">
        <f t="shared" si="13"/>
        <v>9324491</v>
      </c>
    </row>
    <row r="385" spans="1:6">
      <c r="A385" s="14" t="s">
        <v>878</v>
      </c>
      <c r="B385" s="22" t="s">
        <v>336</v>
      </c>
      <c r="C385" s="22"/>
      <c r="D385" s="22"/>
      <c r="E385" s="22"/>
      <c r="F385" s="24">
        <f t="shared" si="13"/>
        <v>2237303.7714999998</v>
      </c>
    </row>
    <row r="386" spans="1:6">
      <c r="A386" s="14" t="s">
        <v>879</v>
      </c>
      <c r="B386" s="22" t="s">
        <v>363</v>
      </c>
      <c r="C386" s="22"/>
      <c r="D386" s="22"/>
      <c r="E386" s="22"/>
      <c r="F386" s="24">
        <f t="shared" si="13"/>
        <v>690619</v>
      </c>
    </row>
    <row r="387" spans="1:6">
      <c r="A387" s="14" t="s">
        <v>880</v>
      </c>
      <c r="B387" s="22" t="s">
        <v>392</v>
      </c>
      <c r="C387" s="22"/>
      <c r="D387" s="22"/>
      <c r="E387" s="22"/>
      <c r="F387" s="24">
        <f t="shared" si="13"/>
        <v>6934652.5816400005</v>
      </c>
    </row>
    <row r="388" spans="1:6">
      <c r="A388" s="14" t="s">
        <v>881</v>
      </c>
      <c r="B388" s="22" t="s">
        <v>468</v>
      </c>
      <c r="C388" s="22"/>
      <c r="D388" s="22"/>
      <c r="E388" s="22"/>
      <c r="F388" s="24">
        <f t="shared" si="13"/>
        <v>700376.28717948718</v>
      </c>
    </row>
    <row r="389" spans="1:6">
      <c r="A389" s="14" t="s">
        <v>882</v>
      </c>
      <c r="B389" s="22" t="s">
        <v>506</v>
      </c>
      <c r="C389" s="22"/>
      <c r="D389" s="22"/>
      <c r="E389" s="22"/>
      <c r="F389" s="24">
        <f t="shared" si="13"/>
        <v>1385515</v>
      </c>
    </row>
    <row r="390" spans="1:6">
      <c r="A390" s="14" t="s">
        <v>883</v>
      </c>
      <c r="B390" s="22" t="s">
        <v>511</v>
      </c>
      <c r="C390" s="22"/>
      <c r="D390" s="22"/>
      <c r="E390" s="22"/>
      <c r="F390" s="24">
        <f t="shared" si="13"/>
        <v>2369433.4150845585</v>
      </c>
    </row>
    <row r="391" spans="1:6">
      <c r="A391" s="14" t="s">
        <v>884</v>
      </c>
      <c r="B391" s="22" t="s">
        <v>535</v>
      </c>
      <c r="C391" s="22"/>
      <c r="D391" s="22"/>
      <c r="E391" s="22"/>
      <c r="F391" s="24">
        <f t="shared" si="13"/>
        <v>1134489</v>
      </c>
    </row>
    <row r="392" spans="1:6">
      <c r="A392" s="14" t="s">
        <v>885</v>
      </c>
      <c r="B392" s="22" t="s">
        <v>548</v>
      </c>
      <c r="C392" s="22"/>
      <c r="D392" s="22"/>
      <c r="E392" s="22"/>
      <c r="F392" s="24">
        <f t="shared" si="13"/>
        <v>508000</v>
      </c>
    </row>
    <row r="393" spans="1:6">
      <c r="A393" s="14" t="s">
        <v>886</v>
      </c>
      <c r="B393" s="22" t="s">
        <v>557</v>
      </c>
      <c r="C393" s="22"/>
      <c r="D393" s="22"/>
      <c r="E393" s="22"/>
      <c r="F393" s="24">
        <f t="shared" si="13"/>
        <v>1322806.25</v>
      </c>
    </row>
    <row r="394" spans="1:6">
      <c r="A394" s="14" t="s">
        <v>887</v>
      </c>
      <c r="B394" s="22" t="s">
        <v>565</v>
      </c>
      <c r="C394" s="22"/>
      <c r="D394" s="22"/>
      <c r="E394" s="22"/>
      <c r="F394" s="24">
        <f t="shared" si="13"/>
        <v>4783145.5</v>
      </c>
    </row>
    <row r="395" spans="1:6">
      <c r="A395" s="14" t="s">
        <v>888</v>
      </c>
      <c r="B395" s="22" t="s">
        <v>578</v>
      </c>
      <c r="C395" s="22"/>
      <c r="D395" s="22"/>
      <c r="E395" s="22"/>
      <c r="F395" s="24">
        <f t="shared" si="13"/>
        <v>3866250</v>
      </c>
    </row>
    <row r="396" spans="1:6">
      <c r="A396" s="14" t="s">
        <v>889</v>
      </c>
      <c r="B396" s="22" t="s">
        <v>588</v>
      </c>
      <c r="C396" s="22"/>
      <c r="D396" s="22"/>
      <c r="E396" s="22"/>
      <c r="F396" s="24">
        <f t="shared" si="13"/>
        <v>5287886.1000000006</v>
      </c>
    </row>
    <row r="397" spans="1:6">
      <c r="A397" s="14" t="s">
        <v>890</v>
      </c>
      <c r="B397" s="22" t="s">
        <v>628</v>
      </c>
      <c r="C397" s="22"/>
      <c r="D397" s="22"/>
      <c r="E397" s="22"/>
      <c r="F397" s="24">
        <f t="shared" si="13"/>
        <v>253754.65</v>
      </c>
    </row>
    <row r="398" spans="1:6">
      <c r="A398" s="14" t="s">
        <v>891</v>
      </c>
      <c r="B398" s="22" t="s">
        <v>637</v>
      </c>
      <c r="C398" s="22"/>
      <c r="D398" s="22"/>
      <c r="E398" s="22"/>
      <c r="F398" s="24">
        <f t="shared" si="13"/>
        <v>1349898.75</v>
      </c>
    </row>
    <row r="399" spans="1:6">
      <c r="A399" s="14" t="s">
        <v>892</v>
      </c>
      <c r="B399" s="22" t="s">
        <v>645</v>
      </c>
      <c r="C399" s="22"/>
      <c r="D399" s="22"/>
      <c r="E399" s="22"/>
      <c r="F399" s="24">
        <f t="shared" si="13"/>
        <v>1455055.4581000002</v>
      </c>
    </row>
    <row r="400" spans="1:6">
      <c r="A400" s="14" t="s">
        <v>893</v>
      </c>
      <c r="B400" s="22" t="s">
        <v>667</v>
      </c>
      <c r="C400" s="22"/>
      <c r="D400" s="22"/>
      <c r="E400" s="22"/>
      <c r="F400" s="24">
        <f t="shared" si="13"/>
        <v>7622826.8914367436</v>
      </c>
    </row>
    <row r="401" spans="1:7">
      <c r="A401" s="14" t="s">
        <v>894</v>
      </c>
      <c r="B401" s="22" t="s">
        <v>739</v>
      </c>
      <c r="C401" s="22"/>
      <c r="D401" s="22"/>
      <c r="E401" s="22"/>
      <c r="F401" s="24">
        <f t="shared" si="13"/>
        <v>7092245.0699999984</v>
      </c>
    </row>
    <row r="402" spans="1:7">
      <c r="A402" s="14" t="s">
        <v>895</v>
      </c>
      <c r="B402" s="22" t="s">
        <v>775</v>
      </c>
      <c r="C402" s="22"/>
      <c r="D402" s="22"/>
      <c r="E402" s="22"/>
      <c r="F402" s="24">
        <f t="shared" si="13"/>
        <v>15000</v>
      </c>
    </row>
    <row r="403" spans="1:7">
      <c r="A403" s="14" t="s">
        <v>896</v>
      </c>
      <c r="B403" s="22" t="s">
        <v>779</v>
      </c>
      <c r="C403" s="22"/>
      <c r="D403" s="22"/>
      <c r="E403" s="22"/>
      <c r="F403" s="24">
        <f t="shared" si="13"/>
        <v>469750</v>
      </c>
    </row>
    <row r="404" spans="1:7">
      <c r="A404" s="14" t="s">
        <v>897</v>
      </c>
      <c r="B404" s="22" t="s">
        <v>789</v>
      </c>
      <c r="C404" s="22"/>
      <c r="D404" s="22"/>
      <c r="E404" s="22"/>
      <c r="F404" s="24">
        <f t="shared" si="13"/>
        <v>486632.15</v>
      </c>
    </row>
    <row r="405" spans="1:7">
      <c r="A405" s="14" t="s">
        <v>817</v>
      </c>
      <c r="B405" s="22" t="s">
        <v>817</v>
      </c>
      <c r="C405" s="22"/>
      <c r="D405" s="22"/>
      <c r="E405" s="22"/>
      <c r="F405" s="24">
        <f t="shared" si="13"/>
        <v>1254667.1409720625</v>
      </c>
    </row>
    <row r="406" spans="1:7">
      <c r="A406" s="14" t="s">
        <v>821</v>
      </c>
      <c r="B406" s="22" t="s">
        <v>821</v>
      </c>
      <c r="C406" s="22"/>
      <c r="D406" s="22"/>
      <c r="E406" s="22"/>
      <c r="F406" s="24">
        <f t="shared" si="13"/>
        <v>1430148</v>
      </c>
    </row>
    <row r="407" spans="1:7">
      <c r="A407" s="14" t="s">
        <v>898</v>
      </c>
      <c r="B407" s="22" t="s">
        <v>856</v>
      </c>
      <c r="C407" s="22"/>
      <c r="D407" s="22"/>
      <c r="E407" s="22"/>
      <c r="F407" s="24">
        <f t="shared" si="13"/>
        <v>1385798.5555346343</v>
      </c>
    </row>
    <row r="408" spans="1:7">
      <c r="A408" s="14" t="s">
        <v>899</v>
      </c>
      <c r="B408" s="22" t="s">
        <v>852</v>
      </c>
      <c r="C408" s="22"/>
      <c r="D408" s="22"/>
      <c r="E408" s="22"/>
      <c r="F408" s="24">
        <f t="shared" si="13"/>
        <v>3849810.3029161878</v>
      </c>
    </row>
    <row r="409" spans="1:7">
      <c r="A409" s="14" t="s">
        <v>900</v>
      </c>
      <c r="B409" s="22" t="s">
        <v>868</v>
      </c>
      <c r="C409" s="22"/>
      <c r="D409" s="22"/>
      <c r="E409" s="22"/>
      <c r="F409" s="24">
        <f t="shared" si="13"/>
        <v>5344317.6596087851</v>
      </c>
    </row>
    <row r="410" spans="1:7">
      <c r="A410" s="14" t="s">
        <v>119</v>
      </c>
      <c r="B410" s="22"/>
      <c r="C410" s="22"/>
      <c r="D410" s="22"/>
      <c r="E410" s="22"/>
      <c r="F410" s="25">
        <f>SUM(F379:F409)</f>
        <v>79847909.010550961</v>
      </c>
    </row>
    <row r="411" spans="1:7">
      <c r="A411" s="26" t="s">
        <v>901</v>
      </c>
      <c r="B411" s="27"/>
      <c r="C411" s="27"/>
      <c r="D411" s="27"/>
      <c r="E411" s="27"/>
      <c r="F411" s="28">
        <f>$L$335-F410</f>
        <v>0</v>
      </c>
    </row>
    <row r="413" spans="1:7">
      <c r="A413" s="29" t="s">
        <v>902</v>
      </c>
      <c r="B413" s="22"/>
      <c r="C413" s="22"/>
      <c r="D413" s="22"/>
      <c r="E413" s="22"/>
      <c r="F413" s="22"/>
      <c r="G413" s="14"/>
    </row>
    <row r="414" spans="1:7">
      <c r="A414" s="29" t="s">
        <v>903</v>
      </c>
      <c r="B414" s="22"/>
      <c r="C414" s="22"/>
      <c r="D414" s="22"/>
      <c r="E414" s="22"/>
      <c r="F414" s="22"/>
      <c r="G414" s="14"/>
    </row>
    <row r="415" spans="1:7">
      <c r="A415" s="14" t="s">
        <v>431</v>
      </c>
      <c r="B415" s="22" t="s">
        <v>432</v>
      </c>
      <c r="C415" s="22"/>
      <c r="D415" s="22"/>
      <c r="E415" s="22"/>
      <c r="F415" s="24">
        <f t="shared" ref="F415:F425" si="14">SUMIF($B$20:$B$335,B415,$K$20:$K$335)</f>
        <v>597070.13</v>
      </c>
      <c r="G415" s="22" t="s">
        <v>392</v>
      </c>
    </row>
    <row r="416" spans="1:7">
      <c r="A416" s="14" t="s">
        <v>435</v>
      </c>
      <c r="B416" s="22" t="s">
        <v>436</v>
      </c>
      <c r="C416" s="22"/>
      <c r="D416" s="22"/>
      <c r="E416" s="22"/>
      <c r="F416" s="24">
        <f t="shared" si="14"/>
        <v>0</v>
      </c>
      <c r="G416" s="22" t="s">
        <v>392</v>
      </c>
    </row>
    <row r="417" spans="1:7">
      <c r="A417" s="14" t="s">
        <v>437</v>
      </c>
      <c r="B417" s="22" t="s">
        <v>438</v>
      </c>
      <c r="C417" s="22"/>
      <c r="D417" s="22"/>
      <c r="E417" s="22"/>
      <c r="F417" s="24">
        <f t="shared" si="14"/>
        <v>0</v>
      </c>
      <c r="G417" s="22" t="s">
        <v>392</v>
      </c>
    </row>
    <row r="418" spans="1:7">
      <c r="A418" s="14" t="s">
        <v>439</v>
      </c>
      <c r="B418" s="22" t="s">
        <v>440</v>
      </c>
      <c r="C418" s="22"/>
      <c r="D418" s="22"/>
      <c r="E418" s="22"/>
      <c r="F418" s="24">
        <f t="shared" si="14"/>
        <v>221606.95</v>
      </c>
      <c r="G418" s="22" t="s">
        <v>392</v>
      </c>
    </row>
    <row r="419" spans="1:7">
      <c r="A419" s="14" t="s">
        <v>441</v>
      </c>
      <c r="B419" s="22" t="s">
        <v>904</v>
      </c>
      <c r="C419" s="22"/>
      <c r="D419" s="22"/>
      <c r="E419" s="22"/>
      <c r="F419" s="24">
        <f t="shared" si="14"/>
        <v>0</v>
      </c>
      <c r="G419" s="22" t="s">
        <v>392</v>
      </c>
    </row>
    <row r="420" spans="1:7">
      <c r="A420" s="14" t="s">
        <v>442</v>
      </c>
      <c r="B420" s="22" t="s">
        <v>443</v>
      </c>
      <c r="C420" s="22"/>
      <c r="D420" s="22"/>
      <c r="E420" s="22"/>
      <c r="F420" s="24">
        <f t="shared" si="14"/>
        <v>0</v>
      </c>
      <c r="G420" s="22" t="s">
        <v>392</v>
      </c>
    </row>
    <row r="421" spans="1:7">
      <c r="A421" s="14" t="s">
        <v>444</v>
      </c>
      <c r="B421" s="22" t="s">
        <v>445</v>
      </c>
      <c r="C421" s="22"/>
      <c r="D421" s="22"/>
      <c r="E421" s="22"/>
      <c r="F421" s="24">
        <f t="shared" si="14"/>
        <v>0</v>
      </c>
      <c r="G421" s="22" t="s">
        <v>392</v>
      </c>
    </row>
    <row r="422" spans="1:7">
      <c r="A422" s="14" t="s">
        <v>905</v>
      </c>
      <c r="B422" s="22" t="s">
        <v>447</v>
      </c>
      <c r="C422" s="22"/>
      <c r="D422" s="22"/>
      <c r="E422" s="22"/>
      <c r="F422" s="24">
        <f t="shared" si="14"/>
        <v>44551.199999999997</v>
      </c>
      <c r="G422" s="22" t="s">
        <v>392</v>
      </c>
    </row>
    <row r="423" spans="1:7">
      <c r="A423" s="14" t="s">
        <v>906</v>
      </c>
      <c r="B423" s="22" t="s">
        <v>449</v>
      </c>
      <c r="C423" s="22"/>
      <c r="D423" s="22"/>
      <c r="E423" s="22"/>
      <c r="F423" s="24">
        <f t="shared" si="14"/>
        <v>41375</v>
      </c>
      <c r="G423" s="22" t="s">
        <v>392</v>
      </c>
    </row>
    <row r="424" spans="1:7">
      <c r="A424" s="14" t="s">
        <v>507</v>
      </c>
      <c r="B424" s="22" t="s">
        <v>508</v>
      </c>
      <c r="C424" s="22"/>
      <c r="D424" s="22"/>
      <c r="E424" s="22"/>
      <c r="F424" s="24">
        <f t="shared" si="14"/>
        <v>1385515</v>
      </c>
      <c r="G424" s="22" t="s">
        <v>506</v>
      </c>
    </row>
    <row r="425" spans="1:7" ht="16.149999999999999">
      <c r="A425" s="14" t="s">
        <v>513</v>
      </c>
      <c r="B425" s="22" t="s">
        <v>514</v>
      </c>
      <c r="C425" s="22"/>
      <c r="D425" s="22"/>
      <c r="E425" s="22"/>
      <c r="F425" s="30">
        <f t="shared" si="14"/>
        <v>170273.19587628869</v>
      </c>
      <c r="G425" s="22" t="s">
        <v>511</v>
      </c>
    </row>
    <row r="426" spans="1:7">
      <c r="A426" s="14" t="s">
        <v>907</v>
      </c>
      <c r="B426" s="22"/>
      <c r="C426" s="22"/>
      <c r="D426" s="22"/>
      <c r="E426" s="22"/>
      <c r="F426" s="25">
        <f>SUM(F415:F425)</f>
        <v>2460391.475876289</v>
      </c>
      <c r="G426" s="14"/>
    </row>
    <row r="427" spans="1:7">
      <c r="A427" s="14"/>
      <c r="B427" s="22"/>
      <c r="C427" s="22"/>
      <c r="D427" s="22"/>
      <c r="E427" s="22"/>
      <c r="F427" s="22"/>
      <c r="G427" s="14"/>
    </row>
    <row r="428" spans="1:7">
      <c r="A428" s="14"/>
      <c r="B428" s="22"/>
      <c r="C428" s="22"/>
      <c r="D428" s="22"/>
      <c r="E428" s="22"/>
      <c r="F428" s="14"/>
      <c r="G428" s="14"/>
    </row>
    <row r="429" spans="1:7">
      <c r="A429" s="29" t="s">
        <v>908</v>
      </c>
      <c r="B429" s="22"/>
      <c r="C429" s="22"/>
      <c r="D429" s="22"/>
      <c r="E429" s="22"/>
      <c r="F429" s="22"/>
      <c r="G429" s="14"/>
    </row>
    <row r="430" spans="1:7">
      <c r="A430" s="26" t="s">
        <v>909</v>
      </c>
      <c r="B430" s="22"/>
      <c r="C430" s="22"/>
      <c r="D430" s="22"/>
      <c r="E430" s="22"/>
      <c r="F430" s="22"/>
      <c r="G430" s="14"/>
    </row>
    <row r="431" spans="1:7">
      <c r="A431" s="14" t="s">
        <v>910</v>
      </c>
      <c r="B431" s="22">
        <v>2</v>
      </c>
      <c r="C431" s="22"/>
      <c r="D431" s="22"/>
      <c r="E431" s="22"/>
      <c r="F431" s="24">
        <f t="shared" ref="F431:F436" si="15">SUMIF($B$20:$B$335,B431,$L$20:$L$335)</f>
        <v>12000</v>
      </c>
      <c r="G431" s="14"/>
    </row>
    <row r="432" spans="1:7">
      <c r="A432" s="14" t="s">
        <v>911</v>
      </c>
      <c r="B432" s="22">
        <v>31</v>
      </c>
      <c r="C432" s="22"/>
      <c r="D432" s="22"/>
      <c r="E432" s="22"/>
      <c r="F432" s="24">
        <f t="shared" si="15"/>
        <v>1455055.4581000002</v>
      </c>
      <c r="G432" s="14"/>
    </row>
    <row r="433" spans="1:7">
      <c r="A433" s="14" t="s">
        <v>912</v>
      </c>
      <c r="B433" s="22">
        <v>32</v>
      </c>
      <c r="C433" s="22"/>
      <c r="D433" s="22"/>
      <c r="E433" s="22"/>
      <c r="F433" s="24">
        <f t="shared" si="15"/>
        <v>7622826.8914367436</v>
      </c>
      <c r="G433" s="14"/>
    </row>
    <row r="434" spans="1:7">
      <c r="A434" s="14" t="s">
        <v>913</v>
      </c>
      <c r="B434" s="22">
        <v>33</v>
      </c>
      <c r="C434" s="22"/>
      <c r="D434" s="22"/>
      <c r="E434" s="22"/>
      <c r="F434" s="24">
        <f t="shared" si="15"/>
        <v>7092245.0699999984</v>
      </c>
      <c r="G434" s="14"/>
    </row>
    <row r="435" spans="1:7">
      <c r="A435" s="14" t="s">
        <v>914</v>
      </c>
      <c r="B435" s="22">
        <v>34</v>
      </c>
      <c r="C435" s="22"/>
      <c r="D435" s="22"/>
      <c r="E435" s="22"/>
      <c r="F435" s="24">
        <f t="shared" si="15"/>
        <v>15000</v>
      </c>
      <c r="G435" s="14"/>
    </row>
    <row r="436" spans="1:7">
      <c r="A436" s="14" t="s">
        <v>915</v>
      </c>
      <c r="B436" s="22">
        <v>48</v>
      </c>
      <c r="C436" s="22"/>
      <c r="D436" s="22"/>
      <c r="E436" s="22"/>
      <c r="F436" s="24">
        <f t="shared" si="15"/>
        <v>469750</v>
      </c>
      <c r="G436" s="14"/>
    </row>
    <row r="437" spans="1:7">
      <c r="A437" s="14"/>
      <c r="B437" s="22"/>
      <c r="C437" s="22"/>
      <c r="D437" s="22"/>
      <c r="E437" s="22"/>
      <c r="F437" s="24"/>
      <c r="G437" s="14"/>
    </row>
    <row r="438" spans="1:7">
      <c r="A438" s="26" t="s">
        <v>916</v>
      </c>
      <c r="B438" s="22"/>
      <c r="C438" s="22"/>
      <c r="D438" s="22"/>
      <c r="E438" s="22"/>
      <c r="F438" s="24"/>
      <c r="G438" s="14"/>
    </row>
    <row r="439" spans="1:7">
      <c r="A439" s="14" t="s">
        <v>172</v>
      </c>
      <c r="B439" s="22" t="s">
        <v>539</v>
      </c>
      <c r="C439" s="22"/>
      <c r="D439" s="22"/>
      <c r="E439" s="22"/>
      <c r="F439" s="24">
        <f t="shared" ref="F439:F446" si="16">SUMIF($B$20:$B$335,B439,$K$20:$K$335)</f>
        <v>859500</v>
      </c>
      <c r="G439" s="14"/>
    </row>
    <row r="440" spans="1:7">
      <c r="A440" s="14" t="s">
        <v>307</v>
      </c>
      <c r="B440" s="22" t="s">
        <v>308</v>
      </c>
      <c r="C440" s="22"/>
      <c r="D440" s="22"/>
      <c r="E440" s="22"/>
      <c r="F440" s="24">
        <f t="shared" si="16"/>
        <v>0</v>
      </c>
      <c r="G440" s="14"/>
    </row>
    <row r="441" spans="1:7">
      <c r="A441" s="14" t="s">
        <v>917</v>
      </c>
      <c r="B441" s="22"/>
      <c r="C441" s="22"/>
      <c r="D441" s="22"/>
      <c r="E441" s="22"/>
      <c r="F441" s="24">
        <f t="shared" si="16"/>
        <v>0</v>
      </c>
      <c r="G441" s="14"/>
    </row>
    <row r="442" spans="1:7">
      <c r="A442" s="14" t="s">
        <v>918</v>
      </c>
      <c r="B442" s="22"/>
      <c r="C442" s="22"/>
      <c r="D442" s="22"/>
      <c r="E442" s="22"/>
      <c r="F442" s="24">
        <f t="shared" si="16"/>
        <v>0</v>
      </c>
      <c r="G442" s="14"/>
    </row>
    <row r="443" spans="1:7">
      <c r="A443" s="14" t="s">
        <v>536</v>
      </c>
      <c r="B443" s="22" t="s">
        <v>537</v>
      </c>
      <c r="C443" s="22"/>
      <c r="D443" s="22"/>
      <c r="E443" s="22"/>
      <c r="F443" s="24">
        <f t="shared" si="16"/>
        <v>267940</v>
      </c>
      <c r="G443" s="14"/>
    </row>
    <row r="444" spans="1:7">
      <c r="A444" s="14" t="s">
        <v>479</v>
      </c>
      <c r="B444" s="22" t="s">
        <v>919</v>
      </c>
      <c r="C444" s="22"/>
      <c r="D444" s="22"/>
      <c r="E444" s="22"/>
      <c r="F444" s="24">
        <f t="shared" si="16"/>
        <v>0</v>
      </c>
      <c r="G444" s="14"/>
    </row>
    <row r="445" spans="1:7">
      <c r="A445" s="14" t="s">
        <v>608</v>
      </c>
      <c r="B445" s="22" t="s">
        <v>920</v>
      </c>
      <c r="C445" s="22"/>
      <c r="D445" s="22"/>
      <c r="E445" s="22"/>
      <c r="F445" s="24">
        <f t="shared" si="16"/>
        <v>0</v>
      </c>
      <c r="G445" s="14"/>
    </row>
    <row r="446" spans="1:7">
      <c r="A446" s="14" t="s">
        <v>234</v>
      </c>
      <c r="B446" s="22" t="s">
        <v>227</v>
      </c>
      <c r="C446" s="22"/>
      <c r="D446" s="22"/>
      <c r="E446" s="14"/>
      <c r="F446" s="24">
        <f t="shared" si="16"/>
        <v>1689598.2750000001</v>
      </c>
      <c r="G446" s="14"/>
    </row>
    <row r="447" spans="1:7">
      <c r="A447" s="29" t="s">
        <v>921</v>
      </c>
      <c r="B447" s="23"/>
      <c r="C447" s="23"/>
      <c r="D447" s="23"/>
      <c r="E447" s="29"/>
      <c r="F447" s="31">
        <f>SUM(F431:F446)</f>
        <v>19483915.694536738</v>
      </c>
      <c r="G447" s="14"/>
    </row>
    <row r="448" spans="1:7">
      <c r="A448" s="14"/>
      <c r="B448" s="22"/>
      <c r="C448" s="22"/>
      <c r="D448" s="22"/>
      <c r="E448" s="14"/>
      <c r="F448" s="14"/>
      <c r="G448" s="14"/>
    </row>
    <row r="449" spans="1:7">
      <c r="A449" s="14"/>
      <c r="B449" s="14"/>
      <c r="C449" s="14"/>
      <c r="D449" s="14"/>
      <c r="E449" s="14"/>
      <c r="F449" s="14"/>
      <c r="G449" s="14"/>
    </row>
    <row r="450" spans="1:7">
      <c r="A450" s="14" t="s">
        <v>732</v>
      </c>
      <c r="B450" s="22" t="s">
        <v>922</v>
      </c>
      <c r="C450" s="22"/>
      <c r="D450" s="22"/>
      <c r="E450" s="32" t="s">
        <v>923</v>
      </c>
      <c r="F450" s="22"/>
      <c r="G450" s="14"/>
    </row>
    <row r="451" spans="1:7">
      <c r="A451" s="14" t="s">
        <v>734</v>
      </c>
      <c r="B451" s="22" t="s">
        <v>924</v>
      </c>
      <c r="C451" s="22"/>
      <c r="D451" s="22"/>
      <c r="E451" s="32" t="s">
        <v>923</v>
      </c>
      <c r="F451" s="22"/>
      <c r="G451" s="14"/>
    </row>
    <row r="452" spans="1:7">
      <c r="A452" s="14" t="s">
        <v>736</v>
      </c>
      <c r="B452" s="22" t="s">
        <v>925</v>
      </c>
      <c r="C452" s="22"/>
      <c r="D452" s="22"/>
      <c r="E452" s="32" t="s">
        <v>923</v>
      </c>
      <c r="F452" s="22"/>
      <c r="G452" s="14"/>
    </row>
    <row r="453" spans="1:7">
      <c r="A453" s="14" t="s">
        <v>737</v>
      </c>
      <c r="B453" s="22" t="s">
        <v>926</v>
      </c>
      <c r="C453" s="22"/>
      <c r="D453" s="22"/>
      <c r="E453" s="32" t="s">
        <v>923</v>
      </c>
      <c r="F453" s="22"/>
      <c r="G453" s="14"/>
    </row>
    <row r="454" spans="1:7">
      <c r="A454" s="14" t="s">
        <v>751</v>
      </c>
      <c r="B454" s="22" t="s">
        <v>927</v>
      </c>
      <c r="C454" s="22"/>
      <c r="D454" s="22"/>
      <c r="E454" s="32" t="s">
        <v>928</v>
      </c>
      <c r="F454" s="22"/>
      <c r="G454" s="14"/>
    </row>
    <row r="455" spans="1:7">
      <c r="A455" s="14" t="s">
        <v>770</v>
      </c>
      <c r="B455" s="22" t="s">
        <v>929</v>
      </c>
      <c r="C455" s="22"/>
      <c r="D455" s="22"/>
      <c r="E455" s="32" t="s">
        <v>928</v>
      </c>
      <c r="F455" s="22"/>
      <c r="G455" s="14"/>
    </row>
    <row r="456" spans="1:7">
      <c r="A456" s="14" t="s">
        <v>771</v>
      </c>
      <c r="B456" s="22" t="s">
        <v>930</v>
      </c>
      <c r="C456" s="22"/>
      <c r="D456" s="22"/>
      <c r="E456" s="32" t="s">
        <v>928</v>
      </c>
      <c r="F456" s="22"/>
      <c r="G456" s="14"/>
    </row>
    <row r="457" spans="1:7">
      <c r="A457" s="14" t="s">
        <v>773</v>
      </c>
      <c r="B457" s="22" t="s">
        <v>931</v>
      </c>
      <c r="C457" s="22"/>
      <c r="D457" s="22"/>
      <c r="E457" s="32" t="s">
        <v>928</v>
      </c>
      <c r="F457" s="14"/>
      <c r="G457" s="14"/>
    </row>
    <row r="458" spans="1:7">
      <c r="A458" s="14" t="s">
        <v>776</v>
      </c>
      <c r="B458" s="22" t="s">
        <v>932</v>
      </c>
      <c r="C458" s="22"/>
      <c r="D458" s="22"/>
      <c r="E458" s="32" t="s">
        <v>933</v>
      </c>
      <c r="F458" s="14"/>
      <c r="G458" s="14"/>
    </row>
    <row r="459" spans="1:7">
      <c r="A459" s="14" t="s">
        <v>234</v>
      </c>
      <c r="B459" s="22" t="s">
        <v>227</v>
      </c>
      <c r="C459" s="22"/>
      <c r="D459" s="22"/>
      <c r="E459" s="22"/>
      <c r="F459" s="14"/>
      <c r="G459" s="14"/>
    </row>
    <row r="460" spans="1:7">
      <c r="A460" s="14"/>
      <c r="B460" s="22"/>
      <c r="C460" s="22"/>
      <c r="D460" s="22"/>
      <c r="E460" s="22"/>
      <c r="F460" s="14"/>
      <c r="G460" s="14"/>
    </row>
    <row r="461" spans="1:7">
      <c r="A461" s="29" t="s">
        <v>934</v>
      </c>
      <c r="B461" s="22"/>
      <c r="C461" s="22"/>
      <c r="D461" s="22"/>
      <c r="E461" s="22"/>
      <c r="F461" s="14"/>
      <c r="G461" s="14"/>
    </row>
    <row r="462" spans="1:7">
      <c r="A462" s="29" t="s">
        <v>935</v>
      </c>
      <c r="B462" s="22"/>
      <c r="C462" s="22"/>
      <c r="D462" s="22"/>
      <c r="E462" s="22"/>
      <c r="F462" s="14"/>
      <c r="G462" s="14"/>
    </row>
    <row r="463" spans="1:7">
      <c r="A463" s="14" t="s">
        <v>479</v>
      </c>
      <c r="B463" s="22" t="s">
        <v>919</v>
      </c>
      <c r="C463" s="22"/>
      <c r="D463" s="22"/>
      <c r="E463" s="22"/>
      <c r="F463" s="24">
        <f t="shared" ref="F463:F473" si="17">SUMIF($B$20:$B$335,B463,$K$20:$K$335)</f>
        <v>0</v>
      </c>
      <c r="G463" s="14"/>
    </row>
    <row r="464" spans="1:7">
      <c r="A464" s="14" t="s">
        <v>608</v>
      </c>
      <c r="B464" s="22" t="s">
        <v>920</v>
      </c>
      <c r="C464" s="22"/>
      <c r="D464" s="22"/>
      <c r="E464" s="22"/>
      <c r="F464" s="24">
        <f t="shared" si="17"/>
        <v>0</v>
      </c>
      <c r="G464" s="14"/>
    </row>
    <row r="465" spans="1:7">
      <c r="A465" s="14" t="s">
        <v>732</v>
      </c>
      <c r="B465" s="22" t="s">
        <v>922</v>
      </c>
      <c r="C465" s="22"/>
      <c r="D465" s="22"/>
      <c r="E465" s="22"/>
      <c r="F465" s="24">
        <f t="shared" si="17"/>
        <v>0</v>
      </c>
      <c r="G465" s="14"/>
    </row>
    <row r="466" spans="1:7">
      <c r="A466" s="14" t="s">
        <v>734</v>
      </c>
      <c r="B466" s="22" t="s">
        <v>924</v>
      </c>
      <c r="C466" s="22"/>
      <c r="D466" s="22"/>
      <c r="E466" s="22"/>
      <c r="F466" s="24">
        <f t="shared" si="17"/>
        <v>0</v>
      </c>
      <c r="G466" s="14"/>
    </row>
    <row r="467" spans="1:7">
      <c r="A467" s="14" t="s">
        <v>736</v>
      </c>
      <c r="B467" s="22" t="s">
        <v>925</v>
      </c>
      <c r="C467" s="22"/>
      <c r="D467" s="22"/>
      <c r="E467" s="22"/>
      <c r="F467" s="24">
        <f t="shared" si="17"/>
        <v>0</v>
      </c>
      <c r="G467" s="14"/>
    </row>
    <row r="468" spans="1:7">
      <c r="A468" s="14" t="s">
        <v>737</v>
      </c>
      <c r="B468" s="22" t="s">
        <v>926</v>
      </c>
      <c r="C468" s="22"/>
      <c r="D468" s="22"/>
      <c r="E468" s="22"/>
      <c r="F468" s="24">
        <f t="shared" si="17"/>
        <v>0</v>
      </c>
      <c r="G468" s="14"/>
    </row>
    <row r="469" spans="1:7">
      <c r="A469" s="14" t="s">
        <v>770</v>
      </c>
      <c r="B469" s="22" t="s">
        <v>929</v>
      </c>
      <c r="C469" s="22"/>
      <c r="D469" s="22"/>
      <c r="E469" s="22"/>
      <c r="F469" s="24">
        <f t="shared" si="17"/>
        <v>0</v>
      </c>
      <c r="G469" s="14"/>
    </row>
    <row r="470" spans="1:7">
      <c r="A470" s="14" t="s">
        <v>771</v>
      </c>
      <c r="B470" s="22" t="s">
        <v>930</v>
      </c>
      <c r="C470" s="22"/>
      <c r="D470" s="22"/>
      <c r="E470" s="22"/>
      <c r="F470" s="24">
        <f t="shared" si="17"/>
        <v>0</v>
      </c>
      <c r="G470" s="14"/>
    </row>
    <row r="471" spans="1:7">
      <c r="A471" s="14" t="s">
        <v>751</v>
      </c>
      <c r="B471" s="22" t="s">
        <v>927</v>
      </c>
      <c r="C471" s="22"/>
      <c r="D471" s="22"/>
      <c r="E471" s="22"/>
      <c r="F471" s="24">
        <f t="shared" si="17"/>
        <v>0</v>
      </c>
      <c r="G471" s="14"/>
    </row>
    <row r="472" spans="1:7">
      <c r="A472" s="14" t="s">
        <v>773</v>
      </c>
      <c r="B472" s="22" t="s">
        <v>931</v>
      </c>
      <c r="C472" s="22"/>
      <c r="D472" s="22"/>
      <c r="E472" s="22"/>
      <c r="F472" s="24">
        <f t="shared" si="17"/>
        <v>0</v>
      </c>
      <c r="G472" s="14"/>
    </row>
    <row r="473" spans="1:7">
      <c r="A473" s="14" t="s">
        <v>776</v>
      </c>
      <c r="B473" s="22" t="s">
        <v>932</v>
      </c>
      <c r="C473" s="22"/>
      <c r="D473" s="22"/>
      <c r="E473" s="22"/>
      <c r="F473" s="24">
        <f t="shared" si="17"/>
        <v>0</v>
      </c>
      <c r="G473" s="14"/>
    </row>
    <row r="474" spans="1:7">
      <c r="A474" s="14"/>
      <c r="B474" s="22"/>
      <c r="C474" s="22"/>
      <c r="D474" s="22"/>
      <c r="E474" s="22"/>
      <c r="F474" s="14"/>
      <c r="G474" s="14"/>
    </row>
    <row r="475" spans="1:7">
      <c r="A475" s="29" t="s">
        <v>936</v>
      </c>
      <c r="B475" s="22"/>
      <c r="C475" s="22"/>
      <c r="D475" s="22"/>
      <c r="E475" s="22"/>
      <c r="F475" s="14"/>
      <c r="G475" s="14"/>
    </row>
    <row r="476" spans="1:7">
      <c r="A476" s="26" t="s">
        <v>909</v>
      </c>
      <c r="B476" s="22"/>
      <c r="C476" s="22"/>
      <c r="D476" s="22"/>
      <c r="E476" s="22"/>
      <c r="F476" s="14"/>
      <c r="G476" s="14"/>
    </row>
    <row r="477" spans="1:7">
      <c r="A477" s="14" t="s">
        <v>259</v>
      </c>
      <c r="B477" s="22" t="s">
        <v>260</v>
      </c>
      <c r="C477" s="22"/>
      <c r="D477" s="22"/>
      <c r="E477" s="22"/>
      <c r="F477" s="24">
        <f>SUMIF($B$20:$B$335,B477,$K$20:$K$335)</f>
        <v>0</v>
      </c>
      <c r="G477" s="14"/>
    </row>
    <row r="478" spans="1:7">
      <c r="A478" s="14"/>
      <c r="B478" s="22"/>
      <c r="C478" s="22"/>
      <c r="D478" s="22"/>
      <c r="E478" s="22"/>
      <c r="F478" s="14"/>
      <c r="G478" s="14"/>
    </row>
    <row r="479" spans="1:7">
      <c r="A479" s="26" t="s">
        <v>916</v>
      </c>
      <c r="B479" s="22"/>
      <c r="C479" s="22"/>
      <c r="D479" s="22"/>
      <c r="E479" s="22"/>
      <c r="F479" s="14"/>
      <c r="G479" s="14"/>
    </row>
    <row r="480" spans="1:7">
      <c r="A480" s="14" t="s">
        <v>234</v>
      </c>
      <c r="B480" s="22" t="s">
        <v>227</v>
      </c>
      <c r="C480" s="22"/>
      <c r="D480" s="22"/>
      <c r="E480" s="22"/>
      <c r="F480" s="24">
        <f t="shared" ref="F480:F529" si="18">SUMIF($B$20:$B$335,B480,$K$20:$K$335)</f>
        <v>1689598.2750000001</v>
      </c>
      <c r="G480" s="14"/>
    </row>
    <row r="481" spans="1:7">
      <c r="A481" s="14" t="s">
        <v>240</v>
      </c>
      <c r="B481" s="22" t="s">
        <v>241</v>
      </c>
      <c r="C481" s="22"/>
      <c r="D481" s="22"/>
      <c r="E481" s="22"/>
      <c r="F481" s="24">
        <f t="shared" si="18"/>
        <v>2500</v>
      </c>
      <c r="G481" s="14"/>
    </row>
    <row r="482" spans="1:7">
      <c r="A482" s="14" t="s">
        <v>243</v>
      </c>
      <c r="B482" s="22" t="s">
        <v>244</v>
      </c>
      <c r="C482" s="22"/>
      <c r="D482" s="22"/>
      <c r="E482" s="22"/>
      <c r="F482" s="24">
        <f t="shared" si="18"/>
        <v>23500</v>
      </c>
      <c r="G482" s="14"/>
    </row>
    <row r="483" spans="1:7">
      <c r="A483" s="14" t="s">
        <v>248</v>
      </c>
      <c r="B483" s="22" t="s">
        <v>249</v>
      </c>
      <c r="C483" s="22"/>
      <c r="D483" s="22"/>
      <c r="E483" s="22"/>
      <c r="F483" s="24">
        <f t="shared" si="18"/>
        <v>4000</v>
      </c>
      <c r="G483" s="14"/>
    </row>
    <row r="484" spans="1:7">
      <c r="A484" s="14" t="s">
        <v>256</v>
      </c>
      <c r="B484" s="22" t="s">
        <v>257</v>
      </c>
      <c r="C484" s="22"/>
      <c r="D484" s="22"/>
      <c r="E484" s="22"/>
      <c r="F484" s="24">
        <f t="shared" si="18"/>
        <v>70606.233062330633</v>
      </c>
      <c r="G484" s="14"/>
    </row>
    <row r="485" spans="1:7">
      <c r="A485" s="14" t="s">
        <v>279</v>
      </c>
      <c r="B485" s="22" t="s">
        <v>280</v>
      </c>
      <c r="C485" s="22"/>
      <c r="D485" s="22"/>
      <c r="E485" s="22"/>
      <c r="F485" s="24">
        <f t="shared" si="18"/>
        <v>40000</v>
      </c>
      <c r="G485" s="14"/>
    </row>
    <row r="486" spans="1:7">
      <c r="A486" s="14" t="s">
        <v>937</v>
      </c>
      <c r="B486" s="22" t="s">
        <v>282</v>
      </c>
      <c r="C486" s="22"/>
      <c r="D486" s="22"/>
      <c r="E486" s="22"/>
      <c r="F486" s="24">
        <f t="shared" si="18"/>
        <v>15000</v>
      </c>
      <c r="G486" s="14"/>
    </row>
    <row r="487" spans="1:7">
      <c r="A487" s="14" t="s">
        <v>294</v>
      </c>
      <c r="B487" s="22" t="s">
        <v>295</v>
      </c>
      <c r="C487" s="22"/>
      <c r="D487" s="22"/>
      <c r="E487" s="22"/>
      <c r="F487" s="24">
        <f t="shared" si="18"/>
        <v>0</v>
      </c>
      <c r="G487" s="14"/>
    </row>
    <row r="488" spans="1:7">
      <c r="A488" s="14" t="s">
        <v>296</v>
      </c>
      <c r="B488" s="22" t="s">
        <v>297</v>
      </c>
      <c r="C488" s="22"/>
      <c r="D488" s="22"/>
      <c r="E488" s="22"/>
      <c r="F488" s="24">
        <f t="shared" si="18"/>
        <v>2000</v>
      </c>
      <c r="G488" s="14"/>
    </row>
    <row r="489" spans="1:7">
      <c r="A489" s="14" t="s">
        <v>315</v>
      </c>
      <c r="B489" s="22" t="s">
        <v>316</v>
      </c>
      <c r="C489" s="22"/>
      <c r="D489" s="22"/>
      <c r="E489" s="22"/>
      <c r="F489" s="24">
        <f t="shared" si="18"/>
        <v>15000</v>
      </c>
      <c r="G489" s="14"/>
    </row>
    <row r="490" spans="1:7">
      <c r="A490" s="14" t="s">
        <v>317</v>
      </c>
      <c r="B490" s="22" t="s">
        <v>318</v>
      </c>
      <c r="C490" s="22"/>
      <c r="D490" s="22"/>
      <c r="E490" s="22"/>
      <c r="F490" s="24">
        <f t="shared" si="18"/>
        <v>20000</v>
      </c>
      <c r="G490" s="14"/>
    </row>
    <row r="491" spans="1:7">
      <c r="A491" s="14" t="s">
        <v>319</v>
      </c>
      <c r="B491" s="22" t="s">
        <v>320</v>
      </c>
      <c r="C491" s="22"/>
      <c r="D491" s="22"/>
      <c r="E491" s="22"/>
      <c r="F491" s="24">
        <f t="shared" si="18"/>
        <v>0</v>
      </c>
      <c r="G491" s="14"/>
    </row>
    <row r="492" spans="1:7">
      <c r="A492" s="14" t="s">
        <v>321</v>
      </c>
      <c r="B492" s="22" t="s">
        <v>322</v>
      </c>
      <c r="C492" s="22"/>
      <c r="D492" s="22"/>
      <c r="E492" s="22"/>
      <c r="F492" s="24">
        <f t="shared" si="18"/>
        <v>0</v>
      </c>
      <c r="G492" s="14"/>
    </row>
    <row r="493" spans="1:7">
      <c r="A493" s="14" t="s">
        <v>331</v>
      </c>
      <c r="B493" s="22" t="s">
        <v>332</v>
      </c>
      <c r="C493" s="22"/>
      <c r="D493" s="22"/>
      <c r="E493" s="22"/>
      <c r="F493" s="24">
        <f t="shared" si="18"/>
        <v>9600</v>
      </c>
      <c r="G493" s="14"/>
    </row>
    <row r="494" spans="1:7">
      <c r="A494" s="14" t="s">
        <v>344</v>
      </c>
      <c r="B494" s="22" t="s">
        <v>345</v>
      </c>
      <c r="C494" s="22"/>
      <c r="D494" s="22"/>
      <c r="E494" s="22"/>
      <c r="F494" s="24">
        <f t="shared" si="18"/>
        <v>15000</v>
      </c>
      <c r="G494" s="14"/>
    </row>
    <row r="495" spans="1:7">
      <c r="A495" s="14" t="s">
        <v>346</v>
      </c>
      <c r="B495" s="22" t="s">
        <v>345</v>
      </c>
      <c r="C495" s="22"/>
      <c r="D495" s="22"/>
      <c r="E495" s="22"/>
      <c r="F495" s="24">
        <f t="shared" si="18"/>
        <v>15000</v>
      </c>
      <c r="G495" s="14"/>
    </row>
    <row r="496" spans="1:7">
      <c r="A496" s="14" t="s">
        <v>378</v>
      </c>
      <c r="B496" s="22" t="s">
        <v>379</v>
      </c>
      <c r="C496" s="22"/>
      <c r="D496" s="22"/>
      <c r="E496" s="22"/>
      <c r="F496" s="24">
        <f t="shared" si="18"/>
        <v>0</v>
      </c>
      <c r="G496" s="14"/>
    </row>
    <row r="497" spans="1:7">
      <c r="A497" s="14" t="s">
        <v>380</v>
      </c>
      <c r="B497" s="22" t="s">
        <v>381</v>
      </c>
      <c r="C497" s="22"/>
      <c r="D497" s="22"/>
      <c r="E497" s="22"/>
      <c r="F497" s="24">
        <f t="shared" si="18"/>
        <v>0</v>
      </c>
      <c r="G497" s="14"/>
    </row>
    <row r="498" spans="1:7">
      <c r="A498" s="14" t="s">
        <v>407</v>
      </c>
      <c r="B498" s="22" t="s">
        <v>406</v>
      </c>
      <c r="C498" s="22"/>
      <c r="D498" s="22"/>
      <c r="E498" s="22"/>
      <c r="F498" s="24">
        <f t="shared" si="18"/>
        <v>1164052.60164</v>
      </c>
      <c r="G498" s="14"/>
    </row>
    <row r="499" spans="1:7">
      <c r="A499" s="14" t="s">
        <v>412</v>
      </c>
      <c r="B499" s="22" t="s">
        <v>406</v>
      </c>
      <c r="C499" s="22"/>
      <c r="D499" s="22"/>
      <c r="E499" s="22"/>
      <c r="F499" s="24">
        <f t="shared" si="18"/>
        <v>1164052.60164</v>
      </c>
      <c r="G499" s="14"/>
    </row>
    <row r="500" spans="1:7">
      <c r="A500" s="14" t="s">
        <v>938</v>
      </c>
      <c r="B500" s="22" t="s">
        <v>406</v>
      </c>
      <c r="C500" s="22"/>
      <c r="D500" s="22"/>
      <c r="E500" s="22"/>
      <c r="F500" s="24">
        <f t="shared" si="18"/>
        <v>1164052.60164</v>
      </c>
      <c r="G500" s="14"/>
    </row>
    <row r="501" spans="1:7">
      <c r="A501" s="14" t="s">
        <v>471</v>
      </c>
      <c r="B501" s="22" t="s">
        <v>472</v>
      </c>
      <c r="C501" s="22"/>
      <c r="D501" s="22"/>
      <c r="E501" s="22"/>
      <c r="F501" s="24">
        <f t="shared" si="18"/>
        <v>82680</v>
      </c>
      <c r="G501" s="14"/>
    </row>
    <row r="502" spans="1:7">
      <c r="A502" s="14" t="s">
        <v>489</v>
      </c>
      <c r="B502" s="22" t="s">
        <v>490</v>
      </c>
      <c r="C502" s="22"/>
      <c r="D502" s="22"/>
      <c r="E502" s="22"/>
      <c r="F502" s="24">
        <f t="shared" si="18"/>
        <v>3500</v>
      </c>
      <c r="G502" s="14"/>
    </row>
    <row r="503" spans="1:7">
      <c r="A503" s="14" t="s">
        <v>491</v>
      </c>
      <c r="B503" s="22" t="s">
        <v>492</v>
      </c>
      <c r="C503" s="22"/>
      <c r="D503" s="22"/>
      <c r="E503" s="22"/>
      <c r="F503" s="24">
        <f t="shared" si="18"/>
        <v>26880</v>
      </c>
      <c r="G503" s="14"/>
    </row>
    <row r="504" spans="1:7">
      <c r="A504" s="14" t="s">
        <v>531</v>
      </c>
      <c r="B504" s="22" t="s">
        <v>532</v>
      </c>
      <c r="C504" s="22"/>
      <c r="D504" s="22"/>
      <c r="E504" s="22"/>
      <c r="F504" s="24">
        <f t="shared" si="18"/>
        <v>48000</v>
      </c>
      <c r="G504" s="14"/>
    </row>
    <row r="505" spans="1:7">
      <c r="A505" s="14" t="s">
        <v>536</v>
      </c>
      <c r="B505" s="22" t="s">
        <v>537</v>
      </c>
      <c r="C505" s="22"/>
      <c r="D505" s="22"/>
      <c r="E505" s="22"/>
      <c r="F505" s="24">
        <f t="shared" si="18"/>
        <v>267940</v>
      </c>
      <c r="G505" s="14"/>
    </row>
    <row r="506" spans="1:7">
      <c r="A506" s="14" t="s">
        <v>172</v>
      </c>
      <c r="B506" s="22" t="s">
        <v>539</v>
      </c>
      <c r="C506" s="22"/>
      <c r="D506" s="22"/>
      <c r="E506" s="22"/>
      <c r="F506" s="24">
        <f t="shared" si="18"/>
        <v>859500</v>
      </c>
      <c r="G506" s="14"/>
    </row>
    <row r="507" spans="1:7">
      <c r="A507" s="14" t="s">
        <v>541</v>
      </c>
      <c r="B507" s="22" t="s">
        <v>542</v>
      </c>
      <c r="C507" s="22"/>
      <c r="D507" s="22"/>
      <c r="E507" s="22"/>
      <c r="F507" s="24">
        <f t="shared" si="18"/>
        <v>7049</v>
      </c>
      <c r="G507" s="14"/>
    </row>
    <row r="508" spans="1:7">
      <c r="A508" s="14" t="s">
        <v>553</v>
      </c>
      <c r="B508" s="22" t="s">
        <v>554</v>
      </c>
      <c r="C508" s="22"/>
      <c r="D508" s="22"/>
      <c r="E508" s="22"/>
      <c r="F508" s="24">
        <f t="shared" si="18"/>
        <v>13000</v>
      </c>
      <c r="G508" s="14"/>
    </row>
    <row r="509" spans="1:7">
      <c r="A509" s="14" t="s">
        <v>572</v>
      </c>
      <c r="B509" s="22" t="s">
        <v>573</v>
      </c>
      <c r="C509" s="22"/>
      <c r="D509" s="22"/>
      <c r="E509" s="22"/>
      <c r="F509" s="24">
        <f t="shared" si="18"/>
        <v>24612</v>
      </c>
      <c r="G509" s="14"/>
    </row>
    <row r="510" spans="1:7">
      <c r="A510" s="14" t="s">
        <v>575</v>
      </c>
      <c r="B510" s="22" t="s">
        <v>576</v>
      </c>
      <c r="C510" s="22"/>
      <c r="D510" s="22"/>
      <c r="E510" s="22"/>
      <c r="F510" s="24">
        <f t="shared" si="18"/>
        <v>6000</v>
      </c>
      <c r="G510" s="14"/>
    </row>
    <row r="511" spans="1:7">
      <c r="A511" s="14" t="s">
        <v>601</v>
      </c>
      <c r="B511" s="22" t="s">
        <v>591</v>
      </c>
      <c r="C511" s="22"/>
      <c r="D511" s="22"/>
      <c r="E511" s="22"/>
      <c r="F511" s="24">
        <f t="shared" si="18"/>
        <v>4355958.1000000006</v>
      </c>
      <c r="G511" s="14"/>
    </row>
    <row r="512" spans="1:7">
      <c r="A512" s="14" t="s">
        <v>604</v>
      </c>
      <c r="B512" s="22" t="s">
        <v>595</v>
      </c>
      <c r="C512" s="22"/>
      <c r="D512" s="22"/>
      <c r="E512" s="22"/>
      <c r="F512" s="24">
        <f t="shared" si="18"/>
        <v>293250</v>
      </c>
      <c r="G512" s="14"/>
    </row>
    <row r="513" spans="1:7">
      <c r="A513" s="14" t="s">
        <v>605</v>
      </c>
      <c r="B513" s="22" t="s">
        <v>591</v>
      </c>
      <c r="C513" s="22"/>
      <c r="D513" s="22"/>
      <c r="E513" s="22"/>
      <c r="F513" s="24">
        <f t="shared" si="18"/>
        <v>4355958.1000000006</v>
      </c>
      <c r="G513" s="14"/>
    </row>
    <row r="514" spans="1:7">
      <c r="A514" s="14" t="s">
        <v>606</v>
      </c>
      <c r="B514" s="22" t="s">
        <v>607</v>
      </c>
      <c r="C514" s="22"/>
      <c r="D514" s="22"/>
      <c r="E514" s="22"/>
      <c r="F514" s="24">
        <f t="shared" si="18"/>
        <v>5000</v>
      </c>
      <c r="G514" s="14"/>
    </row>
    <row r="515" spans="1:7">
      <c r="A515" s="14" t="s">
        <v>619</v>
      </c>
      <c r="B515" s="22" t="s">
        <v>620</v>
      </c>
      <c r="C515" s="22"/>
      <c r="D515" s="22"/>
      <c r="E515" s="22"/>
      <c r="F515" s="24">
        <f t="shared" si="18"/>
        <v>50000</v>
      </c>
      <c r="G515" s="14"/>
    </row>
    <row r="516" spans="1:7">
      <c r="A516" s="14" t="s">
        <v>621</v>
      </c>
      <c r="B516" s="22" t="s">
        <v>622</v>
      </c>
      <c r="C516" s="22"/>
      <c r="D516" s="22"/>
      <c r="E516" s="22"/>
      <c r="F516" s="24">
        <f t="shared" si="18"/>
        <v>20000</v>
      </c>
      <c r="G516" s="14"/>
    </row>
    <row r="517" spans="1:7">
      <c r="A517" s="14" t="s">
        <v>623</v>
      </c>
      <c r="B517" s="22" t="s">
        <v>624</v>
      </c>
      <c r="C517" s="22"/>
      <c r="D517" s="22"/>
      <c r="E517" s="22"/>
      <c r="F517" s="24">
        <f t="shared" si="18"/>
        <v>2500</v>
      </c>
      <c r="G517" s="14"/>
    </row>
    <row r="518" spans="1:7">
      <c r="A518" s="14" t="s">
        <v>625</v>
      </c>
      <c r="B518" s="22" t="s">
        <v>591</v>
      </c>
      <c r="C518" s="22"/>
      <c r="D518" s="22"/>
      <c r="E518" s="22"/>
      <c r="F518" s="24">
        <f t="shared" si="18"/>
        <v>4355958.1000000006</v>
      </c>
      <c r="G518" s="14"/>
    </row>
    <row r="519" spans="1:7">
      <c r="A519" s="14" t="s">
        <v>626</v>
      </c>
      <c r="B519" s="22" t="s">
        <v>595</v>
      </c>
      <c r="C519" s="22"/>
      <c r="D519" s="22"/>
      <c r="E519" s="22"/>
      <c r="F519" s="24">
        <f t="shared" si="18"/>
        <v>293250</v>
      </c>
      <c r="G519" s="14"/>
    </row>
    <row r="520" spans="1:7">
      <c r="A520" s="14" t="s">
        <v>679</v>
      </c>
      <c r="B520" s="22" t="s">
        <v>680</v>
      </c>
      <c r="C520" s="22"/>
      <c r="D520" s="22"/>
      <c r="E520" s="22"/>
      <c r="F520" s="24">
        <f t="shared" si="18"/>
        <v>46380</v>
      </c>
      <c r="G520" s="14"/>
    </row>
    <row r="521" spans="1:7">
      <c r="A521" s="14" t="s">
        <v>689</v>
      </c>
      <c r="B521" s="22" t="s">
        <v>690</v>
      </c>
      <c r="C521" s="22"/>
      <c r="D521" s="22"/>
      <c r="E521" s="22"/>
      <c r="F521" s="24">
        <f t="shared" si="18"/>
        <v>10000</v>
      </c>
      <c r="G521" s="14"/>
    </row>
    <row r="522" spans="1:7">
      <c r="A522" s="14" t="s">
        <v>161</v>
      </c>
      <c r="B522" s="22" t="s">
        <v>703</v>
      </c>
      <c r="C522" s="22"/>
      <c r="D522" s="22"/>
      <c r="E522" s="22"/>
      <c r="F522" s="24">
        <f t="shared" si="18"/>
        <v>35900</v>
      </c>
      <c r="G522" s="14"/>
    </row>
    <row r="523" spans="1:7">
      <c r="A523" s="14" t="s">
        <v>722</v>
      </c>
      <c r="B523" s="22" t="s">
        <v>723</v>
      </c>
      <c r="C523" s="22"/>
      <c r="D523" s="22"/>
      <c r="E523" s="22"/>
      <c r="F523" s="24">
        <f t="shared" si="18"/>
        <v>60000</v>
      </c>
      <c r="G523" s="14"/>
    </row>
    <row r="524" spans="1:7">
      <c r="A524" s="14" t="s">
        <v>827</v>
      </c>
      <c r="B524" s="22" t="s">
        <v>828</v>
      </c>
      <c r="C524" s="22"/>
      <c r="D524" s="22"/>
      <c r="E524" s="22"/>
      <c r="F524" s="24">
        <f t="shared" si="18"/>
        <v>20000</v>
      </c>
      <c r="G524" s="14"/>
    </row>
    <row r="525" spans="1:7">
      <c r="A525" s="14" t="s">
        <v>829</v>
      </c>
      <c r="B525" s="22" t="s">
        <v>830</v>
      </c>
      <c r="C525" s="22"/>
      <c r="D525" s="22"/>
      <c r="E525" s="22"/>
      <c r="F525" s="24">
        <f t="shared" si="18"/>
        <v>20000</v>
      </c>
      <c r="G525" s="14"/>
    </row>
    <row r="526" spans="1:7">
      <c r="A526" s="14" t="s">
        <v>831</v>
      </c>
      <c r="B526" s="22" t="s">
        <v>832</v>
      </c>
      <c r="C526" s="22"/>
      <c r="D526" s="22"/>
      <c r="E526" s="22"/>
      <c r="F526" s="24">
        <f t="shared" si="18"/>
        <v>94648</v>
      </c>
      <c r="G526" s="14"/>
    </row>
    <row r="527" spans="1:7">
      <c r="A527" s="14" t="s">
        <v>939</v>
      </c>
      <c r="B527" s="22" t="s">
        <v>834</v>
      </c>
      <c r="C527" s="22"/>
      <c r="D527" s="22"/>
      <c r="E527" s="22"/>
      <c r="F527" s="24">
        <f t="shared" si="18"/>
        <v>25000</v>
      </c>
      <c r="G527" s="14"/>
    </row>
    <row r="528" spans="1:7">
      <c r="A528" s="14" t="s">
        <v>846</v>
      </c>
      <c r="B528" s="22" t="s">
        <v>630</v>
      </c>
      <c r="C528" s="22"/>
      <c r="D528" s="22"/>
      <c r="E528" s="22"/>
      <c r="F528" s="24">
        <f t="shared" si="18"/>
        <v>28600</v>
      </c>
      <c r="G528" s="14"/>
    </row>
    <row r="529" spans="1:7">
      <c r="A529" s="14" t="s">
        <v>847</v>
      </c>
      <c r="B529" s="22" t="s">
        <v>848</v>
      </c>
      <c r="C529" s="22"/>
      <c r="D529" s="22"/>
      <c r="E529" s="22"/>
      <c r="F529" s="24">
        <f t="shared" si="18"/>
        <v>2500</v>
      </c>
      <c r="G529" s="14"/>
    </row>
  </sheetData>
  <autoFilter ref="A19:M373" xr:uid="{705B4724-39A6-4B76-8B6A-9DAEE3A59253}"/>
  <mergeCells count="7">
    <mergeCell ref="M164:Y164"/>
    <mergeCell ref="M79:Y79"/>
    <mergeCell ref="M80:Y80"/>
    <mergeCell ref="M114:Y114"/>
    <mergeCell ref="M121:Y121"/>
    <mergeCell ref="M124:Y124"/>
    <mergeCell ref="M162:W162"/>
  </mergeCells>
  <conditionalFormatting sqref="A2:B11 E20:L20 E21:K21 E22:L22 E23:K23 E24:L24 E25:K33 E34:L35 E36:K43 E44:L44 E45:K49 E50:L50 E51:K58 E59:L59 E60:K71 E72:L72 E73:K83 M74:Y78 M79 M81:Y89 E84:L84 E85:K99 E100:L100 E101:K114 A115:K115 E116:K138 E139:L139 E140:K155 E156:L156 A157:K158 E159:L159 E160:K167 E168:L168 E169:K171 E172:L172 E173:K173 E174:L174 E175:K176 E177:L177 E178:K180 E181:L181 E182:K186 E187:L187 A188:K189 E190:L190 E191:K208 E209:L209 E210:K212 E213:L213 E214:K216 E217:L217 E218:K226 E227:L227 E228:K263 E264:L264 E265:K280 E281:L281 E282:K282 E283:L283 E284:K286 E287:L287 E288:K296 E297:L297 E298:K305 E306:L306 A307:K307 E308:K308 E309:L309 E310:K323 E324:L324 E325:K325 E326:L326 E327:K327 E328:L328 E329:K331 E332:L332 A333:K334 A335:L335">
    <cfRule type="expression" dxfId="159" priority="3">
      <formula>MOD(ROW(),2)</formula>
    </cfRule>
  </conditionalFormatting>
  <conditionalFormatting sqref="A13:B17">
    <cfRule type="expression" dxfId="158" priority="6">
      <formula>MOD(ROW(),2)=0</formula>
    </cfRule>
  </conditionalFormatting>
  <conditionalFormatting sqref="A20:D114 A116:D156 A159:D187 A190:D306 A308:D332">
    <cfRule type="expression" dxfId="157" priority="13">
      <formula>MOD(ROW(),2)</formula>
    </cfRule>
  </conditionalFormatting>
  <conditionalFormatting sqref="D3:F7">
    <cfRule type="expression" dxfId="156" priority="17">
      <formula>MOD(ROW(),2)=0</formula>
    </cfRule>
  </conditionalFormatting>
  <conditionalFormatting sqref="D10:F16">
    <cfRule type="expression" dxfId="155" priority="9">
      <formula>MOD(ROW(),2)</formula>
    </cfRule>
  </conditionalFormatting>
  <conditionalFormatting sqref="D15:F15">
    <cfRule type="expression" dxfId="154" priority="16">
      <formula>MOD(ROW(),2)=0</formula>
    </cfRule>
  </conditionalFormatting>
  <conditionalFormatting sqref="E373">
    <cfRule type="cellIs" dxfId="153" priority="11" operator="lessThan">
      <formula>0</formula>
    </cfRule>
    <cfRule type="cellIs" dxfId="152" priority="12" operator="greaterThan">
      <formula>0</formula>
    </cfRule>
  </conditionalFormatting>
  <conditionalFormatting sqref="H3:O7">
    <cfRule type="expression" dxfId="151" priority="4">
      <formula>MOD(ROW(),2)</formula>
    </cfRule>
  </conditionalFormatting>
  <conditionalFormatting sqref="L336:M336">
    <cfRule type="cellIs" dxfId="150" priority="10" operator="lessThan">
      <formula>0</formula>
    </cfRule>
    <cfRule type="cellIs" dxfId="149" priority="14" operator="greaterThan">
      <formula>0</formula>
    </cfRule>
  </conditionalFormatting>
  <conditionalFormatting sqref="M20:Y72 M73 M90 M91:Y113 M114 M115:Y120 M121 M122:Y123 M124 M125:Y161 M162 M163:Y163 M164 M165:Y169 M170 M171:Y174 M175 M176:Y199 M200:M201">
    <cfRule type="expression" dxfId="148" priority="8">
      <formula>MOD(ROW(),2)</formula>
    </cfRule>
  </conditionalFormatting>
  <conditionalFormatting sqref="M202:Y334">
    <cfRule type="expression" dxfId="147" priority="1">
      <formula>MOD(ROW(),2)</formula>
    </cfRule>
  </conditionalFormatting>
  <conditionalFormatting sqref="P5:R18">
    <cfRule type="expression" dxfId="146" priority="7">
      <formula>MOD(ROW(),2)</formula>
    </cfRule>
  </conditionalFormatting>
  <conditionalFormatting sqref="P1:X3">
    <cfRule type="expression" dxfId="145" priority="15">
      <formula>MOD(ROW(),2)</formula>
    </cfRule>
  </conditionalFormatting>
  <conditionalFormatting sqref="S4:X18">
    <cfRule type="expression" dxfId="144" priority="2">
      <formula>MOD(ROW(),2)</formula>
    </cfRule>
  </conditionalFormatting>
  <conditionalFormatting sqref="AP4:AT8">
    <cfRule type="expression" dxfId="143" priority="5">
      <formula>MOD(ROW(),2)=0</formula>
    </cfRule>
  </conditionalFormatting>
  <dataValidations count="2">
    <dataValidation type="list" allowBlank="1" showInputMessage="1" showErrorMessage="1" sqref="B3" xr:uid="{74825328-E1BA-49D8-A286-BE2FE3BA519F}">
      <formula1>"Level 1, Level 2, Level 3"</formula1>
    </dataValidation>
    <dataValidation type="list" allowBlank="1" showInputMessage="1" showErrorMessage="1" sqref="B4" xr:uid="{F489B534-8C0D-43E3-A10B-825AB0BA5BA6}">
      <formula1>"Urban, Market, Senior, Afforable"</formula1>
    </dataValidation>
  </dataValidations>
  <printOptions horizontalCentered="1"/>
  <pageMargins left="0.25" right="0.25" top="0.7" bottom="0.5" header="0.35" footer="0.05"/>
  <pageSetup paperSize="3" scale="51" fitToHeight="0" orientation="landscape" horizontalDpi="1200" verticalDpi="1200" r:id="rId1"/>
  <headerFooter>
    <oddHeader>&amp;R&amp;G</oddHeader>
  </headerFooter>
  <rowBreaks count="3" manualBreakCount="3">
    <brk id="83" max="25" man="1"/>
    <brk id="173" max="25" man="1"/>
    <brk id="263" max="24"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2C05-248B-4034-874F-8E7DBA69CAE8}">
  <sheetPr>
    <tabColor rgb="FFFF0000"/>
    <pageSetUpPr fitToPage="1"/>
  </sheetPr>
  <dimension ref="A1:BB529"/>
  <sheetViews>
    <sheetView showGridLines="0" view="pageBreakPreview" zoomScale="70" zoomScaleNormal="100" zoomScaleSheetLayoutView="70" workbookViewId="0">
      <pane xSplit="1" ySplit="19" topLeftCell="B20" activePane="bottomRight" state="frozen"/>
      <selection pane="bottomRight" activeCell="L40" sqref="L40"/>
      <selection pane="bottomLeft" activeCell="A20" sqref="A20"/>
      <selection pane="topRight" activeCell="B1" sqref="B1"/>
    </sheetView>
  </sheetViews>
  <sheetFormatPr defaultColWidth="9.140625" defaultRowHeight="14.45"/>
  <cols>
    <col min="1" max="1" width="39" style="55" customWidth="1"/>
    <col min="2" max="2" width="17.85546875" style="56" customWidth="1"/>
    <col min="3" max="3" width="15.140625" style="56" customWidth="1"/>
    <col min="4" max="4" width="20" style="56" customWidth="1"/>
    <col min="5" max="5" width="17.4257812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3.140625" style="55" customWidth="1"/>
    <col min="12" max="12" width="28.140625" style="55" bestFit="1" customWidth="1"/>
    <col min="13" max="13" width="16.5703125" style="55" customWidth="1"/>
    <col min="14"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26" width="9.140625" style="55"/>
    <col min="27" max="27" width="12.85546875" style="55" bestFit="1" customWidth="1"/>
    <col min="28" max="28" width="13.5703125" style="55" customWidth="1"/>
    <col min="29" max="29" width="11.140625" style="55" customWidth="1"/>
    <col min="30" max="30" width="13" style="55" customWidth="1"/>
    <col min="31" max="31" width="10.5703125" style="55" customWidth="1"/>
    <col min="32" max="32" width="11.5703125" style="55" customWidth="1"/>
    <col min="33" max="33" width="10.28515625" style="55" bestFit="1" customWidth="1"/>
    <col min="34" max="35" width="9.140625" style="55"/>
    <col min="36" max="36" width="12" style="55" customWidth="1"/>
    <col min="37" max="37" width="9.140625" style="55"/>
    <col min="38" max="38" width="10.7109375" style="55" customWidth="1"/>
    <col min="39" max="41" width="9.140625" style="55"/>
    <col min="42" max="42" width="21.85546875" style="55" customWidth="1"/>
    <col min="43" max="43" width="9.140625" style="55"/>
    <col min="44" max="44" width="13.140625" style="55" customWidth="1"/>
    <col min="45" max="45" width="10.5703125" style="55" bestFit="1" customWidth="1"/>
    <col min="46" max="46" width="12.85546875" style="55" customWidth="1"/>
    <col min="47" max="48" width="9.140625" style="55"/>
    <col min="49" max="49" width="13" style="55" customWidth="1"/>
    <col min="50" max="51" width="9.140625" style="55"/>
    <col min="52" max="52" width="13" style="55" customWidth="1"/>
    <col min="53" max="53" width="10.5703125" style="55" bestFit="1" customWidth="1"/>
    <col min="54" max="54" width="13.140625" style="55" bestFit="1" customWidth="1"/>
    <col min="55" max="16384" width="9.140625" style="55"/>
  </cols>
  <sheetData>
    <row r="1" spans="1:54" ht="15"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54" ht="15"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82">
        <f>'Level 1.1 UPDATE A'!Q2</f>
        <v>149760</v>
      </c>
      <c r="R2" s="83" t="s">
        <v>95</v>
      </c>
      <c r="S2" s="84" t="s">
        <v>96</v>
      </c>
      <c r="T2" s="48">
        <f>(14.42+12.35+13.12+11.52)*K8</f>
        <v>9150.98</v>
      </c>
      <c r="U2" s="59" t="s">
        <v>61</v>
      </c>
      <c r="V2" s="84" t="s">
        <v>1036</v>
      </c>
      <c r="W2" s="48"/>
      <c r="X2" s="59" t="s">
        <v>61</v>
      </c>
      <c r="AP2" s="55" t="s">
        <v>98</v>
      </c>
      <c r="AW2" s="55" t="s">
        <v>99</v>
      </c>
    </row>
    <row r="3" spans="1:54">
      <c r="A3" s="85" t="s">
        <v>105</v>
      </c>
      <c r="B3" s="86" t="s">
        <v>37</v>
      </c>
      <c r="D3" s="87" t="s">
        <v>106</v>
      </c>
      <c r="E3" s="88">
        <v>0</v>
      </c>
      <c r="F3" s="89">
        <f t="shared" ref="F3:F8" si="0">E3/$E$8</f>
        <v>0</v>
      </c>
      <c r="H3" s="86">
        <v>1</v>
      </c>
      <c r="I3" s="86">
        <v>3</v>
      </c>
      <c r="J3" s="86">
        <f>SUM(K3:N3)</f>
        <v>169</v>
      </c>
      <c r="K3" s="86">
        <v>87</v>
      </c>
      <c r="L3" s="86">
        <v>17</v>
      </c>
      <c r="M3" s="86">
        <v>48</v>
      </c>
      <c r="N3" s="86">
        <v>17</v>
      </c>
      <c r="O3" s="48">
        <v>185300</v>
      </c>
      <c r="P3" s="84" t="s">
        <v>107</v>
      </c>
      <c r="Q3" s="48">
        <v>4</v>
      </c>
      <c r="R3" s="59" t="s">
        <v>108</v>
      </c>
      <c r="S3" s="84" t="s">
        <v>109</v>
      </c>
      <c r="T3" s="48">
        <f>L8*(43.46+3.6+7.5)</f>
        <v>2673.44</v>
      </c>
      <c r="U3" s="59" t="s">
        <v>61</v>
      </c>
      <c r="V3" s="84" t="s">
        <v>1037</v>
      </c>
      <c r="W3" s="48"/>
      <c r="X3" s="59" t="s">
        <v>61</v>
      </c>
      <c r="AA3" s="90" t="s">
        <v>110</v>
      </c>
      <c r="AB3" s="91"/>
      <c r="AC3" s="91"/>
      <c r="AD3" s="91"/>
      <c r="AE3" s="91" t="s">
        <v>111</v>
      </c>
      <c r="AF3" s="92">
        <f>21*7</f>
        <v>147</v>
      </c>
      <c r="AH3" s="90" t="s">
        <v>112</v>
      </c>
      <c r="AI3" s="91"/>
      <c r="AJ3" s="91"/>
      <c r="AK3" s="91"/>
      <c r="AL3" s="91" t="s">
        <v>111</v>
      </c>
      <c r="AM3" s="92">
        <f>15000+6560+6500+15400+4570+4635+4540+4250</f>
        <v>61455</v>
      </c>
      <c r="AP3" s="78" t="s">
        <v>83</v>
      </c>
      <c r="AQ3" s="79" t="s">
        <v>84</v>
      </c>
      <c r="AR3" s="79" t="s">
        <v>113</v>
      </c>
      <c r="AS3" s="79" t="s">
        <v>85</v>
      </c>
      <c r="AT3" s="79" t="s">
        <v>85</v>
      </c>
      <c r="AW3" s="55" t="s">
        <v>114</v>
      </c>
      <c r="AX3" s="55" t="s">
        <v>115</v>
      </c>
      <c r="AY3" s="55" t="s">
        <v>116</v>
      </c>
      <c r="AZ3" s="55" t="s">
        <v>117</v>
      </c>
      <c r="BA3" s="55" t="s">
        <v>118</v>
      </c>
      <c r="BB3" s="55" t="s">
        <v>119</v>
      </c>
    </row>
    <row r="4" spans="1:54">
      <c r="A4" s="85" t="s">
        <v>2</v>
      </c>
      <c r="B4" s="86" t="s">
        <v>120</v>
      </c>
      <c r="D4" s="93" t="s">
        <v>89</v>
      </c>
      <c r="E4" s="86">
        <f>K8</f>
        <v>178</v>
      </c>
      <c r="F4" s="94">
        <f>E4/$E$8</f>
        <v>0.4564102564102564</v>
      </c>
      <c r="H4" s="86">
        <v>2</v>
      </c>
      <c r="I4" s="86">
        <v>2</v>
      </c>
      <c r="J4" s="86">
        <f t="shared" ref="J4" si="1">SUM(K4:N4)</f>
        <v>24</v>
      </c>
      <c r="K4" s="86">
        <v>9</v>
      </c>
      <c r="L4" s="86">
        <v>7</v>
      </c>
      <c r="M4" s="86">
        <v>8</v>
      </c>
      <c r="N4" s="86">
        <v>0</v>
      </c>
      <c r="O4" s="48">
        <v>24353</v>
      </c>
      <c r="P4" s="95" t="s">
        <v>121</v>
      </c>
      <c r="Q4" s="56">
        <v>12</v>
      </c>
      <c r="R4" s="96" t="s">
        <v>108</v>
      </c>
      <c r="S4" s="84" t="s">
        <v>122</v>
      </c>
      <c r="T4" s="48">
        <f>(13+13+12+12.5+6.3)*6+(8.5+16+13+7+11)*46</f>
        <v>2893.8</v>
      </c>
      <c r="U4" s="59" t="s">
        <v>61</v>
      </c>
      <c r="V4" s="84" t="s">
        <v>1038</v>
      </c>
      <c r="W4" s="48"/>
      <c r="X4" s="59" t="s">
        <v>61</v>
      </c>
      <c r="AA4" s="95" t="s">
        <v>123</v>
      </c>
      <c r="AF4" s="96">
        <f>14*7</f>
        <v>98</v>
      </c>
      <c r="AH4" s="95" t="s">
        <v>123</v>
      </c>
      <c r="AM4" s="96"/>
      <c r="AP4" s="87" t="s">
        <v>106</v>
      </c>
      <c r="AQ4" s="88">
        <v>0</v>
      </c>
      <c r="AR4" s="348">
        <v>3192.5</v>
      </c>
      <c r="AS4" s="89">
        <v>0</v>
      </c>
      <c r="AT4" s="348">
        <f>AR4*(1+AS4)</f>
        <v>3192.5</v>
      </c>
      <c r="AW4" s="55" t="s">
        <v>123</v>
      </c>
      <c r="AX4" s="55">
        <v>3</v>
      </c>
      <c r="AY4" s="55">
        <v>9</v>
      </c>
      <c r="AZ4" s="55">
        <f>AY4*AX4</f>
        <v>27</v>
      </c>
      <c r="BA4" s="358">
        <f>275</f>
        <v>275</v>
      </c>
      <c r="BB4" s="358">
        <f>BA4*AZ4</f>
        <v>7425</v>
      </c>
    </row>
    <row r="5" spans="1:54">
      <c r="A5" s="85" t="s">
        <v>124</v>
      </c>
      <c r="B5" s="204">
        <v>45748</v>
      </c>
      <c r="D5" s="93" t="s">
        <v>90</v>
      </c>
      <c r="E5" s="86">
        <f>L8</f>
        <v>49</v>
      </c>
      <c r="F5" s="94">
        <f t="shared" si="0"/>
        <v>0.12564102564102564</v>
      </c>
      <c r="H5" s="86">
        <v>3</v>
      </c>
      <c r="I5" s="86">
        <v>3</v>
      </c>
      <c r="J5" s="86">
        <v>173</v>
      </c>
      <c r="K5" s="86">
        <v>73</v>
      </c>
      <c r="L5" s="86">
        <v>18</v>
      </c>
      <c r="M5" s="86">
        <v>51</v>
      </c>
      <c r="N5" s="86">
        <v>31</v>
      </c>
      <c r="O5" s="48">
        <v>192543</v>
      </c>
      <c r="P5" s="84" t="s">
        <v>125</v>
      </c>
      <c r="Q5" s="98">
        <v>14</v>
      </c>
      <c r="R5" s="59" t="s">
        <v>126</v>
      </c>
      <c r="S5" s="84" t="s">
        <v>127</v>
      </c>
      <c r="T5" s="48">
        <f>(15+7+4+16.82+31)*N8</f>
        <v>3543.3599999999997</v>
      </c>
      <c r="U5" s="59" t="s">
        <v>61</v>
      </c>
      <c r="V5" s="84" t="s">
        <v>1039</v>
      </c>
      <c r="W5" s="48"/>
      <c r="X5" s="59" t="s">
        <v>61</v>
      </c>
      <c r="AA5" s="95" t="s">
        <v>128</v>
      </c>
      <c r="AB5" s="55">
        <f>21*4+8*8+7*6</f>
        <v>190</v>
      </c>
      <c r="AF5" s="96">
        <f>8*22</f>
        <v>176</v>
      </c>
      <c r="AH5" s="95" t="s">
        <v>128</v>
      </c>
      <c r="AI5" s="55">
        <v>19256</v>
      </c>
      <c r="AM5" s="96"/>
      <c r="AP5" s="93" t="s">
        <v>89</v>
      </c>
      <c r="AQ5" s="86">
        <v>171</v>
      </c>
      <c r="AR5" s="349">
        <v>3192.5</v>
      </c>
      <c r="AS5" s="94">
        <v>0</v>
      </c>
      <c r="AT5" s="349">
        <f t="shared" ref="AT5:AT8" si="2">AR5*(1+AS5)</f>
        <v>3192.5</v>
      </c>
      <c r="AW5" s="55" t="s">
        <v>129</v>
      </c>
      <c r="AX5" s="55">
        <v>2</v>
      </c>
      <c r="AY5" s="55">
        <v>2</v>
      </c>
      <c r="AZ5" s="55">
        <f t="shared" ref="AZ5:AZ8" si="3">AY5*AX5</f>
        <v>4</v>
      </c>
      <c r="BA5" s="358">
        <f>275</f>
        <v>275</v>
      </c>
      <c r="BB5" s="358">
        <f t="shared" ref="BB5:BB8" si="4">BA5*AZ5</f>
        <v>1100</v>
      </c>
    </row>
    <row r="6" spans="1:54">
      <c r="A6" s="85" t="s">
        <v>130</v>
      </c>
      <c r="B6" s="86">
        <v>26</v>
      </c>
      <c r="D6" s="93" t="s">
        <v>91</v>
      </c>
      <c r="E6" s="86">
        <f>M8</f>
        <v>115</v>
      </c>
      <c r="F6" s="94">
        <f t="shared" si="0"/>
        <v>0.29487179487179488</v>
      </c>
      <c r="H6" s="86">
        <v>4</v>
      </c>
      <c r="I6" s="86">
        <v>2</v>
      </c>
      <c r="J6" s="86">
        <v>24</v>
      </c>
      <c r="K6" s="86">
        <v>9</v>
      </c>
      <c r="L6" s="86">
        <v>7</v>
      </c>
      <c r="M6" s="86">
        <v>8</v>
      </c>
      <c r="N6" s="86">
        <v>0</v>
      </c>
      <c r="O6" s="48">
        <v>24353</v>
      </c>
      <c r="P6" s="84" t="s">
        <v>131</v>
      </c>
      <c r="Q6" s="48">
        <v>16</v>
      </c>
      <c r="R6" s="59" t="s">
        <v>108</v>
      </c>
      <c r="S6" s="84" t="s">
        <v>132</v>
      </c>
      <c r="T6" s="68">
        <f>86*38</f>
        <v>3268</v>
      </c>
      <c r="U6" s="59" t="s">
        <v>61</v>
      </c>
      <c r="V6" s="58" t="s">
        <v>1040</v>
      </c>
      <c r="W6" s="68"/>
      <c r="X6" s="99" t="s">
        <v>61</v>
      </c>
      <c r="AA6" s="95" t="s">
        <v>133</v>
      </c>
      <c r="AB6" s="55">
        <f>14*4+21*2+8*6</f>
        <v>146</v>
      </c>
      <c r="AF6" s="96">
        <f>7*10</f>
        <v>70</v>
      </c>
      <c r="AH6" s="95" t="s">
        <v>133</v>
      </c>
      <c r="AI6" s="55">
        <v>8980</v>
      </c>
      <c r="AM6" s="96"/>
      <c r="AP6" s="93" t="s">
        <v>90</v>
      </c>
      <c r="AQ6" s="86">
        <v>52</v>
      </c>
      <c r="AR6" s="349">
        <v>3192.5</v>
      </c>
      <c r="AS6" s="94">
        <v>0</v>
      </c>
      <c r="AT6" s="349">
        <f t="shared" si="2"/>
        <v>3192.5</v>
      </c>
      <c r="AW6" s="55" t="s">
        <v>111</v>
      </c>
      <c r="AX6" s="55">
        <v>2</v>
      </c>
      <c r="AY6" s="55">
        <v>9</v>
      </c>
      <c r="AZ6" s="55">
        <f t="shared" si="3"/>
        <v>18</v>
      </c>
      <c r="BA6" s="358">
        <f>275</f>
        <v>275</v>
      </c>
      <c r="BB6" s="358">
        <f t="shared" si="4"/>
        <v>4950</v>
      </c>
    </row>
    <row r="7" spans="1:54">
      <c r="A7" s="85" t="s">
        <v>115</v>
      </c>
      <c r="B7" s="86" t="s">
        <v>134</v>
      </c>
      <c r="D7" s="100" t="s">
        <v>92</v>
      </c>
      <c r="E7" s="101">
        <f>N8</f>
        <v>48</v>
      </c>
      <c r="F7" s="102">
        <f t="shared" si="0"/>
        <v>0.12307692307692308</v>
      </c>
      <c r="H7" s="86"/>
      <c r="I7" s="86"/>
      <c r="J7" s="86"/>
      <c r="K7" s="86"/>
      <c r="L7" s="86"/>
      <c r="M7" s="86"/>
      <c r="N7" s="86"/>
      <c r="O7" s="48"/>
      <c r="P7" s="103" t="s">
        <v>135</v>
      </c>
      <c r="Q7" s="104">
        <v>1</v>
      </c>
      <c r="R7" s="105"/>
      <c r="S7" s="84" t="s">
        <v>136</v>
      </c>
      <c r="T7" s="48"/>
      <c r="U7" s="59" t="s">
        <v>61</v>
      </c>
      <c r="V7" s="58" t="s">
        <v>1041</v>
      </c>
      <c r="W7" s="68"/>
      <c r="X7" s="99" t="s">
        <v>61</v>
      </c>
      <c r="AA7" s="95" t="s">
        <v>137</v>
      </c>
      <c r="AB7" s="55">
        <f>21*2+14*2+8*6</f>
        <v>118</v>
      </c>
      <c r="AF7" s="96">
        <f>SUM(AF3:AF6)</f>
        <v>491</v>
      </c>
      <c r="AH7" s="95" t="s">
        <v>137</v>
      </c>
      <c r="AI7" s="55">
        <v>8850</v>
      </c>
      <c r="AM7" s="96"/>
      <c r="AP7" s="93" t="s">
        <v>91</v>
      </c>
      <c r="AQ7" s="86">
        <v>118</v>
      </c>
      <c r="AR7" s="349">
        <v>3192.5</v>
      </c>
      <c r="AS7" s="94">
        <v>0.1</v>
      </c>
      <c r="AT7" s="349">
        <f t="shared" si="2"/>
        <v>3511.7500000000005</v>
      </c>
      <c r="AW7" s="55" t="s">
        <v>138</v>
      </c>
      <c r="AX7" s="55">
        <v>3</v>
      </c>
      <c r="AY7" s="55">
        <v>3</v>
      </c>
      <c r="AZ7" s="55">
        <f t="shared" si="3"/>
        <v>9</v>
      </c>
      <c r="BA7" s="358">
        <f>275</f>
        <v>275</v>
      </c>
      <c r="BB7" s="358">
        <f t="shared" si="4"/>
        <v>2475</v>
      </c>
    </row>
    <row r="8" spans="1:54" ht="15" thickBot="1">
      <c r="A8" s="85" t="s">
        <v>139</v>
      </c>
      <c r="B8" s="48">
        <f>O8</f>
        <v>426549</v>
      </c>
      <c r="D8" s="106" t="s">
        <v>140</v>
      </c>
      <c r="E8" s="107">
        <f>SUM(E3:E7)</f>
        <v>390</v>
      </c>
      <c r="F8" s="108">
        <f t="shared" si="0"/>
        <v>1</v>
      </c>
      <c r="H8" s="109" t="s">
        <v>140</v>
      </c>
      <c r="I8" s="80">
        <f t="shared" ref="I8:O8" si="5">SUM(I3:I7)</f>
        <v>10</v>
      </c>
      <c r="J8" s="80">
        <f t="shared" si="5"/>
        <v>390</v>
      </c>
      <c r="K8" s="80">
        <f t="shared" si="5"/>
        <v>178</v>
      </c>
      <c r="L8" s="80">
        <f t="shared" si="5"/>
        <v>49</v>
      </c>
      <c r="M8" s="80">
        <f t="shared" si="5"/>
        <v>115</v>
      </c>
      <c r="N8" s="80">
        <f t="shared" si="5"/>
        <v>48</v>
      </c>
      <c r="O8" s="110">
        <f t="shared" si="5"/>
        <v>426549</v>
      </c>
      <c r="P8" s="84" t="s">
        <v>141</v>
      </c>
      <c r="Q8" s="48">
        <v>1</v>
      </c>
      <c r="R8" s="59"/>
      <c r="S8" s="58" t="s">
        <v>0</v>
      </c>
      <c r="T8" s="68">
        <f>AJ40</f>
        <v>261711</v>
      </c>
      <c r="U8" s="99" t="s">
        <v>61</v>
      </c>
      <c r="V8" s="58" t="s">
        <v>1042</v>
      </c>
      <c r="W8" s="68"/>
      <c r="X8" s="99" t="s">
        <v>61</v>
      </c>
      <c r="AA8" s="95" t="s">
        <v>142</v>
      </c>
      <c r="AB8" s="55">
        <f>21*2+14*8+8*12+7*8</f>
        <v>306</v>
      </c>
      <c r="AF8" s="96"/>
      <c r="AH8" s="95" t="s">
        <v>142</v>
      </c>
      <c r="AI8" s="55">
        <v>19965</v>
      </c>
      <c r="AM8" s="96"/>
      <c r="AP8" s="100" t="s">
        <v>92</v>
      </c>
      <c r="AQ8" s="101">
        <v>49</v>
      </c>
      <c r="AR8" s="350">
        <v>3192.5</v>
      </c>
      <c r="AS8" s="102">
        <v>0.2</v>
      </c>
      <c r="AT8" s="350">
        <f t="shared" si="2"/>
        <v>3831</v>
      </c>
      <c r="AW8" s="55" t="s">
        <v>144</v>
      </c>
      <c r="AX8" s="55">
        <v>2</v>
      </c>
      <c r="AY8" s="55">
        <v>2</v>
      </c>
      <c r="AZ8" s="55">
        <f t="shared" si="3"/>
        <v>4</v>
      </c>
      <c r="BA8" s="358">
        <v>275</v>
      </c>
      <c r="BB8" s="358">
        <f t="shared" si="4"/>
        <v>1100</v>
      </c>
    </row>
    <row r="9" spans="1:54" ht="15" thickBot="1">
      <c r="A9" s="85" t="s">
        <v>145</v>
      </c>
      <c r="B9" s="111">
        <v>15.826000000000001</v>
      </c>
      <c r="D9" s="72" t="s">
        <v>146</v>
      </c>
      <c r="E9" s="72"/>
      <c r="F9" s="72"/>
      <c r="K9" s="57"/>
      <c r="L9" s="112"/>
      <c r="M9" s="112"/>
      <c r="P9" s="84" t="s">
        <v>147</v>
      </c>
      <c r="Q9" s="48">
        <f>AJ35</f>
        <v>2612</v>
      </c>
      <c r="R9" s="59" t="s">
        <v>148</v>
      </c>
      <c r="S9" s="58" t="s">
        <v>149</v>
      </c>
      <c r="T9" s="68">
        <v>900</v>
      </c>
      <c r="U9" s="99" t="s">
        <v>61</v>
      </c>
      <c r="V9" s="58" t="s">
        <v>1043</v>
      </c>
      <c r="W9" s="68"/>
      <c r="X9" s="99" t="s">
        <v>61</v>
      </c>
      <c r="AA9" s="95" t="s">
        <v>150</v>
      </c>
      <c r="AB9" s="55">
        <f>21*4+8*6</f>
        <v>132</v>
      </c>
      <c r="AC9" s="55">
        <f>SUM(AB5:AB9)</f>
        <v>892</v>
      </c>
      <c r="AF9" s="96"/>
      <c r="AH9" s="95" t="s">
        <v>150</v>
      </c>
      <c r="AI9" s="55">
        <f>5870+6250+6290+5915</f>
        <v>24325</v>
      </c>
      <c r="AJ9" s="55">
        <f>SUM(AI5:AI9)</f>
        <v>81376</v>
      </c>
      <c r="AM9" s="96"/>
      <c r="AP9" s="106" t="s">
        <v>140</v>
      </c>
      <c r="AQ9" s="107">
        <f>SUM(AQ4:AQ8)</f>
        <v>390</v>
      </c>
      <c r="AR9" s="107"/>
      <c r="AS9" s="108"/>
      <c r="AT9" s="107">
        <f>SUMPRODUCT(AQ4:AQ8,AT4:AT8)/AQ9</f>
        <v>3369.3153846153846</v>
      </c>
      <c r="BA9" s="358"/>
      <c r="BB9" s="358">
        <f>SUM(BB4:BB8)</f>
        <v>17050</v>
      </c>
    </row>
    <row r="10" spans="1:54">
      <c r="A10" s="85" t="s">
        <v>152</v>
      </c>
      <c r="B10" s="48">
        <f>B9*43560</f>
        <v>689380.56</v>
      </c>
      <c r="D10" s="113" t="s">
        <v>153</v>
      </c>
      <c r="E10" s="114"/>
      <c r="F10" s="115">
        <v>0</v>
      </c>
      <c r="K10" s="1"/>
      <c r="P10" s="84" t="s">
        <v>154</v>
      </c>
      <c r="Q10" s="48">
        <f>'Level 1.1 UPDATE A'!Q10</f>
        <v>1497.6</v>
      </c>
      <c r="R10" s="59" t="s">
        <v>155</v>
      </c>
      <c r="S10" s="58" t="s">
        <v>156</v>
      </c>
      <c r="T10" s="68">
        <f>10114-1655-215-35*8</f>
        <v>7964</v>
      </c>
      <c r="U10" s="99" t="s">
        <v>61</v>
      </c>
      <c r="V10" s="58" t="s">
        <v>1044</v>
      </c>
      <c r="W10" s="68"/>
      <c r="X10" s="99" t="s">
        <v>61</v>
      </c>
      <c r="AA10" s="95"/>
      <c r="AF10" s="96"/>
      <c r="AH10" s="95"/>
      <c r="AM10" s="96"/>
      <c r="AT10" s="351">
        <f>AT9-AR8</f>
        <v>176.81538461538457</v>
      </c>
    </row>
    <row r="11" spans="1:54" ht="15" thickBot="1">
      <c r="A11" s="85" t="s">
        <v>157</v>
      </c>
      <c r="B11" s="48">
        <v>4</v>
      </c>
      <c r="D11" s="85" t="s">
        <v>158</v>
      </c>
      <c r="E11" s="45"/>
      <c r="F11" s="86">
        <v>388</v>
      </c>
      <c r="K11" s="354"/>
      <c r="M11" s="355"/>
      <c r="N11" s="347"/>
      <c r="P11" s="84" t="s">
        <v>159</v>
      </c>
      <c r="Q11" s="48">
        <v>22444</v>
      </c>
      <c r="R11" s="59" t="s">
        <v>160</v>
      </c>
      <c r="S11" s="58" t="s">
        <v>161</v>
      </c>
      <c r="T11" s="68">
        <v>372</v>
      </c>
      <c r="U11" s="99" t="s">
        <v>148</v>
      </c>
      <c r="V11" s="58" t="s">
        <v>162</v>
      </c>
      <c r="W11" s="68">
        <v>19607</v>
      </c>
      <c r="X11" s="99" t="s">
        <v>61</v>
      </c>
      <c r="AA11" s="95" t="s">
        <v>163</v>
      </c>
      <c r="AE11" s="55" t="s">
        <v>138</v>
      </c>
      <c r="AF11" s="96">
        <f>14*8</f>
        <v>112</v>
      </c>
      <c r="AH11" s="95" t="s">
        <v>163</v>
      </c>
      <c r="AL11" s="55" t="s">
        <v>138</v>
      </c>
      <c r="AM11" s="96">
        <f>5782+5760+8825+9150</f>
        <v>29517</v>
      </c>
      <c r="AT11" s="352">
        <f>AT10/AR8</f>
        <v>5.5384615384615372E-2</v>
      </c>
    </row>
    <row r="12" spans="1:54">
      <c r="A12" s="116" t="s">
        <v>164</v>
      </c>
      <c r="B12" s="117"/>
      <c r="D12" s="85" t="s">
        <v>165</v>
      </c>
      <c r="E12" s="45"/>
      <c r="F12" s="86">
        <v>403</v>
      </c>
      <c r="K12" s="1"/>
      <c r="O12" s="194"/>
      <c r="P12" s="84" t="s">
        <v>1045</v>
      </c>
      <c r="Q12" s="48">
        <v>332276</v>
      </c>
      <c r="R12" s="59" t="s">
        <v>167</v>
      </c>
      <c r="S12" s="118" t="s">
        <v>168</v>
      </c>
      <c r="T12" s="49">
        <f>200*2</f>
        <v>400</v>
      </c>
      <c r="U12" s="119" t="s">
        <v>148</v>
      </c>
      <c r="V12" s="58" t="s">
        <v>169</v>
      </c>
      <c r="W12" s="68">
        <v>2180</v>
      </c>
      <c r="X12" s="99" t="s">
        <v>61</v>
      </c>
      <c r="AA12" s="95" t="s">
        <v>128</v>
      </c>
      <c r="AF12" s="96">
        <f>20*8</f>
        <v>160</v>
      </c>
      <c r="AH12" s="95" t="s">
        <v>128</v>
      </c>
      <c r="AM12" s="96"/>
    </row>
    <row r="13" spans="1:54" ht="15" thickBot="1">
      <c r="A13" s="120" t="s">
        <v>170</v>
      </c>
      <c r="B13" s="202">
        <v>45062</v>
      </c>
      <c r="D13" s="85" t="s">
        <v>171</v>
      </c>
      <c r="E13" s="45"/>
      <c r="F13" s="86">
        <v>16</v>
      </c>
      <c r="K13" s="1"/>
      <c r="M13" s="358"/>
      <c r="O13" s="194"/>
      <c r="P13" s="84" t="s">
        <v>172</v>
      </c>
      <c r="Q13" s="46">
        <v>388</v>
      </c>
      <c r="R13" s="59" t="s">
        <v>108</v>
      </c>
      <c r="S13" s="58" t="s">
        <v>173</v>
      </c>
      <c r="T13" s="68">
        <v>7476</v>
      </c>
      <c r="U13" s="99" t="s">
        <v>61</v>
      </c>
      <c r="V13" s="58" t="s">
        <v>174</v>
      </c>
      <c r="W13" s="49">
        <v>21000</v>
      </c>
      <c r="X13" s="99" t="s">
        <v>61</v>
      </c>
      <c r="AA13" s="95" t="s">
        <v>133</v>
      </c>
      <c r="AF13" s="96">
        <f>8*18</f>
        <v>144</v>
      </c>
      <c r="AH13" s="95" t="s">
        <v>133</v>
      </c>
      <c r="AM13" s="96"/>
    </row>
    <row r="14" spans="1:54">
      <c r="A14" s="121" t="s">
        <v>175</v>
      </c>
      <c r="B14" s="86" t="s">
        <v>1046</v>
      </c>
      <c r="D14" s="85" t="s">
        <v>176</v>
      </c>
      <c r="E14" s="45"/>
      <c r="F14" s="86">
        <v>0</v>
      </c>
      <c r="J14" s="122" t="s">
        <v>177</v>
      </c>
      <c r="K14" s="123"/>
      <c r="L14" s="124">
        <f>L335</f>
        <v>78131623.011269912</v>
      </c>
      <c r="M14" s="358"/>
      <c r="O14" s="194"/>
      <c r="P14" s="84" t="s">
        <v>178</v>
      </c>
      <c r="Q14" s="48">
        <v>44</v>
      </c>
      <c r="R14" s="59" t="s">
        <v>179</v>
      </c>
      <c r="S14" s="58" t="s">
        <v>180</v>
      </c>
      <c r="T14" s="68">
        <v>0</v>
      </c>
      <c r="U14" s="99" t="s">
        <v>61</v>
      </c>
      <c r="V14" s="58" t="s">
        <v>181</v>
      </c>
      <c r="W14" s="68">
        <v>2180</v>
      </c>
      <c r="X14" s="99" t="s">
        <v>61</v>
      </c>
      <c r="AA14" s="95" t="s">
        <v>137</v>
      </c>
      <c r="AF14" s="96">
        <f>7*12</f>
        <v>84</v>
      </c>
      <c r="AH14" s="95" t="s">
        <v>137</v>
      </c>
      <c r="AM14" s="96"/>
    </row>
    <row r="15" spans="1:54">
      <c r="A15" s="121" t="s">
        <v>182</v>
      </c>
      <c r="B15" s="86" t="s">
        <v>1046</v>
      </c>
      <c r="D15" s="85" t="s">
        <v>183</v>
      </c>
      <c r="E15" s="45"/>
      <c r="F15" s="86">
        <f>SUM(F10:F14)</f>
        <v>807</v>
      </c>
      <c r="J15" s="125" t="s">
        <v>184</v>
      </c>
      <c r="K15" s="126"/>
      <c r="L15" s="127">
        <f>L14/E8</f>
        <v>200337.49490069208</v>
      </c>
      <c r="P15" s="84" t="s">
        <v>185</v>
      </c>
      <c r="Q15" s="48">
        <v>1</v>
      </c>
      <c r="R15" s="59" t="s">
        <v>186</v>
      </c>
      <c r="S15" s="58" t="s">
        <v>187</v>
      </c>
      <c r="T15" s="68">
        <f>748+1140</f>
        <v>1888</v>
      </c>
      <c r="U15" s="99" t="s">
        <v>61</v>
      </c>
      <c r="V15" s="58" t="s">
        <v>1047</v>
      </c>
      <c r="W15" s="68">
        <v>0</v>
      </c>
      <c r="X15" s="99" t="s">
        <v>61</v>
      </c>
      <c r="AA15" s="95" t="s">
        <v>142</v>
      </c>
      <c r="AB15" s="55">
        <f>21*2+14*2+8*6+7*6</f>
        <v>160</v>
      </c>
      <c r="AC15" s="55">
        <f>AB15*2</f>
        <v>320</v>
      </c>
      <c r="AF15" s="96">
        <f>SUM(AF11:AF14)</f>
        <v>500</v>
      </c>
      <c r="AH15" s="95" t="s">
        <v>142</v>
      </c>
      <c r="AI15" s="55">
        <f>5035+5775+1960+1960</f>
        <v>14730</v>
      </c>
      <c r="AJ15" s="55">
        <f>AI15*2</f>
        <v>29460</v>
      </c>
      <c r="AM15" s="96"/>
    </row>
    <row r="16" spans="1:54" ht="15" thickBot="1">
      <c r="A16" s="121" t="s">
        <v>188</v>
      </c>
      <c r="B16" s="86" t="s">
        <v>1046</v>
      </c>
      <c r="D16" s="129" t="s">
        <v>189</v>
      </c>
      <c r="E16" s="130"/>
      <c r="F16" s="131">
        <f>SUM(F10:F13)/E8</f>
        <v>2.0692307692307694</v>
      </c>
      <c r="J16" s="132" t="s">
        <v>190</v>
      </c>
      <c r="K16" s="133"/>
      <c r="L16" s="134">
        <f>L14/B8</f>
        <v>183.17150669974589</v>
      </c>
      <c r="N16" s="55">
        <f>K68/Q12</f>
        <v>5.2209500287489243</v>
      </c>
      <c r="P16" s="84" t="s">
        <v>191</v>
      </c>
      <c r="Q16" s="48">
        <v>10</v>
      </c>
      <c r="R16" s="59" t="s">
        <v>186</v>
      </c>
      <c r="S16" s="58" t="s">
        <v>192</v>
      </c>
      <c r="T16" s="68">
        <v>1557</v>
      </c>
      <c r="U16" s="99" t="s">
        <v>61</v>
      </c>
      <c r="V16" s="58" t="s">
        <v>193</v>
      </c>
      <c r="W16" s="68">
        <v>4</v>
      </c>
      <c r="X16" s="99" t="s">
        <v>108</v>
      </c>
      <c r="AA16" s="95"/>
      <c r="AF16" s="96"/>
      <c r="AH16" s="95"/>
      <c r="AM16" s="96"/>
    </row>
    <row r="17" spans="1:39" ht="15" thickBot="1">
      <c r="A17" s="128" t="s">
        <v>194</v>
      </c>
      <c r="B17" s="203">
        <v>45043</v>
      </c>
      <c r="C17" s="136"/>
      <c r="D17" s="136"/>
      <c r="J17" s="1"/>
      <c r="P17" s="84" t="s">
        <v>195</v>
      </c>
      <c r="Q17" s="48">
        <v>58</v>
      </c>
      <c r="R17" s="59" t="s">
        <v>186</v>
      </c>
      <c r="S17" s="58" t="s">
        <v>196</v>
      </c>
      <c r="T17" s="68">
        <v>0</v>
      </c>
      <c r="U17" s="99" t="s">
        <v>61</v>
      </c>
      <c r="V17" s="58" t="s">
        <v>197</v>
      </c>
      <c r="W17" s="68">
        <v>1</v>
      </c>
      <c r="X17" s="99" t="s">
        <v>108</v>
      </c>
      <c r="AA17" s="137" t="s">
        <v>198</v>
      </c>
      <c r="AB17" s="138">
        <f>12.5*62</f>
        <v>775</v>
      </c>
      <c r="AC17" s="138"/>
      <c r="AD17" s="138"/>
      <c r="AE17" s="138"/>
      <c r="AF17" s="139"/>
      <c r="AH17" s="137" t="s">
        <v>198</v>
      </c>
      <c r="AI17" s="138">
        <f>12.5*62</f>
        <v>775</v>
      </c>
      <c r="AJ17" s="138"/>
      <c r="AK17" s="138"/>
      <c r="AL17" s="138"/>
      <c r="AM17" s="139"/>
    </row>
    <row r="18" spans="1:39" ht="15" thickBot="1">
      <c r="A18" s="135"/>
      <c r="B18" s="136"/>
      <c r="C18" s="136"/>
      <c r="D18" s="136"/>
      <c r="J18" s="1"/>
      <c r="P18" s="140" t="s">
        <v>199</v>
      </c>
      <c r="Q18" s="141">
        <v>10</v>
      </c>
      <c r="R18" s="142" t="s">
        <v>186</v>
      </c>
      <c r="S18" s="140" t="s">
        <v>200</v>
      </c>
      <c r="T18" s="141">
        <f>(E6*250+E7*500)/E8</f>
        <v>135.25641025641025</v>
      </c>
      <c r="U18" s="142"/>
      <c r="V18" s="140" t="s">
        <v>201</v>
      </c>
      <c r="W18" s="141">
        <f>119500+43500+114500</f>
        <v>277500</v>
      </c>
      <c r="X18" s="142"/>
    </row>
    <row r="19" spans="1:39" ht="30.75" customHeight="1" thickBot="1">
      <c r="A19" s="33" t="s">
        <v>202</v>
      </c>
      <c r="B19" s="34" t="s">
        <v>203</v>
      </c>
      <c r="C19" s="35" t="s">
        <v>204</v>
      </c>
      <c r="D19" s="34" t="s">
        <v>205</v>
      </c>
      <c r="E19" s="34" t="s">
        <v>206</v>
      </c>
      <c r="F19" s="34" t="s">
        <v>207</v>
      </c>
      <c r="G19" s="34" t="s">
        <v>1048</v>
      </c>
      <c r="H19" s="34" t="s">
        <v>209</v>
      </c>
      <c r="I19" s="35" t="s">
        <v>210</v>
      </c>
      <c r="J19" s="35" t="s">
        <v>211</v>
      </c>
      <c r="K19" s="34" t="s">
        <v>212</v>
      </c>
      <c r="L19" s="33" t="s">
        <v>119</v>
      </c>
      <c r="M19" s="36" t="s">
        <v>213</v>
      </c>
      <c r="N19" s="37"/>
      <c r="O19" s="37"/>
      <c r="P19" s="37"/>
      <c r="Q19" s="37"/>
      <c r="R19" s="37"/>
      <c r="S19" s="37"/>
      <c r="T19" s="37"/>
      <c r="U19" s="37"/>
      <c r="V19" s="37"/>
      <c r="W19" s="37"/>
      <c r="X19" s="37"/>
      <c r="Y19" s="37"/>
    </row>
    <row r="20" spans="1:39">
      <c r="A20" s="2" t="s">
        <v>214</v>
      </c>
      <c r="B20" s="143" t="s">
        <v>215</v>
      </c>
      <c r="C20" s="143"/>
      <c r="D20" s="143"/>
      <c r="E20" s="143"/>
      <c r="F20" s="143"/>
      <c r="G20" s="143"/>
      <c r="H20" s="144"/>
      <c r="I20" s="145"/>
      <c r="J20" s="146"/>
      <c r="K20" s="146"/>
      <c r="L20" s="69">
        <f>K21</f>
        <v>3747174.6203276957</v>
      </c>
      <c r="M20" s="45"/>
      <c r="N20" s="114"/>
      <c r="O20" s="114"/>
      <c r="P20" s="114"/>
      <c r="Q20" s="114"/>
      <c r="R20" s="114"/>
      <c r="S20" s="114"/>
      <c r="T20" s="114"/>
      <c r="U20" s="114"/>
      <c r="V20" s="114"/>
      <c r="W20" s="114"/>
      <c r="X20" s="114"/>
      <c r="Y20" s="114"/>
    </row>
    <row r="21" spans="1:39">
      <c r="A21" s="3" t="s">
        <v>214</v>
      </c>
      <c r="B21" s="60" t="s">
        <v>215</v>
      </c>
      <c r="C21" s="60" t="s">
        <v>216</v>
      </c>
      <c r="D21" s="60"/>
      <c r="E21" s="60"/>
      <c r="F21" s="60" t="s">
        <v>217</v>
      </c>
      <c r="G21" s="62">
        <f>$B$6</f>
        <v>26</v>
      </c>
      <c r="H21" s="195">
        <v>144122.10078183445</v>
      </c>
      <c r="I21" s="148">
        <v>0</v>
      </c>
      <c r="J21" s="149">
        <f>H21*(1+I21)</f>
        <v>144122.10078183445</v>
      </c>
      <c r="K21" s="150">
        <f>J21*G21</f>
        <v>3747174.6203276957</v>
      </c>
      <c r="M21" s="45"/>
      <c r="N21" s="45"/>
      <c r="O21" s="45"/>
      <c r="P21" s="45"/>
      <c r="Q21" s="45"/>
      <c r="R21" s="45"/>
      <c r="S21" s="45"/>
      <c r="T21" s="45"/>
      <c r="U21" s="45"/>
      <c r="V21" s="45"/>
      <c r="W21" s="45"/>
      <c r="X21" s="45"/>
      <c r="Y21" s="45"/>
    </row>
    <row r="22" spans="1:39">
      <c r="A22" s="4" t="s">
        <v>219</v>
      </c>
      <c r="B22" s="151" t="s">
        <v>220</v>
      </c>
      <c r="C22" s="151"/>
      <c r="D22" s="151"/>
      <c r="E22" s="151"/>
      <c r="F22" s="151"/>
      <c r="G22" s="152"/>
      <c r="H22" s="153"/>
      <c r="I22" s="154"/>
      <c r="J22" s="155"/>
      <c r="K22" s="156"/>
      <c r="L22" s="70">
        <f>K23</f>
        <v>12000</v>
      </c>
      <c r="M22" s="45"/>
      <c r="N22" s="45"/>
      <c r="O22" s="45"/>
      <c r="P22" s="45"/>
      <c r="Q22" s="45"/>
      <c r="R22" s="45"/>
      <c r="S22" s="45"/>
      <c r="T22" s="45"/>
      <c r="U22" s="45"/>
      <c r="V22" s="45"/>
      <c r="W22" s="45"/>
      <c r="X22" s="45"/>
      <c r="Y22" s="45"/>
    </row>
    <row r="23" spans="1:39">
      <c r="A23" s="5" t="s">
        <v>221</v>
      </c>
      <c r="B23" s="65" t="s">
        <v>222</v>
      </c>
      <c r="C23" s="65" t="s">
        <v>216</v>
      </c>
      <c r="D23" s="65" t="s">
        <v>223</v>
      </c>
      <c r="E23" s="65" t="s">
        <v>73</v>
      </c>
      <c r="F23" s="65"/>
      <c r="G23" s="43">
        <v>1</v>
      </c>
      <c r="H23" s="64">
        <v>12000</v>
      </c>
      <c r="I23" s="157">
        <v>0</v>
      </c>
      <c r="J23" s="158">
        <f>H23*(1+I23)</f>
        <v>12000</v>
      </c>
      <c r="K23" s="159">
        <f>J23*G23</f>
        <v>12000</v>
      </c>
      <c r="M23" s="45"/>
      <c r="N23" s="45"/>
      <c r="O23" s="45"/>
      <c r="P23" s="45"/>
      <c r="Q23" s="45"/>
      <c r="R23" s="45"/>
      <c r="S23" s="45"/>
      <c r="T23" s="45"/>
      <c r="U23" s="45"/>
      <c r="V23" s="45"/>
      <c r="W23" s="45"/>
      <c r="X23" s="45"/>
      <c r="Y23" s="45"/>
    </row>
    <row r="24" spans="1:39">
      <c r="A24" s="4" t="s">
        <v>224</v>
      </c>
      <c r="B24" s="151" t="s">
        <v>225</v>
      </c>
      <c r="C24" s="151"/>
      <c r="D24" s="151"/>
      <c r="E24" s="151"/>
      <c r="F24" s="151"/>
      <c r="G24" s="152"/>
      <c r="H24" s="153"/>
      <c r="I24" s="154"/>
      <c r="J24" s="155"/>
      <c r="K24" s="156"/>
      <c r="L24" s="70">
        <f>SUM(K25:K34)</f>
        <v>2705484.8800000004</v>
      </c>
      <c r="M24" s="45"/>
      <c r="N24" s="45"/>
      <c r="O24" s="45"/>
      <c r="P24" s="45"/>
      <c r="Q24" s="45"/>
      <c r="R24" s="45"/>
      <c r="S24" s="45"/>
      <c r="T24" s="45"/>
      <c r="U24" s="45"/>
      <c r="V24" s="45"/>
      <c r="W24" s="45"/>
      <c r="X24" s="45"/>
      <c r="Y24" s="45"/>
      <c r="Z24" s="56"/>
    </row>
    <row r="25" spans="1:39">
      <c r="A25" s="6" t="s">
        <v>226</v>
      </c>
      <c r="B25" s="47" t="s">
        <v>227</v>
      </c>
      <c r="C25" s="47" t="s">
        <v>216</v>
      </c>
      <c r="D25" s="47" t="s">
        <v>228</v>
      </c>
      <c r="E25" s="47" t="s">
        <v>44</v>
      </c>
      <c r="F25" s="47" t="s">
        <v>61</v>
      </c>
      <c r="G25" s="42">
        <f>Q2</f>
        <v>149760</v>
      </c>
      <c r="H25" s="61">
        <v>11.99</v>
      </c>
      <c r="I25" s="63">
        <v>0</v>
      </c>
      <c r="J25" s="66">
        <f t="shared" ref="J25:J34" si="6">H25*(1+I25)</f>
        <v>11.99</v>
      </c>
      <c r="K25" s="67">
        <f t="shared" ref="K25:K34" si="7">J25*G25</f>
        <v>1795622.4000000001</v>
      </c>
      <c r="M25" s="45"/>
      <c r="N25" s="45"/>
      <c r="O25" s="45"/>
      <c r="P25" s="45"/>
      <c r="Q25" s="45"/>
      <c r="R25" s="45"/>
      <c r="S25" s="45"/>
      <c r="T25" s="45"/>
      <c r="U25" s="45"/>
      <c r="V25" s="45"/>
      <c r="W25" s="45"/>
      <c r="X25" s="45"/>
      <c r="Y25" s="45"/>
      <c r="Z25" s="56"/>
    </row>
    <row r="26" spans="1:39">
      <c r="A26" s="7" t="s">
        <v>230</v>
      </c>
      <c r="B26" s="40" t="s">
        <v>227</v>
      </c>
      <c r="C26" s="40" t="s">
        <v>216</v>
      </c>
      <c r="D26" s="40" t="s">
        <v>228</v>
      </c>
      <c r="E26" s="40" t="s">
        <v>231</v>
      </c>
      <c r="F26" s="40"/>
      <c r="G26" s="38"/>
      <c r="H26" s="51"/>
      <c r="I26" s="53"/>
      <c r="J26" s="160">
        <f t="shared" si="6"/>
        <v>0</v>
      </c>
      <c r="K26" s="67">
        <f t="shared" si="7"/>
        <v>0</v>
      </c>
      <c r="M26" s="45"/>
      <c r="N26" s="45"/>
      <c r="O26" s="45"/>
      <c r="P26" s="45"/>
      <c r="Q26" s="45"/>
      <c r="R26" s="45"/>
      <c r="S26" s="45"/>
      <c r="T26" s="45"/>
      <c r="U26" s="45"/>
      <c r="V26" s="45"/>
      <c r="W26" s="45"/>
      <c r="X26" s="45"/>
      <c r="Y26" s="45"/>
      <c r="Z26" s="56"/>
    </row>
    <row r="27" spans="1:39">
      <c r="A27" s="7" t="s">
        <v>232</v>
      </c>
      <c r="B27" s="40" t="s">
        <v>227</v>
      </c>
      <c r="C27" s="40" t="s">
        <v>233</v>
      </c>
      <c r="D27" s="40" t="s">
        <v>228</v>
      </c>
      <c r="E27" s="60" t="s">
        <v>73</v>
      </c>
      <c r="F27" s="40" t="s">
        <v>71</v>
      </c>
      <c r="G27" s="38">
        <v>1</v>
      </c>
      <c r="H27" s="51">
        <f>2500*3</f>
        <v>7500</v>
      </c>
      <c r="I27" s="53">
        <v>0</v>
      </c>
      <c r="J27" s="160">
        <f t="shared" si="6"/>
        <v>7500</v>
      </c>
      <c r="K27" s="67">
        <f t="shared" si="7"/>
        <v>7500</v>
      </c>
      <c r="M27" s="45"/>
      <c r="N27" s="45"/>
      <c r="O27" s="45"/>
      <c r="P27" s="45"/>
      <c r="Q27" s="45"/>
      <c r="R27" s="45"/>
      <c r="S27" s="45"/>
      <c r="T27" s="45"/>
      <c r="U27" s="45"/>
      <c r="V27" s="45"/>
      <c r="W27" s="45"/>
      <c r="X27" s="45"/>
      <c r="Y27" s="45"/>
      <c r="Z27" s="56"/>
      <c r="AF27" s="55">
        <f>1800+1350+1350+360+900+360+900+1080+360+450</f>
        <v>8910</v>
      </c>
    </row>
    <row r="28" spans="1:39">
      <c r="A28" s="7" t="s">
        <v>234</v>
      </c>
      <c r="B28" s="40" t="s">
        <v>227</v>
      </c>
      <c r="C28" s="40" t="s">
        <v>216</v>
      </c>
      <c r="D28" s="40" t="s">
        <v>235</v>
      </c>
      <c r="E28" s="40" t="s">
        <v>44</v>
      </c>
      <c r="F28" s="60" t="s">
        <v>61</v>
      </c>
      <c r="G28" s="62">
        <v>300</v>
      </c>
      <c r="H28" s="51">
        <v>11.99</v>
      </c>
      <c r="I28" s="53">
        <v>0</v>
      </c>
      <c r="J28" s="160">
        <f t="shared" si="6"/>
        <v>11.99</v>
      </c>
      <c r="K28" s="67">
        <f t="shared" si="7"/>
        <v>3597</v>
      </c>
      <c r="M28" s="45"/>
      <c r="N28" s="45"/>
      <c r="O28" s="45"/>
      <c r="P28" s="45"/>
      <c r="Q28" s="45"/>
      <c r="R28" s="45"/>
      <c r="S28" s="45"/>
      <c r="T28" s="45"/>
      <c r="U28" s="45"/>
      <c r="V28" s="45"/>
      <c r="W28" s="45"/>
      <c r="X28" s="45"/>
      <c r="Y28" s="45"/>
      <c r="Z28" s="56"/>
    </row>
    <row r="29" spans="1:39">
      <c r="A29" s="7" t="s">
        <v>236</v>
      </c>
      <c r="B29" s="40" t="s">
        <v>237</v>
      </c>
      <c r="C29" s="40" t="s">
        <v>216</v>
      </c>
      <c r="D29" s="40" t="s">
        <v>238</v>
      </c>
      <c r="E29" s="40" t="s">
        <v>44</v>
      </c>
      <c r="F29" s="40" t="s">
        <v>108</v>
      </c>
      <c r="G29" s="38">
        <f>Q5</f>
        <v>14</v>
      </c>
      <c r="H29" s="51">
        <v>5500</v>
      </c>
      <c r="I29" s="53">
        <v>0</v>
      </c>
      <c r="J29" s="160">
        <f t="shared" si="6"/>
        <v>5500</v>
      </c>
      <c r="K29" s="67">
        <f t="shared" si="7"/>
        <v>77000</v>
      </c>
      <c r="M29" s="45"/>
      <c r="N29" s="45"/>
      <c r="O29" s="45"/>
      <c r="P29" s="45"/>
      <c r="Q29" s="45"/>
      <c r="R29" s="45"/>
      <c r="S29" s="45"/>
      <c r="T29" s="45"/>
      <c r="U29" s="45"/>
      <c r="V29" s="45"/>
      <c r="W29" s="45"/>
      <c r="X29" s="45"/>
      <c r="Y29" s="45"/>
      <c r="Z29" s="56"/>
    </row>
    <row r="30" spans="1:39" ht="15" thickBot="1">
      <c r="A30" s="7" t="s">
        <v>240</v>
      </c>
      <c r="B30" s="40" t="s">
        <v>241</v>
      </c>
      <c r="C30" s="40" t="s">
        <v>216</v>
      </c>
      <c r="D30" s="40" t="s">
        <v>242</v>
      </c>
      <c r="E30" s="40" t="s">
        <v>44</v>
      </c>
      <c r="F30" s="40" t="s">
        <v>71</v>
      </c>
      <c r="G30" s="38">
        <f>$Q$7</f>
        <v>1</v>
      </c>
      <c r="H30" s="51">
        <v>2500</v>
      </c>
      <c r="I30" s="53">
        <v>0</v>
      </c>
      <c r="J30" s="160">
        <f t="shared" si="6"/>
        <v>2500</v>
      </c>
      <c r="K30" s="67">
        <f>J30*G30</f>
        <v>2500</v>
      </c>
      <c r="M30" s="45"/>
      <c r="N30" s="45"/>
      <c r="O30" s="45"/>
      <c r="P30" s="45"/>
      <c r="Q30" s="45"/>
      <c r="R30" s="45"/>
      <c r="S30" s="45"/>
      <c r="T30" s="45"/>
      <c r="U30" s="45"/>
      <c r="V30" s="45"/>
      <c r="W30" s="45"/>
      <c r="X30" s="45"/>
      <c r="Y30" s="45"/>
      <c r="Z30" s="56"/>
      <c r="AE30" s="56"/>
      <c r="AF30" s="56"/>
      <c r="AG30" s="56"/>
      <c r="AH30" s="56"/>
      <c r="AI30" s="56"/>
    </row>
    <row r="31" spans="1:39">
      <c r="A31" s="7" t="s">
        <v>243</v>
      </c>
      <c r="B31" s="40" t="s">
        <v>244</v>
      </c>
      <c r="C31" s="40" t="s">
        <v>216</v>
      </c>
      <c r="D31" s="40" t="s">
        <v>242</v>
      </c>
      <c r="E31" s="40" t="s">
        <v>6</v>
      </c>
      <c r="F31" s="40" t="s">
        <v>71</v>
      </c>
      <c r="G31" s="38">
        <v>1</v>
      </c>
      <c r="H31" s="51">
        <v>18399</v>
      </c>
      <c r="I31" s="53">
        <v>0</v>
      </c>
      <c r="J31" s="160">
        <f t="shared" si="6"/>
        <v>18399</v>
      </c>
      <c r="K31" s="67">
        <f t="shared" si="7"/>
        <v>18399</v>
      </c>
      <c r="M31" s="45"/>
      <c r="N31" s="45"/>
      <c r="O31" s="45"/>
      <c r="P31" s="45"/>
      <c r="Q31" s="45"/>
      <c r="R31" s="45"/>
      <c r="S31" s="45"/>
      <c r="T31" s="45"/>
      <c r="U31" s="45"/>
      <c r="V31" s="45"/>
      <c r="W31" s="45"/>
      <c r="X31" s="45"/>
      <c r="Y31" s="45"/>
      <c r="Z31" s="56"/>
      <c r="AA31" s="161" t="s">
        <v>245</v>
      </c>
      <c r="AB31" s="91"/>
      <c r="AC31" s="91"/>
      <c r="AD31" s="162" t="s">
        <v>246</v>
      </c>
      <c r="AE31" s="163" t="s">
        <v>40</v>
      </c>
      <c r="AF31" s="163" t="s">
        <v>41</v>
      </c>
      <c r="AG31" s="163" t="s">
        <v>43</v>
      </c>
      <c r="AH31" s="163" t="s">
        <v>45</v>
      </c>
      <c r="AI31" s="163" t="s">
        <v>247</v>
      </c>
      <c r="AJ31" s="164"/>
    </row>
    <row r="32" spans="1:39">
      <c r="A32" s="7" t="s">
        <v>248</v>
      </c>
      <c r="B32" s="40" t="s">
        <v>249</v>
      </c>
      <c r="C32" s="40" t="s">
        <v>216</v>
      </c>
      <c r="D32" s="40" t="s">
        <v>250</v>
      </c>
      <c r="E32" s="40" t="s">
        <v>6</v>
      </c>
      <c r="F32" s="40" t="s">
        <v>71</v>
      </c>
      <c r="G32" s="38">
        <v>1</v>
      </c>
      <c r="H32" s="51">
        <v>3500</v>
      </c>
      <c r="I32" s="53">
        <v>0</v>
      </c>
      <c r="J32" s="160">
        <f t="shared" si="6"/>
        <v>3500</v>
      </c>
      <c r="K32" s="67">
        <f t="shared" si="7"/>
        <v>3500</v>
      </c>
      <c r="M32" s="45"/>
      <c r="N32" s="45"/>
      <c r="O32" s="45"/>
      <c r="P32" s="45"/>
      <c r="Q32" s="45"/>
      <c r="R32" s="45"/>
      <c r="S32" s="45"/>
      <c r="T32" s="45"/>
      <c r="U32" s="45"/>
      <c r="V32" s="45"/>
      <c r="W32" s="45"/>
      <c r="X32" s="45"/>
      <c r="Y32" s="45"/>
      <c r="Z32" s="56"/>
      <c r="AA32" s="95"/>
      <c r="AB32" s="55" t="s">
        <v>251</v>
      </c>
      <c r="AD32" s="55">
        <f>(21+15)</f>
        <v>36</v>
      </c>
      <c r="AE32" s="55">
        <f>AD32*7*2</f>
        <v>504</v>
      </c>
      <c r="AF32" s="55">
        <f>AD32*2</f>
        <v>72</v>
      </c>
      <c r="AG32" s="55">
        <f>AD32*7</f>
        <v>252</v>
      </c>
      <c r="AH32" s="55">
        <f>AD32*8</f>
        <v>288</v>
      </c>
      <c r="AI32" s="55">
        <v>0</v>
      </c>
      <c r="AJ32" s="96"/>
    </row>
    <row r="33" spans="1:38">
      <c r="A33" s="7" t="s">
        <v>252</v>
      </c>
      <c r="B33" s="40" t="s">
        <v>253</v>
      </c>
      <c r="C33" s="40" t="s">
        <v>216</v>
      </c>
      <c r="D33" s="40" t="s">
        <v>228</v>
      </c>
      <c r="E33" s="206" t="s">
        <v>239</v>
      </c>
      <c r="F33" s="40" t="s">
        <v>61</v>
      </c>
      <c r="G33" s="38">
        <f>T8</f>
        <v>261711</v>
      </c>
      <c r="H33" s="51">
        <v>2.8</v>
      </c>
      <c r="I33" s="53">
        <v>0</v>
      </c>
      <c r="J33" s="160">
        <f t="shared" si="6"/>
        <v>2.8</v>
      </c>
      <c r="K33" s="594">
        <f t="shared" si="7"/>
        <v>732790.79999999993</v>
      </c>
      <c r="M33" s="596" t="s">
        <v>254</v>
      </c>
      <c r="N33" s="45"/>
      <c r="O33" s="45"/>
      <c r="P33" s="45"/>
      <c r="Q33" s="45"/>
      <c r="R33" s="45"/>
      <c r="S33" s="45"/>
      <c r="T33" s="45"/>
      <c r="U33" s="45"/>
      <c r="V33" s="45"/>
      <c r="W33" s="45"/>
      <c r="X33" s="45"/>
      <c r="Y33" s="45"/>
      <c r="Z33" s="56"/>
      <c r="AA33" s="95"/>
      <c r="AB33" s="55" t="s">
        <v>255</v>
      </c>
      <c r="AD33" s="55">
        <v>13</v>
      </c>
      <c r="AE33" s="55">
        <f>AD33*10*2</f>
        <v>260</v>
      </c>
      <c r="AF33" s="165" t="s">
        <v>231</v>
      </c>
      <c r="AG33" s="55">
        <v>260</v>
      </c>
      <c r="AH33" s="165" t="s">
        <v>231</v>
      </c>
      <c r="AI33" s="165" t="s">
        <v>231</v>
      </c>
      <c r="AJ33" s="96"/>
      <c r="AL33" s="55">
        <f>AG33+AE33</f>
        <v>520</v>
      </c>
    </row>
    <row r="34" spans="1:38">
      <c r="A34" s="8" t="s">
        <v>256</v>
      </c>
      <c r="B34" s="166" t="s">
        <v>257</v>
      </c>
      <c r="C34" s="166" t="s">
        <v>216</v>
      </c>
      <c r="D34" s="166" t="s">
        <v>228</v>
      </c>
      <c r="E34" s="166" t="s">
        <v>44</v>
      </c>
      <c r="F34" s="166" t="s">
        <v>61</v>
      </c>
      <c r="G34" s="39">
        <f>SUM($T$6:$T$7)</f>
        <v>3268</v>
      </c>
      <c r="H34" s="167">
        <v>19.760000000000002</v>
      </c>
      <c r="I34" s="168">
        <v>0</v>
      </c>
      <c r="J34" s="169">
        <f t="shared" si="6"/>
        <v>19.760000000000002</v>
      </c>
      <c r="K34" s="159">
        <f t="shared" si="7"/>
        <v>64575.680000000008</v>
      </c>
      <c r="L34" s="71"/>
      <c r="M34" s="45"/>
      <c r="N34" s="45"/>
      <c r="O34" s="45"/>
      <c r="P34" s="45"/>
      <c r="Q34" s="45"/>
      <c r="R34" s="45"/>
      <c r="S34" s="45"/>
      <c r="T34" s="45"/>
      <c r="U34" s="45"/>
      <c r="V34" s="45"/>
      <c r="W34" s="45"/>
      <c r="X34" s="45"/>
      <c r="Y34" s="45"/>
      <c r="Z34" s="56"/>
      <c r="AA34" s="95"/>
      <c r="AB34" s="55" t="s">
        <v>258</v>
      </c>
      <c r="AD34" s="55">
        <v>8</v>
      </c>
      <c r="AE34" s="55">
        <f>AD34*52</f>
        <v>416</v>
      </c>
      <c r="AF34" s="55">
        <f>AD34*12</f>
        <v>96</v>
      </c>
      <c r="AG34" s="55">
        <f>AD34*28</f>
        <v>224</v>
      </c>
      <c r="AH34" s="55">
        <f>AD34*30</f>
        <v>240</v>
      </c>
      <c r="AI34" s="55">
        <v>0</v>
      </c>
      <c r="AJ34" s="96"/>
      <c r="AL34" s="55">
        <f>AL33/AJ35</f>
        <v>0.19908116385911179</v>
      </c>
    </row>
    <row r="35" spans="1:38" ht="15" thickBot="1">
      <c r="A35" s="4" t="s">
        <v>259</v>
      </c>
      <c r="B35" s="151" t="s">
        <v>260</v>
      </c>
      <c r="C35" s="151"/>
      <c r="D35" s="151"/>
      <c r="E35" s="151"/>
      <c r="F35" s="151"/>
      <c r="G35" s="152"/>
      <c r="H35" s="153"/>
      <c r="I35" s="154"/>
      <c r="J35" s="155"/>
      <c r="K35" s="156"/>
      <c r="L35" s="70">
        <f>SUM(K36:K43)</f>
        <v>0</v>
      </c>
      <c r="M35" s="45"/>
      <c r="N35" s="45"/>
      <c r="O35" s="45"/>
      <c r="P35" s="45"/>
      <c r="Q35" s="45"/>
      <c r="R35" s="45"/>
      <c r="S35" s="45"/>
      <c r="T35" s="45"/>
      <c r="U35" s="45"/>
      <c r="V35" s="45"/>
      <c r="W35" s="45"/>
      <c r="X35" s="45"/>
      <c r="Y35" s="45"/>
      <c r="Z35" s="56"/>
      <c r="AA35" s="137"/>
      <c r="AB35" s="138"/>
      <c r="AC35" s="138"/>
      <c r="AD35" s="138"/>
      <c r="AE35" s="170">
        <f>SUM(AE32:AE34)</f>
        <v>1180</v>
      </c>
      <c r="AF35" s="170">
        <f t="shared" ref="AF35:AI35" si="8">SUM(AF32:AF34)</f>
        <v>168</v>
      </c>
      <c r="AG35" s="170">
        <f t="shared" si="8"/>
        <v>736</v>
      </c>
      <c r="AH35" s="170">
        <f t="shared" si="8"/>
        <v>528</v>
      </c>
      <c r="AI35" s="170">
        <f t="shared" si="8"/>
        <v>0</v>
      </c>
      <c r="AJ35" s="171">
        <f>SUM(AE35:AI35)</f>
        <v>2612</v>
      </c>
    </row>
    <row r="36" spans="1:38" ht="15" thickBot="1">
      <c r="A36" s="6" t="s">
        <v>261</v>
      </c>
      <c r="B36" s="47"/>
      <c r="C36" s="47" t="s">
        <v>216</v>
      </c>
      <c r="D36" s="47"/>
      <c r="E36" s="47" t="s">
        <v>231</v>
      </c>
      <c r="F36" s="47"/>
      <c r="G36" s="42">
        <v>0</v>
      </c>
      <c r="H36" s="61"/>
      <c r="I36" s="63"/>
      <c r="J36" s="66">
        <v>0</v>
      </c>
      <c r="K36" s="67">
        <f>J36*G36</f>
        <v>0</v>
      </c>
      <c r="M36" s="45"/>
      <c r="N36" s="45"/>
      <c r="O36" s="45"/>
      <c r="P36" s="45"/>
      <c r="Q36" s="45"/>
      <c r="R36" s="45"/>
      <c r="S36" s="45"/>
      <c r="T36" s="45"/>
      <c r="U36" s="45"/>
      <c r="V36" s="45"/>
      <c r="W36" s="45"/>
      <c r="X36" s="45"/>
      <c r="Y36" s="45"/>
      <c r="Z36" s="56"/>
    </row>
    <row r="37" spans="1:38">
      <c r="A37" s="7" t="s">
        <v>262</v>
      </c>
      <c r="B37" s="40"/>
      <c r="C37" s="40" t="s">
        <v>216</v>
      </c>
      <c r="D37" s="40"/>
      <c r="E37" s="40" t="s">
        <v>231</v>
      </c>
      <c r="F37" s="40"/>
      <c r="G37" s="38"/>
      <c r="H37" s="51"/>
      <c r="I37" s="53"/>
      <c r="J37" s="160">
        <f t="shared" ref="J37:J43" si="9">H37*(1+I37)</f>
        <v>0</v>
      </c>
      <c r="K37" s="67">
        <f t="shared" ref="K37:K43" si="10">J37*G37</f>
        <v>0</v>
      </c>
      <c r="M37" s="45"/>
      <c r="N37" s="45"/>
      <c r="O37" s="45"/>
      <c r="P37" s="45"/>
      <c r="Q37" s="45"/>
      <c r="R37" s="45"/>
      <c r="S37" s="45"/>
      <c r="T37" s="45"/>
      <c r="U37" s="45"/>
      <c r="V37" s="45"/>
      <c r="W37" s="45"/>
      <c r="X37" s="45"/>
      <c r="Y37" s="45"/>
      <c r="Z37" s="56"/>
      <c r="AA37" s="161" t="s">
        <v>0</v>
      </c>
      <c r="AB37" s="91"/>
      <c r="AC37" s="91"/>
      <c r="AD37" s="162"/>
      <c r="AE37" s="163" t="s">
        <v>40</v>
      </c>
      <c r="AF37" s="163" t="s">
        <v>41</v>
      </c>
      <c r="AG37" s="163" t="s">
        <v>43</v>
      </c>
      <c r="AH37" s="163" t="s">
        <v>45</v>
      </c>
      <c r="AI37" s="163" t="s">
        <v>247</v>
      </c>
      <c r="AJ37" s="92"/>
    </row>
    <row r="38" spans="1:38">
      <c r="A38" s="7" t="s">
        <v>263</v>
      </c>
      <c r="B38" s="40"/>
      <c r="C38" s="40" t="s">
        <v>216</v>
      </c>
      <c r="D38" s="40"/>
      <c r="E38" s="40" t="s">
        <v>231</v>
      </c>
      <c r="F38" s="40"/>
      <c r="G38" s="38"/>
      <c r="H38" s="51"/>
      <c r="I38" s="53"/>
      <c r="J38" s="160">
        <f t="shared" si="9"/>
        <v>0</v>
      </c>
      <c r="K38" s="67">
        <f t="shared" si="10"/>
        <v>0</v>
      </c>
      <c r="M38" s="45"/>
      <c r="N38" s="45"/>
      <c r="O38" s="45"/>
      <c r="P38" s="45"/>
      <c r="Q38" s="45"/>
      <c r="R38" s="45"/>
      <c r="S38" s="45"/>
      <c r="T38" s="45"/>
      <c r="U38" s="45"/>
      <c r="V38" s="45"/>
      <c r="W38" s="45"/>
      <c r="X38" s="45"/>
      <c r="Y38" s="45"/>
      <c r="Z38" s="56"/>
      <c r="AA38" s="95"/>
      <c r="AB38" s="55" t="s">
        <v>38</v>
      </c>
      <c r="AD38" s="55" t="s">
        <v>61</v>
      </c>
      <c r="AE38" s="55">
        <f>62029-860-2726</f>
        <v>58443</v>
      </c>
      <c r="AF38" s="55">
        <f>12359-669</f>
        <v>11690</v>
      </c>
      <c r="AG38" s="55">
        <f>64481-860-2888</f>
        <v>60733</v>
      </c>
      <c r="AH38" s="55">
        <f>12359-669</f>
        <v>11690</v>
      </c>
      <c r="AI38" s="55">
        <v>0</v>
      </c>
      <c r="AJ38" s="96"/>
    </row>
    <row r="39" spans="1:38">
      <c r="A39" s="7" t="s">
        <v>264</v>
      </c>
      <c r="B39" s="40"/>
      <c r="C39" s="40" t="s">
        <v>216</v>
      </c>
      <c r="D39" s="40"/>
      <c r="E39" s="40" t="s">
        <v>231</v>
      </c>
      <c r="F39" s="40"/>
      <c r="G39" s="38"/>
      <c r="H39" s="51"/>
      <c r="I39" s="53"/>
      <c r="J39" s="160">
        <f t="shared" si="9"/>
        <v>0</v>
      </c>
      <c r="K39" s="67">
        <f t="shared" si="10"/>
        <v>0</v>
      </c>
      <c r="M39" s="45"/>
      <c r="N39" s="45"/>
      <c r="O39" s="45"/>
      <c r="P39" s="45"/>
      <c r="Q39" s="45"/>
      <c r="R39" s="45"/>
      <c r="S39" s="45"/>
      <c r="T39" s="45"/>
      <c r="U39" s="45"/>
      <c r="V39" s="45"/>
      <c r="W39" s="45"/>
      <c r="X39" s="45"/>
      <c r="Y39" s="45"/>
      <c r="Z39" s="56"/>
      <c r="AA39" s="95"/>
      <c r="AB39" s="55" t="s">
        <v>39</v>
      </c>
      <c r="AD39" s="55" t="s">
        <v>61</v>
      </c>
      <c r="AE39" s="55">
        <f>62109-860-2827</f>
        <v>58422</v>
      </c>
      <c r="AF39" s="165" t="s">
        <v>231</v>
      </c>
      <c r="AG39" s="165">
        <v>60733</v>
      </c>
      <c r="AH39" s="165" t="s">
        <v>231</v>
      </c>
      <c r="AI39" s="165">
        <v>0</v>
      </c>
      <c r="AJ39" s="96"/>
    </row>
    <row r="40" spans="1:38" ht="15" thickBot="1">
      <c r="A40" s="7" t="s">
        <v>265</v>
      </c>
      <c r="B40" s="40"/>
      <c r="C40" s="40" t="s">
        <v>216</v>
      </c>
      <c r="D40" s="40"/>
      <c r="E40" s="40" t="s">
        <v>231</v>
      </c>
      <c r="F40" s="40"/>
      <c r="G40" s="38"/>
      <c r="H40" s="51"/>
      <c r="I40" s="53"/>
      <c r="J40" s="160">
        <f t="shared" si="9"/>
        <v>0</v>
      </c>
      <c r="K40" s="67">
        <f t="shared" si="10"/>
        <v>0</v>
      </c>
      <c r="M40" s="45"/>
      <c r="N40" s="45"/>
      <c r="O40" s="45"/>
      <c r="P40" s="45"/>
      <c r="Q40" s="45"/>
      <c r="R40" s="45"/>
      <c r="S40" s="45"/>
      <c r="T40" s="45"/>
      <c r="U40" s="45"/>
      <c r="V40" s="45"/>
      <c r="W40" s="45"/>
      <c r="X40" s="45"/>
      <c r="Y40" s="45"/>
      <c r="Z40" s="56"/>
      <c r="AA40" s="137"/>
      <c r="AB40" s="138" t="s">
        <v>119</v>
      </c>
      <c r="AC40" s="138"/>
      <c r="AD40" s="138" t="s">
        <v>61</v>
      </c>
      <c r="AE40" s="170">
        <f>SUM(AE38:AE39)</f>
        <v>116865</v>
      </c>
      <c r="AF40" s="170">
        <f t="shared" ref="AF40:AI40" si="11">SUM(AF38:AF39)</f>
        <v>11690</v>
      </c>
      <c r="AG40" s="170">
        <f t="shared" si="11"/>
        <v>121466</v>
      </c>
      <c r="AH40" s="170">
        <f t="shared" si="11"/>
        <v>11690</v>
      </c>
      <c r="AI40" s="170">
        <f t="shared" si="11"/>
        <v>0</v>
      </c>
      <c r="AJ40" s="171">
        <f>SUM(AE40:AI40)</f>
        <v>261711</v>
      </c>
    </row>
    <row r="41" spans="1:38">
      <c r="A41" s="7" t="s">
        <v>266</v>
      </c>
      <c r="B41" s="40"/>
      <c r="C41" s="40" t="s">
        <v>216</v>
      </c>
      <c r="D41" s="40"/>
      <c r="E41" s="40" t="s">
        <v>231</v>
      </c>
      <c r="F41" s="40"/>
      <c r="G41" s="38"/>
      <c r="H41" s="51"/>
      <c r="I41" s="53"/>
      <c r="J41" s="160">
        <f t="shared" si="9"/>
        <v>0</v>
      </c>
      <c r="K41" s="67">
        <f t="shared" si="10"/>
        <v>0</v>
      </c>
      <c r="M41" s="45"/>
      <c r="N41" s="45"/>
      <c r="O41" s="45"/>
      <c r="P41" s="45"/>
      <c r="Q41" s="45"/>
      <c r="R41" s="45"/>
      <c r="S41" s="45"/>
      <c r="T41" s="45"/>
      <c r="U41" s="45"/>
      <c r="V41" s="45"/>
      <c r="W41" s="45"/>
      <c r="X41" s="45"/>
      <c r="Y41" s="45"/>
      <c r="Z41" s="56"/>
    </row>
    <row r="42" spans="1:38">
      <c r="A42" s="7" t="s">
        <v>267</v>
      </c>
      <c r="B42" s="40"/>
      <c r="C42" s="40" t="s">
        <v>216</v>
      </c>
      <c r="D42" s="40"/>
      <c r="E42" s="40" t="s">
        <v>231</v>
      </c>
      <c r="F42" s="40"/>
      <c r="G42" s="38"/>
      <c r="H42" s="51"/>
      <c r="I42" s="53"/>
      <c r="J42" s="160">
        <f t="shared" si="9"/>
        <v>0</v>
      </c>
      <c r="K42" s="67">
        <f t="shared" si="10"/>
        <v>0</v>
      </c>
      <c r="M42" s="45"/>
      <c r="N42" s="45"/>
      <c r="O42" s="45"/>
      <c r="P42" s="45"/>
      <c r="Q42" s="45"/>
      <c r="R42" s="45"/>
      <c r="S42" s="45"/>
      <c r="T42" s="45"/>
      <c r="U42" s="45"/>
      <c r="V42" s="45"/>
      <c r="W42" s="45"/>
      <c r="X42" s="45"/>
      <c r="Y42" s="45"/>
      <c r="Z42" s="56"/>
      <c r="AE42" s="55">
        <v>112658</v>
      </c>
      <c r="AF42" s="55">
        <v>11201</v>
      </c>
      <c r="AG42" s="55">
        <v>117080</v>
      </c>
      <c r="AH42" s="55">
        <v>11201</v>
      </c>
    </row>
    <row r="43" spans="1:38">
      <c r="A43" s="8" t="s">
        <v>268</v>
      </c>
      <c r="B43" s="166"/>
      <c r="C43" s="166" t="s">
        <v>216</v>
      </c>
      <c r="D43" s="166"/>
      <c r="E43" s="166" t="s">
        <v>231</v>
      </c>
      <c r="F43" s="166"/>
      <c r="G43" s="39"/>
      <c r="H43" s="167"/>
      <c r="I43" s="168"/>
      <c r="J43" s="169">
        <f t="shared" si="9"/>
        <v>0</v>
      </c>
      <c r="K43" s="159">
        <f t="shared" si="10"/>
        <v>0</v>
      </c>
      <c r="M43" s="45"/>
      <c r="N43" s="45"/>
      <c r="O43" s="45"/>
      <c r="P43" s="45"/>
      <c r="Q43" s="45"/>
      <c r="R43" s="45"/>
      <c r="S43" s="45"/>
      <c r="T43" s="45"/>
      <c r="U43" s="45"/>
      <c r="V43" s="45"/>
      <c r="W43" s="45"/>
      <c r="X43" s="45"/>
      <c r="Y43" s="45"/>
      <c r="Z43" s="56"/>
      <c r="AE43" s="55">
        <f>AE40-AE42</f>
        <v>4207</v>
      </c>
      <c r="AF43" s="55">
        <f t="shared" ref="AF43:AH43" si="12">AF40-AF42</f>
        <v>489</v>
      </c>
      <c r="AG43" s="55">
        <f t="shared" si="12"/>
        <v>4386</v>
      </c>
      <c r="AH43" s="55">
        <f t="shared" si="12"/>
        <v>489</v>
      </c>
    </row>
    <row r="44" spans="1:38">
      <c r="A44" s="4" t="s">
        <v>269</v>
      </c>
      <c r="B44" s="151" t="s">
        <v>270</v>
      </c>
      <c r="C44" s="151"/>
      <c r="D44" s="151"/>
      <c r="E44" s="151"/>
      <c r="F44" s="151"/>
      <c r="G44" s="152"/>
      <c r="H44" s="153"/>
      <c r="I44" s="154"/>
      <c r="J44" s="153"/>
      <c r="K44" s="172"/>
      <c r="L44" s="70">
        <f>SUM(K45:K49)</f>
        <v>212500</v>
      </c>
      <c r="M44" s="45"/>
      <c r="N44" s="45"/>
      <c r="O44" s="45"/>
      <c r="P44" s="45"/>
      <c r="Q44" s="45"/>
      <c r="R44" s="45"/>
      <c r="S44" s="45"/>
      <c r="T44" s="45"/>
      <c r="U44" s="45"/>
      <c r="V44" s="45"/>
      <c r="W44" s="45"/>
      <c r="X44" s="45"/>
      <c r="Y44" s="45"/>
      <c r="Z44" s="56"/>
      <c r="AE44" s="845">
        <f>AE43/AE40</f>
        <v>3.5998802036537887E-2</v>
      </c>
    </row>
    <row r="45" spans="1:38">
      <c r="A45" s="6" t="s">
        <v>271</v>
      </c>
      <c r="B45" s="47" t="s">
        <v>272</v>
      </c>
      <c r="C45" s="47" t="s">
        <v>216</v>
      </c>
      <c r="D45" s="47" t="s">
        <v>228</v>
      </c>
      <c r="E45" s="47" t="s">
        <v>44</v>
      </c>
      <c r="F45" s="47" t="s">
        <v>273</v>
      </c>
      <c r="G45" s="42">
        <f>Q4</f>
        <v>12</v>
      </c>
      <c r="H45" s="61">
        <v>10000</v>
      </c>
      <c r="I45" s="63">
        <v>0</v>
      </c>
      <c r="J45" s="66">
        <f t="shared" ref="J45:J49" si="13">H45*(1+I45)</f>
        <v>10000</v>
      </c>
      <c r="K45" s="67">
        <f t="shared" ref="K45:K49" si="14">J45*G45</f>
        <v>120000</v>
      </c>
      <c r="M45" s="45"/>
      <c r="N45" s="45"/>
      <c r="O45" s="45"/>
      <c r="P45" s="45"/>
      <c r="Q45" s="45"/>
      <c r="R45" s="45"/>
      <c r="S45" s="45"/>
      <c r="T45" s="45"/>
      <c r="U45" s="45"/>
      <c r="V45" s="45"/>
      <c r="W45" s="45"/>
      <c r="X45" s="45"/>
      <c r="Y45" s="45"/>
      <c r="Z45" s="56"/>
    </row>
    <row r="46" spans="1:38">
      <c r="A46" s="7" t="s">
        <v>275</v>
      </c>
      <c r="B46" s="40" t="s">
        <v>276</v>
      </c>
      <c r="C46" s="40" t="s">
        <v>216</v>
      </c>
      <c r="D46" s="40" t="s">
        <v>238</v>
      </c>
      <c r="E46" s="40" t="s">
        <v>44</v>
      </c>
      <c r="F46" s="40" t="s">
        <v>108</v>
      </c>
      <c r="G46" s="38">
        <f>$Q$5</f>
        <v>14</v>
      </c>
      <c r="H46" s="51">
        <v>5500</v>
      </c>
      <c r="I46" s="53">
        <v>0</v>
      </c>
      <c r="J46" s="160">
        <f t="shared" si="13"/>
        <v>5500</v>
      </c>
      <c r="K46" s="67">
        <f t="shared" si="14"/>
        <v>77000</v>
      </c>
      <c r="L46" s="112"/>
      <c r="M46" s="45"/>
      <c r="N46" s="45"/>
      <c r="O46" s="45"/>
      <c r="P46" s="45"/>
      <c r="Q46" s="45"/>
      <c r="R46" s="45"/>
      <c r="S46" s="45"/>
      <c r="T46" s="45"/>
      <c r="U46" s="45"/>
      <c r="V46" s="45"/>
      <c r="W46" s="45"/>
      <c r="X46" s="45"/>
      <c r="Y46" s="45"/>
      <c r="Z46" s="56"/>
    </row>
    <row r="47" spans="1:38">
      <c r="A47" s="7" t="s">
        <v>277</v>
      </c>
      <c r="B47" s="40" t="s">
        <v>278</v>
      </c>
      <c r="C47" s="40" t="s">
        <v>216</v>
      </c>
      <c r="D47" s="40" t="s">
        <v>223</v>
      </c>
      <c r="E47" s="40" t="s">
        <v>231</v>
      </c>
      <c r="F47" s="40"/>
      <c r="G47" s="38"/>
      <c r="H47" s="51"/>
      <c r="I47" s="53"/>
      <c r="J47" s="160">
        <f t="shared" si="13"/>
        <v>0</v>
      </c>
      <c r="K47" s="67">
        <f t="shared" si="14"/>
        <v>0</v>
      </c>
      <c r="M47" s="45"/>
      <c r="N47" s="45"/>
      <c r="O47" s="45"/>
      <c r="P47" s="45"/>
      <c r="Q47" s="45"/>
      <c r="R47" s="45"/>
      <c r="S47" s="45"/>
      <c r="T47" s="45"/>
      <c r="U47" s="45"/>
      <c r="V47" s="45"/>
      <c r="W47" s="45"/>
      <c r="X47" s="45"/>
      <c r="Y47" s="45"/>
      <c r="Z47" s="56"/>
    </row>
    <row r="48" spans="1:38">
      <c r="A48" s="7" t="s">
        <v>279</v>
      </c>
      <c r="B48" s="40" t="s">
        <v>280</v>
      </c>
      <c r="C48" s="40" t="s">
        <v>216</v>
      </c>
      <c r="D48" s="40" t="s">
        <v>242</v>
      </c>
      <c r="E48" s="40" t="s">
        <v>555</v>
      </c>
      <c r="F48" s="40" t="s">
        <v>71</v>
      </c>
      <c r="G48" s="38">
        <f>$Q$7</f>
        <v>1</v>
      </c>
      <c r="H48" s="51">
        <v>6000</v>
      </c>
      <c r="I48" s="53">
        <v>0</v>
      </c>
      <c r="J48" s="160">
        <f t="shared" si="13"/>
        <v>6000</v>
      </c>
      <c r="K48" s="67">
        <f t="shared" si="14"/>
        <v>6000</v>
      </c>
      <c r="M48" s="45"/>
      <c r="N48" s="45"/>
      <c r="O48" s="45"/>
      <c r="P48" s="45"/>
      <c r="Q48" s="45"/>
      <c r="R48" s="45"/>
      <c r="S48" s="45"/>
      <c r="T48" s="45"/>
      <c r="U48" s="45"/>
      <c r="V48" s="45"/>
      <c r="W48" s="45"/>
      <c r="X48" s="45"/>
      <c r="Y48" s="45"/>
      <c r="Z48" s="56"/>
    </row>
    <row r="49" spans="1:26">
      <c r="A49" s="7" t="s">
        <v>281</v>
      </c>
      <c r="B49" s="40" t="s">
        <v>282</v>
      </c>
      <c r="C49" s="40" t="s">
        <v>283</v>
      </c>
      <c r="D49" s="40" t="s">
        <v>250</v>
      </c>
      <c r="E49" s="40" t="s">
        <v>44</v>
      </c>
      <c r="F49" s="40" t="s">
        <v>71</v>
      </c>
      <c r="G49" s="38">
        <f>$Q$7</f>
        <v>1</v>
      </c>
      <c r="H49" s="51">
        <v>9500</v>
      </c>
      <c r="I49" s="53">
        <v>0</v>
      </c>
      <c r="J49" s="160">
        <f t="shared" si="13"/>
        <v>9500</v>
      </c>
      <c r="K49" s="67">
        <f t="shared" si="14"/>
        <v>9500</v>
      </c>
      <c r="M49" s="45"/>
      <c r="N49" s="45"/>
      <c r="O49" s="45"/>
      <c r="P49" s="45"/>
      <c r="Q49" s="45"/>
      <c r="R49" s="45"/>
      <c r="S49" s="45"/>
      <c r="T49" s="45"/>
      <c r="U49" s="45"/>
      <c r="V49" s="45"/>
      <c r="W49" s="45"/>
      <c r="X49" s="45"/>
      <c r="Y49" s="45"/>
      <c r="Z49" s="56"/>
    </row>
    <row r="50" spans="1:26">
      <c r="A50" s="4" t="s">
        <v>284</v>
      </c>
      <c r="B50" s="151" t="s">
        <v>285</v>
      </c>
      <c r="C50" s="151"/>
      <c r="D50" s="151"/>
      <c r="E50" s="151"/>
      <c r="F50" s="151"/>
      <c r="G50" s="152"/>
      <c r="H50" s="153"/>
      <c r="I50" s="154"/>
      <c r="J50" s="153"/>
      <c r="K50" s="172"/>
      <c r="L50" s="70">
        <f>SUM(K51:K58)</f>
        <v>496414</v>
      </c>
      <c r="M50" s="45"/>
      <c r="N50" s="45"/>
      <c r="O50" s="45"/>
      <c r="P50" s="45"/>
      <c r="Q50" s="45"/>
      <c r="R50" s="45"/>
      <c r="S50" s="45"/>
      <c r="T50" s="45"/>
      <c r="U50" s="45"/>
      <c r="V50" s="45"/>
      <c r="W50" s="45"/>
      <c r="X50" s="45"/>
      <c r="Y50" s="45"/>
      <c r="Z50" s="56"/>
    </row>
    <row r="51" spans="1:26">
      <c r="A51" s="6" t="s">
        <v>286</v>
      </c>
      <c r="B51" s="47" t="s">
        <v>287</v>
      </c>
      <c r="C51" s="47" t="s">
        <v>216</v>
      </c>
      <c r="D51" s="47" t="s">
        <v>228</v>
      </c>
      <c r="E51" s="47" t="s">
        <v>73</v>
      </c>
      <c r="F51" s="47" t="s">
        <v>71</v>
      </c>
      <c r="G51" s="42">
        <v>1</v>
      </c>
      <c r="H51" s="61">
        <v>150000</v>
      </c>
      <c r="I51" s="63">
        <v>0</v>
      </c>
      <c r="J51" s="66">
        <f t="shared" ref="J51:J58" si="15">H51*(1+I51)</f>
        <v>150000</v>
      </c>
      <c r="K51" s="67">
        <f t="shared" ref="K51:K58" si="16">J51*G51</f>
        <v>150000</v>
      </c>
      <c r="M51" s="45"/>
      <c r="N51" s="45"/>
      <c r="O51" s="45"/>
      <c r="P51" s="45"/>
      <c r="Q51" s="45"/>
      <c r="R51" s="45"/>
      <c r="S51" s="45"/>
      <c r="T51" s="45"/>
      <c r="U51" s="45"/>
      <c r="V51" s="45"/>
      <c r="W51" s="45"/>
      <c r="X51" s="45"/>
      <c r="Y51" s="45"/>
      <c r="Z51" s="56"/>
    </row>
    <row r="52" spans="1:26">
      <c r="A52" s="7" t="s">
        <v>289</v>
      </c>
      <c r="B52" s="40" t="s">
        <v>290</v>
      </c>
      <c r="C52" s="40" t="s">
        <v>216</v>
      </c>
      <c r="D52" s="40" t="s">
        <v>228</v>
      </c>
      <c r="E52" s="40" t="s">
        <v>6</v>
      </c>
      <c r="F52" s="40" t="s">
        <v>71</v>
      </c>
      <c r="G52" s="38">
        <v>1</v>
      </c>
      <c r="H52" s="51">
        <v>16160</v>
      </c>
      <c r="I52" s="53">
        <v>0</v>
      </c>
      <c r="J52" s="66">
        <f t="shared" si="15"/>
        <v>16160</v>
      </c>
      <c r="K52" s="67">
        <f t="shared" si="16"/>
        <v>16160</v>
      </c>
      <c r="M52" s="45"/>
      <c r="N52" s="45"/>
      <c r="O52" s="45"/>
      <c r="P52" s="45"/>
      <c r="Q52" s="45"/>
      <c r="R52" s="45"/>
      <c r="S52" s="45"/>
      <c r="T52" s="45"/>
      <c r="U52" s="45"/>
      <c r="V52" s="45"/>
      <c r="W52" s="45"/>
      <c r="X52" s="45"/>
      <c r="Y52" s="45"/>
      <c r="Z52" s="56"/>
    </row>
    <row r="53" spans="1:26">
      <c r="A53" s="7" t="s">
        <v>291</v>
      </c>
      <c r="B53" s="40" t="s">
        <v>292</v>
      </c>
      <c r="C53" s="40" t="s">
        <v>216</v>
      </c>
      <c r="D53" s="40" t="s">
        <v>228</v>
      </c>
      <c r="E53" s="40" t="s">
        <v>44</v>
      </c>
      <c r="F53" s="40" t="s">
        <v>1049</v>
      </c>
      <c r="G53" s="38">
        <f>Q14</f>
        <v>44</v>
      </c>
      <c r="H53" s="51">
        <v>2000</v>
      </c>
      <c r="I53" s="53">
        <v>0</v>
      </c>
      <c r="J53" s="66">
        <f t="shared" si="15"/>
        <v>2000</v>
      </c>
      <c r="K53" s="67">
        <f t="shared" si="16"/>
        <v>88000</v>
      </c>
      <c r="M53" s="45"/>
      <c r="N53" s="45"/>
      <c r="O53" s="45"/>
      <c r="P53" s="45"/>
      <c r="Q53" s="45"/>
      <c r="R53" s="45"/>
      <c r="S53" s="45"/>
      <c r="T53" s="45"/>
      <c r="U53" s="45"/>
      <c r="V53" s="45"/>
      <c r="W53" s="45"/>
      <c r="X53" s="45"/>
      <c r="Y53" s="45"/>
      <c r="Z53" s="56"/>
    </row>
    <row r="54" spans="1:26">
      <c r="A54" s="7" t="s">
        <v>293</v>
      </c>
      <c r="B54" s="40" t="s">
        <v>292</v>
      </c>
      <c r="C54" s="40" t="s">
        <v>216</v>
      </c>
      <c r="D54" s="40" t="s">
        <v>228</v>
      </c>
      <c r="E54" s="40" t="s">
        <v>231</v>
      </c>
      <c r="F54" s="40"/>
      <c r="G54" s="38"/>
      <c r="H54" s="51">
        <v>0</v>
      </c>
      <c r="I54" s="53">
        <v>0</v>
      </c>
      <c r="J54" s="66">
        <f t="shared" si="15"/>
        <v>0</v>
      </c>
      <c r="K54" s="67">
        <f t="shared" si="16"/>
        <v>0</v>
      </c>
      <c r="M54" s="45"/>
      <c r="N54" s="45"/>
      <c r="O54" s="45"/>
      <c r="P54" s="45"/>
      <c r="Q54" s="45"/>
      <c r="R54" s="45"/>
      <c r="S54" s="45"/>
      <c r="T54" s="45"/>
      <c r="U54" s="45"/>
      <c r="V54" s="45"/>
      <c r="W54" s="45"/>
      <c r="X54" s="45"/>
      <c r="Y54" s="45"/>
      <c r="Z54" s="56"/>
    </row>
    <row r="55" spans="1:26">
      <c r="A55" s="7" t="s">
        <v>294</v>
      </c>
      <c r="B55" s="40" t="s">
        <v>295</v>
      </c>
      <c r="C55" s="40" t="s">
        <v>216</v>
      </c>
      <c r="D55" s="40" t="s">
        <v>242</v>
      </c>
      <c r="E55" s="40" t="s">
        <v>231</v>
      </c>
      <c r="F55" s="40"/>
      <c r="G55" s="38"/>
      <c r="H55" s="51">
        <v>0</v>
      </c>
      <c r="I55" s="53">
        <v>0</v>
      </c>
      <c r="J55" s="66">
        <f t="shared" si="15"/>
        <v>0</v>
      </c>
      <c r="K55" s="67">
        <f t="shared" si="16"/>
        <v>0</v>
      </c>
      <c r="M55" s="45"/>
      <c r="N55" s="45"/>
      <c r="O55" s="45"/>
      <c r="P55" s="45"/>
      <c r="Q55" s="45"/>
      <c r="R55" s="45"/>
      <c r="S55" s="45"/>
      <c r="T55" s="45"/>
      <c r="U55" s="45"/>
      <c r="V55" s="45"/>
      <c r="W55" s="45"/>
      <c r="X55" s="45"/>
      <c r="Y55" s="45"/>
      <c r="Z55" s="56"/>
    </row>
    <row r="56" spans="1:26">
      <c r="A56" s="7" t="s">
        <v>296</v>
      </c>
      <c r="B56" s="40" t="s">
        <v>297</v>
      </c>
      <c r="C56" s="40" t="s">
        <v>216</v>
      </c>
      <c r="D56" s="40" t="s">
        <v>250</v>
      </c>
      <c r="E56" s="40" t="s">
        <v>44</v>
      </c>
      <c r="F56" s="40" t="s">
        <v>108</v>
      </c>
      <c r="G56" s="38">
        <v>1</v>
      </c>
      <c r="H56" s="51">
        <v>1950</v>
      </c>
      <c r="I56" s="53">
        <v>0</v>
      </c>
      <c r="J56" s="66">
        <f t="shared" si="15"/>
        <v>1950</v>
      </c>
      <c r="K56" s="67">
        <f t="shared" si="16"/>
        <v>1950</v>
      </c>
      <c r="M56" s="45"/>
      <c r="N56" s="45"/>
      <c r="O56" s="45"/>
      <c r="P56" s="45"/>
      <c r="Q56" s="45"/>
      <c r="R56" s="45"/>
      <c r="S56" s="45"/>
      <c r="T56" s="45"/>
      <c r="U56" s="45"/>
      <c r="V56" s="45"/>
      <c r="W56" s="45"/>
      <c r="X56" s="45"/>
      <c r="Y56" s="45"/>
      <c r="Z56" s="56"/>
    </row>
    <row r="57" spans="1:26">
      <c r="A57" s="7" t="s">
        <v>298</v>
      </c>
      <c r="B57" s="40" t="s">
        <v>299</v>
      </c>
      <c r="C57" s="40" t="s">
        <v>216</v>
      </c>
      <c r="D57" s="40" t="s">
        <v>228</v>
      </c>
      <c r="E57" s="206" t="s">
        <v>433</v>
      </c>
      <c r="F57" s="40" t="s">
        <v>148</v>
      </c>
      <c r="G57" s="38">
        <f>$Q$9</f>
        <v>2612</v>
      </c>
      <c r="H57" s="51">
        <v>92</v>
      </c>
      <c r="I57" s="53">
        <v>0</v>
      </c>
      <c r="J57" s="66">
        <f t="shared" si="15"/>
        <v>92</v>
      </c>
      <c r="K57" s="67">
        <f t="shared" si="16"/>
        <v>240304</v>
      </c>
      <c r="M57" s="45" t="s">
        <v>1050</v>
      </c>
      <c r="N57" s="45"/>
      <c r="O57" s="45"/>
      <c r="P57" s="45"/>
      <c r="Q57" s="45"/>
      <c r="R57" s="45"/>
      <c r="S57" s="45"/>
      <c r="T57" s="45"/>
      <c r="U57" s="45"/>
      <c r="V57" s="45"/>
      <c r="W57" s="45"/>
      <c r="X57" s="45"/>
      <c r="Y57" s="45"/>
      <c r="Z57" s="56"/>
    </row>
    <row r="58" spans="1:26">
      <c r="A58" s="7" t="s">
        <v>301</v>
      </c>
      <c r="B58" s="40" t="s">
        <v>302</v>
      </c>
      <c r="C58" s="40" t="s">
        <v>216</v>
      </c>
      <c r="D58" s="40" t="s">
        <v>303</v>
      </c>
      <c r="E58" s="40" t="s">
        <v>231</v>
      </c>
      <c r="F58" s="40"/>
      <c r="G58" s="38"/>
      <c r="H58" s="51">
        <v>0</v>
      </c>
      <c r="I58" s="53">
        <v>0</v>
      </c>
      <c r="J58" s="66">
        <f t="shared" si="15"/>
        <v>0</v>
      </c>
      <c r="K58" s="67">
        <f t="shared" si="16"/>
        <v>0</v>
      </c>
      <c r="M58" s="45"/>
      <c r="N58" s="45"/>
      <c r="O58" s="45"/>
      <c r="P58" s="45"/>
      <c r="Q58" s="45"/>
      <c r="R58" s="45"/>
      <c r="S58" s="45"/>
      <c r="T58" s="45"/>
      <c r="U58" s="45"/>
      <c r="V58" s="45"/>
      <c r="W58" s="45"/>
      <c r="X58" s="45"/>
      <c r="Y58" s="45"/>
      <c r="Z58" s="56"/>
    </row>
    <row r="59" spans="1:26">
      <c r="A59" s="4" t="s">
        <v>305</v>
      </c>
      <c r="B59" s="151" t="s">
        <v>306</v>
      </c>
      <c r="C59" s="151"/>
      <c r="D59" s="151"/>
      <c r="E59" s="151"/>
      <c r="F59" s="151"/>
      <c r="G59" s="152"/>
      <c r="H59" s="153"/>
      <c r="I59" s="154"/>
      <c r="J59" s="153"/>
      <c r="K59" s="172"/>
      <c r="L59" s="70">
        <f>SUM(K60:K71)</f>
        <v>10109885.917922445</v>
      </c>
      <c r="M59" s="45"/>
      <c r="N59" s="45"/>
      <c r="O59" s="45"/>
      <c r="P59" s="45"/>
      <c r="Q59" s="45"/>
      <c r="R59" s="45"/>
      <c r="S59" s="45"/>
      <c r="T59" s="45"/>
      <c r="U59" s="45"/>
      <c r="V59" s="45"/>
      <c r="W59" s="45"/>
      <c r="X59" s="45"/>
      <c r="Y59" s="45"/>
      <c r="Z59" s="56"/>
    </row>
    <row r="60" spans="1:26">
      <c r="A60" s="6" t="s">
        <v>307</v>
      </c>
      <c r="B60" s="47" t="s">
        <v>308</v>
      </c>
      <c r="C60" s="47" t="s">
        <v>216</v>
      </c>
      <c r="D60" s="47" t="s">
        <v>309</v>
      </c>
      <c r="E60" s="47"/>
      <c r="F60" s="47"/>
      <c r="G60" s="42"/>
      <c r="H60" s="61">
        <v>79</v>
      </c>
      <c r="I60" s="63">
        <v>0</v>
      </c>
      <c r="J60" s="66">
        <f t="shared" ref="J60:J71" si="17">H60*(1+I60)</f>
        <v>79</v>
      </c>
      <c r="K60" s="67">
        <f t="shared" ref="K60:K71" si="18">J60*G60</f>
        <v>0</v>
      </c>
      <c r="M60" s="45"/>
      <c r="N60" s="45"/>
      <c r="O60" s="45"/>
      <c r="P60" s="45"/>
      <c r="Q60" s="45"/>
      <c r="R60" s="45"/>
      <c r="S60" s="45"/>
      <c r="T60" s="45"/>
      <c r="U60" s="45"/>
      <c r="V60" s="45"/>
      <c r="W60" s="45"/>
      <c r="X60" s="45"/>
      <c r="Y60" s="45"/>
      <c r="Z60" s="56"/>
    </row>
    <row r="61" spans="1:26">
      <c r="A61" s="7" t="s">
        <v>310</v>
      </c>
      <c r="B61" s="40" t="s">
        <v>311</v>
      </c>
      <c r="C61" s="40" t="s">
        <v>216</v>
      </c>
      <c r="D61" s="40" t="s">
        <v>228</v>
      </c>
      <c r="E61" s="206" t="s">
        <v>433</v>
      </c>
      <c r="F61" s="40" t="s">
        <v>61</v>
      </c>
      <c r="G61" s="38">
        <f>B8</f>
        <v>426549</v>
      </c>
      <c r="H61" s="51">
        <v>18.899999999999999</v>
      </c>
      <c r="I61" s="53">
        <v>0</v>
      </c>
      <c r="J61" s="66">
        <f t="shared" si="17"/>
        <v>18.899999999999999</v>
      </c>
      <c r="K61" s="594">
        <f t="shared" si="18"/>
        <v>8061776.0999999996</v>
      </c>
      <c r="M61" s="596" t="s">
        <v>1051</v>
      </c>
      <c r="N61" s="45"/>
      <c r="O61" s="45"/>
      <c r="P61" s="45"/>
      <c r="Q61" s="45"/>
      <c r="R61" s="45"/>
      <c r="S61" s="45"/>
      <c r="T61" s="45"/>
      <c r="U61" s="45"/>
      <c r="V61" s="45"/>
      <c r="W61" s="45"/>
      <c r="X61" s="45"/>
      <c r="Y61" s="45"/>
      <c r="Z61" s="56"/>
    </row>
    <row r="62" spans="1:26">
      <c r="A62" s="7" t="s">
        <v>314</v>
      </c>
      <c r="B62" s="40" t="s">
        <v>311</v>
      </c>
      <c r="C62" s="40" t="s">
        <v>216</v>
      </c>
      <c r="D62" s="40" t="s">
        <v>228</v>
      </c>
      <c r="E62" s="40" t="s">
        <v>231</v>
      </c>
      <c r="F62" s="40"/>
      <c r="G62" s="38"/>
      <c r="H62" s="51"/>
      <c r="I62" s="53">
        <v>0</v>
      </c>
      <c r="J62" s="66">
        <f t="shared" si="17"/>
        <v>0</v>
      </c>
      <c r="K62" s="67">
        <f t="shared" si="18"/>
        <v>0</v>
      </c>
      <c r="M62" s="45"/>
      <c r="N62" s="45"/>
      <c r="O62" s="45"/>
      <c r="P62" s="45"/>
      <c r="Q62" s="45"/>
      <c r="R62" s="45"/>
      <c r="S62" s="45"/>
      <c r="T62" s="45"/>
      <c r="U62" s="45"/>
      <c r="V62" s="45"/>
      <c r="W62" s="45"/>
      <c r="X62" s="45"/>
      <c r="Y62" s="45"/>
      <c r="Z62" s="56"/>
    </row>
    <row r="63" spans="1:26">
      <c r="A63" s="7" t="s">
        <v>315</v>
      </c>
      <c r="B63" s="40" t="s">
        <v>316</v>
      </c>
      <c r="C63" s="40" t="s">
        <v>216</v>
      </c>
      <c r="D63" s="40" t="s">
        <v>303</v>
      </c>
      <c r="E63" s="40" t="s">
        <v>231</v>
      </c>
      <c r="F63" s="40"/>
      <c r="G63" s="38"/>
      <c r="H63" s="51"/>
      <c r="I63" s="53">
        <v>0</v>
      </c>
      <c r="J63" s="66">
        <f t="shared" si="17"/>
        <v>0</v>
      </c>
      <c r="K63" s="67">
        <f t="shared" si="18"/>
        <v>0</v>
      </c>
      <c r="M63" s="45"/>
      <c r="N63" s="45"/>
      <c r="O63" s="45"/>
      <c r="P63" s="45"/>
      <c r="Q63" s="45"/>
      <c r="R63" s="45"/>
      <c r="S63" s="45"/>
      <c r="T63" s="45"/>
      <c r="U63" s="45"/>
      <c r="V63" s="45"/>
      <c r="W63" s="45"/>
      <c r="X63" s="45"/>
      <c r="Y63" s="45"/>
      <c r="Z63" s="56"/>
    </row>
    <row r="64" spans="1:26">
      <c r="A64" s="7" t="s">
        <v>317</v>
      </c>
      <c r="B64" s="40" t="s">
        <v>318</v>
      </c>
      <c r="C64" s="40" t="s">
        <v>216</v>
      </c>
      <c r="D64" s="40" t="s">
        <v>303</v>
      </c>
      <c r="E64" s="40" t="s">
        <v>73</v>
      </c>
      <c r="F64" s="40" t="s">
        <v>71</v>
      </c>
      <c r="G64" s="38">
        <f>$W$16</f>
        <v>4</v>
      </c>
      <c r="H64" s="51">
        <v>2500</v>
      </c>
      <c r="I64" s="53">
        <v>0</v>
      </c>
      <c r="J64" s="66">
        <f t="shared" si="17"/>
        <v>2500</v>
      </c>
      <c r="K64" s="67">
        <f t="shared" si="18"/>
        <v>10000</v>
      </c>
      <c r="M64" s="45"/>
      <c r="N64" s="45"/>
      <c r="O64" s="45"/>
      <c r="P64" s="45"/>
      <c r="Q64" s="45"/>
      <c r="R64" s="45"/>
      <c r="S64" s="45"/>
      <c r="T64" s="45"/>
      <c r="U64" s="45"/>
      <c r="V64" s="45"/>
      <c r="W64" s="45"/>
      <c r="X64" s="45"/>
      <c r="Y64" s="45"/>
      <c r="Z64" s="56"/>
    </row>
    <row r="65" spans="1:26" hidden="1">
      <c r="A65" s="7" t="s">
        <v>319</v>
      </c>
      <c r="B65" s="40" t="s">
        <v>320</v>
      </c>
      <c r="C65" s="40" t="s">
        <v>216</v>
      </c>
      <c r="D65" s="40" t="s">
        <v>303</v>
      </c>
      <c r="E65" s="40" t="s">
        <v>231</v>
      </c>
      <c r="F65" s="40"/>
      <c r="G65" s="38"/>
      <c r="H65" s="51"/>
      <c r="I65" s="53">
        <v>0</v>
      </c>
      <c r="J65" s="66">
        <f t="shared" si="17"/>
        <v>0</v>
      </c>
      <c r="K65" s="67">
        <f t="shared" si="18"/>
        <v>0</v>
      </c>
      <c r="M65" s="45"/>
      <c r="N65" s="45"/>
      <c r="O65" s="45"/>
      <c r="P65" s="45"/>
      <c r="Q65" s="45"/>
      <c r="R65" s="45"/>
      <c r="S65" s="45"/>
      <c r="T65" s="45"/>
      <c r="U65" s="45"/>
      <c r="V65" s="45"/>
      <c r="W65" s="45"/>
      <c r="X65" s="45"/>
      <c r="Y65" s="45"/>
      <c r="Z65" s="56"/>
    </row>
    <row r="66" spans="1:26" hidden="1">
      <c r="A66" s="7" t="s">
        <v>321</v>
      </c>
      <c r="B66" s="40" t="s">
        <v>322</v>
      </c>
      <c r="C66" s="40" t="s">
        <v>216</v>
      </c>
      <c r="D66" s="40" t="s">
        <v>228</v>
      </c>
      <c r="E66" s="40" t="s">
        <v>231</v>
      </c>
      <c r="F66" s="40"/>
      <c r="G66" s="38"/>
      <c r="H66" s="51"/>
      <c r="I66" s="53">
        <v>0</v>
      </c>
      <c r="J66" s="66">
        <f t="shared" si="17"/>
        <v>0</v>
      </c>
      <c r="K66" s="67">
        <f t="shared" si="18"/>
        <v>0</v>
      </c>
      <c r="M66" s="45"/>
      <c r="N66" s="45"/>
      <c r="O66" s="45"/>
      <c r="P66" s="45"/>
      <c r="Q66" s="45"/>
      <c r="R66" s="45"/>
      <c r="S66" s="45"/>
      <c r="T66" s="45"/>
      <c r="U66" s="45"/>
      <c r="V66" s="45"/>
      <c r="W66" s="45"/>
      <c r="X66" s="45"/>
      <c r="Y66" s="45"/>
      <c r="Z66" s="56"/>
    </row>
    <row r="67" spans="1:26" hidden="1">
      <c r="A67" s="7" t="s">
        <v>323</v>
      </c>
      <c r="B67" s="40" t="s">
        <v>322</v>
      </c>
      <c r="C67" s="40" t="s">
        <v>216</v>
      </c>
      <c r="D67" s="40" t="s">
        <v>250</v>
      </c>
      <c r="E67" s="40" t="s">
        <v>231</v>
      </c>
      <c r="F67" s="40"/>
      <c r="G67" s="38"/>
      <c r="H67" s="51"/>
      <c r="I67" s="53">
        <v>0</v>
      </c>
      <c r="J67" s="66">
        <f t="shared" si="17"/>
        <v>0</v>
      </c>
      <c r="K67" s="67">
        <f t="shared" si="18"/>
        <v>0</v>
      </c>
      <c r="M67" s="45"/>
      <c r="N67" s="45"/>
      <c r="O67" s="45"/>
      <c r="P67" s="45"/>
      <c r="Q67" s="45"/>
      <c r="R67" s="45"/>
      <c r="S67" s="45"/>
      <c r="T67" s="45"/>
      <c r="U67" s="45"/>
      <c r="V67" s="45"/>
      <c r="W67" s="45"/>
      <c r="X67" s="45"/>
      <c r="Y67" s="45"/>
      <c r="Z67" s="56"/>
    </row>
    <row r="68" spans="1:26">
      <c r="A68" s="52" t="s">
        <v>324</v>
      </c>
      <c r="B68" s="40" t="s">
        <v>325</v>
      </c>
      <c r="C68" s="40" t="s">
        <v>216</v>
      </c>
      <c r="D68" s="40" t="s">
        <v>228</v>
      </c>
      <c r="E68" s="40" t="s">
        <v>239</v>
      </c>
      <c r="F68" s="40" t="s">
        <v>580</v>
      </c>
      <c r="G68" s="38">
        <f>$E$8</f>
        <v>390</v>
      </c>
      <c r="H68" s="51">
        <v>4043.8144329896909</v>
      </c>
      <c r="I68" s="353">
        <v>0.1</v>
      </c>
      <c r="J68" s="66">
        <f t="shared" si="17"/>
        <v>4448.1958762886607</v>
      </c>
      <c r="K68" s="67">
        <f t="shared" si="18"/>
        <v>1734796.3917525776</v>
      </c>
      <c r="M68" s="45" t="s">
        <v>1052</v>
      </c>
      <c r="N68" s="45"/>
      <c r="O68" s="45"/>
      <c r="P68" s="45"/>
      <c r="Q68" s="45"/>
      <c r="R68" s="45"/>
      <c r="S68" s="45"/>
      <c r="T68" s="45"/>
      <c r="U68" s="45"/>
      <c r="V68" s="45"/>
      <c r="W68" s="45"/>
      <c r="X68" s="45"/>
      <c r="Y68" s="45"/>
      <c r="Z68" s="56"/>
    </row>
    <row r="69" spans="1:26">
      <c r="A69" s="7" t="s">
        <v>328</v>
      </c>
      <c r="B69" s="40" t="s">
        <v>325</v>
      </c>
      <c r="C69" s="40" t="s">
        <v>216</v>
      </c>
      <c r="D69" s="40" t="s">
        <v>303</v>
      </c>
      <c r="E69" s="40" t="s">
        <v>44</v>
      </c>
      <c r="F69" s="40" t="s">
        <v>329</v>
      </c>
      <c r="G69" s="38">
        <f>B8-Q12</f>
        <v>94273</v>
      </c>
      <c r="H69" s="51">
        <v>3.1664784845063356</v>
      </c>
      <c r="I69" s="53">
        <v>0</v>
      </c>
      <c r="J69" s="66">
        <f t="shared" si="17"/>
        <v>3.1664784845063356</v>
      </c>
      <c r="K69" s="67">
        <f t="shared" si="18"/>
        <v>298513.42616986576</v>
      </c>
      <c r="M69" s="45"/>
      <c r="N69" s="45"/>
      <c r="O69" s="45"/>
      <c r="P69" s="45"/>
      <c r="Q69" s="45"/>
      <c r="R69" s="45"/>
      <c r="S69" s="45"/>
      <c r="T69" s="45"/>
      <c r="U69" s="45"/>
      <c r="V69" s="45"/>
      <c r="W69" s="45"/>
      <c r="X69" s="45"/>
      <c r="Y69" s="45"/>
      <c r="Z69" s="56"/>
    </row>
    <row r="70" spans="1:26">
      <c r="A70" s="7" t="s">
        <v>331</v>
      </c>
      <c r="B70" s="40" t="s">
        <v>332</v>
      </c>
      <c r="C70" s="40" t="s">
        <v>216</v>
      </c>
      <c r="D70" s="40" t="s">
        <v>303</v>
      </c>
      <c r="E70" s="40" t="s">
        <v>73</v>
      </c>
      <c r="F70" s="40" t="s">
        <v>71</v>
      </c>
      <c r="G70" s="38">
        <f>$W$16</f>
        <v>4</v>
      </c>
      <c r="H70" s="51">
        <v>1200</v>
      </c>
      <c r="I70" s="53">
        <v>0</v>
      </c>
      <c r="J70" s="66">
        <f t="shared" si="17"/>
        <v>1200</v>
      </c>
      <c r="K70" s="67">
        <f t="shared" si="18"/>
        <v>4800</v>
      </c>
      <c r="M70" s="45"/>
      <c r="N70" s="45"/>
      <c r="O70" s="45"/>
      <c r="P70" s="45"/>
      <c r="Q70" s="45"/>
      <c r="R70" s="45"/>
      <c r="S70" s="45"/>
      <c r="T70" s="45"/>
      <c r="U70" s="45"/>
      <c r="V70" s="45"/>
      <c r="W70" s="45"/>
      <c r="X70" s="45"/>
      <c r="Y70" s="45"/>
      <c r="Z70" s="56"/>
    </row>
    <row r="71" spans="1:26">
      <c r="A71" s="7" t="s">
        <v>333</v>
      </c>
      <c r="B71" s="40" t="s">
        <v>334</v>
      </c>
      <c r="C71" s="40" t="s">
        <v>216</v>
      </c>
      <c r="D71" s="40" t="s">
        <v>228</v>
      </c>
      <c r="E71" s="40" t="s">
        <v>231</v>
      </c>
      <c r="F71" s="40"/>
      <c r="G71" s="38"/>
      <c r="H71" s="51"/>
      <c r="I71" s="53">
        <v>0</v>
      </c>
      <c r="J71" s="66">
        <f t="shared" si="17"/>
        <v>0</v>
      </c>
      <c r="K71" s="67">
        <f t="shared" si="18"/>
        <v>0</v>
      </c>
      <c r="M71" s="45"/>
      <c r="N71" s="45"/>
      <c r="O71" s="45"/>
      <c r="P71" s="45"/>
      <c r="Q71" s="45"/>
      <c r="R71" s="45"/>
      <c r="S71" s="45"/>
      <c r="T71" s="45"/>
      <c r="U71" s="45"/>
      <c r="V71" s="45"/>
      <c r="W71" s="45"/>
      <c r="X71" s="45"/>
      <c r="Y71" s="45"/>
      <c r="Z71" s="56"/>
    </row>
    <row r="72" spans="1:26">
      <c r="A72" s="4" t="s">
        <v>335</v>
      </c>
      <c r="B72" s="151" t="s">
        <v>336</v>
      </c>
      <c r="C72" s="151"/>
      <c r="D72" s="151"/>
      <c r="E72" s="151"/>
      <c r="F72" s="151"/>
      <c r="G72" s="152"/>
      <c r="H72" s="153"/>
      <c r="I72" s="154"/>
      <c r="J72" s="153"/>
      <c r="K72" s="172"/>
      <c r="L72" s="70">
        <f>SUM(K73:K83)</f>
        <v>2151524.4500000002</v>
      </c>
      <c r="M72" s="45"/>
      <c r="N72" s="45"/>
      <c r="O72" s="45"/>
      <c r="P72" s="45"/>
      <c r="Q72" s="45"/>
      <c r="R72" s="45"/>
      <c r="S72" s="45"/>
      <c r="T72" s="45"/>
      <c r="U72" s="45"/>
      <c r="V72" s="45"/>
      <c r="W72" s="45"/>
      <c r="X72" s="45"/>
      <c r="Y72" s="45"/>
      <c r="Z72" s="56"/>
    </row>
    <row r="73" spans="1:26">
      <c r="A73" s="6" t="s">
        <v>338</v>
      </c>
      <c r="B73" s="47" t="s">
        <v>339</v>
      </c>
      <c r="C73" s="47" t="s">
        <v>216</v>
      </c>
      <c r="D73" s="47" t="s">
        <v>228</v>
      </c>
      <c r="E73" s="595" t="s">
        <v>433</v>
      </c>
      <c r="F73" s="47" t="s">
        <v>61</v>
      </c>
      <c r="G73" s="42">
        <f>B8</f>
        <v>426549</v>
      </c>
      <c r="H73" s="61">
        <v>2.52</v>
      </c>
      <c r="I73" s="63">
        <v>0</v>
      </c>
      <c r="J73" s="66">
        <f t="shared" ref="J73:J83" si="19">H73*(1+I73)</f>
        <v>2.52</v>
      </c>
      <c r="K73" s="594">
        <f t="shared" ref="K73:K83" si="20">J73*G73</f>
        <v>1074903.48</v>
      </c>
      <c r="M73" s="596" t="s">
        <v>1053</v>
      </c>
      <c r="N73" s="45"/>
      <c r="O73" s="45"/>
      <c r="P73" s="45"/>
      <c r="Q73" s="45"/>
      <c r="R73" s="45"/>
      <c r="S73" s="45"/>
      <c r="T73" s="45"/>
      <c r="U73" s="45"/>
      <c r="V73" s="45"/>
      <c r="W73" s="45"/>
      <c r="X73" s="45"/>
      <c r="Y73" s="45"/>
      <c r="Z73" s="56"/>
    </row>
    <row r="74" spans="1:26">
      <c r="A74" s="7" t="s">
        <v>154</v>
      </c>
      <c r="B74" s="40" t="s">
        <v>341</v>
      </c>
      <c r="C74" s="40" t="s">
        <v>216</v>
      </c>
      <c r="D74" s="40" t="s">
        <v>228</v>
      </c>
      <c r="E74" s="40" t="s">
        <v>239</v>
      </c>
      <c r="F74" s="40" t="s">
        <v>342</v>
      </c>
      <c r="G74" s="38">
        <f>Q10</f>
        <v>1497.6</v>
      </c>
      <c r="H74" s="51">
        <v>596</v>
      </c>
      <c r="I74" s="53">
        <v>0</v>
      </c>
      <c r="J74" s="51">
        <f t="shared" si="19"/>
        <v>596</v>
      </c>
      <c r="K74" s="54">
        <f t="shared" si="20"/>
        <v>892569.59999999998</v>
      </c>
      <c r="M74" s="596" t="s">
        <v>1054</v>
      </c>
      <c r="N74" s="45"/>
      <c r="O74" s="45"/>
      <c r="P74" s="45"/>
      <c r="Q74" s="45"/>
      <c r="R74" s="45"/>
      <c r="S74" s="45"/>
      <c r="T74" s="45"/>
      <c r="U74" s="45"/>
      <c r="V74" s="45"/>
      <c r="W74" s="45"/>
      <c r="X74" s="45"/>
      <c r="Y74" s="45"/>
      <c r="Z74" s="56"/>
    </row>
    <row r="75" spans="1:26">
      <c r="A75" s="7" t="s">
        <v>344</v>
      </c>
      <c r="B75" s="40" t="s">
        <v>345</v>
      </c>
      <c r="C75" s="40" t="s">
        <v>216</v>
      </c>
      <c r="D75" s="40" t="s">
        <v>303</v>
      </c>
      <c r="E75" s="40" t="s">
        <v>231</v>
      </c>
      <c r="F75" s="40"/>
      <c r="G75" s="38"/>
      <c r="H75" s="51"/>
      <c r="I75" s="53">
        <v>0</v>
      </c>
      <c r="J75" s="51">
        <f t="shared" si="19"/>
        <v>0</v>
      </c>
      <c r="K75" s="54">
        <f t="shared" si="20"/>
        <v>0</v>
      </c>
      <c r="M75" s="45"/>
      <c r="N75" s="45"/>
      <c r="O75" s="45"/>
      <c r="P75" s="45"/>
      <c r="Q75" s="45"/>
      <c r="R75" s="45"/>
      <c r="S75" s="45"/>
      <c r="T75" s="45"/>
      <c r="U75" s="45"/>
      <c r="V75" s="45"/>
      <c r="W75" s="45"/>
      <c r="X75" s="45"/>
      <c r="Y75" s="45"/>
      <c r="Z75" s="56"/>
    </row>
    <row r="76" spans="1:26">
      <c r="A76" s="7" t="s">
        <v>346</v>
      </c>
      <c r="B76" s="40" t="s">
        <v>345</v>
      </c>
      <c r="C76" s="40" t="s">
        <v>216</v>
      </c>
      <c r="D76" s="40" t="s">
        <v>235</v>
      </c>
      <c r="E76" s="40" t="s">
        <v>73</v>
      </c>
      <c r="F76" s="40" t="s">
        <v>71</v>
      </c>
      <c r="G76" s="38">
        <v>1</v>
      </c>
      <c r="H76" s="51">
        <v>7500</v>
      </c>
      <c r="I76" s="53">
        <v>0</v>
      </c>
      <c r="J76" s="51">
        <f t="shared" si="19"/>
        <v>7500</v>
      </c>
      <c r="K76" s="54">
        <f t="shared" si="20"/>
        <v>7500</v>
      </c>
      <c r="M76" s="45"/>
      <c r="N76" s="45"/>
      <c r="O76" s="45"/>
      <c r="P76" s="45"/>
      <c r="Q76" s="45"/>
      <c r="R76" s="45"/>
      <c r="S76" s="45"/>
      <c r="T76" s="45"/>
      <c r="U76" s="45"/>
      <c r="V76" s="45"/>
      <c r="W76" s="45"/>
      <c r="X76" s="45"/>
      <c r="Y76" s="45"/>
      <c r="Z76" s="56"/>
    </row>
    <row r="77" spans="1:26">
      <c r="A77" s="7" t="s">
        <v>347</v>
      </c>
      <c r="B77" s="40" t="s">
        <v>348</v>
      </c>
      <c r="C77" s="40" t="s">
        <v>216</v>
      </c>
      <c r="D77" s="40" t="s">
        <v>250</v>
      </c>
      <c r="E77" s="40" t="s">
        <v>73</v>
      </c>
      <c r="F77" s="40" t="s">
        <v>71</v>
      </c>
      <c r="G77" s="38">
        <f>Q7</f>
        <v>1</v>
      </c>
      <c r="H77" s="51">
        <v>7500</v>
      </c>
      <c r="I77" s="53">
        <v>0</v>
      </c>
      <c r="J77" s="51">
        <f t="shared" si="19"/>
        <v>7500</v>
      </c>
      <c r="K77" s="54">
        <f t="shared" si="20"/>
        <v>7500</v>
      </c>
      <c r="M77" s="597" t="s">
        <v>1055</v>
      </c>
      <c r="N77" s="45"/>
      <c r="O77" s="45"/>
      <c r="P77" s="45"/>
      <c r="Q77" s="45"/>
      <c r="R77" s="45"/>
      <c r="S77" s="45"/>
      <c r="T77" s="45"/>
      <c r="U77" s="45"/>
      <c r="V77" s="45"/>
      <c r="W77" s="45"/>
      <c r="X77" s="45"/>
      <c r="Y77" s="45"/>
      <c r="Z77" s="56"/>
    </row>
    <row r="78" spans="1:26">
      <c r="A78" s="7" t="s">
        <v>349</v>
      </c>
      <c r="B78" s="40" t="s">
        <v>350</v>
      </c>
      <c r="C78" s="40" t="s">
        <v>216</v>
      </c>
      <c r="D78" s="40" t="s">
        <v>238</v>
      </c>
      <c r="E78" s="40" t="s">
        <v>543</v>
      </c>
      <c r="F78" s="40" t="s">
        <v>108</v>
      </c>
      <c r="G78" s="38">
        <f>$Q$5</f>
        <v>14</v>
      </c>
      <c r="H78" s="51">
        <v>5800</v>
      </c>
      <c r="I78" s="53">
        <v>0</v>
      </c>
      <c r="J78" s="51">
        <f t="shared" si="19"/>
        <v>5800</v>
      </c>
      <c r="K78" s="54">
        <f t="shared" si="20"/>
        <v>81200</v>
      </c>
      <c r="M78" s="597" t="s">
        <v>1055</v>
      </c>
      <c r="N78" s="45"/>
      <c r="O78" s="45"/>
      <c r="P78" s="45"/>
      <c r="Q78" s="45"/>
      <c r="R78" s="45"/>
      <c r="S78" s="45"/>
      <c r="T78" s="45"/>
      <c r="U78" s="45"/>
      <c r="V78" s="45"/>
      <c r="W78" s="45"/>
      <c r="X78" s="45"/>
      <c r="Y78" s="45"/>
      <c r="Z78" s="56"/>
    </row>
    <row r="79" spans="1:26">
      <c r="A79" s="7" t="s">
        <v>351</v>
      </c>
      <c r="B79" s="40" t="s">
        <v>352</v>
      </c>
      <c r="C79" s="40" t="s">
        <v>216</v>
      </c>
      <c r="D79" s="40" t="s">
        <v>228</v>
      </c>
      <c r="E79" s="40" t="s">
        <v>44</v>
      </c>
      <c r="F79" s="40" t="s">
        <v>61</v>
      </c>
      <c r="G79" s="38">
        <f>$B$8</f>
        <v>426549</v>
      </c>
      <c r="H79" s="51">
        <v>0.08</v>
      </c>
      <c r="I79" s="53">
        <v>0</v>
      </c>
      <c r="J79" s="51">
        <f t="shared" si="19"/>
        <v>0.08</v>
      </c>
      <c r="K79" s="54">
        <f t="shared" si="20"/>
        <v>34123.919999999998</v>
      </c>
      <c r="M79" s="45"/>
      <c r="N79" s="45"/>
      <c r="O79" s="45"/>
      <c r="P79" s="45"/>
      <c r="Q79" s="45"/>
      <c r="R79" s="45"/>
      <c r="S79" s="45"/>
      <c r="T79" s="45"/>
      <c r="U79" s="45"/>
      <c r="V79" s="45"/>
      <c r="W79" s="45"/>
      <c r="X79" s="45"/>
      <c r="Y79" s="45"/>
      <c r="Z79" s="56"/>
    </row>
    <row r="80" spans="1:26">
      <c r="A80" s="7" t="s">
        <v>353</v>
      </c>
      <c r="B80" s="40" t="s">
        <v>354</v>
      </c>
      <c r="C80" s="40" t="s">
        <v>216</v>
      </c>
      <c r="D80" s="40" t="s">
        <v>228</v>
      </c>
      <c r="E80" s="40" t="s">
        <v>44</v>
      </c>
      <c r="F80" s="40" t="s">
        <v>61</v>
      </c>
      <c r="G80" s="38">
        <f>$B$8</f>
        <v>426549</v>
      </c>
      <c r="H80" s="51">
        <v>0.05</v>
      </c>
      <c r="I80" s="53">
        <v>0</v>
      </c>
      <c r="J80" s="51">
        <f t="shared" si="19"/>
        <v>0.05</v>
      </c>
      <c r="K80" s="54">
        <f t="shared" si="20"/>
        <v>21327.45</v>
      </c>
      <c r="M80" s="45"/>
      <c r="N80" s="45"/>
      <c r="O80" s="45"/>
      <c r="P80" s="45"/>
      <c r="Q80" s="45"/>
      <c r="R80" s="45"/>
      <c r="S80" s="45"/>
      <c r="T80" s="45"/>
      <c r="U80" s="45"/>
      <c r="V80" s="45"/>
      <c r="W80" s="45"/>
      <c r="X80" s="45"/>
      <c r="Y80" s="45"/>
      <c r="Z80" s="56"/>
    </row>
    <row r="81" spans="1:26">
      <c r="A81" s="7" t="s">
        <v>355</v>
      </c>
      <c r="B81" s="40" t="s">
        <v>356</v>
      </c>
      <c r="C81" s="40" t="s">
        <v>216</v>
      </c>
      <c r="D81" s="40" t="s">
        <v>228</v>
      </c>
      <c r="E81" s="40" t="s">
        <v>44</v>
      </c>
      <c r="F81" s="40" t="s">
        <v>108</v>
      </c>
      <c r="G81" s="38">
        <f>2*$B$11</f>
        <v>8</v>
      </c>
      <c r="H81" s="51">
        <v>1550</v>
      </c>
      <c r="I81" s="53">
        <v>0</v>
      </c>
      <c r="J81" s="51">
        <f t="shared" si="19"/>
        <v>1550</v>
      </c>
      <c r="K81" s="54">
        <f t="shared" si="20"/>
        <v>12400</v>
      </c>
      <c r="M81" s="45" t="s">
        <v>357</v>
      </c>
      <c r="N81" s="45"/>
      <c r="O81" s="45"/>
      <c r="P81" s="45"/>
      <c r="Q81" s="45"/>
      <c r="R81" s="45"/>
      <c r="S81" s="45"/>
      <c r="T81" s="45"/>
      <c r="U81" s="45"/>
      <c r="V81" s="45"/>
      <c r="W81" s="45"/>
      <c r="X81" s="45"/>
      <c r="Y81" s="45"/>
      <c r="Z81" s="56"/>
    </row>
    <row r="82" spans="1:26">
      <c r="A82" s="7" t="s">
        <v>358</v>
      </c>
      <c r="B82" s="40" t="s">
        <v>359</v>
      </c>
      <c r="C82" s="40" t="s">
        <v>216</v>
      </c>
      <c r="D82" s="40" t="s">
        <v>228</v>
      </c>
      <c r="E82" s="40" t="s">
        <v>44</v>
      </c>
      <c r="F82" s="40" t="s">
        <v>108</v>
      </c>
      <c r="G82" s="38">
        <f>2*$B$11</f>
        <v>8</v>
      </c>
      <c r="H82" s="51">
        <v>2500</v>
      </c>
      <c r="I82" s="53">
        <v>0</v>
      </c>
      <c r="J82" s="51">
        <f t="shared" si="19"/>
        <v>2500</v>
      </c>
      <c r="K82" s="54">
        <f t="shared" si="20"/>
        <v>20000</v>
      </c>
      <c r="M82" s="45" t="s">
        <v>357</v>
      </c>
      <c r="N82" s="45"/>
      <c r="O82" s="45"/>
      <c r="P82" s="45"/>
      <c r="Q82" s="45"/>
      <c r="R82" s="45"/>
      <c r="S82" s="45"/>
      <c r="T82" s="45"/>
      <c r="U82" s="45"/>
      <c r="V82" s="45"/>
      <c r="W82" s="45"/>
      <c r="X82" s="45"/>
      <c r="Y82" s="45"/>
      <c r="Z82" s="56"/>
    </row>
    <row r="83" spans="1:26">
      <c r="A83" s="7" t="s">
        <v>360</v>
      </c>
      <c r="B83" s="40" t="s">
        <v>361</v>
      </c>
      <c r="C83" s="40" t="s">
        <v>216</v>
      </c>
      <c r="D83" s="40" t="s">
        <v>228</v>
      </c>
      <c r="E83" s="40" t="s">
        <v>231</v>
      </c>
      <c r="F83" s="40"/>
      <c r="G83" s="38"/>
      <c r="H83" s="51"/>
      <c r="I83" s="53">
        <v>0</v>
      </c>
      <c r="J83" s="51">
        <f t="shared" si="19"/>
        <v>0</v>
      </c>
      <c r="K83" s="54">
        <f t="shared" si="20"/>
        <v>0</v>
      </c>
      <c r="L83" s="14"/>
      <c r="M83" s="45"/>
      <c r="N83" s="45"/>
      <c r="O83" s="45"/>
      <c r="P83" s="45"/>
      <c r="Q83" s="45"/>
      <c r="R83" s="45"/>
      <c r="S83" s="45"/>
      <c r="T83" s="45"/>
      <c r="U83" s="45"/>
      <c r="V83" s="45"/>
      <c r="W83" s="45"/>
      <c r="X83" s="45"/>
      <c r="Y83" s="45"/>
      <c r="Z83" s="56"/>
    </row>
    <row r="84" spans="1:26">
      <c r="A84" s="4" t="s">
        <v>362</v>
      </c>
      <c r="B84" s="151" t="s">
        <v>363</v>
      </c>
      <c r="C84" s="151"/>
      <c r="D84" s="151"/>
      <c r="E84" s="151"/>
      <c r="F84" s="151"/>
      <c r="G84" s="152"/>
      <c r="H84" s="153"/>
      <c r="I84" s="154"/>
      <c r="J84" s="153"/>
      <c r="K84" s="172"/>
      <c r="L84" s="70">
        <f>SUM(K85:K99)</f>
        <v>712714</v>
      </c>
      <c r="M84" s="45"/>
      <c r="N84" s="45"/>
      <c r="O84" s="45"/>
      <c r="P84" s="45"/>
      <c r="Q84" s="45"/>
      <c r="R84" s="45"/>
      <c r="S84" s="45"/>
      <c r="T84" s="45"/>
      <c r="U84" s="45"/>
      <c r="V84" s="45"/>
      <c r="W84" s="45"/>
      <c r="X84" s="45"/>
      <c r="Y84" s="45"/>
      <c r="Z84" s="56"/>
    </row>
    <row r="85" spans="1:26">
      <c r="A85" s="6" t="s">
        <v>307</v>
      </c>
      <c r="B85" s="47" t="s">
        <v>364</v>
      </c>
      <c r="C85" s="47" t="s">
        <v>216</v>
      </c>
      <c r="D85" s="47" t="s">
        <v>309</v>
      </c>
      <c r="E85" s="47"/>
      <c r="F85" s="47"/>
      <c r="G85" s="42"/>
      <c r="H85" s="61">
        <v>79</v>
      </c>
      <c r="I85" s="63">
        <v>0</v>
      </c>
      <c r="J85" s="66">
        <f t="shared" ref="J85:J99" si="21">H85*(1+I85)</f>
        <v>79</v>
      </c>
      <c r="K85" s="67">
        <f t="shared" ref="K85:K99" si="22">J85*G85</f>
        <v>0</v>
      </c>
      <c r="M85" s="45"/>
      <c r="N85" s="45"/>
      <c r="O85" s="45"/>
      <c r="P85" s="45"/>
      <c r="Q85" s="45"/>
      <c r="R85" s="45"/>
      <c r="S85" s="45"/>
      <c r="T85" s="45"/>
      <c r="U85" s="45"/>
      <c r="V85" s="45"/>
      <c r="W85" s="45"/>
      <c r="X85" s="45"/>
      <c r="Y85" s="45"/>
      <c r="Z85" s="56"/>
    </row>
    <row r="86" spans="1:26" hidden="1">
      <c r="A86" s="7" t="s">
        <v>365</v>
      </c>
      <c r="B86" s="40" t="s">
        <v>366</v>
      </c>
      <c r="C86" s="40" t="s">
        <v>216</v>
      </c>
      <c r="D86" s="40" t="s">
        <v>303</v>
      </c>
      <c r="E86" s="40" t="s">
        <v>231</v>
      </c>
      <c r="F86" s="40"/>
      <c r="G86" s="38"/>
      <c r="H86" s="51"/>
      <c r="I86" s="53">
        <v>0</v>
      </c>
      <c r="J86" s="51">
        <f t="shared" si="21"/>
        <v>0</v>
      </c>
      <c r="K86" s="54">
        <f t="shared" si="22"/>
        <v>0</v>
      </c>
      <c r="M86" s="45"/>
      <c r="N86" s="45"/>
      <c r="O86" s="45"/>
      <c r="P86" s="45"/>
      <c r="Q86" s="45"/>
      <c r="R86" s="45"/>
      <c r="S86" s="45"/>
      <c r="T86" s="45"/>
      <c r="U86" s="45"/>
      <c r="V86" s="45"/>
      <c r="W86" s="45"/>
      <c r="X86" s="45"/>
      <c r="Y86" s="45"/>
      <c r="Z86" s="56"/>
    </row>
    <row r="87" spans="1:26" hidden="1">
      <c r="A87" s="7" t="s">
        <v>367</v>
      </c>
      <c r="B87" s="40" t="s">
        <v>368</v>
      </c>
      <c r="C87" s="40" t="s">
        <v>216</v>
      </c>
      <c r="D87" s="40" t="s">
        <v>303</v>
      </c>
      <c r="E87" s="40" t="s">
        <v>369</v>
      </c>
      <c r="F87" s="40"/>
      <c r="G87" s="38"/>
      <c r="H87" s="51"/>
      <c r="I87" s="53">
        <v>0</v>
      </c>
      <c r="J87" s="51">
        <f t="shared" si="21"/>
        <v>0</v>
      </c>
      <c r="K87" s="54">
        <f t="shared" si="22"/>
        <v>0</v>
      </c>
      <c r="M87" s="45"/>
      <c r="N87" s="45"/>
      <c r="O87" s="45"/>
      <c r="P87" s="45"/>
      <c r="Q87" s="45"/>
      <c r="R87" s="45"/>
      <c r="S87" s="45"/>
      <c r="T87" s="45"/>
      <c r="U87" s="45"/>
      <c r="V87" s="45"/>
      <c r="W87" s="45"/>
      <c r="X87" s="45"/>
      <c r="Y87" s="45"/>
      <c r="Z87" s="56"/>
    </row>
    <row r="88" spans="1:26" hidden="1">
      <c r="A88" s="7" t="s">
        <v>370</v>
      </c>
      <c r="B88" s="40" t="s">
        <v>368</v>
      </c>
      <c r="C88" s="40" t="s">
        <v>216</v>
      </c>
      <c r="D88" s="40" t="s">
        <v>228</v>
      </c>
      <c r="E88" s="40" t="s">
        <v>231</v>
      </c>
      <c r="F88" s="40"/>
      <c r="G88" s="38"/>
      <c r="H88" s="51"/>
      <c r="I88" s="53">
        <v>0</v>
      </c>
      <c r="J88" s="51">
        <f t="shared" si="21"/>
        <v>0</v>
      </c>
      <c r="K88" s="54">
        <f t="shared" si="22"/>
        <v>0</v>
      </c>
      <c r="M88" s="45"/>
      <c r="N88" s="45"/>
      <c r="O88" s="45"/>
      <c r="P88" s="45"/>
      <c r="Q88" s="45"/>
      <c r="R88" s="45"/>
      <c r="S88" s="45"/>
      <c r="T88" s="45"/>
      <c r="U88" s="45"/>
      <c r="V88" s="45"/>
      <c r="W88" s="45"/>
      <c r="X88" s="45"/>
      <c r="Y88" s="45"/>
      <c r="Z88" s="56"/>
    </row>
    <row r="89" spans="1:26" hidden="1">
      <c r="A89" s="7" t="s">
        <v>371</v>
      </c>
      <c r="B89" s="40" t="s">
        <v>372</v>
      </c>
      <c r="C89" s="40" t="s">
        <v>216</v>
      </c>
      <c r="D89" s="40" t="s">
        <v>228</v>
      </c>
      <c r="E89" s="40" t="s">
        <v>231</v>
      </c>
      <c r="F89" s="40"/>
      <c r="G89" s="38"/>
      <c r="H89" s="51"/>
      <c r="I89" s="53">
        <v>0</v>
      </c>
      <c r="J89" s="51">
        <f t="shared" si="21"/>
        <v>0</v>
      </c>
      <c r="K89" s="54">
        <f t="shared" si="22"/>
        <v>0</v>
      </c>
      <c r="M89" s="45"/>
      <c r="N89" s="45"/>
      <c r="O89" s="45"/>
      <c r="P89" s="45"/>
      <c r="Q89" s="45"/>
      <c r="R89" s="45"/>
      <c r="S89" s="45"/>
      <c r="T89" s="45"/>
      <c r="U89" s="45"/>
      <c r="V89" s="45"/>
      <c r="W89" s="45"/>
      <c r="X89" s="45"/>
      <c r="Y89" s="45"/>
      <c r="Z89" s="56"/>
    </row>
    <row r="90" spans="1:26">
      <c r="A90" s="7" t="s">
        <v>373</v>
      </c>
      <c r="B90" s="40" t="s">
        <v>374</v>
      </c>
      <c r="C90" s="40" t="s">
        <v>216</v>
      </c>
      <c r="D90" s="40" t="s">
        <v>228</v>
      </c>
      <c r="E90" s="40" t="s">
        <v>44</v>
      </c>
      <c r="F90" s="40" t="s">
        <v>375</v>
      </c>
      <c r="G90" s="42">
        <f>$E$8</f>
        <v>390</v>
      </c>
      <c r="H90" s="51">
        <v>1382</v>
      </c>
      <c r="I90" s="53">
        <v>0.1</v>
      </c>
      <c r="J90" s="51">
        <f t="shared" si="21"/>
        <v>1520.2</v>
      </c>
      <c r="K90" s="54">
        <f>J90*G90</f>
        <v>592878</v>
      </c>
      <c r="L90" s="112"/>
      <c r="M90" s="45" t="s">
        <v>1056</v>
      </c>
      <c r="N90" s="45"/>
      <c r="O90" s="45"/>
      <c r="P90" s="45"/>
      <c r="Q90" s="45"/>
      <c r="R90" s="45"/>
      <c r="S90" s="45"/>
      <c r="T90" s="45"/>
      <c r="U90" s="45"/>
      <c r="V90" s="45"/>
      <c r="W90" s="45"/>
      <c r="X90" s="45"/>
      <c r="Y90" s="45"/>
      <c r="Z90" s="56"/>
    </row>
    <row r="91" spans="1:26">
      <c r="A91" s="7" t="s">
        <v>377</v>
      </c>
      <c r="B91" s="40" t="s">
        <v>374</v>
      </c>
      <c r="C91" s="40" t="s">
        <v>233</v>
      </c>
      <c r="D91" s="40" t="s">
        <v>228</v>
      </c>
      <c r="E91" s="40" t="s">
        <v>73</v>
      </c>
      <c r="F91" s="40" t="s">
        <v>375</v>
      </c>
      <c r="G91" s="42">
        <f>$E$8</f>
        <v>390</v>
      </c>
      <c r="H91" s="51">
        <v>75</v>
      </c>
      <c r="I91" s="53">
        <v>0</v>
      </c>
      <c r="J91" s="51">
        <f t="shared" si="21"/>
        <v>75</v>
      </c>
      <c r="K91" s="54">
        <f>J91*G91</f>
        <v>29250</v>
      </c>
      <c r="M91" s="45"/>
      <c r="N91" s="45"/>
      <c r="O91" s="45"/>
      <c r="P91" s="45"/>
      <c r="Q91" s="45"/>
      <c r="R91" s="45"/>
      <c r="S91" s="45"/>
      <c r="T91" s="45"/>
      <c r="U91" s="45"/>
      <c r="V91" s="45"/>
      <c r="W91" s="45"/>
      <c r="X91" s="45"/>
      <c r="Y91" s="45"/>
      <c r="Z91" s="56"/>
    </row>
    <row r="92" spans="1:26" hidden="1">
      <c r="A92" s="7" t="s">
        <v>378</v>
      </c>
      <c r="B92" s="40" t="s">
        <v>379</v>
      </c>
      <c r="C92" s="40" t="s">
        <v>216</v>
      </c>
      <c r="D92" s="40" t="s">
        <v>250</v>
      </c>
      <c r="E92" s="40" t="s">
        <v>231</v>
      </c>
      <c r="F92" s="40"/>
      <c r="G92" s="38"/>
      <c r="H92" s="51"/>
      <c r="I92" s="53">
        <v>0</v>
      </c>
      <c r="J92" s="51">
        <f t="shared" si="21"/>
        <v>0</v>
      </c>
      <c r="K92" s="54">
        <f t="shared" si="22"/>
        <v>0</v>
      </c>
      <c r="M92" s="45"/>
      <c r="N92" s="45"/>
      <c r="O92" s="45"/>
      <c r="P92" s="45"/>
      <c r="Q92" s="45"/>
      <c r="R92" s="45"/>
      <c r="S92" s="45"/>
      <c r="T92" s="45"/>
      <c r="U92" s="45"/>
      <c r="V92" s="45"/>
      <c r="W92" s="45"/>
      <c r="X92" s="45"/>
      <c r="Y92" s="45"/>
      <c r="Z92" s="56"/>
    </row>
    <row r="93" spans="1:26" hidden="1">
      <c r="A93" s="7" t="s">
        <v>380</v>
      </c>
      <c r="B93" s="40" t="s">
        <v>381</v>
      </c>
      <c r="C93" s="40" t="s">
        <v>216</v>
      </c>
      <c r="D93" s="40" t="s">
        <v>242</v>
      </c>
      <c r="E93" s="40" t="s">
        <v>231</v>
      </c>
      <c r="F93" s="40"/>
      <c r="G93" s="38"/>
      <c r="H93" s="51"/>
      <c r="I93" s="53">
        <v>0</v>
      </c>
      <c r="J93" s="51">
        <f t="shared" si="21"/>
        <v>0</v>
      </c>
      <c r="K93" s="54">
        <f t="shared" si="22"/>
        <v>0</v>
      </c>
      <c r="M93" s="45"/>
      <c r="N93" s="45"/>
      <c r="O93" s="45"/>
      <c r="P93" s="45"/>
      <c r="Q93" s="45"/>
      <c r="R93" s="45"/>
      <c r="S93" s="45"/>
      <c r="T93" s="45"/>
      <c r="U93" s="45"/>
      <c r="V93" s="45"/>
      <c r="W93" s="45"/>
      <c r="X93" s="45"/>
      <c r="Y93" s="45"/>
      <c r="Z93" s="56"/>
    </row>
    <row r="94" spans="1:26" hidden="1">
      <c r="A94" s="7" t="s">
        <v>382</v>
      </c>
      <c r="B94" s="40" t="s">
        <v>383</v>
      </c>
      <c r="C94" s="40" t="s">
        <v>216</v>
      </c>
      <c r="D94" s="40" t="s">
        <v>228</v>
      </c>
      <c r="E94" s="40" t="s">
        <v>231</v>
      </c>
      <c r="F94" s="40"/>
      <c r="G94" s="38"/>
      <c r="H94" s="51"/>
      <c r="I94" s="53">
        <v>0</v>
      </c>
      <c r="J94" s="51">
        <f t="shared" si="21"/>
        <v>0</v>
      </c>
      <c r="K94" s="54">
        <f t="shared" si="22"/>
        <v>0</v>
      </c>
      <c r="M94" s="45"/>
      <c r="N94" s="45"/>
      <c r="O94" s="45"/>
      <c r="P94" s="45"/>
      <c r="Q94" s="45"/>
      <c r="R94" s="45"/>
      <c r="S94" s="45"/>
      <c r="T94" s="45"/>
      <c r="U94" s="45"/>
      <c r="V94" s="45"/>
      <c r="W94" s="45"/>
      <c r="X94" s="45"/>
      <c r="Y94" s="45"/>
      <c r="Z94" s="56"/>
    </row>
    <row r="95" spans="1:26" hidden="1">
      <c r="A95" s="7" t="s">
        <v>384</v>
      </c>
      <c r="B95" s="40" t="s">
        <v>385</v>
      </c>
      <c r="C95" s="40" t="s">
        <v>216</v>
      </c>
      <c r="D95" s="40" t="s">
        <v>228</v>
      </c>
      <c r="E95" s="40" t="s">
        <v>231</v>
      </c>
      <c r="F95" s="40"/>
      <c r="G95" s="38"/>
      <c r="H95" s="51"/>
      <c r="I95" s="53">
        <v>0</v>
      </c>
      <c r="J95" s="51">
        <f t="shared" si="21"/>
        <v>0</v>
      </c>
      <c r="K95" s="54">
        <f t="shared" si="22"/>
        <v>0</v>
      </c>
      <c r="M95" s="45"/>
      <c r="N95" s="45"/>
      <c r="O95" s="45"/>
      <c r="P95" s="45"/>
      <c r="Q95" s="45"/>
      <c r="R95" s="45"/>
      <c r="S95" s="45"/>
      <c r="T95" s="45"/>
      <c r="U95" s="45"/>
      <c r="V95" s="45"/>
      <c r="W95" s="45"/>
      <c r="X95" s="45"/>
      <c r="Y95" s="45"/>
      <c r="Z95" s="56"/>
    </row>
    <row r="96" spans="1:26" hidden="1">
      <c r="A96" s="7" t="s">
        <v>386</v>
      </c>
      <c r="B96" s="40" t="s">
        <v>387</v>
      </c>
      <c r="C96" s="40" t="s">
        <v>216</v>
      </c>
      <c r="D96" s="40" t="s">
        <v>228</v>
      </c>
      <c r="E96" s="40" t="s">
        <v>231</v>
      </c>
      <c r="F96" s="40"/>
      <c r="G96" s="38"/>
      <c r="H96" s="51"/>
      <c r="I96" s="53">
        <v>0</v>
      </c>
      <c r="J96" s="51">
        <f t="shared" si="21"/>
        <v>0</v>
      </c>
      <c r="K96" s="54">
        <f t="shared" si="22"/>
        <v>0</v>
      </c>
      <c r="M96" s="45"/>
      <c r="N96" s="45"/>
      <c r="O96" s="45"/>
      <c r="P96" s="45"/>
      <c r="Q96" s="45"/>
      <c r="R96" s="45"/>
      <c r="S96" s="45"/>
      <c r="T96" s="45"/>
      <c r="U96" s="45"/>
      <c r="V96" s="45"/>
      <c r="W96" s="45"/>
      <c r="X96" s="45"/>
      <c r="Y96" s="45"/>
      <c r="Z96" s="56"/>
    </row>
    <row r="97" spans="1:26" hidden="1">
      <c r="A97" s="7" t="s">
        <v>388</v>
      </c>
      <c r="B97" s="40" t="s">
        <v>385</v>
      </c>
      <c r="C97" s="40" t="s">
        <v>216</v>
      </c>
      <c r="D97" s="40" t="s">
        <v>228</v>
      </c>
      <c r="E97" s="40" t="s">
        <v>231</v>
      </c>
      <c r="F97" s="40"/>
      <c r="G97" s="38"/>
      <c r="H97" s="51"/>
      <c r="I97" s="53">
        <v>0</v>
      </c>
      <c r="J97" s="51">
        <f t="shared" si="21"/>
        <v>0</v>
      </c>
      <c r="K97" s="54">
        <f t="shared" si="22"/>
        <v>0</v>
      </c>
      <c r="M97" s="45"/>
      <c r="N97" s="45"/>
      <c r="O97" s="45"/>
      <c r="P97" s="45"/>
      <c r="Q97" s="45"/>
      <c r="R97" s="45"/>
      <c r="S97" s="45"/>
      <c r="T97" s="45"/>
      <c r="U97" s="45"/>
      <c r="V97" s="45"/>
      <c r="W97" s="45"/>
      <c r="X97" s="45"/>
      <c r="Y97" s="45"/>
      <c r="Z97" s="56"/>
    </row>
    <row r="98" spans="1:26">
      <c r="A98" s="7" t="s">
        <v>389</v>
      </c>
      <c r="B98" s="40" t="s">
        <v>385</v>
      </c>
      <c r="C98" s="40" t="s">
        <v>216</v>
      </c>
      <c r="D98" s="40" t="s">
        <v>228</v>
      </c>
      <c r="E98" s="40" t="s">
        <v>426</v>
      </c>
      <c r="F98" s="40" t="s">
        <v>403</v>
      </c>
      <c r="G98" s="42">
        <f>J8+M8+N8</f>
        <v>553</v>
      </c>
      <c r="H98" s="51">
        <v>162</v>
      </c>
      <c r="I98" s="53">
        <v>0</v>
      </c>
      <c r="J98" s="51">
        <f>H98*(1+I98)</f>
        <v>162</v>
      </c>
      <c r="K98" s="54">
        <f>J98*G98</f>
        <v>89586</v>
      </c>
      <c r="M98" s="45"/>
      <c r="N98" s="45"/>
      <c r="O98" s="45"/>
      <c r="P98" s="45"/>
      <c r="Q98" s="45"/>
      <c r="R98" s="45"/>
      <c r="S98" s="45"/>
      <c r="T98" s="45"/>
      <c r="U98" s="45"/>
      <c r="V98" s="45"/>
      <c r="W98" s="45"/>
      <c r="X98" s="45"/>
      <c r="Y98" s="45"/>
      <c r="Z98" s="56"/>
    </row>
    <row r="99" spans="1:26">
      <c r="A99" s="7" t="s">
        <v>390</v>
      </c>
      <c r="B99" s="40" t="s">
        <v>385</v>
      </c>
      <c r="C99" s="40" t="s">
        <v>216</v>
      </c>
      <c r="D99" s="40" t="s">
        <v>228</v>
      </c>
      <c r="E99" s="40" t="s">
        <v>73</v>
      </c>
      <c r="F99" s="40" t="s">
        <v>108</v>
      </c>
      <c r="G99" s="38">
        <v>4</v>
      </c>
      <c r="H99" s="51">
        <v>250</v>
      </c>
      <c r="I99" s="53">
        <v>0</v>
      </c>
      <c r="J99" s="51">
        <f t="shared" si="21"/>
        <v>250</v>
      </c>
      <c r="K99" s="54">
        <f t="shared" si="22"/>
        <v>1000</v>
      </c>
      <c r="M99" s="45"/>
      <c r="N99" s="45"/>
      <c r="O99" s="45"/>
      <c r="P99" s="45"/>
      <c r="Q99" s="45"/>
      <c r="R99" s="45"/>
      <c r="S99" s="45"/>
      <c r="T99" s="45"/>
      <c r="U99" s="45"/>
      <c r="V99" s="45"/>
      <c r="W99" s="45"/>
      <c r="X99" s="45"/>
      <c r="Y99" s="45"/>
      <c r="Z99" s="56"/>
    </row>
    <row r="100" spans="1:26">
      <c r="A100" s="4" t="s">
        <v>391</v>
      </c>
      <c r="B100" s="151" t="s">
        <v>392</v>
      </c>
      <c r="C100" s="151"/>
      <c r="D100" s="151"/>
      <c r="E100" s="151"/>
      <c r="F100" s="151"/>
      <c r="G100" s="152"/>
      <c r="H100" s="153"/>
      <c r="I100" s="154"/>
      <c r="J100" s="153"/>
      <c r="K100" s="172"/>
      <c r="L100" s="70">
        <f>SUM(K101:K138)</f>
        <v>6929507.4281769637</v>
      </c>
      <c r="M100" s="45"/>
      <c r="N100" s="45"/>
      <c r="O100" s="45"/>
      <c r="P100" s="45"/>
      <c r="Q100" s="45"/>
      <c r="R100" s="45"/>
      <c r="S100" s="45"/>
      <c r="T100" s="45"/>
      <c r="U100" s="45"/>
      <c r="V100" s="45"/>
      <c r="W100" s="45"/>
      <c r="X100" s="45"/>
      <c r="Y100" s="45"/>
      <c r="Z100" s="56"/>
    </row>
    <row r="101" spans="1:26">
      <c r="A101" s="6" t="s">
        <v>393</v>
      </c>
      <c r="B101" s="47" t="s">
        <v>394</v>
      </c>
      <c r="C101" s="47" t="s">
        <v>216</v>
      </c>
      <c r="D101" s="47" t="s">
        <v>228</v>
      </c>
      <c r="E101" s="47"/>
      <c r="F101" s="47"/>
      <c r="G101" s="42"/>
      <c r="H101" s="61">
        <v>0.05</v>
      </c>
      <c r="I101" s="63">
        <v>0</v>
      </c>
      <c r="J101" s="66">
        <f t="shared" ref="J101:J138" si="23">H101*(1+I101)</f>
        <v>0.05</v>
      </c>
      <c r="K101" s="67">
        <f t="shared" ref="K101:K138" si="24">J101*G101</f>
        <v>0</v>
      </c>
      <c r="M101" s="45"/>
      <c r="N101" s="45"/>
      <c r="O101" s="45"/>
      <c r="P101" s="45"/>
      <c r="Q101" s="45"/>
      <c r="R101" s="45"/>
      <c r="S101" s="45"/>
      <c r="T101" s="45"/>
      <c r="U101" s="45"/>
      <c r="V101" s="45"/>
      <c r="W101" s="45"/>
      <c r="X101" s="45"/>
      <c r="Y101" s="45"/>
      <c r="Z101" s="56"/>
    </row>
    <row r="102" spans="1:26">
      <c r="A102" s="7" t="s">
        <v>395</v>
      </c>
      <c r="B102" s="40" t="s">
        <v>396</v>
      </c>
      <c r="C102" s="40" t="s">
        <v>216</v>
      </c>
      <c r="D102" s="40" t="s">
        <v>228</v>
      </c>
      <c r="E102" s="40" t="s">
        <v>73</v>
      </c>
      <c r="F102" s="40" t="s">
        <v>71</v>
      </c>
      <c r="G102" s="38">
        <v>1</v>
      </c>
      <c r="H102" s="51">
        <v>25000</v>
      </c>
      <c r="I102" s="53">
        <v>0</v>
      </c>
      <c r="J102" s="51">
        <f t="shared" si="23"/>
        <v>25000</v>
      </c>
      <c r="K102" s="54">
        <f t="shared" si="24"/>
        <v>25000</v>
      </c>
      <c r="L102" s="194"/>
      <c r="M102" s="45"/>
      <c r="N102" s="45"/>
      <c r="O102" s="45"/>
      <c r="P102" s="45"/>
      <c r="Q102" s="45"/>
      <c r="R102" s="45"/>
      <c r="S102" s="45"/>
      <c r="T102" s="45"/>
      <c r="U102" s="45"/>
      <c r="V102" s="45"/>
      <c r="W102" s="45"/>
      <c r="X102" s="45"/>
      <c r="Y102" s="45"/>
      <c r="Z102" s="56"/>
    </row>
    <row r="103" spans="1:26">
      <c r="A103" s="7" t="s">
        <v>397</v>
      </c>
      <c r="B103" s="40" t="s">
        <v>398</v>
      </c>
      <c r="C103" s="40" t="s">
        <v>216</v>
      </c>
      <c r="D103" s="40" t="s">
        <v>228</v>
      </c>
      <c r="E103" s="40" t="s">
        <v>44</v>
      </c>
      <c r="F103" s="40" t="s">
        <v>61</v>
      </c>
      <c r="G103" s="38">
        <f t="shared" ref="G103" si="25">$B$8</f>
        <v>426549</v>
      </c>
      <c r="H103" s="51">
        <v>0.85</v>
      </c>
      <c r="I103" s="53">
        <v>0</v>
      </c>
      <c r="J103" s="51">
        <f t="shared" si="23"/>
        <v>0.85</v>
      </c>
      <c r="K103" s="54">
        <f t="shared" si="24"/>
        <v>362566.64999999997</v>
      </c>
      <c r="L103" s="194"/>
      <c r="M103" s="45"/>
      <c r="N103" s="45"/>
      <c r="O103" s="45"/>
      <c r="P103" s="45"/>
      <c r="Q103" s="45"/>
      <c r="R103" s="45"/>
      <c r="S103" s="45"/>
      <c r="T103" s="45"/>
      <c r="U103" s="45"/>
      <c r="V103" s="45"/>
      <c r="W103" s="45"/>
      <c r="X103" s="45"/>
      <c r="Y103" s="45"/>
      <c r="Z103" s="56"/>
    </row>
    <row r="104" spans="1:26">
      <c r="A104" s="7" t="s">
        <v>399</v>
      </c>
      <c r="B104" s="40" t="s">
        <v>400</v>
      </c>
      <c r="C104" s="40" t="s">
        <v>216</v>
      </c>
      <c r="D104" s="40" t="s">
        <v>228</v>
      </c>
      <c r="E104" s="40" t="s">
        <v>73</v>
      </c>
      <c r="F104" s="40" t="s">
        <v>71</v>
      </c>
      <c r="G104" s="38">
        <v>1</v>
      </c>
      <c r="H104" s="51">
        <v>75000</v>
      </c>
      <c r="I104" s="53">
        <v>0</v>
      </c>
      <c r="J104" s="51">
        <f t="shared" si="23"/>
        <v>75000</v>
      </c>
      <c r="K104" s="54">
        <f t="shared" si="24"/>
        <v>75000</v>
      </c>
      <c r="L104" s="194"/>
      <c r="M104" s="45"/>
      <c r="N104" s="45"/>
      <c r="O104" s="45"/>
      <c r="P104" s="45"/>
      <c r="Q104" s="45"/>
      <c r="R104" s="45"/>
      <c r="S104" s="45"/>
      <c r="T104" s="45"/>
      <c r="U104" s="45"/>
      <c r="V104" s="45"/>
      <c r="W104" s="45"/>
      <c r="X104" s="45"/>
      <c r="Y104" s="45"/>
      <c r="Z104" s="56"/>
    </row>
    <row r="105" spans="1:26">
      <c r="A105" s="7" t="s">
        <v>307</v>
      </c>
      <c r="B105" s="40" t="s">
        <v>401</v>
      </c>
      <c r="C105" s="40" t="s">
        <v>216</v>
      </c>
      <c r="D105" s="40" t="s">
        <v>309</v>
      </c>
      <c r="E105" s="40" t="s">
        <v>402</v>
      </c>
      <c r="F105" s="40" t="s">
        <v>403</v>
      </c>
      <c r="G105" s="42">
        <f>$E$8</f>
        <v>390</v>
      </c>
      <c r="H105" s="51">
        <v>79</v>
      </c>
      <c r="I105" s="53">
        <v>0</v>
      </c>
      <c r="J105" s="51">
        <f t="shared" si="23"/>
        <v>79</v>
      </c>
      <c r="K105" s="54">
        <f t="shared" si="24"/>
        <v>30810</v>
      </c>
      <c r="L105" s="194"/>
      <c r="M105" s="45"/>
      <c r="N105" s="45"/>
      <c r="O105" s="45"/>
      <c r="P105" s="45"/>
      <c r="Q105" s="45"/>
      <c r="R105" s="45"/>
      <c r="S105" s="45"/>
      <c r="T105" s="45"/>
      <c r="U105" s="45"/>
      <c r="V105" s="45"/>
      <c r="W105" s="45"/>
      <c r="X105" s="45"/>
      <c r="Y105" s="45"/>
      <c r="Z105" s="56"/>
    </row>
    <row r="106" spans="1:26">
      <c r="A106" s="7" t="s">
        <v>404</v>
      </c>
      <c r="B106" s="40" t="s">
        <v>405</v>
      </c>
      <c r="C106" s="40" t="s">
        <v>216</v>
      </c>
      <c r="D106" s="40" t="s">
        <v>223</v>
      </c>
      <c r="E106" s="40" t="s">
        <v>73</v>
      </c>
      <c r="F106" s="40" t="s">
        <v>71</v>
      </c>
      <c r="G106" s="38">
        <v>1</v>
      </c>
      <c r="H106" s="51">
        <v>10000</v>
      </c>
      <c r="I106" s="53">
        <v>0</v>
      </c>
      <c r="J106" s="51">
        <f t="shared" si="23"/>
        <v>10000</v>
      </c>
      <c r="K106" s="54">
        <f t="shared" si="24"/>
        <v>10000</v>
      </c>
      <c r="L106" s="194"/>
      <c r="M106" s="45"/>
      <c r="N106" s="45"/>
      <c r="O106" s="45"/>
      <c r="P106" s="45"/>
      <c r="Q106" s="45"/>
      <c r="R106" s="45"/>
      <c r="S106" s="45"/>
      <c r="T106" s="45"/>
      <c r="U106" s="45"/>
      <c r="V106" s="45"/>
      <c r="W106" s="45"/>
      <c r="X106" s="45"/>
      <c r="Y106" s="45"/>
      <c r="Z106" s="56"/>
    </row>
    <row r="107" spans="1:26">
      <c r="A107" s="7" t="s">
        <v>159</v>
      </c>
      <c r="B107" s="40" t="s">
        <v>406</v>
      </c>
      <c r="C107" s="40" t="s">
        <v>216</v>
      </c>
      <c r="D107" s="40" t="s">
        <v>228</v>
      </c>
      <c r="E107" s="40" t="s">
        <v>433</v>
      </c>
      <c r="F107" s="40" t="s">
        <v>62</v>
      </c>
      <c r="G107" s="38">
        <f>Q11</f>
        <v>22444</v>
      </c>
      <c r="H107" s="51">
        <v>40.820799999999998</v>
      </c>
      <c r="I107" s="53">
        <v>0</v>
      </c>
      <c r="J107" s="51">
        <f t="shared" si="23"/>
        <v>40.820799999999998</v>
      </c>
      <c r="K107" s="54">
        <f t="shared" si="24"/>
        <v>916182.03519999993</v>
      </c>
      <c r="L107" s="194"/>
      <c r="M107" s="45" t="s">
        <v>1057</v>
      </c>
      <c r="N107" s="45"/>
      <c r="O107" s="45"/>
      <c r="P107" s="45"/>
      <c r="Q107" s="45"/>
      <c r="R107" s="45"/>
      <c r="S107" s="45"/>
      <c r="T107" s="45"/>
      <c r="U107" s="45"/>
      <c r="V107" s="45"/>
      <c r="W107" s="45"/>
      <c r="X107" s="45"/>
      <c r="Y107" s="45"/>
      <c r="Z107" s="56"/>
    </row>
    <row r="108" spans="1:26">
      <c r="A108" s="7" t="s">
        <v>407</v>
      </c>
      <c r="B108" s="40" t="s">
        <v>406</v>
      </c>
      <c r="C108" s="40" t="s">
        <v>283</v>
      </c>
      <c r="D108" s="40" t="s">
        <v>235</v>
      </c>
      <c r="E108" s="40" t="s">
        <v>73</v>
      </c>
      <c r="F108" s="40" t="s">
        <v>71</v>
      </c>
      <c r="G108" s="38">
        <f>Q15</f>
        <v>1</v>
      </c>
      <c r="H108" s="51">
        <v>6000</v>
      </c>
      <c r="I108" s="53">
        <v>0</v>
      </c>
      <c r="J108" s="51">
        <f t="shared" si="23"/>
        <v>6000</v>
      </c>
      <c r="K108" s="54">
        <f t="shared" si="24"/>
        <v>6000</v>
      </c>
      <c r="L108" s="194"/>
      <c r="M108" s="45"/>
      <c r="N108" s="45"/>
      <c r="O108" s="45"/>
      <c r="P108" s="45"/>
      <c r="Q108" s="45"/>
      <c r="R108" s="45"/>
      <c r="S108" s="45"/>
      <c r="T108" s="45"/>
      <c r="U108" s="45"/>
      <c r="V108" s="45"/>
      <c r="W108" s="45"/>
      <c r="X108" s="45"/>
      <c r="Y108" s="45"/>
      <c r="Z108" s="56"/>
    </row>
    <row r="109" spans="1:26">
      <c r="A109" s="7" t="s">
        <v>408</v>
      </c>
      <c r="B109" s="40" t="s">
        <v>409</v>
      </c>
      <c r="C109" s="40" t="s">
        <v>216</v>
      </c>
      <c r="D109" s="40" t="s">
        <v>242</v>
      </c>
      <c r="E109" s="40" t="s">
        <v>231</v>
      </c>
      <c r="F109" s="40"/>
      <c r="G109" s="38"/>
      <c r="H109" s="51"/>
      <c r="I109" s="53">
        <v>0</v>
      </c>
      <c r="J109" s="51">
        <f t="shared" si="23"/>
        <v>0</v>
      </c>
      <c r="K109" s="54">
        <f t="shared" si="24"/>
        <v>0</v>
      </c>
      <c r="M109" s="45"/>
      <c r="N109" s="45"/>
      <c r="O109" s="45"/>
      <c r="P109" s="45"/>
      <c r="Q109" s="45"/>
      <c r="R109" s="45"/>
      <c r="S109" s="45"/>
      <c r="T109" s="45"/>
      <c r="U109" s="45"/>
      <c r="V109" s="45"/>
      <c r="W109" s="45"/>
      <c r="X109" s="45"/>
      <c r="Y109" s="45"/>
      <c r="Z109" s="56"/>
    </row>
    <row r="110" spans="1:26">
      <c r="A110" s="7" t="s">
        <v>410</v>
      </c>
      <c r="B110" s="40" t="s">
        <v>411</v>
      </c>
      <c r="C110" s="40" t="s">
        <v>283</v>
      </c>
      <c r="D110" s="40" t="s">
        <v>242</v>
      </c>
      <c r="E110" s="40" t="s">
        <v>73</v>
      </c>
      <c r="F110" s="40" t="s">
        <v>71</v>
      </c>
      <c r="G110" s="38">
        <f>$Q$7</f>
        <v>1</v>
      </c>
      <c r="H110" s="51">
        <v>2000</v>
      </c>
      <c r="I110" s="53">
        <v>0</v>
      </c>
      <c r="J110" s="51">
        <f t="shared" si="23"/>
        <v>2000</v>
      </c>
      <c r="K110" s="54">
        <f t="shared" si="24"/>
        <v>2000</v>
      </c>
      <c r="L110" s="194"/>
      <c r="M110" s="45"/>
      <c r="N110" s="45"/>
      <c r="O110" s="45"/>
      <c r="P110" s="45"/>
      <c r="Q110" s="45"/>
      <c r="R110" s="45"/>
      <c r="S110" s="45"/>
      <c r="T110" s="45"/>
      <c r="U110" s="45"/>
      <c r="V110" s="45"/>
      <c r="W110" s="45"/>
      <c r="X110" s="45"/>
      <c r="Y110" s="45"/>
      <c r="Z110" s="56"/>
    </row>
    <row r="111" spans="1:26">
      <c r="A111" s="7" t="s">
        <v>412</v>
      </c>
      <c r="B111" s="40" t="s">
        <v>413</v>
      </c>
      <c r="C111" s="40" t="s">
        <v>216</v>
      </c>
      <c r="D111" s="40" t="s">
        <v>242</v>
      </c>
      <c r="E111" s="40" t="s">
        <v>231</v>
      </c>
      <c r="F111" s="40"/>
      <c r="G111" s="38"/>
      <c r="H111" s="51"/>
      <c r="I111" s="53">
        <v>0</v>
      </c>
      <c r="J111" s="51">
        <f t="shared" si="23"/>
        <v>0</v>
      </c>
      <c r="K111" s="54">
        <f t="shared" si="24"/>
        <v>0</v>
      </c>
      <c r="M111" s="45"/>
      <c r="N111" s="45"/>
      <c r="O111" s="45"/>
      <c r="P111" s="45"/>
      <c r="Q111" s="45"/>
      <c r="R111" s="45"/>
      <c r="S111" s="45"/>
      <c r="T111" s="45"/>
      <c r="U111" s="45"/>
      <c r="V111" s="45"/>
      <c r="W111" s="45"/>
      <c r="X111" s="45"/>
      <c r="Y111" s="45"/>
      <c r="Z111" s="56"/>
    </row>
    <row r="112" spans="1:26">
      <c r="A112" s="7" t="s">
        <v>414</v>
      </c>
      <c r="B112" s="40" t="s">
        <v>415</v>
      </c>
      <c r="C112" s="40" t="s">
        <v>216</v>
      </c>
      <c r="D112" s="40" t="s">
        <v>250</v>
      </c>
      <c r="E112" s="40" t="s">
        <v>231</v>
      </c>
      <c r="F112" s="40"/>
      <c r="G112" s="38"/>
      <c r="H112" s="51"/>
      <c r="I112" s="53">
        <v>0</v>
      </c>
      <c r="J112" s="51">
        <f t="shared" si="23"/>
        <v>0</v>
      </c>
      <c r="K112" s="54">
        <f t="shared" si="24"/>
        <v>0</v>
      </c>
      <c r="M112" s="45"/>
      <c r="N112" s="45"/>
      <c r="O112" s="45"/>
      <c r="P112" s="45"/>
      <c r="Q112" s="45"/>
      <c r="R112" s="45"/>
      <c r="S112" s="45"/>
      <c r="T112" s="45"/>
      <c r="U112" s="45"/>
      <c r="V112" s="45"/>
      <c r="W112" s="45"/>
      <c r="X112" s="45"/>
      <c r="Y112" s="45"/>
      <c r="Z112" s="56"/>
    </row>
    <row r="113" spans="1:26">
      <c r="A113" s="7" t="s">
        <v>416</v>
      </c>
      <c r="B113" s="201" t="s">
        <v>406</v>
      </c>
      <c r="C113" s="40" t="s">
        <v>283</v>
      </c>
      <c r="D113" s="40" t="s">
        <v>228</v>
      </c>
      <c r="E113" s="40" t="s">
        <v>73</v>
      </c>
      <c r="F113" s="40" t="s">
        <v>71</v>
      </c>
      <c r="G113" s="38">
        <v>1</v>
      </c>
      <c r="H113" s="51">
        <f>1500*3</f>
        <v>4500</v>
      </c>
      <c r="I113" s="53">
        <v>0</v>
      </c>
      <c r="J113" s="51">
        <f t="shared" si="23"/>
        <v>4500</v>
      </c>
      <c r="K113" s="54">
        <f t="shared" si="24"/>
        <v>4500</v>
      </c>
      <c r="L113" s="194"/>
      <c r="M113" s="45"/>
      <c r="N113" s="45"/>
      <c r="O113" s="45"/>
      <c r="P113" s="45"/>
      <c r="Q113" s="45"/>
      <c r="R113" s="45"/>
      <c r="S113" s="45"/>
      <c r="T113" s="45"/>
      <c r="U113" s="45"/>
      <c r="V113" s="45"/>
      <c r="W113" s="45"/>
      <c r="X113" s="45"/>
      <c r="Y113" s="45"/>
      <c r="Z113" s="56"/>
    </row>
    <row r="114" spans="1:26">
      <c r="A114" s="7" t="s">
        <v>417</v>
      </c>
      <c r="B114" s="40" t="s">
        <v>418</v>
      </c>
      <c r="C114" s="40" t="s">
        <v>216</v>
      </c>
      <c r="D114" s="40" t="s">
        <v>228</v>
      </c>
      <c r="E114" s="206" t="s">
        <v>1058</v>
      </c>
      <c r="F114" s="40" t="s">
        <v>61</v>
      </c>
      <c r="G114" s="38">
        <f t="shared" ref="G114" si="26">$B$8</f>
        <v>426549</v>
      </c>
      <c r="H114" s="51">
        <v>7.7</v>
      </c>
      <c r="I114" s="53">
        <v>0</v>
      </c>
      <c r="J114" s="51">
        <f t="shared" si="23"/>
        <v>7.7</v>
      </c>
      <c r="K114" s="210">
        <f t="shared" si="24"/>
        <v>3284427.3000000003</v>
      </c>
      <c r="L114" s="194"/>
      <c r="M114" s="596" t="s">
        <v>1059</v>
      </c>
      <c r="N114" s="45"/>
      <c r="O114" s="45"/>
      <c r="P114" s="45"/>
      <c r="Q114" s="45"/>
      <c r="R114" s="45"/>
      <c r="S114" s="45"/>
      <c r="T114" s="45"/>
      <c r="U114" s="45"/>
      <c r="V114" s="45"/>
      <c r="W114" s="45"/>
      <c r="X114" s="45"/>
      <c r="Y114" s="45"/>
      <c r="Z114" s="56"/>
    </row>
    <row r="115" spans="1:26">
      <c r="A115" s="7" t="s">
        <v>420</v>
      </c>
      <c r="B115" s="40" t="s">
        <v>418</v>
      </c>
      <c r="C115" s="40" t="s">
        <v>216</v>
      </c>
      <c r="D115" s="40" t="s">
        <v>235</v>
      </c>
      <c r="E115" s="206" t="s">
        <v>73</v>
      </c>
      <c r="F115" s="40" t="s">
        <v>71</v>
      </c>
      <c r="G115" s="38">
        <v>1</v>
      </c>
      <c r="H115" s="54">
        <v>2000</v>
      </c>
      <c r="I115" s="53">
        <v>0</v>
      </c>
      <c r="J115" s="51">
        <f t="shared" ref="J115" si="27">H115*(1+I115)</f>
        <v>2000</v>
      </c>
      <c r="K115" s="210">
        <f t="shared" ref="K115" si="28">J115*G115</f>
        <v>2000</v>
      </c>
      <c r="L115" s="194"/>
      <c r="M115" s="596"/>
      <c r="N115" s="45"/>
      <c r="O115" s="45"/>
      <c r="P115" s="45"/>
      <c r="Q115" s="45"/>
      <c r="R115" s="45"/>
      <c r="S115" s="45"/>
      <c r="T115" s="45"/>
      <c r="U115" s="45"/>
      <c r="V115" s="45"/>
      <c r="W115" s="45"/>
      <c r="X115" s="45"/>
      <c r="Y115" s="45"/>
      <c r="Z115" s="56"/>
    </row>
    <row r="116" spans="1:26">
      <c r="A116" s="7" t="s">
        <v>421</v>
      </c>
      <c r="B116" s="201" t="s">
        <v>418</v>
      </c>
      <c r="C116" s="40" t="s">
        <v>283</v>
      </c>
      <c r="D116" s="40" t="s">
        <v>228</v>
      </c>
      <c r="E116" s="40" t="s">
        <v>73</v>
      </c>
      <c r="F116" s="40" t="s">
        <v>403</v>
      </c>
      <c r="G116" s="42">
        <f>$E$8</f>
        <v>390</v>
      </c>
      <c r="H116" s="51">
        <v>85</v>
      </c>
      <c r="I116" s="53">
        <v>0</v>
      </c>
      <c r="J116" s="51">
        <f t="shared" si="23"/>
        <v>85</v>
      </c>
      <c r="K116" s="54">
        <f t="shared" si="24"/>
        <v>33150</v>
      </c>
      <c r="L116" s="194"/>
      <c r="M116" s="45"/>
      <c r="N116" s="45"/>
      <c r="O116" s="45"/>
      <c r="P116" s="45"/>
      <c r="Q116" s="45"/>
      <c r="R116" s="45"/>
      <c r="S116" s="45"/>
      <c r="T116" s="45"/>
      <c r="U116" s="45"/>
      <c r="V116" s="45"/>
      <c r="W116" s="45"/>
      <c r="X116" s="45"/>
      <c r="Y116" s="45"/>
      <c r="Z116" s="56"/>
    </row>
    <row r="117" spans="1:26">
      <c r="A117" s="7" t="s">
        <v>422</v>
      </c>
      <c r="B117" s="40" t="s">
        <v>423</v>
      </c>
      <c r="C117" s="40" t="s">
        <v>216</v>
      </c>
      <c r="D117" s="40" t="s">
        <v>228</v>
      </c>
      <c r="E117" s="40" t="s">
        <v>231</v>
      </c>
      <c r="F117" s="40"/>
      <c r="G117" s="38"/>
      <c r="H117" s="51"/>
      <c r="I117" s="53">
        <v>0</v>
      </c>
      <c r="J117" s="51">
        <f t="shared" si="23"/>
        <v>0</v>
      </c>
      <c r="K117" s="54">
        <f t="shared" si="24"/>
        <v>0</v>
      </c>
      <c r="M117" s="45"/>
      <c r="N117" s="45"/>
      <c r="O117" s="45"/>
      <c r="P117" s="45"/>
      <c r="Q117" s="45"/>
      <c r="R117" s="45"/>
      <c r="S117" s="45"/>
      <c r="T117" s="45"/>
      <c r="U117" s="45"/>
      <c r="V117" s="45"/>
      <c r="W117" s="45"/>
      <c r="X117" s="45"/>
      <c r="Y117" s="45"/>
      <c r="Z117" s="56"/>
    </row>
    <row r="118" spans="1:26">
      <c r="A118" s="7" t="s">
        <v>424</v>
      </c>
      <c r="B118" s="40" t="s">
        <v>425</v>
      </c>
      <c r="C118" s="40" t="s">
        <v>216</v>
      </c>
      <c r="D118" s="40" t="s">
        <v>303</v>
      </c>
      <c r="E118" s="40" t="s">
        <v>73</v>
      </c>
      <c r="F118" s="40" t="s">
        <v>71</v>
      </c>
      <c r="G118" s="38">
        <v>1</v>
      </c>
      <c r="H118" s="54">
        <v>80000</v>
      </c>
      <c r="I118" s="53">
        <v>0</v>
      </c>
      <c r="J118" s="54">
        <f t="shared" si="23"/>
        <v>80000</v>
      </c>
      <c r="K118" s="54">
        <f t="shared" si="24"/>
        <v>80000</v>
      </c>
      <c r="L118" s="194"/>
      <c r="M118" s="45"/>
      <c r="N118" s="45"/>
      <c r="O118" s="45"/>
      <c r="P118" s="45"/>
      <c r="Q118" s="45"/>
      <c r="R118" s="45"/>
      <c r="S118" s="45"/>
      <c r="T118" s="45"/>
      <c r="U118" s="45"/>
      <c r="V118" s="45"/>
      <c r="W118" s="45"/>
      <c r="X118" s="45"/>
      <c r="Y118" s="45"/>
      <c r="Z118" s="56"/>
    </row>
    <row r="119" spans="1:26">
      <c r="A119" s="7" t="s">
        <v>427</v>
      </c>
      <c r="B119" s="40" t="s">
        <v>428</v>
      </c>
      <c r="C119" s="40" t="s">
        <v>216</v>
      </c>
      <c r="D119" s="40" t="s">
        <v>228</v>
      </c>
      <c r="E119" s="40" t="s">
        <v>231</v>
      </c>
      <c r="F119" s="40"/>
      <c r="G119" s="38"/>
      <c r="H119" s="51"/>
      <c r="I119" s="53">
        <v>0</v>
      </c>
      <c r="J119" s="51">
        <f t="shared" si="23"/>
        <v>0</v>
      </c>
      <c r="K119" s="54">
        <f t="shared" si="24"/>
        <v>0</v>
      </c>
      <c r="M119" s="45"/>
      <c r="N119" s="45"/>
      <c r="O119" s="45"/>
      <c r="P119" s="45"/>
      <c r="Q119" s="45"/>
      <c r="R119" s="45"/>
      <c r="S119" s="45"/>
      <c r="T119" s="45"/>
      <c r="U119" s="45"/>
      <c r="V119" s="45"/>
      <c r="W119" s="45"/>
      <c r="X119" s="45"/>
      <c r="Y119" s="45"/>
      <c r="Z119" s="56"/>
    </row>
    <row r="120" spans="1:26">
      <c r="A120" s="7" t="s">
        <v>429</v>
      </c>
      <c r="B120" s="40" t="s">
        <v>430</v>
      </c>
      <c r="C120" s="40" t="s">
        <v>216</v>
      </c>
      <c r="D120" s="40" t="s">
        <v>242</v>
      </c>
      <c r="E120" s="40" t="s">
        <v>231</v>
      </c>
      <c r="F120" s="40"/>
      <c r="G120" s="38"/>
      <c r="H120" s="51"/>
      <c r="I120" s="53">
        <v>0</v>
      </c>
      <c r="J120" s="51">
        <f t="shared" si="23"/>
        <v>0</v>
      </c>
      <c r="K120" s="54">
        <f t="shared" si="24"/>
        <v>0</v>
      </c>
      <c r="M120" s="45"/>
      <c r="N120" s="45"/>
      <c r="O120" s="45"/>
      <c r="P120" s="45"/>
      <c r="Q120" s="45"/>
      <c r="R120" s="45"/>
      <c r="S120" s="45"/>
      <c r="T120" s="45"/>
      <c r="U120" s="45"/>
      <c r="V120" s="45"/>
      <c r="W120" s="45"/>
      <c r="X120" s="45"/>
      <c r="Y120" s="45"/>
      <c r="Z120" s="56"/>
    </row>
    <row r="121" spans="1:26">
      <c r="A121" s="7" t="s">
        <v>431</v>
      </c>
      <c r="B121" s="40" t="s">
        <v>432</v>
      </c>
      <c r="C121" s="40" t="s">
        <v>216</v>
      </c>
      <c r="D121" s="40" t="s">
        <v>228</v>
      </c>
      <c r="E121" s="40" t="s">
        <v>44</v>
      </c>
      <c r="F121" s="40" t="s">
        <v>62</v>
      </c>
      <c r="G121" s="38">
        <f>Q12/9</f>
        <v>36919.555555555555</v>
      </c>
      <c r="H121" s="51">
        <f>2.33*9</f>
        <v>20.97</v>
      </c>
      <c r="I121" s="53">
        <v>0</v>
      </c>
      <c r="J121" s="51">
        <f t="shared" si="23"/>
        <v>20.97</v>
      </c>
      <c r="K121" s="54">
        <f t="shared" si="24"/>
        <v>774203.08</v>
      </c>
      <c r="L121" s="784"/>
      <c r="M121" s="45"/>
      <c r="N121" s="45"/>
      <c r="O121" s="45"/>
      <c r="P121" s="45"/>
      <c r="Q121" s="45"/>
      <c r="R121" s="45"/>
      <c r="S121" s="45"/>
      <c r="T121" s="45"/>
      <c r="U121" s="45"/>
      <c r="V121" s="45"/>
      <c r="W121" s="45"/>
      <c r="X121" s="45"/>
      <c r="Y121" s="45"/>
      <c r="Z121" s="56"/>
    </row>
    <row r="122" spans="1:26">
      <c r="A122" s="7" t="s">
        <v>435</v>
      </c>
      <c r="B122" s="40" t="s">
        <v>436</v>
      </c>
      <c r="C122" s="40" t="s">
        <v>216</v>
      </c>
      <c r="D122" s="40" t="s">
        <v>303</v>
      </c>
      <c r="E122" s="40"/>
      <c r="F122" s="40"/>
      <c r="G122" s="38">
        <v>0</v>
      </c>
      <c r="H122" s="51">
        <v>30184</v>
      </c>
      <c r="I122" s="53">
        <v>0</v>
      </c>
      <c r="J122" s="51">
        <f t="shared" si="23"/>
        <v>30184</v>
      </c>
      <c r="K122" s="54">
        <f t="shared" si="24"/>
        <v>0</v>
      </c>
      <c r="L122" s="784"/>
      <c r="M122" s="45"/>
      <c r="N122" s="45"/>
      <c r="O122" s="45"/>
      <c r="P122" s="45"/>
      <c r="Q122" s="45"/>
      <c r="R122" s="45"/>
      <c r="S122" s="45"/>
      <c r="T122" s="45"/>
      <c r="U122" s="45"/>
      <c r="V122" s="45"/>
      <c r="W122" s="45"/>
      <c r="X122" s="45"/>
      <c r="Y122" s="45"/>
      <c r="Z122" s="56"/>
    </row>
    <row r="123" spans="1:26">
      <c r="A123" s="7" t="s">
        <v>437</v>
      </c>
      <c r="B123" s="40" t="s">
        <v>438</v>
      </c>
      <c r="C123" s="40" t="s">
        <v>216</v>
      </c>
      <c r="D123" s="40" t="s">
        <v>303</v>
      </c>
      <c r="E123" s="40"/>
      <c r="F123" s="40"/>
      <c r="G123" s="38">
        <v>0</v>
      </c>
      <c r="H123" s="51">
        <v>1994</v>
      </c>
      <c r="I123" s="53">
        <v>0</v>
      </c>
      <c r="J123" s="51">
        <f t="shared" si="23"/>
        <v>1994</v>
      </c>
      <c r="K123" s="54">
        <f t="shared" si="24"/>
        <v>0</v>
      </c>
      <c r="M123" s="45"/>
      <c r="N123" s="45"/>
      <c r="O123" s="45"/>
      <c r="P123" s="45"/>
      <c r="Q123" s="45"/>
      <c r="R123" s="45"/>
      <c r="S123" s="45"/>
      <c r="T123" s="45"/>
      <c r="U123" s="45"/>
      <c r="V123" s="45"/>
      <c r="W123" s="45"/>
      <c r="X123" s="45"/>
      <c r="Y123" s="45"/>
      <c r="Z123" s="56"/>
    </row>
    <row r="124" spans="1:26">
      <c r="A124" s="7" t="s">
        <v>439</v>
      </c>
      <c r="B124" s="40" t="s">
        <v>440</v>
      </c>
      <c r="C124" s="40" t="s">
        <v>216</v>
      </c>
      <c r="D124" s="40" t="s">
        <v>303</v>
      </c>
      <c r="E124" s="40" t="s">
        <v>44</v>
      </c>
      <c r="F124" s="40" t="s">
        <v>61</v>
      </c>
      <c r="G124" s="38">
        <f>$B$8</f>
        <v>426549</v>
      </c>
      <c r="H124" s="51">
        <f>120000/'Comparison to Other'!$O$4</f>
        <v>0.63550906924400896</v>
      </c>
      <c r="I124" s="53">
        <v>0</v>
      </c>
      <c r="J124" s="51">
        <f t="shared" si="23"/>
        <v>0.63550906924400896</v>
      </c>
      <c r="K124" s="54">
        <f t="shared" si="24"/>
        <v>271075.75797696278</v>
      </c>
      <c r="L124" s="194"/>
      <c r="M124" s="45"/>
      <c r="N124" s="45"/>
      <c r="O124" s="45"/>
      <c r="P124" s="45"/>
      <c r="Q124" s="45"/>
      <c r="R124" s="45"/>
      <c r="S124" s="45"/>
      <c r="T124" s="45"/>
      <c r="U124" s="45"/>
      <c r="V124" s="45"/>
      <c r="W124" s="45"/>
      <c r="X124" s="45"/>
      <c r="Y124" s="45"/>
      <c r="Z124" s="56"/>
    </row>
    <row r="125" spans="1:26">
      <c r="A125" s="7" t="s">
        <v>441</v>
      </c>
      <c r="B125" s="201" t="s">
        <v>440</v>
      </c>
      <c r="C125" s="40" t="s">
        <v>283</v>
      </c>
      <c r="D125" s="40" t="s">
        <v>303</v>
      </c>
      <c r="E125" s="40" t="s">
        <v>73</v>
      </c>
      <c r="F125" s="40" t="s">
        <v>108</v>
      </c>
      <c r="G125" s="38">
        <f>Q3</f>
        <v>4</v>
      </c>
      <c r="H125" s="51">
        <v>1000</v>
      </c>
      <c r="I125" s="53">
        <v>0</v>
      </c>
      <c r="J125" s="51">
        <f t="shared" si="23"/>
        <v>1000</v>
      </c>
      <c r="K125" s="54">
        <f t="shared" si="24"/>
        <v>4000</v>
      </c>
      <c r="L125" s="194"/>
      <c r="M125" s="45"/>
      <c r="N125" s="45"/>
      <c r="O125" s="45"/>
      <c r="P125" s="45"/>
      <c r="Q125" s="45"/>
      <c r="R125" s="45"/>
      <c r="S125" s="45"/>
      <c r="T125" s="45"/>
      <c r="U125" s="45"/>
      <c r="V125" s="45"/>
      <c r="W125" s="45"/>
      <c r="X125" s="45"/>
      <c r="Y125" s="45"/>
      <c r="Z125" s="56"/>
    </row>
    <row r="126" spans="1:26">
      <c r="A126" s="7" t="s">
        <v>442</v>
      </c>
      <c r="B126" s="40" t="s">
        <v>443</v>
      </c>
      <c r="C126" s="40" t="s">
        <v>216</v>
      </c>
      <c r="D126" s="40" t="s">
        <v>303</v>
      </c>
      <c r="E126" s="40"/>
      <c r="F126" s="40" t="s">
        <v>61</v>
      </c>
      <c r="G126" s="38">
        <v>0</v>
      </c>
      <c r="H126" s="51">
        <v>9.0909000000000004E-2</v>
      </c>
      <c r="I126" s="53">
        <v>0</v>
      </c>
      <c r="J126" s="51">
        <f t="shared" si="23"/>
        <v>9.0909000000000004E-2</v>
      </c>
      <c r="K126" s="54">
        <f t="shared" si="24"/>
        <v>0</v>
      </c>
      <c r="M126" s="45"/>
      <c r="N126" s="45"/>
      <c r="O126" s="45"/>
      <c r="P126" s="45"/>
      <c r="Q126" s="45"/>
      <c r="R126" s="45"/>
      <c r="S126" s="45"/>
      <c r="T126" s="45"/>
      <c r="U126" s="45"/>
      <c r="V126" s="45"/>
      <c r="W126" s="45"/>
      <c r="X126" s="45"/>
      <c r="Y126" s="45"/>
      <c r="Z126" s="56"/>
    </row>
    <row r="127" spans="1:26">
      <c r="A127" s="7" t="s">
        <v>444</v>
      </c>
      <c r="B127" s="40" t="s">
        <v>445</v>
      </c>
      <c r="C127" s="40" t="s">
        <v>216</v>
      </c>
      <c r="D127" s="40" t="s">
        <v>303</v>
      </c>
      <c r="E127" s="40"/>
      <c r="F127" s="40" t="s">
        <v>61</v>
      </c>
      <c r="G127" s="38">
        <v>0</v>
      </c>
      <c r="H127" s="51">
        <v>0.182</v>
      </c>
      <c r="I127" s="53">
        <v>0</v>
      </c>
      <c r="J127" s="51">
        <f t="shared" si="23"/>
        <v>0.182</v>
      </c>
      <c r="K127" s="54">
        <f t="shared" si="24"/>
        <v>0</v>
      </c>
      <c r="M127" s="45"/>
      <c r="N127" s="45"/>
      <c r="O127" s="45"/>
      <c r="P127" s="45"/>
      <c r="Q127" s="45"/>
      <c r="R127" s="45"/>
      <c r="S127" s="45"/>
      <c r="T127" s="45"/>
      <c r="U127" s="45"/>
      <c r="V127" s="45"/>
      <c r="W127" s="45"/>
      <c r="X127" s="45"/>
      <c r="Y127" s="45"/>
      <c r="Z127" s="56"/>
    </row>
    <row r="128" spans="1:26">
      <c r="A128" s="7" t="s">
        <v>446</v>
      </c>
      <c r="B128" s="40" t="s">
        <v>447</v>
      </c>
      <c r="C128" s="40" t="s">
        <v>216</v>
      </c>
      <c r="D128" s="40" t="s">
        <v>303</v>
      </c>
      <c r="E128" s="40" t="s">
        <v>426</v>
      </c>
      <c r="F128" s="40" t="s">
        <v>61</v>
      </c>
      <c r="G128" s="38">
        <f>1140*2</f>
        <v>2280</v>
      </c>
      <c r="H128" s="51">
        <v>16.53</v>
      </c>
      <c r="I128" s="53">
        <v>0</v>
      </c>
      <c r="J128" s="51">
        <f t="shared" si="23"/>
        <v>16.53</v>
      </c>
      <c r="K128" s="54">
        <f t="shared" si="24"/>
        <v>37688.400000000001</v>
      </c>
      <c r="L128" s="194"/>
      <c r="M128" s="45"/>
      <c r="N128" s="45"/>
      <c r="O128" s="45"/>
      <c r="P128" s="45"/>
      <c r="Q128" s="45"/>
      <c r="R128" s="45"/>
      <c r="S128" s="45"/>
      <c r="T128" s="45"/>
      <c r="U128" s="45"/>
      <c r="V128" s="45"/>
      <c r="W128" s="45"/>
      <c r="X128" s="45"/>
      <c r="Y128" s="45"/>
      <c r="Z128" s="56"/>
    </row>
    <row r="129" spans="1:26">
      <c r="A129" s="7" t="s">
        <v>448</v>
      </c>
      <c r="B129" s="40" t="s">
        <v>449</v>
      </c>
      <c r="C129" s="40" t="s">
        <v>216</v>
      </c>
      <c r="D129" s="40" t="s">
        <v>303</v>
      </c>
      <c r="E129" s="40" t="s">
        <v>44</v>
      </c>
      <c r="F129" s="40" t="s">
        <v>450</v>
      </c>
      <c r="G129" s="38">
        <f>4*2+12*3</f>
        <v>44</v>
      </c>
      <c r="H129" s="51">
        <f>15000/24</f>
        <v>625</v>
      </c>
      <c r="I129" s="53">
        <v>0</v>
      </c>
      <c r="J129" s="51">
        <f t="shared" si="23"/>
        <v>625</v>
      </c>
      <c r="K129" s="54">
        <f t="shared" si="24"/>
        <v>27500</v>
      </c>
      <c r="L129" s="194"/>
      <c r="M129" s="45"/>
      <c r="N129" s="45"/>
      <c r="O129" s="45"/>
      <c r="P129" s="45"/>
      <c r="Q129" s="45"/>
      <c r="R129" s="45"/>
      <c r="S129" s="45"/>
      <c r="T129" s="45"/>
      <c r="U129" s="45"/>
      <c r="V129" s="45"/>
      <c r="W129" s="45"/>
      <c r="X129" s="45"/>
      <c r="Y129" s="45"/>
      <c r="Z129" s="56"/>
    </row>
    <row r="130" spans="1:26">
      <c r="A130" s="7" t="s">
        <v>451</v>
      </c>
      <c r="B130" s="40" t="s">
        <v>452</v>
      </c>
      <c r="C130" s="40" t="s">
        <v>216</v>
      </c>
      <c r="D130" s="40" t="s">
        <v>303</v>
      </c>
      <c r="E130" s="40" t="s">
        <v>426</v>
      </c>
      <c r="F130" s="40" t="s">
        <v>61</v>
      </c>
      <c r="G130" s="38">
        <f>SUM($W$11:$W$15)*0.25</f>
        <v>11241.75</v>
      </c>
      <c r="H130" s="51">
        <v>1.5</v>
      </c>
      <c r="I130" s="53">
        <v>0</v>
      </c>
      <c r="J130" s="51">
        <f t="shared" si="23"/>
        <v>1.5</v>
      </c>
      <c r="K130" s="54">
        <f t="shared" si="24"/>
        <v>16862.625</v>
      </c>
      <c r="L130" s="194"/>
      <c r="M130" s="45" t="s">
        <v>1060</v>
      </c>
      <c r="N130" s="45"/>
      <c r="O130" s="45"/>
      <c r="P130" s="45"/>
      <c r="Q130" s="45"/>
      <c r="R130" s="45"/>
      <c r="S130" s="45"/>
      <c r="T130" s="45"/>
      <c r="U130" s="45"/>
      <c r="V130" s="45"/>
      <c r="W130" s="45"/>
      <c r="X130" s="45"/>
      <c r="Y130" s="45"/>
      <c r="Z130" s="56"/>
    </row>
    <row r="131" spans="1:26">
      <c r="A131" s="7" t="s">
        <v>453</v>
      </c>
      <c r="B131" s="40" t="s">
        <v>454</v>
      </c>
      <c r="C131" s="40" t="s">
        <v>216</v>
      </c>
      <c r="D131" s="40" t="s">
        <v>303</v>
      </c>
      <c r="E131" s="40" t="s">
        <v>426</v>
      </c>
      <c r="F131" s="40" t="s">
        <v>61</v>
      </c>
      <c r="G131" s="38">
        <f>SUM($W$11:$W$15)*0.25</f>
        <v>11241.75</v>
      </c>
      <c r="H131" s="51">
        <v>10</v>
      </c>
      <c r="I131" s="53">
        <v>0</v>
      </c>
      <c r="J131" s="51">
        <f t="shared" si="23"/>
        <v>10</v>
      </c>
      <c r="K131" s="54">
        <f t="shared" si="24"/>
        <v>112417.5</v>
      </c>
      <c r="L131" s="194"/>
      <c r="M131" s="45" t="s">
        <v>1060</v>
      </c>
      <c r="N131" s="45"/>
      <c r="O131" s="45"/>
      <c r="P131" s="45"/>
      <c r="Q131" s="45"/>
      <c r="R131" s="45"/>
      <c r="S131" s="45"/>
      <c r="T131" s="45"/>
      <c r="U131" s="45"/>
      <c r="V131" s="45"/>
      <c r="W131" s="45"/>
      <c r="X131" s="45"/>
      <c r="Y131" s="45"/>
      <c r="Z131" s="56"/>
    </row>
    <row r="132" spans="1:26">
      <c r="A132" s="7" t="s">
        <v>455</v>
      </c>
      <c r="B132" s="201" t="s">
        <v>456</v>
      </c>
      <c r="C132" s="40" t="s">
        <v>283</v>
      </c>
      <c r="D132" s="40" t="s">
        <v>228</v>
      </c>
      <c r="E132" s="40" t="s">
        <v>73</v>
      </c>
      <c r="F132" s="40" t="s">
        <v>403</v>
      </c>
      <c r="G132" s="42">
        <f>$E$8</f>
        <v>390</v>
      </c>
      <c r="H132" s="51">
        <v>85</v>
      </c>
      <c r="I132" s="53">
        <v>0</v>
      </c>
      <c r="J132" s="51">
        <f t="shared" si="23"/>
        <v>85</v>
      </c>
      <c r="K132" s="54">
        <f t="shared" si="24"/>
        <v>33150</v>
      </c>
      <c r="L132" s="194"/>
      <c r="M132" s="45"/>
      <c r="N132" s="45"/>
      <c r="O132" s="45"/>
      <c r="P132" s="45"/>
      <c r="Q132" s="45"/>
      <c r="R132" s="45"/>
      <c r="S132" s="45"/>
      <c r="T132" s="45"/>
      <c r="U132" s="45"/>
      <c r="V132" s="45"/>
      <c r="W132" s="45"/>
      <c r="X132" s="45"/>
      <c r="Y132" s="45"/>
      <c r="Z132" s="56"/>
    </row>
    <row r="133" spans="1:26">
      <c r="A133" s="7" t="s">
        <v>457</v>
      </c>
      <c r="B133" s="40" t="s">
        <v>456</v>
      </c>
      <c r="C133" s="40" t="s">
        <v>216</v>
      </c>
      <c r="D133" s="40" t="s">
        <v>228</v>
      </c>
      <c r="E133" s="206" t="s">
        <v>433</v>
      </c>
      <c r="F133" s="40" t="s">
        <v>61</v>
      </c>
      <c r="G133" s="38">
        <f t="shared" ref="G133" si="29">$B$8</f>
        <v>426549</v>
      </c>
      <c r="H133" s="51">
        <v>1.92</v>
      </c>
      <c r="I133" s="53">
        <v>0</v>
      </c>
      <c r="J133" s="51">
        <f t="shared" si="23"/>
        <v>1.92</v>
      </c>
      <c r="K133" s="210">
        <f t="shared" si="24"/>
        <v>818974.08</v>
      </c>
      <c r="L133" s="194"/>
      <c r="M133" s="596" t="s">
        <v>458</v>
      </c>
      <c r="N133" s="45"/>
      <c r="O133" s="45"/>
      <c r="P133" s="45"/>
      <c r="Q133" s="45"/>
      <c r="R133" s="45"/>
      <c r="S133" s="45"/>
      <c r="T133" s="45"/>
      <c r="U133" s="45"/>
      <c r="V133" s="45"/>
      <c r="W133" s="45"/>
      <c r="X133" s="45"/>
      <c r="Y133" s="45"/>
      <c r="Z133" s="56"/>
    </row>
    <row r="134" spans="1:26">
      <c r="A134" s="7" t="s">
        <v>459</v>
      </c>
      <c r="B134" s="40" t="s">
        <v>456</v>
      </c>
      <c r="C134" s="40" t="s">
        <v>216</v>
      </c>
      <c r="D134" s="40" t="s">
        <v>235</v>
      </c>
      <c r="E134" s="206" t="s">
        <v>73</v>
      </c>
      <c r="F134" s="40" t="s">
        <v>71</v>
      </c>
      <c r="G134" s="38">
        <v>1</v>
      </c>
      <c r="H134" s="54">
        <v>2000</v>
      </c>
      <c r="I134" s="53">
        <v>0</v>
      </c>
      <c r="J134" s="51">
        <f t="shared" ref="J134" si="30">H134*(1+I134)</f>
        <v>2000</v>
      </c>
      <c r="K134" s="210">
        <f t="shared" ref="K134" si="31">J134*G134</f>
        <v>2000</v>
      </c>
      <c r="L134" s="194"/>
      <c r="M134" s="596"/>
      <c r="N134" s="45"/>
      <c r="O134" s="45"/>
      <c r="P134" s="45"/>
      <c r="Q134" s="45"/>
      <c r="R134" s="45"/>
      <c r="S134" s="45"/>
      <c r="T134" s="45"/>
      <c r="U134" s="45"/>
      <c r="V134" s="45"/>
      <c r="W134" s="45"/>
      <c r="X134" s="45"/>
      <c r="Y134" s="45"/>
      <c r="Z134" s="56"/>
    </row>
    <row r="135" spans="1:26">
      <c r="A135" s="7" t="s">
        <v>460</v>
      </c>
      <c r="B135" s="40" t="s">
        <v>461</v>
      </c>
      <c r="C135" s="40" t="s">
        <v>216</v>
      </c>
      <c r="D135" s="40" t="s">
        <v>228</v>
      </c>
      <c r="E135" s="40" t="s">
        <v>231</v>
      </c>
      <c r="F135" s="40"/>
      <c r="G135" s="38"/>
      <c r="H135" s="51"/>
      <c r="I135" s="53">
        <v>0</v>
      </c>
      <c r="J135" s="51">
        <f t="shared" si="23"/>
        <v>0</v>
      </c>
      <c r="K135" s="54">
        <f t="shared" si="24"/>
        <v>0</v>
      </c>
      <c r="M135" s="45"/>
      <c r="N135" s="45"/>
      <c r="O135" s="45"/>
      <c r="P135" s="45"/>
      <c r="Q135" s="45"/>
      <c r="R135" s="45"/>
      <c r="S135" s="45"/>
      <c r="T135" s="45"/>
      <c r="U135" s="45"/>
      <c r="V135" s="45"/>
      <c r="W135" s="45"/>
      <c r="X135" s="45"/>
      <c r="Y135" s="45"/>
      <c r="Z135" s="56"/>
    </row>
    <row r="136" spans="1:26">
      <c r="A136" s="7" t="s">
        <v>462</v>
      </c>
      <c r="B136" s="40" t="s">
        <v>463</v>
      </c>
      <c r="C136" s="40" t="s">
        <v>216</v>
      </c>
      <c r="D136" s="40" t="s">
        <v>242</v>
      </c>
      <c r="E136" s="40" t="s">
        <v>231</v>
      </c>
      <c r="F136" s="40"/>
      <c r="G136" s="38"/>
      <c r="H136" s="51"/>
      <c r="I136" s="53">
        <v>0</v>
      </c>
      <c r="J136" s="51">
        <f t="shared" si="23"/>
        <v>0</v>
      </c>
      <c r="K136" s="54">
        <f t="shared" si="24"/>
        <v>0</v>
      </c>
      <c r="M136" s="45"/>
      <c r="N136" s="45"/>
      <c r="O136" s="45"/>
      <c r="P136" s="45"/>
      <c r="Q136" s="45"/>
      <c r="R136" s="45"/>
      <c r="S136" s="45"/>
      <c r="T136" s="45"/>
      <c r="U136" s="45"/>
      <c r="V136" s="45"/>
      <c r="W136" s="45"/>
      <c r="X136" s="45"/>
      <c r="Y136" s="45"/>
      <c r="Z136" s="56"/>
    </row>
    <row r="137" spans="1:26">
      <c r="A137" s="7" t="s">
        <v>464</v>
      </c>
      <c r="B137" s="40"/>
      <c r="C137" s="40" t="s">
        <v>216</v>
      </c>
      <c r="D137" s="40" t="s">
        <v>303</v>
      </c>
      <c r="E137" s="40" t="s">
        <v>231</v>
      </c>
      <c r="F137" s="40"/>
      <c r="G137" s="38"/>
      <c r="H137" s="51"/>
      <c r="I137" s="53">
        <v>0</v>
      </c>
      <c r="J137" s="51">
        <f t="shared" si="23"/>
        <v>0</v>
      </c>
      <c r="K137" s="54">
        <f t="shared" si="24"/>
        <v>0</v>
      </c>
      <c r="M137" s="45"/>
      <c r="N137" s="45"/>
      <c r="O137" s="45"/>
      <c r="P137" s="45"/>
      <c r="Q137" s="45"/>
      <c r="R137" s="45"/>
      <c r="S137" s="45"/>
      <c r="T137" s="45"/>
      <c r="U137" s="45"/>
      <c r="V137" s="45"/>
      <c r="W137" s="45"/>
      <c r="X137" s="45"/>
      <c r="Y137" s="45"/>
      <c r="Z137" s="56"/>
    </row>
    <row r="138" spans="1:26">
      <c r="A138" s="7" t="s">
        <v>466</v>
      </c>
      <c r="B138" s="40" t="s">
        <v>465</v>
      </c>
      <c r="C138" s="40" t="s">
        <v>216</v>
      </c>
      <c r="D138" s="40" t="s">
        <v>303</v>
      </c>
      <c r="E138" s="40" t="s">
        <v>231</v>
      </c>
      <c r="F138" s="40"/>
      <c r="G138" s="38"/>
      <c r="H138" s="51"/>
      <c r="I138" s="53">
        <v>0</v>
      </c>
      <c r="J138" s="51">
        <f t="shared" si="23"/>
        <v>0</v>
      </c>
      <c r="K138" s="54">
        <f t="shared" si="24"/>
        <v>0</v>
      </c>
      <c r="M138" s="45"/>
      <c r="N138" s="45"/>
      <c r="O138" s="45"/>
      <c r="P138" s="45"/>
      <c r="Q138" s="45"/>
      <c r="R138" s="45"/>
      <c r="S138" s="45"/>
      <c r="T138" s="45"/>
      <c r="U138" s="45"/>
      <c r="V138" s="45"/>
      <c r="W138" s="45"/>
      <c r="X138" s="45"/>
      <c r="Y138" s="45"/>
      <c r="Z138" s="56"/>
    </row>
    <row r="139" spans="1:26">
      <c r="A139" s="4" t="s">
        <v>467</v>
      </c>
      <c r="B139" s="151" t="s">
        <v>468</v>
      </c>
      <c r="C139" s="151"/>
      <c r="D139" s="151"/>
      <c r="E139" s="151"/>
      <c r="F139" s="151"/>
      <c r="G139" s="152"/>
      <c r="H139" s="153"/>
      <c r="I139" s="154"/>
      <c r="J139" s="153"/>
      <c r="K139" s="172"/>
      <c r="L139" s="70">
        <f>SUM(K140:K155)</f>
        <v>524041</v>
      </c>
      <c r="M139" s="45"/>
      <c r="N139" s="45"/>
      <c r="O139" s="45"/>
      <c r="P139" s="45"/>
      <c r="Q139" s="45"/>
      <c r="R139" s="45"/>
      <c r="S139" s="45"/>
      <c r="T139" s="45"/>
      <c r="U139" s="45"/>
      <c r="V139" s="45"/>
      <c r="W139" s="45"/>
      <c r="X139" s="45"/>
      <c r="Y139" s="45"/>
      <c r="Z139" s="56"/>
    </row>
    <row r="140" spans="1:26">
      <c r="A140" s="6" t="s">
        <v>469</v>
      </c>
      <c r="B140" s="47" t="s">
        <v>470</v>
      </c>
      <c r="C140" s="47" t="s">
        <v>216</v>
      </c>
      <c r="D140" s="47" t="s">
        <v>223</v>
      </c>
      <c r="E140" s="47" t="s">
        <v>231</v>
      </c>
      <c r="F140" s="47"/>
      <c r="G140" s="42"/>
      <c r="H140" s="61"/>
      <c r="I140" s="63">
        <v>0</v>
      </c>
      <c r="J140" s="66">
        <f t="shared" ref="J140:J155" si="32">H140*(1+I140)</f>
        <v>0</v>
      </c>
      <c r="K140" s="67">
        <f t="shared" ref="K140:K155" si="33">J140*G140</f>
        <v>0</v>
      </c>
      <c r="L140" s="112"/>
      <c r="M140" s="45"/>
      <c r="N140" s="45"/>
      <c r="O140" s="45"/>
      <c r="P140" s="45"/>
      <c r="Q140" s="45"/>
      <c r="R140" s="45"/>
      <c r="S140" s="45"/>
      <c r="T140" s="45"/>
      <c r="U140" s="45"/>
      <c r="V140" s="45"/>
      <c r="W140" s="45"/>
      <c r="X140" s="45"/>
      <c r="Y140" s="45"/>
      <c r="Z140" s="56"/>
    </row>
    <row r="141" spans="1:26">
      <c r="A141" s="7" t="s">
        <v>471</v>
      </c>
      <c r="B141" s="40" t="s">
        <v>472</v>
      </c>
      <c r="C141" s="40" t="s">
        <v>216</v>
      </c>
      <c r="D141" s="40" t="s">
        <v>473</v>
      </c>
      <c r="E141" s="40" t="s">
        <v>555</v>
      </c>
      <c r="F141" s="40" t="s">
        <v>88</v>
      </c>
      <c r="G141" s="42">
        <f>$E$8</f>
        <v>390</v>
      </c>
      <c r="H141" s="51">
        <v>155</v>
      </c>
      <c r="I141" s="53">
        <v>0</v>
      </c>
      <c r="J141" s="51">
        <f t="shared" si="32"/>
        <v>155</v>
      </c>
      <c r="K141" s="54">
        <f t="shared" si="33"/>
        <v>60450</v>
      </c>
      <c r="M141" s="45"/>
      <c r="N141" s="45"/>
      <c r="O141" s="45"/>
      <c r="P141" s="45"/>
      <c r="Q141" s="45"/>
      <c r="R141" s="45"/>
      <c r="S141" s="45"/>
      <c r="T141" s="45"/>
      <c r="U141" s="45"/>
      <c r="V141" s="45"/>
      <c r="W141" s="45"/>
      <c r="X141" s="45"/>
      <c r="Y141" s="45"/>
      <c r="Z141" s="56"/>
    </row>
    <row r="142" spans="1:26">
      <c r="A142" s="7" t="s">
        <v>474</v>
      </c>
      <c r="B142" s="40" t="s">
        <v>475</v>
      </c>
      <c r="C142" s="40" t="s">
        <v>216</v>
      </c>
      <c r="D142" s="40" t="s">
        <v>223</v>
      </c>
      <c r="E142" s="60" t="s">
        <v>73</v>
      </c>
      <c r="F142" s="40" t="s">
        <v>71</v>
      </c>
      <c r="G142" s="38">
        <v>1</v>
      </c>
      <c r="H142" s="51">
        <v>6000</v>
      </c>
      <c r="I142" s="53">
        <v>0</v>
      </c>
      <c r="J142" s="51">
        <f t="shared" si="32"/>
        <v>6000</v>
      </c>
      <c r="K142" s="54">
        <f t="shared" si="33"/>
        <v>6000</v>
      </c>
      <c r="M142" s="45"/>
      <c r="N142" s="45"/>
      <c r="O142" s="45"/>
      <c r="P142" s="45"/>
      <c r="Q142" s="45"/>
      <c r="R142" s="45"/>
      <c r="S142" s="45"/>
      <c r="T142" s="45"/>
      <c r="U142" s="45"/>
      <c r="V142" s="45"/>
      <c r="W142" s="45"/>
      <c r="X142" s="45"/>
      <c r="Y142" s="45"/>
      <c r="Z142" s="56"/>
    </row>
    <row r="143" spans="1:26">
      <c r="A143" s="7" t="s">
        <v>477</v>
      </c>
      <c r="B143" s="40" t="s">
        <v>478</v>
      </c>
      <c r="C143" s="40" t="s">
        <v>216</v>
      </c>
      <c r="D143" s="40" t="s">
        <v>223</v>
      </c>
      <c r="E143" s="40" t="s">
        <v>73</v>
      </c>
      <c r="F143" s="40" t="s">
        <v>71</v>
      </c>
      <c r="G143" s="38">
        <v>1</v>
      </c>
      <c r="H143" s="51">
        <v>5000</v>
      </c>
      <c r="I143" s="53">
        <v>0</v>
      </c>
      <c r="J143" s="51">
        <f t="shared" si="32"/>
        <v>5000</v>
      </c>
      <c r="K143" s="54">
        <f t="shared" si="33"/>
        <v>5000</v>
      </c>
      <c r="M143" s="45"/>
      <c r="N143" s="45"/>
      <c r="O143" s="45"/>
      <c r="P143" s="45"/>
      <c r="Q143" s="45"/>
      <c r="R143" s="45"/>
      <c r="S143" s="45"/>
      <c r="T143" s="45"/>
      <c r="U143" s="45"/>
      <c r="V143" s="45"/>
      <c r="W143" s="45"/>
      <c r="X143" s="45"/>
      <c r="Y143" s="45"/>
      <c r="Z143" s="56"/>
    </row>
    <row r="144" spans="1:26">
      <c r="A144" s="7" t="s">
        <v>479</v>
      </c>
      <c r="B144" s="40" t="s">
        <v>480</v>
      </c>
      <c r="C144" s="40" t="s">
        <v>216</v>
      </c>
      <c r="D144" s="40" t="s">
        <v>1005</v>
      </c>
      <c r="E144" s="40" t="s">
        <v>73</v>
      </c>
      <c r="F144" s="40" t="s">
        <v>71</v>
      </c>
      <c r="G144" s="38">
        <v>1</v>
      </c>
      <c r="H144" s="51">
        <v>7000</v>
      </c>
      <c r="I144" s="53">
        <v>0</v>
      </c>
      <c r="J144" s="51">
        <f t="shared" si="32"/>
        <v>7000</v>
      </c>
      <c r="K144" s="54">
        <f t="shared" si="33"/>
        <v>7000</v>
      </c>
      <c r="M144" s="45"/>
      <c r="N144" s="45"/>
      <c r="O144" s="45"/>
      <c r="P144" s="45"/>
      <c r="Q144" s="45"/>
      <c r="R144" s="45"/>
      <c r="S144" s="45"/>
      <c r="T144" s="45"/>
      <c r="U144" s="45"/>
      <c r="V144" s="45"/>
      <c r="W144" s="45"/>
      <c r="X144" s="45"/>
      <c r="Y144" s="45"/>
      <c r="Z144" s="56"/>
    </row>
    <row r="145" spans="1:30">
      <c r="A145" s="7" t="s">
        <v>482</v>
      </c>
      <c r="B145" s="40" t="s">
        <v>483</v>
      </c>
      <c r="C145" s="40" t="s">
        <v>216</v>
      </c>
      <c r="D145" s="40" t="s">
        <v>228</v>
      </c>
      <c r="E145" s="40" t="s">
        <v>555</v>
      </c>
      <c r="F145" s="40" t="s">
        <v>484</v>
      </c>
      <c r="G145" s="42">
        <f>$E$8+E6+E7</f>
        <v>553</v>
      </c>
      <c r="H145" s="51">
        <v>17</v>
      </c>
      <c r="I145" s="53">
        <v>0</v>
      </c>
      <c r="J145" s="51">
        <f t="shared" si="32"/>
        <v>17</v>
      </c>
      <c r="K145" s="54">
        <f t="shared" si="33"/>
        <v>9401</v>
      </c>
      <c r="M145" s="45"/>
      <c r="N145" s="45"/>
      <c r="O145" s="45"/>
      <c r="P145" s="45"/>
      <c r="Q145" s="45"/>
      <c r="R145" s="45"/>
      <c r="S145" s="45"/>
      <c r="T145" s="45"/>
      <c r="U145" s="45"/>
      <c r="V145" s="45"/>
      <c r="W145" s="45"/>
      <c r="X145" s="45"/>
      <c r="Y145" s="45"/>
      <c r="Z145" s="56"/>
    </row>
    <row r="146" spans="1:30">
      <c r="A146" s="7" t="s">
        <v>485</v>
      </c>
      <c r="B146" s="40" t="s">
        <v>486</v>
      </c>
      <c r="C146" s="40" t="s">
        <v>216</v>
      </c>
      <c r="D146" s="40" t="s">
        <v>228</v>
      </c>
      <c r="E146" s="40" t="s">
        <v>231</v>
      </c>
      <c r="F146" s="40"/>
      <c r="G146" s="38"/>
      <c r="H146" s="51"/>
      <c r="I146" s="53">
        <v>0</v>
      </c>
      <c r="J146" s="51">
        <f t="shared" si="32"/>
        <v>0</v>
      </c>
      <c r="K146" s="54">
        <f t="shared" si="33"/>
        <v>0</v>
      </c>
      <c r="M146" s="45"/>
      <c r="N146" s="45"/>
      <c r="O146" s="45"/>
      <c r="P146" s="45"/>
      <c r="Q146" s="45"/>
      <c r="R146" s="45"/>
      <c r="S146" s="45"/>
      <c r="T146" s="45"/>
      <c r="U146" s="45"/>
      <c r="V146" s="45"/>
      <c r="W146" s="45"/>
      <c r="X146" s="45"/>
      <c r="Y146" s="45"/>
      <c r="Z146" s="56"/>
    </row>
    <row r="147" spans="1:30">
      <c r="A147" s="7" t="s">
        <v>487</v>
      </c>
      <c r="B147" s="40" t="s">
        <v>488</v>
      </c>
      <c r="C147" s="40" t="s">
        <v>216</v>
      </c>
      <c r="D147" s="40" t="s">
        <v>228</v>
      </c>
      <c r="E147" s="40" t="s">
        <v>231</v>
      </c>
      <c r="F147" s="40"/>
      <c r="G147" s="38"/>
      <c r="H147" s="51"/>
      <c r="I147" s="53">
        <v>0</v>
      </c>
      <c r="J147" s="51">
        <f t="shared" si="32"/>
        <v>0</v>
      </c>
      <c r="K147" s="54">
        <f t="shared" si="33"/>
        <v>0</v>
      </c>
      <c r="M147" s="45"/>
      <c r="N147" s="45"/>
      <c r="O147" s="45"/>
      <c r="P147" s="45"/>
      <c r="Q147" s="45"/>
      <c r="R147" s="45"/>
      <c r="S147" s="45"/>
      <c r="T147" s="45"/>
      <c r="U147" s="45"/>
      <c r="V147" s="45"/>
      <c r="W147" s="45"/>
      <c r="X147" s="45"/>
      <c r="Y147" s="45"/>
      <c r="Z147" s="56"/>
    </row>
    <row r="148" spans="1:30">
      <c r="A148" s="7" t="s">
        <v>489</v>
      </c>
      <c r="B148" s="40" t="s">
        <v>490</v>
      </c>
      <c r="C148" s="40" t="s">
        <v>216</v>
      </c>
      <c r="D148" s="40" t="s">
        <v>242</v>
      </c>
      <c r="E148" s="40" t="s">
        <v>231</v>
      </c>
      <c r="F148" s="40"/>
      <c r="G148" s="38"/>
      <c r="H148" s="51"/>
      <c r="I148" s="53">
        <v>0</v>
      </c>
      <c r="J148" s="51">
        <f t="shared" si="32"/>
        <v>0</v>
      </c>
      <c r="K148" s="54">
        <f t="shared" si="33"/>
        <v>0</v>
      </c>
      <c r="M148" s="45"/>
      <c r="N148" s="45"/>
      <c r="O148" s="45"/>
      <c r="P148" s="45"/>
      <c r="Q148" s="45"/>
      <c r="R148" s="45"/>
      <c r="S148" s="45"/>
      <c r="T148" s="45"/>
      <c r="U148" s="45"/>
      <c r="V148" s="45"/>
      <c r="W148" s="45"/>
      <c r="X148" s="45"/>
      <c r="Y148" s="45"/>
      <c r="Z148" s="56"/>
    </row>
    <row r="149" spans="1:30">
      <c r="A149" s="7" t="s">
        <v>491</v>
      </c>
      <c r="B149" s="40" t="s">
        <v>492</v>
      </c>
      <c r="C149" s="40" t="s">
        <v>216</v>
      </c>
      <c r="D149" s="40" t="s">
        <v>242</v>
      </c>
      <c r="E149" s="40" t="s">
        <v>493</v>
      </c>
      <c r="F149" s="40" t="s">
        <v>71</v>
      </c>
      <c r="G149" s="38">
        <f>$W$16</f>
        <v>4</v>
      </c>
      <c r="H149" s="51">
        <v>3360</v>
      </c>
      <c r="I149" s="53">
        <v>0</v>
      </c>
      <c r="J149" s="51">
        <f t="shared" si="32"/>
        <v>3360</v>
      </c>
      <c r="K149" s="54">
        <f t="shared" si="33"/>
        <v>13440</v>
      </c>
      <c r="M149" s="45"/>
      <c r="N149" s="45"/>
      <c r="O149" s="45"/>
      <c r="P149" s="45"/>
      <c r="Q149" s="45"/>
      <c r="R149" s="45"/>
      <c r="S149" s="45"/>
      <c r="T149" s="45"/>
      <c r="U149" s="45"/>
      <c r="V149" s="45"/>
      <c r="W149" s="45"/>
      <c r="X149" s="45"/>
      <c r="Y149" s="45"/>
      <c r="Z149" s="56"/>
    </row>
    <row r="150" spans="1:30">
      <c r="A150" s="7" t="s">
        <v>191</v>
      </c>
      <c r="B150" s="40" t="s">
        <v>494</v>
      </c>
      <c r="C150" s="40" t="s">
        <v>216</v>
      </c>
      <c r="D150" s="40" t="s">
        <v>223</v>
      </c>
      <c r="E150" s="40" t="s">
        <v>73</v>
      </c>
      <c r="F150" s="40" t="s">
        <v>108</v>
      </c>
      <c r="G150" s="38">
        <f>$Q$16</f>
        <v>10</v>
      </c>
      <c r="H150" s="51">
        <v>600</v>
      </c>
      <c r="I150" s="53">
        <v>0</v>
      </c>
      <c r="J150" s="51">
        <f t="shared" si="32"/>
        <v>600</v>
      </c>
      <c r="K150" s="54">
        <f t="shared" si="33"/>
        <v>6000</v>
      </c>
      <c r="M150" s="45"/>
      <c r="N150" s="45"/>
      <c r="O150" s="45"/>
      <c r="P150" s="45"/>
      <c r="Q150" s="45"/>
      <c r="R150" s="45"/>
      <c r="S150" s="45"/>
      <c r="T150" s="45"/>
      <c r="U150" s="45"/>
      <c r="V150" s="45"/>
      <c r="W150" s="45"/>
      <c r="X150" s="45"/>
      <c r="Y150" s="45"/>
      <c r="Z150" s="56"/>
    </row>
    <row r="151" spans="1:30">
      <c r="A151" s="7" t="s">
        <v>495</v>
      </c>
      <c r="B151" s="40" t="s">
        <v>496</v>
      </c>
      <c r="C151" s="40" t="s">
        <v>216</v>
      </c>
      <c r="D151" s="40" t="s">
        <v>228</v>
      </c>
      <c r="E151" s="40" t="s">
        <v>73</v>
      </c>
      <c r="F151" s="40" t="s">
        <v>88</v>
      </c>
      <c r="G151" s="42">
        <f>$E$8</f>
        <v>390</v>
      </c>
      <c r="H151" s="51">
        <v>80</v>
      </c>
      <c r="I151" s="53">
        <v>0</v>
      </c>
      <c r="J151" s="51">
        <f t="shared" si="32"/>
        <v>80</v>
      </c>
      <c r="K151" s="54">
        <f t="shared" si="33"/>
        <v>31200</v>
      </c>
      <c r="M151" s="45"/>
      <c r="N151" s="45"/>
      <c r="O151" s="45"/>
      <c r="P151" s="45"/>
      <c r="Q151" s="45"/>
      <c r="R151" s="45"/>
      <c r="S151" s="45"/>
      <c r="T151" s="45"/>
      <c r="U151" s="45"/>
      <c r="V151" s="45"/>
      <c r="W151" s="45"/>
      <c r="X151" s="45"/>
      <c r="Y151" s="45"/>
      <c r="Z151" s="56"/>
    </row>
    <row r="152" spans="1:30">
      <c r="A152" s="7" t="s">
        <v>497</v>
      </c>
      <c r="B152" s="40" t="s">
        <v>498</v>
      </c>
      <c r="C152" s="40" t="s">
        <v>216</v>
      </c>
      <c r="D152" s="40" t="s">
        <v>228</v>
      </c>
      <c r="E152" s="40" t="s">
        <v>1061</v>
      </c>
      <c r="F152" s="40" t="s">
        <v>88</v>
      </c>
      <c r="G152" s="42">
        <f>$E$8</f>
        <v>390</v>
      </c>
      <c r="H152" s="51">
        <v>153</v>
      </c>
      <c r="I152" s="53">
        <v>0</v>
      </c>
      <c r="J152" s="51">
        <f t="shared" si="32"/>
        <v>153</v>
      </c>
      <c r="K152" s="210">
        <f>J152*G152</f>
        <v>59670</v>
      </c>
      <c r="M152" s="597" t="s">
        <v>1062</v>
      </c>
      <c r="N152" s="45"/>
      <c r="O152" s="45"/>
      <c r="P152" s="45"/>
      <c r="Q152" s="45"/>
      <c r="R152" s="45"/>
      <c r="S152" s="45"/>
      <c r="T152" s="45"/>
      <c r="U152" s="45"/>
      <c r="V152" s="45"/>
      <c r="W152" s="45"/>
      <c r="X152" s="45"/>
      <c r="Y152" s="45"/>
      <c r="Z152" s="56"/>
    </row>
    <row r="153" spans="1:30">
      <c r="A153" s="7" t="s">
        <v>499</v>
      </c>
      <c r="B153" s="40" t="s">
        <v>500</v>
      </c>
      <c r="C153" s="40" t="s">
        <v>216</v>
      </c>
      <c r="D153" s="40" t="s">
        <v>228</v>
      </c>
      <c r="E153" s="40" t="s">
        <v>44</v>
      </c>
      <c r="F153" s="40" t="s">
        <v>88</v>
      </c>
      <c r="G153" s="42">
        <f>$E$8</f>
        <v>390</v>
      </c>
      <c r="H153" s="51">
        <v>220</v>
      </c>
      <c r="I153" s="53">
        <v>0.1</v>
      </c>
      <c r="J153" s="51">
        <f t="shared" si="32"/>
        <v>242.00000000000003</v>
      </c>
      <c r="K153" s="54">
        <f t="shared" si="33"/>
        <v>94380.000000000015</v>
      </c>
      <c r="M153" s="45" t="s">
        <v>1063</v>
      </c>
      <c r="N153" s="45"/>
      <c r="O153" s="45"/>
      <c r="P153" s="45"/>
      <c r="Q153" s="45"/>
      <c r="R153" s="45"/>
      <c r="S153" s="45"/>
      <c r="T153" s="45"/>
      <c r="U153" s="45"/>
      <c r="V153" s="45"/>
      <c r="W153" s="45"/>
      <c r="X153" s="45"/>
      <c r="Y153" s="45"/>
      <c r="Z153" s="56"/>
    </row>
    <row r="154" spans="1:30">
      <c r="A154" s="7" t="s">
        <v>502</v>
      </c>
      <c r="B154" s="40" t="s">
        <v>503</v>
      </c>
      <c r="C154" s="40" t="s">
        <v>216</v>
      </c>
      <c r="D154" s="40" t="s">
        <v>228</v>
      </c>
      <c r="E154" s="40" t="s">
        <v>44</v>
      </c>
      <c r="F154" s="40" t="s">
        <v>148</v>
      </c>
      <c r="G154" s="38">
        <f>$Q$17</f>
        <v>58</v>
      </c>
      <c r="H154" s="51">
        <f>250*10</f>
        <v>2500</v>
      </c>
      <c r="I154" s="53">
        <v>0</v>
      </c>
      <c r="J154" s="51">
        <f t="shared" si="32"/>
        <v>2500</v>
      </c>
      <c r="K154" s="54">
        <f t="shared" si="33"/>
        <v>145000</v>
      </c>
      <c r="M154" s="45" t="s">
        <v>1064</v>
      </c>
      <c r="N154" s="45"/>
      <c r="O154" s="45"/>
      <c r="P154" s="45"/>
      <c r="Q154" s="45"/>
      <c r="R154" s="45"/>
      <c r="S154" s="45"/>
      <c r="T154" s="45"/>
      <c r="U154" s="45"/>
      <c r="V154" s="45"/>
      <c r="W154" s="45"/>
      <c r="X154" s="45"/>
      <c r="Y154" s="45"/>
      <c r="Z154" s="56"/>
      <c r="AB154" s="55">
        <f>2*3</f>
        <v>6</v>
      </c>
      <c r="AC154" s="55">
        <v>35546.666666666664</v>
      </c>
      <c r="AD154" s="55">
        <f>AC154*AB154</f>
        <v>213280</v>
      </c>
    </row>
    <row r="155" spans="1:30">
      <c r="A155" s="7" t="s">
        <v>504</v>
      </c>
      <c r="B155" s="40" t="s">
        <v>503</v>
      </c>
      <c r="C155" s="40" t="s">
        <v>216</v>
      </c>
      <c r="D155" s="40" t="s">
        <v>228</v>
      </c>
      <c r="E155" s="40" t="s">
        <v>44</v>
      </c>
      <c r="F155" s="40" t="s">
        <v>148</v>
      </c>
      <c r="G155" s="38">
        <f>$Q$18</f>
        <v>10</v>
      </c>
      <c r="H155" s="51">
        <v>8650</v>
      </c>
      <c r="I155" s="53">
        <v>0</v>
      </c>
      <c r="J155" s="51">
        <f t="shared" si="32"/>
        <v>8650</v>
      </c>
      <c r="K155" s="54">
        <f t="shared" si="33"/>
        <v>86500</v>
      </c>
      <c r="M155" s="45" t="s">
        <v>1064</v>
      </c>
      <c r="N155" s="45"/>
      <c r="O155" s="45"/>
      <c r="P155" s="45"/>
      <c r="Q155" s="45"/>
      <c r="R155" s="45"/>
      <c r="S155" s="45"/>
      <c r="T155" s="45"/>
      <c r="U155" s="45"/>
      <c r="V155" s="45"/>
      <c r="W155" s="45"/>
      <c r="X155" s="45"/>
      <c r="Y155" s="45"/>
      <c r="Z155" s="56"/>
      <c r="AB155" s="55">
        <f>2*3</f>
        <v>6</v>
      </c>
      <c r="AC155" s="55">
        <v>35546.666666666664</v>
      </c>
      <c r="AD155" s="55">
        <f t="shared" ref="AD155:AD156" si="34">AC155*AB155</f>
        <v>213280</v>
      </c>
    </row>
    <row r="156" spans="1:30">
      <c r="A156" s="4" t="s">
        <v>505</v>
      </c>
      <c r="B156" s="151" t="s">
        <v>506</v>
      </c>
      <c r="C156" s="151"/>
      <c r="D156" s="151"/>
      <c r="E156" s="151"/>
      <c r="F156" s="151"/>
      <c r="G156" s="152"/>
      <c r="H156" s="153"/>
      <c r="I156" s="154"/>
      <c r="J156" s="153"/>
      <c r="K156" s="172"/>
      <c r="L156" s="70">
        <f>SUM(K157:K158)</f>
        <v>1212160</v>
      </c>
      <c r="M156" s="45"/>
      <c r="N156" s="45"/>
      <c r="O156" s="45"/>
      <c r="P156" s="45"/>
      <c r="Q156" s="45"/>
      <c r="R156" s="45"/>
      <c r="S156" s="45"/>
      <c r="T156" s="45"/>
      <c r="U156" s="45"/>
      <c r="V156" s="45"/>
      <c r="W156" s="45"/>
      <c r="X156" s="45"/>
      <c r="Y156" s="45"/>
      <c r="Z156" s="56"/>
      <c r="AB156" s="55">
        <f>2*2</f>
        <v>4</v>
      </c>
      <c r="AC156" s="55">
        <v>35546.666666666664</v>
      </c>
      <c r="AD156" s="55">
        <f t="shared" si="34"/>
        <v>142186.66666666666</v>
      </c>
    </row>
    <row r="157" spans="1:30">
      <c r="A157" s="7" t="s">
        <v>507</v>
      </c>
      <c r="B157" s="40" t="s">
        <v>508</v>
      </c>
      <c r="C157" s="40" t="s">
        <v>216</v>
      </c>
      <c r="D157" s="40" t="s">
        <v>228</v>
      </c>
      <c r="E157" s="40" t="s">
        <v>44</v>
      </c>
      <c r="F157" s="40" t="s">
        <v>88</v>
      </c>
      <c r="G157" s="38">
        <f>$E$8</f>
        <v>390</v>
      </c>
      <c r="H157" s="51">
        <f>2794+250</f>
        <v>3044</v>
      </c>
      <c r="I157" s="53">
        <v>0</v>
      </c>
      <c r="J157" s="51">
        <f>H157*(1+I157)</f>
        <v>3044</v>
      </c>
      <c r="K157" s="54">
        <f>J157*G157</f>
        <v>1187160</v>
      </c>
      <c r="L157" s="112"/>
      <c r="M157" s="45" t="s">
        <v>1065</v>
      </c>
      <c r="N157" s="45"/>
      <c r="O157" s="45"/>
      <c r="P157" s="45"/>
      <c r="Q157" s="45"/>
      <c r="R157" s="45"/>
      <c r="S157" s="45"/>
      <c r="T157" s="45"/>
      <c r="U157" s="45"/>
      <c r="V157" s="45"/>
      <c r="W157" s="45"/>
      <c r="X157" s="45"/>
      <c r="Y157" s="45"/>
      <c r="Z157" s="56"/>
      <c r="AD157" s="55">
        <f>SUM(AD154:AD156)</f>
        <v>568746.66666666663</v>
      </c>
    </row>
    <row r="158" spans="1:30">
      <c r="A158" s="7" t="s">
        <v>509</v>
      </c>
      <c r="B158" s="40" t="s">
        <v>508</v>
      </c>
      <c r="C158" s="40" t="s">
        <v>216</v>
      </c>
      <c r="D158" s="40" t="s">
        <v>228</v>
      </c>
      <c r="E158" s="40" t="s">
        <v>73</v>
      </c>
      <c r="F158" s="40" t="s">
        <v>71</v>
      </c>
      <c r="G158" s="38">
        <v>1</v>
      </c>
      <c r="H158" s="51">
        <v>25000</v>
      </c>
      <c r="I158" s="53">
        <v>0</v>
      </c>
      <c r="J158" s="51">
        <f>H158*(1+I158)</f>
        <v>25000</v>
      </c>
      <c r="K158" s="54">
        <f>J158*G158</f>
        <v>25000</v>
      </c>
      <c r="M158" s="45"/>
      <c r="N158" s="45"/>
      <c r="O158" s="45"/>
      <c r="P158" s="45"/>
      <c r="Q158" s="45"/>
      <c r="R158" s="45"/>
      <c r="S158" s="45"/>
      <c r="T158" s="45"/>
      <c r="U158" s="45"/>
      <c r="V158" s="45"/>
      <c r="W158" s="45"/>
      <c r="X158" s="45"/>
      <c r="Y158" s="45"/>
      <c r="Z158" s="56"/>
    </row>
    <row r="159" spans="1:30">
      <c r="A159" s="4" t="s">
        <v>510</v>
      </c>
      <c r="B159" s="151" t="s">
        <v>511</v>
      </c>
      <c r="C159" s="151"/>
      <c r="D159" s="151"/>
      <c r="E159" s="151"/>
      <c r="F159" s="151"/>
      <c r="G159" s="152"/>
      <c r="H159" s="153"/>
      <c r="I159" s="154"/>
      <c r="J159" s="153"/>
      <c r="K159" s="172"/>
      <c r="L159" s="70">
        <f>SUM(K160:K167)</f>
        <v>2422380.1008403362</v>
      </c>
      <c r="M159" s="45"/>
      <c r="N159" s="45"/>
      <c r="O159" s="45"/>
      <c r="P159" s="45"/>
      <c r="Q159" s="45"/>
      <c r="R159" s="45"/>
      <c r="S159" s="45"/>
      <c r="T159" s="45"/>
      <c r="U159" s="45"/>
      <c r="V159" s="45"/>
      <c r="W159" s="45"/>
      <c r="X159" s="45"/>
      <c r="Y159" s="45"/>
      <c r="Z159" s="56"/>
      <c r="AD159" s="55">
        <f>AD157/16</f>
        <v>35546.666666666664</v>
      </c>
    </row>
    <row r="160" spans="1:30">
      <c r="A160" s="6" t="s">
        <v>307</v>
      </c>
      <c r="B160" s="47" t="s">
        <v>512</v>
      </c>
      <c r="C160" s="47" t="s">
        <v>216</v>
      </c>
      <c r="D160" s="47" t="s">
        <v>309</v>
      </c>
      <c r="E160" s="47"/>
      <c r="F160" s="47" t="s">
        <v>88</v>
      </c>
      <c r="G160" s="42">
        <v>0</v>
      </c>
      <c r="H160" s="61">
        <v>79</v>
      </c>
      <c r="I160" s="63">
        <v>0</v>
      </c>
      <c r="J160" s="66">
        <f t="shared" ref="J160:J167" si="35">H160*(1+I160)</f>
        <v>79</v>
      </c>
      <c r="K160" s="67">
        <f t="shared" ref="K160:K167" si="36">J160*G160</f>
        <v>0</v>
      </c>
      <c r="M160" s="45"/>
      <c r="N160" s="45"/>
      <c r="O160" s="45"/>
      <c r="P160" s="45"/>
      <c r="Q160" s="45"/>
      <c r="R160" s="45"/>
      <c r="S160" s="45"/>
      <c r="T160" s="45"/>
      <c r="U160" s="45"/>
      <c r="V160" s="45"/>
      <c r="W160" s="45"/>
      <c r="X160" s="45"/>
      <c r="Y160" s="45"/>
      <c r="Z160" s="56"/>
    </row>
    <row r="161" spans="1:26">
      <c r="A161" s="7" t="s">
        <v>513</v>
      </c>
      <c r="B161" s="40" t="s">
        <v>514</v>
      </c>
      <c r="C161" s="40" t="s">
        <v>216</v>
      </c>
      <c r="D161" s="40" t="s">
        <v>228</v>
      </c>
      <c r="E161" s="40" t="s">
        <v>543</v>
      </c>
      <c r="F161" s="40" t="s">
        <v>375</v>
      </c>
      <c r="G161" s="38">
        <f>$E$8</f>
        <v>390</v>
      </c>
      <c r="H161" s="51">
        <v>377.77731092436977</v>
      </c>
      <c r="I161" s="53">
        <v>0.15</v>
      </c>
      <c r="J161" s="51">
        <f t="shared" si="35"/>
        <v>434.44390756302522</v>
      </c>
      <c r="K161" s="54">
        <f t="shared" si="36"/>
        <v>169433.12394957984</v>
      </c>
      <c r="M161" s="45" t="s">
        <v>1066</v>
      </c>
      <c r="N161" s="45"/>
      <c r="O161" s="45"/>
      <c r="P161" s="45"/>
      <c r="Q161" s="45"/>
      <c r="R161" s="45"/>
      <c r="S161" s="45"/>
      <c r="T161" s="45"/>
      <c r="U161" s="45"/>
      <c r="V161" s="45"/>
      <c r="W161" s="45"/>
      <c r="X161" s="45"/>
      <c r="Y161" s="45"/>
      <c r="Z161" s="56"/>
    </row>
    <row r="162" spans="1:26">
      <c r="A162" s="7" t="s">
        <v>516</v>
      </c>
      <c r="B162" s="40" t="s">
        <v>517</v>
      </c>
      <c r="C162" s="40" t="s">
        <v>216</v>
      </c>
      <c r="D162" s="40" t="s">
        <v>228</v>
      </c>
      <c r="E162" s="40" t="s">
        <v>543</v>
      </c>
      <c r="F162" s="40" t="s">
        <v>88</v>
      </c>
      <c r="G162" s="42">
        <f>$E$8</f>
        <v>390</v>
      </c>
      <c r="H162" s="51">
        <v>3148</v>
      </c>
      <c r="I162" s="53">
        <v>0.15</v>
      </c>
      <c r="J162" s="51">
        <f>H162*(1+I162)</f>
        <v>3620.2</v>
      </c>
      <c r="K162" s="54">
        <f>J162*G162</f>
        <v>1411878</v>
      </c>
      <c r="M162" s="45" t="s">
        <v>1067</v>
      </c>
      <c r="N162" s="45"/>
      <c r="O162" s="45"/>
      <c r="P162" s="45"/>
      <c r="Q162" s="45"/>
      <c r="R162" s="45"/>
      <c r="S162" s="45"/>
      <c r="T162" s="45"/>
      <c r="U162" s="45"/>
      <c r="V162" s="45"/>
      <c r="W162" s="45"/>
      <c r="X162" s="45"/>
      <c r="Y162" s="45"/>
      <c r="Z162" s="56"/>
    </row>
    <row r="163" spans="1:26">
      <c r="A163" s="7" t="s">
        <v>520</v>
      </c>
      <c r="B163" s="40" t="s">
        <v>521</v>
      </c>
      <c r="C163" s="40" t="s">
        <v>216</v>
      </c>
      <c r="D163" s="40" t="s">
        <v>228</v>
      </c>
      <c r="E163" s="40" t="s">
        <v>73</v>
      </c>
      <c r="F163" s="40" t="s">
        <v>71</v>
      </c>
      <c r="G163" s="38">
        <v>2</v>
      </c>
      <c r="H163" s="51">
        <v>30000</v>
      </c>
      <c r="I163" s="53">
        <v>0</v>
      </c>
      <c r="J163" s="51">
        <f t="shared" si="35"/>
        <v>30000</v>
      </c>
      <c r="K163" s="54">
        <f t="shared" si="36"/>
        <v>60000</v>
      </c>
      <c r="M163" s="45"/>
      <c r="N163" s="45"/>
      <c r="O163" s="45"/>
      <c r="P163" s="45"/>
      <c r="Q163" s="45"/>
      <c r="R163" s="45"/>
      <c r="S163" s="45"/>
      <c r="T163" s="45"/>
      <c r="U163" s="45"/>
      <c r="V163" s="45"/>
      <c r="W163" s="45"/>
      <c r="X163" s="45"/>
      <c r="Y163" s="45"/>
      <c r="Z163" s="56"/>
    </row>
    <row r="164" spans="1:26">
      <c r="A164" s="7" t="s">
        <v>523</v>
      </c>
      <c r="B164" s="40" t="s">
        <v>524</v>
      </c>
      <c r="C164" s="40" t="s">
        <v>216</v>
      </c>
      <c r="D164" s="40" t="s">
        <v>228</v>
      </c>
      <c r="E164" s="40" t="s">
        <v>543</v>
      </c>
      <c r="F164" s="40" t="s">
        <v>88</v>
      </c>
      <c r="G164" s="42">
        <f>$E$8</f>
        <v>390</v>
      </c>
      <c r="H164" s="54">
        <v>1567.6008403361345</v>
      </c>
      <c r="I164" s="53">
        <v>0.15</v>
      </c>
      <c r="J164" s="54">
        <f t="shared" si="35"/>
        <v>1802.7409663865546</v>
      </c>
      <c r="K164" s="54">
        <f t="shared" si="36"/>
        <v>703068.97689075628</v>
      </c>
      <c r="M164" s="45" t="s">
        <v>1068</v>
      </c>
      <c r="N164" s="45"/>
      <c r="O164" s="45"/>
      <c r="P164" s="45"/>
      <c r="Q164" s="45"/>
      <c r="R164" s="45"/>
      <c r="S164" s="45"/>
      <c r="T164" s="45"/>
      <c r="U164" s="45"/>
      <c r="V164" s="45"/>
      <c r="W164" s="45"/>
      <c r="X164" s="45"/>
      <c r="Y164" s="45"/>
      <c r="Z164" s="56"/>
    </row>
    <row r="165" spans="1:26">
      <c r="A165" s="7" t="s">
        <v>526</v>
      </c>
      <c r="B165" s="40" t="s">
        <v>527</v>
      </c>
      <c r="C165" s="40" t="s">
        <v>283</v>
      </c>
      <c r="D165" s="40" t="s">
        <v>228</v>
      </c>
      <c r="E165" s="40" t="s">
        <v>73</v>
      </c>
      <c r="F165" s="40" t="s">
        <v>71</v>
      </c>
      <c r="G165" s="38">
        <v>2</v>
      </c>
      <c r="H165" s="54">
        <v>30000</v>
      </c>
      <c r="I165" s="53">
        <v>0</v>
      </c>
      <c r="J165" s="51">
        <f t="shared" si="35"/>
        <v>30000</v>
      </c>
      <c r="K165" s="54">
        <f t="shared" si="36"/>
        <v>60000</v>
      </c>
      <c r="M165" s="45"/>
      <c r="N165" s="45"/>
      <c r="O165" s="45"/>
      <c r="P165" s="45"/>
      <c r="Q165" s="45"/>
      <c r="R165" s="45"/>
      <c r="S165" s="45"/>
      <c r="T165" s="45"/>
      <c r="U165" s="45"/>
      <c r="V165" s="45"/>
      <c r="W165" s="45"/>
      <c r="X165" s="45"/>
      <c r="Y165" s="45"/>
      <c r="Z165" s="56"/>
    </row>
    <row r="166" spans="1:26">
      <c r="A166" s="7" t="s">
        <v>529</v>
      </c>
      <c r="B166" s="40" t="s">
        <v>530</v>
      </c>
      <c r="C166" s="40" t="s">
        <v>216</v>
      </c>
      <c r="D166" s="40" t="s">
        <v>242</v>
      </c>
      <c r="E166" s="40" t="s">
        <v>231</v>
      </c>
      <c r="F166" s="40"/>
      <c r="G166" s="38"/>
      <c r="H166" s="51"/>
      <c r="I166" s="53">
        <v>0</v>
      </c>
      <c r="J166" s="51">
        <f t="shared" si="35"/>
        <v>0</v>
      </c>
      <c r="K166" s="54">
        <f t="shared" si="36"/>
        <v>0</v>
      </c>
      <c r="M166" s="45"/>
      <c r="N166" s="45"/>
      <c r="O166" s="45"/>
      <c r="P166" s="45"/>
      <c r="Q166" s="45"/>
      <c r="R166" s="45"/>
      <c r="S166" s="45"/>
      <c r="T166" s="45"/>
      <c r="U166" s="45"/>
      <c r="V166" s="45"/>
      <c r="W166" s="45"/>
      <c r="X166" s="45"/>
      <c r="Y166" s="45"/>
      <c r="Z166" s="56"/>
    </row>
    <row r="167" spans="1:26">
      <c r="A167" s="7" t="s">
        <v>531</v>
      </c>
      <c r="B167" s="40" t="s">
        <v>532</v>
      </c>
      <c r="C167" s="40" t="s">
        <v>216</v>
      </c>
      <c r="D167" s="40" t="s">
        <v>242</v>
      </c>
      <c r="E167" s="40" t="s">
        <v>73</v>
      </c>
      <c r="F167" s="40" t="s">
        <v>71</v>
      </c>
      <c r="G167" s="38">
        <v>3</v>
      </c>
      <c r="H167" s="51">
        <v>6000</v>
      </c>
      <c r="I167" s="53">
        <v>0</v>
      </c>
      <c r="J167" s="51">
        <f t="shared" si="35"/>
        <v>6000</v>
      </c>
      <c r="K167" s="54">
        <f t="shared" si="36"/>
        <v>18000</v>
      </c>
      <c r="M167" s="45" t="s">
        <v>533</v>
      </c>
      <c r="N167" s="45"/>
      <c r="O167" s="45"/>
      <c r="P167" s="45"/>
      <c r="Q167" s="45"/>
      <c r="R167" s="45"/>
      <c r="S167" s="45"/>
      <c r="T167" s="45"/>
      <c r="U167" s="45"/>
      <c r="V167" s="45"/>
      <c r="W167" s="45"/>
      <c r="X167" s="45"/>
      <c r="Y167" s="45"/>
      <c r="Z167" s="56"/>
    </row>
    <row r="168" spans="1:26">
      <c r="A168" s="4" t="s">
        <v>534</v>
      </c>
      <c r="B168" s="151" t="s">
        <v>535</v>
      </c>
      <c r="C168" s="151"/>
      <c r="D168" s="151"/>
      <c r="E168" s="151"/>
      <c r="F168" s="151"/>
      <c r="G168" s="152"/>
      <c r="H168" s="153"/>
      <c r="I168" s="154"/>
      <c r="J168" s="153"/>
      <c r="K168" s="172"/>
      <c r="L168" s="70">
        <f>SUM(K169:K171)</f>
        <v>1141345</v>
      </c>
      <c r="M168" s="45"/>
      <c r="N168" s="45"/>
      <c r="O168" s="45"/>
      <c r="P168" s="45"/>
      <c r="Q168" s="45"/>
      <c r="R168" s="45"/>
      <c r="S168" s="45"/>
      <c r="T168" s="45"/>
      <c r="U168" s="45"/>
      <c r="V168" s="45"/>
      <c r="W168" s="45"/>
      <c r="X168" s="45"/>
      <c r="Y168" s="45"/>
      <c r="Z168" s="56"/>
    </row>
    <row r="169" spans="1:26">
      <c r="A169" s="6" t="s">
        <v>536</v>
      </c>
      <c r="B169" s="47" t="s">
        <v>537</v>
      </c>
      <c r="C169" s="47" t="s">
        <v>216</v>
      </c>
      <c r="D169" s="47" t="s">
        <v>242</v>
      </c>
      <c r="E169" s="47" t="s">
        <v>44</v>
      </c>
      <c r="F169" s="47" t="s">
        <v>71</v>
      </c>
      <c r="G169" s="42">
        <f>$Q$7</f>
        <v>1</v>
      </c>
      <c r="H169" s="61">
        <v>245000</v>
      </c>
      <c r="I169" s="63">
        <v>0</v>
      </c>
      <c r="J169" s="66">
        <f t="shared" ref="J169:J171" si="37">H169*(1+I169)</f>
        <v>245000</v>
      </c>
      <c r="K169" s="67">
        <f t="shared" ref="K169:K171" si="38">J169*G169</f>
        <v>245000</v>
      </c>
      <c r="M169" s="45"/>
      <c r="N169" s="45"/>
      <c r="O169" s="45"/>
      <c r="P169" s="45"/>
      <c r="Q169" s="45"/>
      <c r="R169" s="45"/>
      <c r="S169" s="45"/>
      <c r="T169" s="45"/>
      <c r="U169" s="45"/>
      <c r="V169" s="45"/>
      <c r="W169" s="45"/>
      <c r="X169" s="45"/>
      <c r="Y169" s="45"/>
      <c r="Z169" s="56"/>
    </row>
    <row r="170" spans="1:26">
      <c r="A170" s="7" t="s">
        <v>172</v>
      </c>
      <c r="B170" s="40" t="s">
        <v>539</v>
      </c>
      <c r="C170" s="40" t="s">
        <v>216</v>
      </c>
      <c r="D170" s="40" t="s">
        <v>473</v>
      </c>
      <c r="E170" s="40" t="s">
        <v>44</v>
      </c>
      <c r="F170" s="40" t="s">
        <v>108</v>
      </c>
      <c r="G170" s="38">
        <f>Q13</f>
        <v>388</v>
      </c>
      <c r="H170" s="51">
        <v>2292</v>
      </c>
      <c r="I170" s="53">
        <v>0</v>
      </c>
      <c r="J170" s="51">
        <f t="shared" si="37"/>
        <v>2292</v>
      </c>
      <c r="K170" s="54">
        <f t="shared" si="38"/>
        <v>889296</v>
      </c>
      <c r="M170" s="45" t="s">
        <v>540</v>
      </c>
      <c r="N170" s="45"/>
      <c r="O170" s="45"/>
      <c r="P170" s="45"/>
      <c r="Q170" s="45"/>
      <c r="R170" s="45"/>
      <c r="S170" s="45"/>
      <c r="T170" s="45"/>
      <c r="U170" s="45"/>
      <c r="V170" s="45"/>
      <c r="W170" s="45"/>
      <c r="X170" s="45"/>
      <c r="Y170" s="45"/>
      <c r="Z170" s="56"/>
    </row>
    <row r="171" spans="1:26">
      <c r="A171" s="7" t="s">
        <v>541</v>
      </c>
      <c r="B171" s="40" t="s">
        <v>542</v>
      </c>
      <c r="C171" s="40" t="s">
        <v>216</v>
      </c>
      <c r="D171" s="40" t="s">
        <v>250</v>
      </c>
      <c r="E171" s="40" t="s">
        <v>543</v>
      </c>
      <c r="F171" s="40" t="s">
        <v>108</v>
      </c>
      <c r="G171" s="38">
        <f>$Q$7</f>
        <v>1</v>
      </c>
      <c r="H171" s="51">
        <v>7049</v>
      </c>
      <c r="I171" s="53">
        <v>0</v>
      </c>
      <c r="J171" s="51">
        <f t="shared" si="37"/>
        <v>7049</v>
      </c>
      <c r="K171" s="54">
        <f t="shared" si="38"/>
        <v>7049</v>
      </c>
      <c r="M171" s="45"/>
      <c r="N171" s="45"/>
      <c r="O171" s="45"/>
      <c r="P171" s="45"/>
      <c r="Q171" s="45"/>
      <c r="R171" s="45"/>
      <c r="S171" s="45"/>
      <c r="T171" s="45"/>
      <c r="U171" s="45"/>
      <c r="V171" s="45"/>
      <c r="W171" s="45"/>
      <c r="X171" s="45"/>
      <c r="Y171" s="45"/>
      <c r="Z171" s="56"/>
    </row>
    <row r="172" spans="1:26" hidden="1">
      <c r="A172" s="4" t="s">
        <v>544</v>
      </c>
      <c r="B172" s="151" t="s">
        <v>545</v>
      </c>
      <c r="C172" s="151"/>
      <c r="D172" s="151"/>
      <c r="E172" s="151"/>
      <c r="F172" s="151"/>
      <c r="G172" s="152"/>
      <c r="H172" s="153"/>
      <c r="I172" s="154"/>
      <c r="J172" s="153"/>
      <c r="K172" s="172"/>
      <c r="L172" s="70">
        <f>SUM(K173)</f>
        <v>0</v>
      </c>
      <c r="M172" s="45"/>
      <c r="N172" s="45"/>
      <c r="O172" s="45"/>
      <c r="P172" s="45"/>
      <c r="Q172" s="45"/>
      <c r="R172" s="45"/>
      <c r="S172" s="45"/>
      <c r="T172" s="45"/>
      <c r="U172" s="45"/>
      <c r="V172" s="45"/>
      <c r="W172" s="45"/>
      <c r="X172" s="45"/>
      <c r="Y172" s="45"/>
      <c r="Z172" s="56"/>
    </row>
    <row r="173" spans="1:26" hidden="1">
      <c r="A173" s="5" t="s">
        <v>546</v>
      </c>
      <c r="B173" s="65" t="s">
        <v>545</v>
      </c>
      <c r="C173" s="65" t="s">
        <v>216</v>
      </c>
      <c r="D173" s="65" t="s">
        <v>228</v>
      </c>
      <c r="E173" s="65" t="s">
        <v>231</v>
      </c>
      <c r="F173" s="65"/>
      <c r="G173" s="43"/>
      <c r="H173" s="64"/>
      <c r="I173" s="157">
        <v>0</v>
      </c>
      <c r="J173" s="158">
        <f>H173*(1+I173)</f>
        <v>0</v>
      </c>
      <c r="K173" s="159">
        <f>J173*G173</f>
        <v>0</v>
      </c>
      <c r="M173" s="45"/>
      <c r="N173" s="45"/>
      <c r="O173" s="45"/>
      <c r="P173" s="45"/>
      <c r="Q173" s="45"/>
      <c r="R173" s="45"/>
      <c r="S173" s="45"/>
      <c r="T173" s="45"/>
      <c r="U173" s="45"/>
      <c r="V173" s="45"/>
      <c r="W173" s="45"/>
      <c r="X173" s="45"/>
      <c r="Y173" s="45"/>
      <c r="Z173" s="56"/>
    </row>
    <row r="174" spans="1:26">
      <c r="A174" s="4" t="s">
        <v>547</v>
      </c>
      <c r="B174" s="151" t="s">
        <v>548</v>
      </c>
      <c r="C174" s="151"/>
      <c r="D174" s="151"/>
      <c r="E174" s="151"/>
      <c r="F174" s="151"/>
      <c r="G174" s="152"/>
      <c r="H174" s="153"/>
      <c r="I174" s="154"/>
      <c r="J174" s="153"/>
      <c r="K174" s="172"/>
      <c r="L174" s="70">
        <f>SUM(K175:K176)</f>
        <v>439560</v>
      </c>
      <c r="M174" s="45"/>
      <c r="N174" s="45"/>
      <c r="O174" s="45"/>
      <c r="P174" s="45"/>
      <c r="Q174" s="45"/>
      <c r="R174" s="45"/>
      <c r="S174" s="45"/>
      <c r="T174" s="45"/>
      <c r="U174" s="45"/>
      <c r="V174" s="45"/>
      <c r="W174" s="45"/>
      <c r="X174" s="45"/>
      <c r="Y174" s="45"/>
      <c r="Z174" s="56"/>
    </row>
    <row r="175" spans="1:26">
      <c r="A175" s="6" t="s">
        <v>549</v>
      </c>
      <c r="B175" s="47" t="s">
        <v>550</v>
      </c>
      <c r="C175" s="47" t="s">
        <v>216</v>
      </c>
      <c r="D175" s="47" t="s">
        <v>228</v>
      </c>
      <c r="E175" s="47" t="s">
        <v>543</v>
      </c>
      <c r="F175" s="47" t="s">
        <v>551</v>
      </c>
      <c r="G175" s="42">
        <f>Q4</f>
        <v>12</v>
      </c>
      <c r="H175" s="61">
        <v>35546.666666666664</v>
      </c>
      <c r="I175" s="63">
        <v>0</v>
      </c>
      <c r="J175" s="66">
        <f t="shared" ref="J175:J176" si="39">H175*(1+I175)</f>
        <v>35546.666666666664</v>
      </c>
      <c r="K175" s="67">
        <f t="shared" ref="K175:K176" si="40">J175*G175</f>
        <v>426560</v>
      </c>
      <c r="M175" s="45" t="s">
        <v>1069</v>
      </c>
      <c r="N175" s="45"/>
      <c r="O175" s="45"/>
      <c r="P175" s="45"/>
      <c r="Q175" s="45"/>
      <c r="R175" s="45"/>
      <c r="S175" s="45"/>
      <c r="T175" s="45"/>
      <c r="U175" s="45"/>
      <c r="V175" s="45"/>
      <c r="W175" s="45"/>
      <c r="X175" s="45"/>
      <c r="Y175" s="45"/>
      <c r="Z175" s="56"/>
    </row>
    <row r="176" spans="1:26">
      <c r="A176" s="7" t="s">
        <v>553</v>
      </c>
      <c r="B176" s="40" t="s">
        <v>554</v>
      </c>
      <c r="C176" s="40" t="s">
        <v>216</v>
      </c>
      <c r="D176" s="40" t="s">
        <v>242</v>
      </c>
      <c r="E176" s="40" t="s">
        <v>555</v>
      </c>
      <c r="F176" s="40" t="s">
        <v>108</v>
      </c>
      <c r="G176" s="38">
        <f>$Q$7*2</f>
        <v>2</v>
      </c>
      <c r="H176" s="51">
        <v>6500</v>
      </c>
      <c r="I176" s="53">
        <v>0</v>
      </c>
      <c r="J176" s="51">
        <f t="shared" si="39"/>
        <v>6500</v>
      </c>
      <c r="K176" s="54">
        <f t="shared" si="40"/>
        <v>13000</v>
      </c>
      <c r="M176" s="45"/>
      <c r="N176" s="45"/>
      <c r="O176" s="45"/>
      <c r="P176" s="45"/>
      <c r="Q176" s="45"/>
      <c r="R176" s="45"/>
      <c r="S176" s="45"/>
      <c r="T176" s="45"/>
      <c r="U176" s="45"/>
      <c r="V176" s="45"/>
      <c r="W176" s="45"/>
      <c r="X176" s="45"/>
      <c r="Y176" s="45"/>
      <c r="Z176" s="56"/>
    </row>
    <row r="177" spans="1:30">
      <c r="A177" s="4" t="s">
        <v>556</v>
      </c>
      <c r="B177" s="151" t="s">
        <v>557</v>
      </c>
      <c r="C177" s="151"/>
      <c r="D177" s="151"/>
      <c r="E177" s="151"/>
      <c r="F177" s="151"/>
      <c r="G177" s="152"/>
      <c r="H177" s="153"/>
      <c r="I177" s="154"/>
      <c r="J177" s="153"/>
      <c r="K177" s="172"/>
      <c r="L177" s="70">
        <f>SUM(K178:K180)</f>
        <v>1246292.8899999999</v>
      </c>
      <c r="M177" s="45"/>
      <c r="N177" s="45"/>
      <c r="O177" s="45"/>
      <c r="P177" s="45"/>
      <c r="Q177" s="45"/>
      <c r="R177" s="45"/>
      <c r="S177" s="45"/>
      <c r="T177" s="45"/>
      <c r="U177" s="45"/>
      <c r="V177" s="45"/>
      <c r="W177" s="45"/>
      <c r="X177" s="45"/>
      <c r="Y177" s="45"/>
      <c r="Z177" s="56"/>
    </row>
    <row r="178" spans="1:30">
      <c r="A178" s="6" t="s">
        <v>558</v>
      </c>
      <c r="B178" s="47" t="s">
        <v>559</v>
      </c>
      <c r="C178" s="47" t="s">
        <v>216</v>
      </c>
      <c r="D178" s="47" t="s">
        <v>228</v>
      </c>
      <c r="E178" s="47" t="s">
        <v>73</v>
      </c>
      <c r="F178" s="47" t="s">
        <v>61</v>
      </c>
      <c r="G178" s="42">
        <f t="shared" ref="G178:G191" si="41">$B$8</f>
        <v>426549</v>
      </c>
      <c r="H178" s="61">
        <v>0.06</v>
      </c>
      <c r="I178" s="63">
        <v>0</v>
      </c>
      <c r="J178" s="66">
        <f t="shared" ref="J178:J180" si="42">H178*(1+I178)</f>
        <v>0.06</v>
      </c>
      <c r="K178" s="67">
        <f t="shared" ref="K178:K180" si="43">J178*G178</f>
        <v>25592.94</v>
      </c>
      <c r="M178" s="45"/>
      <c r="N178" s="45"/>
      <c r="O178" s="45"/>
      <c r="P178" s="45"/>
      <c r="Q178" s="45"/>
      <c r="R178" s="45"/>
      <c r="S178" s="45"/>
      <c r="T178" s="45"/>
      <c r="U178" s="45"/>
      <c r="V178" s="45"/>
      <c r="W178" s="45"/>
      <c r="X178" s="45"/>
      <c r="Y178" s="45"/>
      <c r="Z178" s="56"/>
    </row>
    <row r="179" spans="1:30">
      <c r="A179" s="7" t="s">
        <v>560</v>
      </c>
      <c r="B179" s="40" t="s">
        <v>561</v>
      </c>
      <c r="C179" s="40" t="s">
        <v>216</v>
      </c>
      <c r="D179" s="40" t="s">
        <v>228</v>
      </c>
      <c r="E179" s="40" t="s">
        <v>433</v>
      </c>
      <c r="F179" s="40" t="s">
        <v>61</v>
      </c>
      <c r="G179" s="38">
        <f t="shared" si="41"/>
        <v>426549</v>
      </c>
      <c r="H179" s="51">
        <v>2.5499999999999998</v>
      </c>
      <c r="I179" s="53">
        <v>0</v>
      </c>
      <c r="J179" s="51">
        <f t="shared" si="42"/>
        <v>2.5499999999999998</v>
      </c>
      <c r="K179" s="54">
        <f t="shared" si="43"/>
        <v>1087699.95</v>
      </c>
      <c r="M179" s="45"/>
      <c r="N179" s="45"/>
      <c r="O179" s="45"/>
      <c r="P179" s="45"/>
      <c r="Q179" s="45"/>
      <c r="R179" s="45"/>
      <c r="S179" s="45"/>
      <c r="T179" s="45"/>
      <c r="U179" s="45"/>
      <c r="V179" s="45"/>
      <c r="W179" s="45"/>
      <c r="X179" s="45"/>
      <c r="Y179" s="45"/>
      <c r="Z179" s="56"/>
    </row>
    <row r="180" spans="1:30">
      <c r="A180" s="7" t="s">
        <v>562</v>
      </c>
      <c r="B180" s="40" t="s">
        <v>563</v>
      </c>
      <c r="C180" s="40" t="s">
        <v>216</v>
      </c>
      <c r="D180" s="40" t="s">
        <v>235</v>
      </c>
      <c r="E180" s="40" t="s">
        <v>44</v>
      </c>
      <c r="F180" s="40" t="s">
        <v>108</v>
      </c>
      <c r="G180" s="38">
        <f>$W$17</f>
        <v>1</v>
      </c>
      <c r="H180" s="51">
        <v>133000</v>
      </c>
      <c r="I180" s="53">
        <v>0</v>
      </c>
      <c r="J180" s="51">
        <f t="shared" si="42"/>
        <v>133000</v>
      </c>
      <c r="K180" s="54">
        <f t="shared" si="43"/>
        <v>133000</v>
      </c>
      <c r="M180" s="45"/>
      <c r="N180" s="45"/>
      <c r="O180" s="45"/>
      <c r="P180" s="45"/>
      <c r="Q180" s="45"/>
      <c r="R180" s="45"/>
      <c r="S180" s="45"/>
      <c r="T180" s="45"/>
      <c r="U180" s="45"/>
      <c r="V180" s="45"/>
      <c r="W180" s="45"/>
      <c r="X180" s="45"/>
      <c r="Y180" s="45"/>
      <c r="Z180" s="56"/>
    </row>
    <row r="181" spans="1:30">
      <c r="A181" s="4" t="s">
        <v>564</v>
      </c>
      <c r="B181" s="151" t="s">
        <v>565</v>
      </c>
      <c r="C181" s="151"/>
      <c r="D181" s="151"/>
      <c r="E181" s="151"/>
      <c r="F181" s="151"/>
      <c r="G181" s="152"/>
      <c r="H181" s="153"/>
      <c r="I181" s="154"/>
      <c r="J181" s="153"/>
      <c r="K181" s="172"/>
      <c r="L181" s="70">
        <f>SUM(K182:K186)</f>
        <v>4454896.0999999996</v>
      </c>
      <c r="M181" s="45"/>
      <c r="N181" s="45"/>
      <c r="O181" s="45"/>
      <c r="P181" s="45"/>
      <c r="Q181" s="45"/>
      <c r="R181" s="45"/>
      <c r="S181" s="45"/>
      <c r="T181" s="45"/>
      <c r="U181" s="45"/>
      <c r="V181" s="45"/>
      <c r="W181" s="45"/>
      <c r="X181" s="45"/>
      <c r="Y181" s="45"/>
      <c r="Z181" s="56"/>
    </row>
    <row r="182" spans="1:30">
      <c r="A182" s="6" t="s">
        <v>566</v>
      </c>
      <c r="B182" s="47" t="s">
        <v>567</v>
      </c>
      <c r="C182" s="47" t="s">
        <v>216</v>
      </c>
      <c r="D182" s="47" t="s">
        <v>228</v>
      </c>
      <c r="E182" s="47" t="s">
        <v>239</v>
      </c>
      <c r="F182" s="47" t="s">
        <v>108</v>
      </c>
      <c r="G182" s="42">
        <f>SUM(E3:E5)</f>
        <v>227</v>
      </c>
      <c r="H182" s="61">
        <v>10069</v>
      </c>
      <c r="I182" s="63">
        <v>0</v>
      </c>
      <c r="J182" s="66">
        <f t="shared" ref="J182:J186" si="44">H182*(1+I182)</f>
        <v>10069</v>
      </c>
      <c r="K182" s="67">
        <f t="shared" ref="K182:K186" si="45">J182*G182</f>
        <v>2285663</v>
      </c>
      <c r="M182" s="45" t="s">
        <v>568</v>
      </c>
      <c r="N182" s="45"/>
      <c r="O182" s="45"/>
      <c r="P182" s="45"/>
      <c r="Q182" s="45"/>
      <c r="R182" s="45"/>
      <c r="S182" s="45"/>
      <c r="T182" s="45"/>
      <c r="U182" s="45"/>
      <c r="V182" s="45"/>
      <c r="W182" s="45"/>
      <c r="X182" s="45"/>
      <c r="Y182" s="45"/>
      <c r="Z182" s="56"/>
    </row>
    <row r="183" spans="1:30">
      <c r="A183" s="7" t="s">
        <v>569</v>
      </c>
      <c r="B183" s="40" t="s">
        <v>567</v>
      </c>
      <c r="C183" s="40" t="s">
        <v>216</v>
      </c>
      <c r="D183" s="40" t="s">
        <v>228</v>
      </c>
      <c r="E183" s="47" t="s">
        <v>239</v>
      </c>
      <c r="F183" s="40" t="s">
        <v>108</v>
      </c>
      <c r="G183" s="38">
        <f>SUM(E6:E7)</f>
        <v>163</v>
      </c>
      <c r="H183" s="51">
        <f>H182+H182*0.3</f>
        <v>13089.7</v>
      </c>
      <c r="I183" s="53">
        <v>0</v>
      </c>
      <c r="J183" s="51">
        <f t="shared" si="44"/>
        <v>13089.7</v>
      </c>
      <c r="K183" s="54">
        <f t="shared" si="45"/>
        <v>2133621.1</v>
      </c>
      <c r="M183" s="45" t="s">
        <v>1070</v>
      </c>
      <c r="N183" s="45"/>
      <c r="O183" s="45"/>
      <c r="P183" s="45"/>
      <c r="Q183" s="45"/>
      <c r="R183" s="45"/>
      <c r="S183" s="45"/>
      <c r="T183" s="45"/>
      <c r="U183" s="45"/>
      <c r="V183" s="45"/>
      <c r="W183" s="45"/>
      <c r="X183" s="45"/>
      <c r="Y183" s="45"/>
      <c r="Z183" s="56"/>
    </row>
    <row r="184" spans="1:30">
      <c r="A184" s="7" t="s">
        <v>571</v>
      </c>
      <c r="B184" s="40"/>
      <c r="C184" s="40" t="s">
        <v>216</v>
      </c>
      <c r="D184" s="40" t="s">
        <v>235</v>
      </c>
      <c r="E184" s="40" t="s">
        <v>73</v>
      </c>
      <c r="F184" s="40" t="s">
        <v>71</v>
      </c>
      <c r="G184" s="38">
        <v>1</v>
      </c>
      <c r="H184" s="51">
        <v>5000</v>
      </c>
      <c r="I184" s="53">
        <v>0</v>
      </c>
      <c r="J184" s="51">
        <f t="shared" si="44"/>
        <v>5000</v>
      </c>
      <c r="K184" s="54">
        <f t="shared" si="45"/>
        <v>5000</v>
      </c>
      <c r="M184" s="45"/>
      <c r="N184" s="45"/>
      <c r="O184" s="45"/>
      <c r="P184" s="45"/>
      <c r="Q184" s="45"/>
      <c r="R184" s="45"/>
      <c r="S184" s="45"/>
      <c r="T184" s="45"/>
      <c r="U184" s="45"/>
      <c r="V184" s="45"/>
      <c r="W184" s="45"/>
      <c r="X184" s="45"/>
      <c r="Y184" s="45"/>
      <c r="Z184" s="56"/>
    </row>
    <row r="185" spans="1:30">
      <c r="A185" s="7" t="s">
        <v>572</v>
      </c>
      <c r="B185" s="40" t="s">
        <v>573</v>
      </c>
      <c r="C185" s="40" t="s">
        <v>216</v>
      </c>
      <c r="D185" s="40" t="s">
        <v>242</v>
      </c>
      <c r="E185" s="40" t="s">
        <v>44</v>
      </c>
      <c r="F185" s="40" t="s">
        <v>71</v>
      </c>
      <c r="G185" s="38">
        <v>1</v>
      </c>
      <c r="H185" s="51">
        <v>24612</v>
      </c>
      <c r="I185" s="53">
        <v>0</v>
      </c>
      <c r="J185" s="51">
        <f t="shared" si="44"/>
        <v>24612</v>
      </c>
      <c r="K185" s="54">
        <f t="shared" si="45"/>
        <v>24612</v>
      </c>
      <c r="M185" s="45" t="s">
        <v>574</v>
      </c>
      <c r="N185" s="45"/>
      <c r="O185" s="45"/>
      <c r="P185" s="45"/>
      <c r="Q185" s="45"/>
      <c r="R185" s="45"/>
      <c r="S185" s="45"/>
      <c r="T185" s="45"/>
      <c r="U185" s="45"/>
      <c r="V185" s="45"/>
      <c r="W185" s="45"/>
      <c r="X185" s="45"/>
      <c r="Y185" s="45"/>
      <c r="Z185" s="56"/>
    </row>
    <row r="186" spans="1:30" ht="15" thickBot="1">
      <c r="A186" s="7" t="s">
        <v>575</v>
      </c>
      <c r="B186" s="40" t="s">
        <v>576</v>
      </c>
      <c r="C186" s="40" t="s">
        <v>216</v>
      </c>
      <c r="D186" s="40" t="s">
        <v>250</v>
      </c>
      <c r="E186" s="40" t="s">
        <v>73</v>
      </c>
      <c r="F186" s="40" t="s">
        <v>71</v>
      </c>
      <c r="G186" s="38">
        <f>$Q$7</f>
        <v>1</v>
      </c>
      <c r="H186" s="51">
        <v>6000</v>
      </c>
      <c r="I186" s="53">
        <v>0</v>
      </c>
      <c r="J186" s="51">
        <f t="shared" si="44"/>
        <v>6000</v>
      </c>
      <c r="K186" s="54">
        <f t="shared" si="45"/>
        <v>6000</v>
      </c>
      <c r="M186" s="45" t="s">
        <v>574</v>
      </c>
      <c r="N186" s="45"/>
      <c r="O186" s="45"/>
      <c r="P186" s="45"/>
      <c r="Q186" s="45"/>
      <c r="R186" s="45"/>
      <c r="S186" s="45"/>
      <c r="T186" s="45"/>
      <c r="U186" s="45"/>
      <c r="V186" s="45"/>
      <c r="W186" s="45"/>
      <c r="X186" s="45"/>
      <c r="Y186" s="45"/>
      <c r="Z186" s="56"/>
    </row>
    <row r="187" spans="1:30">
      <c r="A187" s="4" t="s">
        <v>577</v>
      </c>
      <c r="B187" s="151" t="s">
        <v>578</v>
      </c>
      <c r="C187" s="151"/>
      <c r="D187" s="151"/>
      <c r="E187" s="151"/>
      <c r="F187" s="151"/>
      <c r="G187" s="152"/>
      <c r="H187" s="153"/>
      <c r="I187" s="154"/>
      <c r="J187" s="153"/>
      <c r="K187" s="172"/>
      <c r="L187" s="70">
        <f>SUM(K188:K189)</f>
        <v>3844690.7216494842</v>
      </c>
      <c r="M187" s="45"/>
      <c r="N187" s="45"/>
      <c r="O187" s="45"/>
      <c r="P187" s="45"/>
      <c r="Q187" s="45"/>
      <c r="R187" s="45"/>
      <c r="S187" s="45"/>
      <c r="T187" s="45"/>
      <c r="U187" s="45"/>
      <c r="V187" s="45"/>
      <c r="W187" s="45"/>
      <c r="X187" s="45"/>
      <c r="Y187" s="45"/>
      <c r="Z187" s="56"/>
      <c r="AA187" s="173" t="s">
        <v>579</v>
      </c>
      <c r="AB187" s="163" t="s">
        <v>580</v>
      </c>
      <c r="AC187" s="163" t="s">
        <v>209</v>
      </c>
      <c r="AD187" s="174" t="s">
        <v>581</v>
      </c>
    </row>
    <row r="188" spans="1:30" ht="15.6">
      <c r="A188" s="6" t="s">
        <v>582</v>
      </c>
      <c r="B188" s="47" t="s">
        <v>583</v>
      </c>
      <c r="C188" s="47" t="s">
        <v>216</v>
      </c>
      <c r="D188" s="47" t="s">
        <v>228</v>
      </c>
      <c r="E188" s="47" t="s">
        <v>239</v>
      </c>
      <c r="F188" s="47" t="s">
        <v>88</v>
      </c>
      <c r="G188" s="42">
        <f>$E$8</f>
        <v>390</v>
      </c>
      <c r="H188" s="61">
        <v>9845.3608247422671</v>
      </c>
      <c r="I188" s="63">
        <v>0</v>
      </c>
      <c r="J188" s="66">
        <f>H188*(1+I188)</f>
        <v>9845.3608247422671</v>
      </c>
      <c r="K188" s="67">
        <f>J188*G188</f>
        <v>3839690.7216494842</v>
      </c>
      <c r="L188" s="112"/>
      <c r="M188" s="45" t="s">
        <v>1071</v>
      </c>
      <c r="N188" s="45"/>
      <c r="O188" s="45"/>
      <c r="P188" s="45"/>
      <c r="Q188" s="45"/>
      <c r="R188" s="45"/>
      <c r="S188" s="45"/>
      <c r="T188" s="45"/>
      <c r="U188" s="45"/>
      <c r="V188" s="45"/>
      <c r="W188" s="45"/>
      <c r="X188" s="45"/>
      <c r="Y188" s="45"/>
      <c r="Z188" s="56"/>
      <c r="AA188" s="175" t="s">
        <v>585</v>
      </c>
      <c r="AB188" s="176">
        <v>52</v>
      </c>
      <c r="AC188" s="176">
        <v>250</v>
      </c>
      <c r="AD188" s="177">
        <f>AB188*AC188</f>
        <v>13000</v>
      </c>
    </row>
    <row r="189" spans="1:30" ht="15.6">
      <c r="A189" s="7" t="s">
        <v>586</v>
      </c>
      <c r="B189" s="40" t="s">
        <v>583</v>
      </c>
      <c r="C189" s="40" t="s">
        <v>216</v>
      </c>
      <c r="D189" s="40" t="s">
        <v>235</v>
      </c>
      <c r="E189" s="47" t="s">
        <v>73</v>
      </c>
      <c r="F189" s="40" t="s">
        <v>71</v>
      </c>
      <c r="G189" s="38">
        <v>1</v>
      </c>
      <c r="H189" s="51">
        <v>5000</v>
      </c>
      <c r="I189" s="53">
        <v>0</v>
      </c>
      <c r="J189" s="51">
        <f>H189*(1+I189)</f>
        <v>5000</v>
      </c>
      <c r="K189" s="54">
        <f>J189*G189</f>
        <v>5000</v>
      </c>
      <c r="M189" s="45"/>
      <c r="N189" s="45"/>
      <c r="O189" s="45"/>
      <c r="P189" s="45"/>
      <c r="Q189" s="45"/>
      <c r="R189" s="45"/>
      <c r="S189" s="45"/>
      <c r="T189" s="45"/>
      <c r="U189" s="45"/>
      <c r="V189" s="45"/>
      <c r="W189" s="45"/>
      <c r="X189" s="45"/>
      <c r="Y189" s="45"/>
      <c r="Z189" s="56"/>
      <c r="AA189" s="175"/>
      <c r="AB189" s="176"/>
      <c r="AC189" s="176"/>
      <c r="AD189" s="177"/>
    </row>
    <row r="190" spans="1:30" ht="15.6">
      <c r="A190" s="4" t="s">
        <v>587</v>
      </c>
      <c r="B190" s="151" t="s">
        <v>588</v>
      </c>
      <c r="C190" s="151"/>
      <c r="D190" s="151"/>
      <c r="E190" s="151"/>
      <c r="F190" s="151"/>
      <c r="G190" s="152"/>
      <c r="H190" s="153"/>
      <c r="I190" s="154"/>
      <c r="J190" s="153"/>
      <c r="K190" s="172"/>
      <c r="L190" s="70">
        <f>SUM(K191:K208)</f>
        <v>5172089.9400000004</v>
      </c>
      <c r="M190" s="45"/>
      <c r="N190" s="45"/>
      <c r="O190" s="45"/>
      <c r="P190" s="45"/>
      <c r="Q190" s="45"/>
      <c r="R190" s="45"/>
      <c r="S190" s="45"/>
      <c r="T190" s="45"/>
      <c r="U190" s="45"/>
      <c r="V190" s="45"/>
      <c r="W190" s="45"/>
      <c r="X190" s="45"/>
      <c r="Y190" s="45"/>
      <c r="Z190" s="56"/>
      <c r="AA190" s="175" t="s">
        <v>589</v>
      </c>
      <c r="AB190" s="176">
        <v>118</v>
      </c>
      <c r="AC190" s="176">
        <v>500</v>
      </c>
      <c r="AD190" s="177">
        <f t="shared" ref="AD190:AD191" si="46">AB190*AC190</f>
        <v>59000</v>
      </c>
    </row>
    <row r="191" spans="1:30" ht="15.6">
      <c r="A191" s="6" t="s">
        <v>590</v>
      </c>
      <c r="B191" s="47" t="s">
        <v>591</v>
      </c>
      <c r="C191" s="47" t="s">
        <v>216</v>
      </c>
      <c r="D191" s="47" t="s">
        <v>228</v>
      </c>
      <c r="E191" s="47" t="s">
        <v>239</v>
      </c>
      <c r="F191" s="47" t="s">
        <v>61</v>
      </c>
      <c r="G191" s="42">
        <f t="shared" si="41"/>
        <v>426549</v>
      </c>
      <c r="H191" s="61">
        <v>10.06</v>
      </c>
      <c r="I191" s="63">
        <v>0</v>
      </c>
      <c r="J191" s="66">
        <f t="shared" ref="J191:J208" si="47">H191*(1+I191)</f>
        <v>10.06</v>
      </c>
      <c r="K191" s="67">
        <f t="shared" ref="K191:K208" si="48">J191*G191</f>
        <v>4291082.9400000004</v>
      </c>
      <c r="M191" s="45"/>
      <c r="N191" s="178"/>
      <c r="O191" s="178"/>
      <c r="P191" s="45"/>
      <c r="Q191" s="45"/>
      <c r="R191" s="45"/>
      <c r="S191" s="45"/>
      <c r="T191" s="45"/>
      <c r="U191" s="45"/>
      <c r="V191" s="45"/>
      <c r="W191" s="45"/>
      <c r="X191" s="45"/>
      <c r="Y191" s="45"/>
      <c r="Z191" s="56"/>
      <c r="AA191" s="175" t="s">
        <v>592</v>
      </c>
      <c r="AB191" s="176">
        <v>50</v>
      </c>
      <c r="AC191" s="176">
        <v>750</v>
      </c>
      <c r="AD191" s="177">
        <f t="shared" si="46"/>
        <v>37500</v>
      </c>
    </row>
    <row r="192" spans="1:30" ht="15.6">
      <c r="A192" s="6" t="s">
        <v>593</v>
      </c>
      <c r="B192" s="47" t="s">
        <v>591</v>
      </c>
      <c r="C192" s="47" t="s">
        <v>216</v>
      </c>
      <c r="D192" s="47" t="s">
        <v>235</v>
      </c>
      <c r="E192" s="47" t="s">
        <v>73</v>
      </c>
      <c r="F192" s="47" t="s">
        <v>71</v>
      </c>
      <c r="G192" s="42">
        <v>1</v>
      </c>
      <c r="H192" s="461">
        <v>10000</v>
      </c>
      <c r="I192" s="63">
        <v>0</v>
      </c>
      <c r="J192" s="66">
        <f t="shared" ref="J192" si="49">H192*(1+I192)</f>
        <v>10000</v>
      </c>
      <c r="K192" s="67">
        <f t="shared" ref="K192" si="50">J192*G192</f>
        <v>10000</v>
      </c>
      <c r="M192" s="45"/>
      <c r="N192" s="178"/>
      <c r="O192" s="178"/>
      <c r="P192" s="45"/>
      <c r="Q192" s="45"/>
      <c r="R192" s="45"/>
      <c r="S192" s="45"/>
      <c r="T192" s="45"/>
      <c r="U192" s="45"/>
      <c r="V192" s="45"/>
      <c r="W192" s="45"/>
      <c r="X192" s="45"/>
      <c r="Y192" s="45"/>
      <c r="Z192" s="56"/>
      <c r="AA192" s="175"/>
      <c r="AB192" s="176"/>
      <c r="AC192" s="176"/>
      <c r="AD192" s="177"/>
    </row>
    <row r="193" spans="1:30" ht="15.6">
      <c r="A193" s="7" t="s">
        <v>594</v>
      </c>
      <c r="B193" s="40" t="s">
        <v>595</v>
      </c>
      <c r="C193" s="40" t="s">
        <v>216</v>
      </c>
      <c r="D193" s="40" t="s">
        <v>228</v>
      </c>
      <c r="E193" s="40" t="s">
        <v>426</v>
      </c>
      <c r="F193" s="40" t="s">
        <v>88</v>
      </c>
      <c r="G193" s="38">
        <f>$E$8</f>
        <v>390</v>
      </c>
      <c r="H193" s="51">
        <v>594</v>
      </c>
      <c r="I193" s="53">
        <v>0.15</v>
      </c>
      <c r="J193" s="51">
        <f t="shared" si="47"/>
        <v>683.09999999999991</v>
      </c>
      <c r="K193" s="54">
        <f t="shared" si="48"/>
        <v>266408.99999999994</v>
      </c>
      <c r="M193" s="45" t="s">
        <v>596</v>
      </c>
      <c r="N193" s="45"/>
      <c r="O193" s="45"/>
      <c r="P193" s="45"/>
      <c r="Q193" s="45"/>
      <c r="R193" s="45"/>
      <c r="S193" s="45"/>
      <c r="T193" s="45"/>
      <c r="U193" s="45"/>
      <c r="V193" s="45"/>
      <c r="W193" s="45"/>
      <c r="X193" s="45"/>
      <c r="Y193" s="45"/>
      <c r="Z193" s="56"/>
      <c r="AA193" s="179"/>
      <c r="AB193" s="176"/>
      <c r="AC193" s="176"/>
      <c r="AD193" s="177">
        <f>SUM(AD188:AD191)</f>
        <v>109500</v>
      </c>
    </row>
    <row r="194" spans="1:30" ht="16.149999999999999" thickBot="1">
      <c r="A194" s="7" t="s">
        <v>597</v>
      </c>
      <c r="B194" s="40" t="s">
        <v>598</v>
      </c>
      <c r="C194" s="40" t="s">
        <v>216</v>
      </c>
      <c r="D194" s="40" t="s">
        <v>228</v>
      </c>
      <c r="E194" s="40" t="s">
        <v>555</v>
      </c>
      <c r="F194" s="40" t="s">
        <v>88</v>
      </c>
      <c r="G194" s="38">
        <f>$E$8</f>
        <v>390</v>
      </c>
      <c r="H194" s="51">
        <v>119</v>
      </c>
      <c r="I194" s="53">
        <v>0</v>
      </c>
      <c r="J194" s="51">
        <f t="shared" si="47"/>
        <v>119</v>
      </c>
      <c r="K194" s="54">
        <f t="shared" si="48"/>
        <v>46410</v>
      </c>
      <c r="L194" s="190"/>
      <c r="M194" s="45"/>
      <c r="N194" s="45"/>
      <c r="O194" s="45"/>
      <c r="P194" s="45"/>
      <c r="Q194" s="45"/>
      <c r="R194" s="45"/>
      <c r="S194" s="45"/>
      <c r="T194" s="45"/>
      <c r="U194" s="45"/>
      <c r="V194" s="45"/>
      <c r="W194" s="45"/>
      <c r="X194" s="45"/>
      <c r="Y194" s="45"/>
      <c r="Z194" s="56"/>
      <c r="AA194" s="180"/>
      <c r="AB194" s="181"/>
      <c r="AC194" s="181"/>
      <c r="AD194" s="182">
        <f>AD193/391</f>
        <v>280.05115089514067</v>
      </c>
    </row>
    <row r="195" spans="1:30" ht="15" thickBot="1">
      <c r="A195" s="7" t="s">
        <v>599</v>
      </c>
      <c r="B195" s="40" t="s">
        <v>600</v>
      </c>
      <c r="C195" s="40" t="s">
        <v>216</v>
      </c>
      <c r="D195" s="40" t="s">
        <v>228</v>
      </c>
      <c r="E195" s="40" t="s">
        <v>555</v>
      </c>
      <c r="F195" s="40" t="s">
        <v>88</v>
      </c>
      <c r="G195" s="38">
        <f>$E$8</f>
        <v>390</v>
      </c>
      <c r="H195" s="51">
        <v>112</v>
      </c>
      <c r="I195" s="53">
        <v>0</v>
      </c>
      <c r="J195" s="51">
        <f t="shared" si="47"/>
        <v>112</v>
      </c>
      <c r="K195" s="54">
        <f t="shared" si="48"/>
        <v>43680</v>
      </c>
      <c r="L195" s="112"/>
      <c r="M195" s="45"/>
      <c r="N195" s="45"/>
      <c r="O195" s="45"/>
      <c r="P195" s="45"/>
      <c r="Q195" s="45"/>
      <c r="R195" s="45"/>
      <c r="S195" s="45"/>
      <c r="T195" s="45"/>
      <c r="U195" s="45"/>
      <c r="V195" s="45"/>
      <c r="W195" s="45"/>
      <c r="X195" s="45"/>
      <c r="Y195" s="45"/>
      <c r="Z195" s="56"/>
    </row>
    <row r="196" spans="1:30">
      <c r="A196" s="7" t="s">
        <v>601</v>
      </c>
      <c r="B196" s="40" t="s">
        <v>591</v>
      </c>
      <c r="C196" s="40" t="s">
        <v>216</v>
      </c>
      <c r="D196" s="40" t="s">
        <v>473</v>
      </c>
      <c r="E196" s="40" t="s">
        <v>555</v>
      </c>
      <c r="F196" s="40" t="s">
        <v>602</v>
      </c>
      <c r="G196" s="38">
        <f>$Q$13</f>
        <v>388</v>
      </c>
      <c r="H196" s="51">
        <v>138</v>
      </c>
      <c r="I196" s="53">
        <v>0</v>
      </c>
      <c r="J196" s="51">
        <f t="shared" si="47"/>
        <v>138</v>
      </c>
      <c r="K196" s="54">
        <f t="shared" si="48"/>
        <v>53544</v>
      </c>
      <c r="M196" s="45"/>
      <c r="N196" s="45"/>
      <c r="O196" s="45"/>
      <c r="P196" s="45"/>
      <c r="Q196" s="45"/>
      <c r="R196" s="45"/>
      <c r="S196" s="45"/>
      <c r="T196" s="45"/>
      <c r="U196" s="45"/>
      <c r="V196" s="45"/>
      <c r="W196" s="45"/>
      <c r="X196" s="45"/>
      <c r="Y196" s="45"/>
      <c r="Z196" s="56"/>
      <c r="AA196" s="173" t="s">
        <v>603</v>
      </c>
      <c r="AB196" s="163" t="s">
        <v>580</v>
      </c>
      <c r="AC196" s="163" t="s">
        <v>209</v>
      </c>
      <c r="AD196" s="174" t="s">
        <v>581</v>
      </c>
    </row>
    <row r="197" spans="1:30" ht="15.6">
      <c r="A197" s="7" t="s">
        <v>604</v>
      </c>
      <c r="B197" s="40" t="s">
        <v>595</v>
      </c>
      <c r="C197" s="40" t="s">
        <v>216</v>
      </c>
      <c r="D197" s="40" t="s">
        <v>473</v>
      </c>
      <c r="E197" s="40" t="s">
        <v>555</v>
      </c>
      <c r="F197" s="40" t="s">
        <v>602</v>
      </c>
      <c r="G197" s="38">
        <f>$Q$13</f>
        <v>388</v>
      </c>
      <c r="H197" s="51">
        <v>24</v>
      </c>
      <c r="I197" s="53">
        <v>0</v>
      </c>
      <c r="J197" s="51">
        <f t="shared" si="47"/>
        <v>24</v>
      </c>
      <c r="K197" s="54">
        <f t="shared" si="48"/>
        <v>9312</v>
      </c>
      <c r="M197" s="45"/>
      <c r="N197" s="45"/>
      <c r="O197" s="45"/>
      <c r="P197" s="45"/>
      <c r="Q197" s="45"/>
      <c r="R197" s="45"/>
      <c r="S197" s="45"/>
      <c r="T197" s="45"/>
      <c r="U197" s="45"/>
      <c r="V197" s="45"/>
      <c r="W197" s="45"/>
      <c r="X197" s="45"/>
      <c r="Y197" s="45"/>
      <c r="Z197" s="56"/>
      <c r="AA197" s="175" t="s">
        <v>585</v>
      </c>
      <c r="AB197" s="176">
        <v>52</v>
      </c>
      <c r="AC197" s="176">
        <f>25*2</f>
        <v>50</v>
      </c>
      <c r="AD197" s="177">
        <f>AB197*AC197</f>
        <v>2600</v>
      </c>
    </row>
    <row r="198" spans="1:30" ht="15.6" hidden="1">
      <c r="A198" s="7" t="s">
        <v>605</v>
      </c>
      <c r="B198" s="40" t="s">
        <v>591</v>
      </c>
      <c r="C198" s="40" t="s">
        <v>216</v>
      </c>
      <c r="D198" s="40" t="s">
        <v>242</v>
      </c>
      <c r="E198" s="40" t="s">
        <v>231</v>
      </c>
      <c r="F198" s="40"/>
      <c r="G198" s="38"/>
      <c r="H198" s="51"/>
      <c r="I198" s="53">
        <v>0</v>
      </c>
      <c r="J198" s="51">
        <f t="shared" si="47"/>
        <v>0</v>
      </c>
      <c r="K198" s="54">
        <f t="shared" si="48"/>
        <v>0</v>
      </c>
      <c r="M198" s="45"/>
      <c r="N198" s="45"/>
      <c r="O198" s="45"/>
      <c r="P198" s="45"/>
      <c r="Q198" s="45"/>
      <c r="R198" s="45"/>
      <c r="S198" s="45"/>
      <c r="T198" s="45"/>
      <c r="U198" s="45"/>
      <c r="V198" s="45"/>
      <c r="W198" s="45"/>
      <c r="X198" s="45"/>
      <c r="Y198" s="45"/>
      <c r="Z198" s="56"/>
      <c r="AA198" s="175" t="s">
        <v>589</v>
      </c>
      <c r="AB198" s="176">
        <v>118</v>
      </c>
      <c r="AC198" s="176">
        <f>150+25*2</f>
        <v>200</v>
      </c>
      <c r="AD198" s="177">
        <f t="shared" ref="AD198:AD199" si="51">AB198*AC198</f>
        <v>23600</v>
      </c>
    </row>
    <row r="199" spans="1:30" ht="15.6" hidden="1">
      <c r="A199" s="7" t="s">
        <v>606</v>
      </c>
      <c r="B199" s="40" t="s">
        <v>607</v>
      </c>
      <c r="C199" s="40" t="s">
        <v>216</v>
      </c>
      <c r="D199" s="40" t="s">
        <v>242</v>
      </c>
      <c r="E199" s="40" t="s">
        <v>231</v>
      </c>
      <c r="F199" s="40"/>
      <c r="G199" s="38"/>
      <c r="H199" s="51"/>
      <c r="I199" s="53">
        <v>0</v>
      </c>
      <c r="J199" s="51">
        <f t="shared" si="47"/>
        <v>0</v>
      </c>
      <c r="K199" s="54">
        <f t="shared" si="48"/>
        <v>0</v>
      </c>
      <c r="M199" s="45"/>
      <c r="N199" s="45"/>
      <c r="O199" s="45"/>
      <c r="P199" s="45"/>
      <c r="Q199" s="45"/>
      <c r="R199" s="45"/>
      <c r="S199" s="45"/>
      <c r="T199" s="45"/>
      <c r="U199" s="45"/>
      <c r="V199" s="45"/>
      <c r="W199" s="45"/>
      <c r="X199" s="45"/>
      <c r="Y199" s="45"/>
      <c r="Z199" s="56"/>
      <c r="AA199" s="175" t="s">
        <v>592</v>
      </c>
      <c r="AB199" s="176">
        <v>50</v>
      </c>
      <c r="AC199" s="176">
        <f>150+150+25*2</f>
        <v>350</v>
      </c>
      <c r="AD199" s="177">
        <f t="shared" si="51"/>
        <v>17500</v>
      </c>
    </row>
    <row r="200" spans="1:30" ht="15.6">
      <c r="A200" s="7" t="s">
        <v>608</v>
      </c>
      <c r="B200" s="40" t="s">
        <v>609</v>
      </c>
      <c r="C200" s="40" t="s">
        <v>216</v>
      </c>
      <c r="D200" s="40" t="s">
        <v>1005</v>
      </c>
      <c r="E200" s="40" t="s">
        <v>71</v>
      </c>
      <c r="F200" s="40" t="s">
        <v>71</v>
      </c>
      <c r="G200" s="38">
        <v>1</v>
      </c>
      <c r="H200" s="51">
        <f>275000</f>
        <v>275000</v>
      </c>
      <c r="I200" s="53">
        <v>0</v>
      </c>
      <c r="J200" s="51">
        <f>H200*(1+I200)</f>
        <v>275000</v>
      </c>
      <c r="K200" s="54">
        <f>J200*G200</f>
        <v>275000</v>
      </c>
      <c r="M200" s="45" t="s">
        <v>1072</v>
      </c>
      <c r="N200" s="45"/>
      <c r="O200" s="45"/>
      <c r="P200" s="45"/>
      <c r="Q200" s="45"/>
      <c r="R200" s="45"/>
      <c r="S200" s="45"/>
      <c r="T200" s="45"/>
      <c r="U200" s="45"/>
      <c r="V200" s="45"/>
      <c r="W200" s="45"/>
      <c r="X200" s="45"/>
      <c r="Y200" s="45"/>
      <c r="Z200" s="56"/>
      <c r="AA200" s="179" t="s">
        <v>611</v>
      </c>
      <c r="AB200" s="176"/>
      <c r="AC200" s="176"/>
      <c r="AD200" s="177">
        <f>SUM(AD197:AD199)</f>
        <v>43700</v>
      </c>
    </row>
    <row r="201" spans="1:30" ht="15.6">
      <c r="A201" s="7" t="s">
        <v>612</v>
      </c>
      <c r="B201" s="40" t="s">
        <v>609</v>
      </c>
      <c r="C201" s="40" t="s">
        <v>216</v>
      </c>
      <c r="D201" s="40" t="s">
        <v>1005</v>
      </c>
      <c r="E201" s="40" t="s">
        <v>71</v>
      </c>
      <c r="F201" s="40" t="s">
        <v>71</v>
      </c>
      <c r="G201" s="38">
        <v>1</v>
      </c>
      <c r="H201" s="51">
        <v>100000</v>
      </c>
      <c r="I201" s="53">
        <v>0</v>
      </c>
      <c r="J201" s="51">
        <f>H201*(1+I201)</f>
        <v>100000</v>
      </c>
      <c r="K201" s="54">
        <f>J201*G201</f>
        <v>100000</v>
      </c>
      <c r="M201" s="45" t="s">
        <v>1073</v>
      </c>
      <c r="N201" s="45"/>
      <c r="O201" s="45"/>
      <c r="P201" s="45"/>
      <c r="Q201" s="45"/>
      <c r="R201" s="45"/>
      <c r="S201" s="45"/>
      <c r="T201" s="45"/>
      <c r="U201" s="45"/>
      <c r="V201" s="45"/>
      <c r="W201" s="45"/>
      <c r="X201" s="45"/>
      <c r="Y201" s="45"/>
      <c r="Z201" s="56"/>
      <c r="AA201" s="179"/>
      <c r="AB201" s="176"/>
      <c r="AC201" s="176"/>
      <c r="AD201" s="177"/>
    </row>
    <row r="202" spans="1:30" ht="16.149999999999999" thickBot="1">
      <c r="A202" s="7" t="s">
        <v>613</v>
      </c>
      <c r="B202" s="40" t="s">
        <v>614</v>
      </c>
      <c r="C202" s="40" t="s">
        <v>216</v>
      </c>
      <c r="D202" s="40" t="s">
        <v>223</v>
      </c>
      <c r="E202" s="40" t="s">
        <v>555</v>
      </c>
      <c r="F202" s="40" t="s">
        <v>615</v>
      </c>
      <c r="G202" s="183">
        <f>$B$9</f>
        <v>15.826000000000001</v>
      </c>
      <c r="H202" s="51">
        <v>1000</v>
      </c>
      <c r="I202" s="53">
        <v>0</v>
      </c>
      <c r="J202" s="51">
        <f t="shared" si="47"/>
        <v>1000</v>
      </c>
      <c r="K202" s="54">
        <f t="shared" si="48"/>
        <v>15826</v>
      </c>
      <c r="M202" s="45"/>
      <c r="N202" s="45"/>
      <c r="O202" s="45"/>
      <c r="P202" s="45"/>
      <c r="Q202" s="45"/>
      <c r="R202" s="45"/>
      <c r="S202" s="45"/>
      <c r="T202" s="45"/>
      <c r="U202" s="45"/>
      <c r="V202" s="45"/>
      <c r="W202" s="45"/>
      <c r="X202" s="45"/>
      <c r="Y202" s="45"/>
      <c r="Z202" s="56"/>
      <c r="AA202" s="180" t="s">
        <v>616</v>
      </c>
      <c r="AB202" s="181"/>
      <c r="AC202" s="181"/>
      <c r="AD202" s="184">
        <f>AD200/391</f>
        <v>111.76470588235294</v>
      </c>
    </row>
    <row r="203" spans="1:30">
      <c r="A203" s="7" t="s">
        <v>617</v>
      </c>
      <c r="B203" s="40" t="s">
        <v>618</v>
      </c>
      <c r="C203" s="40" t="s">
        <v>216</v>
      </c>
      <c r="D203" s="40" t="s">
        <v>223</v>
      </c>
      <c r="E203" s="40" t="s">
        <v>555</v>
      </c>
      <c r="F203" s="40" t="s">
        <v>615</v>
      </c>
      <c r="G203" s="183">
        <f>$B$9</f>
        <v>15.826000000000001</v>
      </c>
      <c r="H203" s="51">
        <v>1000</v>
      </c>
      <c r="I203" s="53">
        <v>0</v>
      </c>
      <c r="J203" s="51">
        <f t="shared" si="47"/>
        <v>1000</v>
      </c>
      <c r="K203" s="54">
        <f t="shared" si="48"/>
        <v>15826</v>
      </c>
      <c r="M203" s="45"/>
      <c r="N203" s="45"/>
      <c r="O203" s="45"/>
      <c r="P203" s="45"/>
      <c r="Q203" s="45"/>
      <c r="R203" s="45"/>
      <c r="S203" s="45"/>
      <c r="T203" s="45"/>
      <c r="U203" s="45"/>
      <c r="V203" s="45"/>
      <c r="W203" s="45"/>
      <c r="X203" s="45"/>
      <c r="Y203" s="45"/>
      <c r="Z203" s="56"/>
    </row>
    <row r="204" spans="1:30">
      <c r="A204" s="7" t="s">
        <v>619</v>
      </c>
      <c r="B204" s="40" t="s">
        <v>620</v>
      </c>
      <c r="C204" s="40" t="s">
        <v>216</v>
      </c>
      <c r="D204" s="40" t="s">
        <v>242</v>
      </c>
      <c r="E204" s="40" t="s">
        <v>555</v>
      </c>
      <c r="F204" s="40" t="s">
        <v>71</v>
      </c>
      <c r="G204" s="38">
        <f>$Q$7</f>
        <v>1</v>
      </c>
      <c r="H204" s="51">
        <v>17000</v>
      </c>
      <c r="I204" s="53">
        <v>0</v>
      </c>
      <c r="J204" s="51">
        <f t="shared" si="47"/>
        <v>17000</v>
      </c>
      <c r="K204" s="54">
        <f t="shared" si="48"/>
        <v>17000</v>
      </c>
      <c r="M204" s="45"/>
      <c r="N204" s="45"/>
      <c r="O204" s="45"/>
      <c r="P204" s="45"/>
      <c r="Q204" s="45"/>
      <c r="R204" s="45"/>
      <c r="S204" s="45"/>
      <c r="T204" s="45"/>
      <c r="U204" s="45"/>
      <c r="V204" s="45"/>
      <c r="W204" s="45"/>
      <c r="X204" s="45"/>
      <c r="Y204" s="45"/>
      <c r="Z204" s="56"/>
    </row>
    <row r="205" spans="1:30">
      <c r="A205" s="7" t="s">
        <v>621</v>
      </c>
      <c r="B205" s="40" t="s">
        <v>622</v>
      </c>
      <c r="C205" s="40" t="s">
        <v>216</v>
      </c>
      <c r="D205" s="40" t="s">
        <v>242</v>
      </c>
      <c r="E205" s="40" t="s">
        <v>555</v>
      </c>
      <c r="F205" s="40" t="s">
        <v>71</v>
      </c>
      <c r="G205" s="38">
        <f>$Q$7</f>
        <v>1</v>
      </c>
      <c r="H205" s="51">
        <v>11000</v>
      </c>
      <c r="I205" s="53">
        <v>0</v>
      </c>
      <c r="J205" s="51">
        <f t="shared" si="47"/>
        <v>11000</v>
      </c>
      <c r="K205" s="54">
        <f t="shared" si="48"/>
        <v>11000</v>
      </c>
      <c r="M205" s="45"/>
      <c r="N205" s="45"/>
      <c r="O205" s="45"/>
      <c r="P205" s="45"/>
      <c r="Q205" s="45"/>
      <c r="R205" s="45"/>
      <c r="S205" s="45"/>
      <c r="T205" s="45"/>
      <c r="U205" s="45"/>
      <c r="V205" s="45"/>
      <c r="W205" s="45"/>
      <c r="X205" s="45"/>
      <c r="Y205" s="45"/>
      <c r="Z205" s="56"/>
    </row>
    <row r="206" spans="1:30">
      <c r="A206" s="7" t="s">
        <v>623</v>
      </c>
      <c r="B206" s="40" t="s">
        <v>624</v>
      </c>
      <c r="C206" s="40" t="s">
        <v>216</v>
      </c>
      <c r="D206" s="40" t="s">
        <v>250</v>
      </c>
      <c r="E206" s="40" t="s">
        <v>555</v>
      </c>
      <c r="F206" s="40" t="s">
        <v>71</v>
      </c>
      <c r="G206" s="38">
        <f>$Q$7</f>
        <v>1</v>
      </c>
      <c r="H206" s="51">
        <v>2000</v>
      </c>
      <c r="I206" s="53">
        <v>0</v>
      </c>
      <c r="J206" s="51">
        <f t="shared" si="47"/>
        <v>2000</v>
      </c>
      <c r="K206" s="54">
        <f t="shared" si="48"/>
        <v>2000</v>
      </c>
      <c r="M206" s="45"/>
      <c r="N206" s="45"/>
      <c r="O206" s="45"/>
      <c r="P206" s="45"/>
      <c r="Q206" s="45"/>
      <c r="R206" s="45"/>
      <c r="S206" s="45"/>
      <c r="T206" s="45"/>
      <c r="U206" s="45"/>
      <c r="V206" s="45"/>
      <c r="W206" s="45"/>
      <c r="X206" s="45"/>
      <c r="Y206" s="45"/>
      <c r="Z206" s="56"/>
    </row>
    <row r="207" spans="1:30">
      <c r="A207" s="7" t="s">
        <v>625</v>
      </c>
      <c r="B207" s="40" t="s">
        <v>591</v>
      </c>
      <c r="C207" s="40" t="s">
        <v>216</v>
      </c>
      <c r="D207" s="40" t="s">
        <v>235</v>
      </c>
      <c r="E207" s="40" t="s">
        <v>555</v>
      </c>
      <c r="F207" s="40" t="s">
        <v>71</v>
      </c>
      <c r="G207" s="38">
        <f>$W$17</f>
        <v>1</v>
      </c>
      <c r="H207" s="51">
        <v>14250</v>
      </c>
      <c r="I207" s="53">
        <v>0</v>
      </c>
      <c r="J207" s="51">
        <f t="shared" si="47"/>
        <v>14250</v>
      </c>
      <c r="K207" s="54">
        <f t="shared" si="48"/>
        <v>14250</v>
      </c>
      <c r="M207" s="45"/>
      <c r="N207" s="45"/>
      <c r="O207" s="45"/>
      <c r="P207" s="45"/>
      <c r="Q207" s="45"/>
      <c r="R207" s="45"/>
      <c r="S207" s="45"/>
      <c r="T207" s="45"/>
      <c r="U207" s="45"/>
      <c r="V207" s="45"/>
      <c r="W207" s="45"/>
      <c r="X207" s="45"/>
      <c r="Y207" s="45"/>
      <c r="Z207" s="56"/>
    </row>
    <row r="208" spans="1:30">
      <c r="A208" s="7" t="s">
        <v>626</v>
      </c>
      <c r="B208" s="40" t="s">
        <v>595</v>
      </c>
      <c r="C208" s="40" t="s">
        <v>216</v>
      </c>
      <c r="D208" s="40" t="s">
        <v>235</v>
      </c>
      <c r="E208" s="40" t="s">
        <v>555</v>
      </c>
      <c r="F208" s="40" t="s">
        <v>71</v>
      </c>
      <c r="G208" s="38">
        <f>$W$17</f>
        <v>1</v>
      </c>
      <c r="H208" s="51">
        <v>750</v>
      </c>
      <c r="I208" s="53">
        <v>0</v>
      </c>
      <c r="J208" s="51">
        <f t="shared" si="47"/>
        <v>750</v>
      </c>
      <c r="K208" s="54">
        <f t="shared" si="48"/>
        <v>750</v>
      </c>
      <c r="M208" s="45"/>
      <c r="N208" s="45"/>
      <c r="O208" s="45"/>
      <c r="P208" s="45"/>
      <c r="Q208" s="45"/>
      <c r="R208" s="45"/>
      <c r="S208" s="45"/>
      <c r="T208" s="45"/>
      <c r="U208" s="45"/>
      <c r="V208" s="45"/>
      <c r="W208" s="45"/>
      <c r="X208" s="45"/>
      <c r="Y208" s="45"/>
      <c r="Z208" s="56"/>
    </row>
    <row r="209" spans="1:26">
      <c r="A209" s="4" t="s">
        <v>627</v>
      </c>
      <c r="B209" s="151" t="s">
        <v>628</v>
      </c>
      <c r="C209" s="151"/>
      <c r="D209" s="151"/>
      <c r="E209" s="151"/>
      <c r="F209" s="151"/>
      <c r="G209" s="152"/>
      <c r="H209" s="153"/>
      <c r="I209" s="154"/>
      <c r="J209" s="153"/>
      <c r="K209" s="172"/>
      <c r="L209" s="70">
        <f>SUM(K210:K212)</f>
        <v>256063.90999999997</v>
      </c>
      <c r="M209" s="45"/>
      <c r="N209" s="45"/>
      <c r="O209" s="45"/>
      <c r="P209" s="45"/>
      <c r="Q209" s="45"/>
      <c r="R209" s="45"/>
      <c r="S209" s="45"/>
      <c r="T209" s="45"/>
      <c r="U209" s="45"/>
      <c r="V209" s="45"/>
      <c r="W209" s="45"/>
      <c r="X209" s="45"/>
      <c r="Y209" s="45"/>
      <c r="Z209" s="56"/>
    </row>
    <row r="210" spans="1:26">
      <c r="A210" s="6" t="s">
        <v>629</v>
      </c>
      <c r="B210" s="47" t="s">
        <v>630</v>
      </c>
      <c r="C210" s="47" t="s">
        <v>283</v>
      </c>
      <c r="D210" s="47" t="s">
        <v>228</v>
      </c>
      <c r="E210" s="47" t="s">
        <v>73</v>
      </c>
      <c r="F210" s="47" t="s">
        <v>71</v>
      </c>
      <c r="G210" s="42">
        <f>$B$11</f>
        <v>4</v>
      </c>
      <c r="H210" s="61">
        <v>900</v>
      </c>
      <c r="I210" s="63">
        <v>0</v>
      </c>
      <c r="J210" s="66">
        <f t="shared" ref="J210:J212" si="52">H210*(1+I210)</f>
        <v>900</v>
      </c>
      <c r="K210" s="67">
        <f t="shared" ref="K210:K212" si="53">J210*G210</f>
        <v>3600</v>
      </c>
      <c r="M210" s="45" t="s">
        <v>631</v>
      </c>
      <c r="N210" s="45"/>
      <c r="O210" s="45"/>
      <c r="P210" s="45"/>
      <c r="Q210" s="45"/>
      <c r="R210" s="45"/>
      <c r="S210" s="45"/>
      <c r="T210" s="45"/>
      <c r="U210" s="45"/>
      <c r="V210" s="45"/>
      <c r="W210" s="45"/>
      <c r="X210" s="45"/>
      <c r="Y210" s="45"/>
      <c r="Z210" s="56"/>
    </row>
    <row r="211" spans="1:26">
      <c r="A211" s="7" t="s">
        <v>632</v>
      </c>
      <c r="B211" s="40" t="s">
        <v>633</v>
      </c>
      <c r="C211" s="40" t="s">
        <v>216</v>
      </c>
      <c r="D211" s="40" t="s">
        <v>228</v>
      </c>
      <c r="E211" s="40" t="s">
        <v>426</v>
      </c>
      <c r="F211" s="40" t="s">
        <v>61</v>
      </c>
      <c r="G211" s="38">
        <f t="shared" ref="G211" si="54">$B$8</f>
        <v>426549</v>
      </c>
      <c r="H211" s="51">
        <v>0.59</v>
      </c>
      <c r="I211" s="53">
        <v>0</v>
      </c>
      <c r="J211" s="51">
        <f t="shared" si="52"/>
        <v>0.59</v>
      </c>
      <c r="K211" s="54">
        <f t="shared" si="53"/>
        <v>251663.90999999997</v>
      </c>
      <c r="M211" s="45"/>
      <c r="N211" s="45"/>
      <c r="O211" s="45"/>
      <c r="P211" s="45"/>
      <c r="Q211" s="45"/>
      <c r="R211" s="45"/>
      <c r="S211" s="45"/>
      <c r="T211" s="45"/>
      <c r="U211" s="45"/>
      <c r="V211" s="45"/>
      <c r="W211" s="45"/>
      <c r="X211" s="45"/>
      <c r="Y211" s="45"/>
      <c r="Z211" s="56"/>
    </row>
    <row r="212" spans="1:26">
      <c r="A212" s="7" t="s">
        <v>634</v>
      </c>
      <c r="B212" s="40" t="s">
        <v>635</v>
      </c>
      <c r="C212" s="40" t="s">
        <v>216</v>
      </c>
      <c r="D212" s="40" t="s">
        <v>242</v>
      </c>
      <c r="E212" s="40" t="s">
        <v>231</v>
      </c>
      <c r="F212" s="40" t="s">
        <v>71</v>
      </c>
      <c r="G212" s="38">
        <f>$Q$7</f>
        <v>1</v>
      </c>
      <c r="H212" s="51">
        <v>800</v>
      </c>
      <c r="I212" s="53">
        <v>0</v>
      </c>
      <c r="J212" s="51">
        <f t="shared" si="52"/>
        <v>800</v>
      </c>
      <c r="K212" s="54">
        <f t="shared" si="53"/>
        <v>800</v>
      </c>
      <c r="M212" s="45" t="s">
        <v>1074</v>
      </c>
      <c r="N212" s="45"/>
      <c r="O212" s="45"/>
      <c r="P212" s="45"/>
      <c r="Q212" s="45"/>
      <c r="R212" s="45"/>
      <c r="S212" s="45"/>
      <c r="T212" s="45"/>
      <c r="U212" s="45"/>
      <c r="V212" s="45"/>
      <c r="W212" s="45"/>
      <c r="X212" s="45"/>
      <c r="Y212" s="45"/>
      <c r="Z212" s="56"/>
    </row>
    <row r="213" spans="1:26">
      <c r="A213" s="4" t="s">
        <v>636</v>
      </c>
      <c r="B213" s="151" t="s">
        <v>637</v>
      </c>
      <c r="C213" s="151"/>
      <c r="D213" s="151"/>
      <c r="E213" s="151"/>
      <c r="F213" s="151"/>
      <c r="G213" s="152"/>
      <c r="H213" s="153"/>
      <c r="I213" s="154"/>
      <c r="J213" s="153"/>
      <c r="K213" s="172"/>
      <c r="L213" s="70">
        <f>SUM(K214:K216)</f>
        <v>1225627.1168501596</v>
      </c>
      <c r="M213" s="45"/>
      <c r="N213" s="45"/>
      <c r="O213" s="45"/>
      <c r="P213" s="45"/>
      <c r="Q213" s="45"/>
      <c r="R213" s="45"/>
      <c r="S213" s="45"/>
      <c r="T213" s="45"/>
      <c r="U213" s="45"/>
      <c r="V213" s="45"/>
      <c r="W213" s="45"/>
      <c r="X213" s="45"/>
      <c r="Y213" s="45"/>
      <c r="Z213" s="56"/>
    </row>
    <row r="214" spans="1:26">
      <c r="A214" s="41" t="s">
        <v>638</v>
      </c>
      <c r="B214" s="47" t="s">
        <v>639</v>
      </c>
      <c r="C214" s="47" t="s">
        <v>216</v>
      </c>
      <c r="D214" s="47" t="s">
        <v>228</v>
      </c>
      <c r="E214" s="47" t="s">
        <v>543</v>
      </c>
      <c r="F214" s="47" t="s">
        <v>88</v>
      </c>
      <c r="G214" s="42">
        <f>$E$8</f>
        <v>390</v>
      </c>
      <c r="H214" s="61">
        <v>581</v>
      </c>
      <c r="I214" s="63">
        <v>0</v>
      </c>
      <c r="J214" s="66">
        <f t="shared" ref="J214:J216" si="55">H214*(1+I214)</f>
        <v>581</v>
      </c>
      <c r="K214" s="67">
        <f t="shared" ref="K214:K216" si="56">J214*G214</f>
        <v>226590</v>
      </c>
      <c r="M214" s="45"/>
      <c r="N214" s="45"/>
      <c r="O214" s="45"/>
      <c r="P214" s="45"/>
      <c r="Q214" s="45"/>
      <c r="R214" s="45"/>
      <c r="S214" s="45"/>
      <c r="T214" s="45"/>
      <c r="U214" s="45"/>
      <c r="V214" s="45"/>
      <c r="W214" s="45"/>
      <c r="X214" s="45"/>
      <c r="Y214" s="45"/>
      <c r="Z214" s="56"/>
    </row>
    <row r="215" spans="1:26">
      <c r="A215" s="7" t="s">
        <v>640</v>
      </c>
      <c r="B215" s="40" t="s">
        <v>641</v>
      </c>
      <c r="C215" s="40" t="s">
        <v>216</v>
      </c>
      <c r="D215" s="40" t="s">
        <v>223</v>
      </c>
      <c r="E215" s="40" t="s">
        <v>426</v>
      </c>
      <c r="F215" s="40" t="s">
        <v>88</v>
      </c>
      <c r="G215" s="38">
        <f>$E$8</f>
        <v>390</v>
      </c>
      <c r="H215" s="51">
        <v>442</v>
      </c>
      <c r="I215" s="53">
        <v>0</v>
      </c>
      <c r="J215" s="51">
        <f t="shared" si="55"/>
        <v>442</v>
      </c>
      <c r="K215" s="54">
        <f t="shared" si="56"/>
        <v>172380</v>
      </c>
      <c r="M215" s="45"/>
      <c r="N215" s="45"/>
      <c r="O215" s="45"/>
      <c r="P215" s="45"/>
      <c r="Q215" s="45"/>
      <c r="R215" s="45"/>
      <c r="S215" s="45"/>
      <c r="T215" s="45"/>
      <c r="U215" s="45"/>
      <c r="V215" s="45"/>
      <c r="W215" s="45"/>
      <c r="X215" s="45"/>
      <c r="Y215" s="45"/>
      <c r="Z215" s="56"/>
    </row>
    <row r="216" spans="1:26">
      <c r="A216" s="7" t="s">
        <v>642</v>
      </c>
      <c r="B216" s="40" t="s">
        <v>643</v>
      </c>
      <c r="C216" s="40" t="s">
        <v>216</v>
      </c>
      <c r="D216" s="40" t="s">
        <v>228</v>
      </c>
      <c r="E216" s="40" t="s">
        <v>543</v>
      </c>
      <c r="F216" s="40" t="s">
        <v>61</v>
      </c>
      <c r="G216" s="38">
        <f>$B$8</f>
        <v>426549</v>
      </c>
      <c r="H216" s="51">
        <v>1.9380120850128819</v>
      </c>
      <c r="I216" s="53">
        <v>0</v>
      </c>
      <c r="J216" s="51">
        <f t="shared" si="55"/>
        <v>1.9380120850128819</v>
      </c>
      <c r="K216" s="54">
        <f t="shared" si="56"/>
        <v>826657.11685015971</v>
      </c>
      <c r="M216" s="45" t="s">
        <v>1075</v>
      </c>
      <c r="N216" s="45"/>
      <c r="O216" s="45"/>
      <c r="P216" s="45"/>
      <c r="Q216" s="45"/>
      <c r="R216" s="45"/>
      <c r="S216" s="45"/>
      <c r="T216" s="45"/>
      <c r="U216" s="45"/>
      <c r="V216" s="45"/>
      <c r="W216" s="45"/>
      <c r="X216" s="45"/>
      <c r="Y216" s="45"/>
      <c r="Z216" s="56"/>
    </row>
    <row r="217" spans="1:26">
      <c r="A217" s="4" t="s">
        <v>644</v>
      </c>
      <c r="B217" s="151" t="s">
        <v>645</v>
      </c>
      <c r="C217" s="151"/>
      <c r="D217" s="151"/>
      <c r="E217" s="151"/>
      <c r="F217" s="151"/>
      <c r="G217" s="152"/>
      <c r="H217" s="153"/>
      <c r="I217" s="154"/>
      <c r="J217" s="153"/>
      <c r="K217" s="172"/>
      <c r="L217" s="70">
        <f>SUM(K218:K226)</f>
        <v>2253311.8558999998</v>
      </c>
      <c r="M217" s="45"/>
      <c r="N217" s="45"/>
      <c r="O217" s="45"/>
      <c r="P217" s="45"/>
      <c r="Q217" s="45"/>
      <c r="R217" s="45"/>
      <c r="S217" s="45"/>
      <c r="T217" s="45"/>
      <c r="U217" s="45"/>
      <c r="V217" s="45"/>
      <c r="W217" s="45"/>
      <c r="X217" s="45"/>
      <c r="Y217" s="45"/>
      <c r="Z217" s="56"/>
    </row>
    <row r="218" spans="1:26">
      <c r="A218" s="6" t="s">
        <v>646</v>
      </c>
      <c r="B218" s="47" t="s">
        <v>647</v>
      </c>
      <c r="C218" s="47" t="s">
        <v>216</v>
      </c>
      <c r="D218" s="47" t="s">
        <v>223</v>
      </c>
      <c r="E218" s="47" t="s">
        <v>782</v>
      </c>
      <c r="F218" s="47" t="s">
        <v>615</v>
      </c>
      <c r="G218" s="185">
        <f>$B$9</f>
        <v>15.826000000000001</v>
      </c>
      <c r="H218" s="61">
        <v>6331.5499999999993</v>
      </c>
      <c r="I218" s="63">
        <v>0</v>
      </c>
      <c r="J218" s="66">
        <f t="shared" ref="J218:J226" si="57">H218*(1+I218)</f>
        <v>6331.5499999999993</v>
      </c>
      <c r="K218" s="67">
        <f t="shared" ref="K218:K226" si="58">J218*G218</f>
        <v>100203.11029999999</v>
      </c>
      <c r="M218" s="45"/>
      <c r="N218" s="45"/>
      <c r="O218" s="45"/>
      <c r="P218" s="45"/>
      <c r="Q218" s="45"/>
      <c r="R218" s="45"/>
      <c r="S218" s="45"/>
      <c r="T218" s="45"/>
      <c r="U218" s="45"/>
      <c r="V218" s="45"/>
      <c r="W218" s="45"/>
      <c r="X218" s="45"/>
      <c r="Y218" s="45"/>
      <c r="Z218" s="56"/>
    </row>
    <row r="219" spans="1:26">
      <c r="A219" s="7" t="s">
        <v>648</v>
      </c>
      <c r="B219" s="40" t="s">
        <v>649</v>
      </c>
      <c r="C219" s="40" t="s">
        <v>216</v>
      </c>
      <c r="D219" s="40" t="s">
        <v>223</v>
      </c>
      <c r="E219" s="40" t="s">
        <v>782</v>
      </c>
      <c r="F219" s="40" t="s">
        <v>615</v>
      </c>
      <c r="G219" s="183">
        <f>$B$9</f>
        <v>15.826000000000001</v>
      </c>
      <c r="H219" s="51">
        <v>3485.6</v>
      </c>
      <c r="I219" s="53">
        <v>0</v>
      </c>
      <c r="J219" s="51">
        <f t="shared" si="57"/>
        <v>3485.6</v>
      </c>
      <c r="K219" s="54">
        <f t="shared" si="58"/>
        <v>55163.105600000003</v>
      </c>
      <c r="M219" s="45"/>
      <c r="N219" s="45"/>
      <c r="O219" s="45"/>
      <c r="P219" s="45"/>
      <c r="Q219" s="45"/>
      <c r="R219" s="45"/>
      <c r="S219" s="45"/>
      <c r="T219" s="45"/>
      <c r="U219" s="45"/>
      <c r="V219" s="45"/>
      <c r="W219" s="45"/>
      <c r="X219" s="45"/>
      <c r="Y219" s="45"/>
      <c r="Z219" s="56"/>
    </row>
    <row r="220" spans="1:26">
      <c r="A220" s="7" t="s">
        <v>650</v>
      </c>
      <c r="B220" s="40" t="s">
        <v>651</v>
      </c>
      <c r="C220" s="40" t="s">
        <v>216</v>
      </c>
      <c r="D220" s="40" t="s">
        <v>223</v>
      </c>
      <c r="E220" s="40" t="s">
        <v>73</v>
      </c>
      <c r="F220" s="40" t="s">
        <v>71</v>
      </c>
      <c r="G220" s="38">
        <v>1</v>
      </c>
      <c r="H220" s="51">
        <v>40000</v>
      </c>
      <c r="I220" s="53">
        <v>0</v>
      </c>
      <c r="J220" s="51">
        <f t="shared" si="57"/>
        <v>40000</v>
      </c>
      <c r="K220" s="54">
        <f t="shared" si="58"/>
        <v>40000</v>
      </c>
      <c r="M220" s="45"/>
      <c r="N220" s="45"/>
      <c r="O220" s="45"/>
      <c r="P220" s="45"/>
      <c r="Q220" s="45"/>
      <c r="R220" s="45"/>
      <c r="S220" s="45"/>
      <c r="T220" s="45"/>
      <c r="U220" s="45"/>
      <c r="V220" s="45"/>
      <c r="W220" s="45"/>
      <c r="X220" s="45"/>
      <c r="Y220" s="45"/>
      <c r="Z220" s="56"/>
    </row>
    <row r="221" spans="1:26">
      <c r="A221" s="7" t="s">
        <v>652</v>
      </c>
      <c r="B221" s="40" t="s">
        <v>653</v>
      </c>
      <c r="C221" s="40" t="s">
        <v>216</v>
      </c>
      <c r="D221" s="40" t="s">
        <v>223</v>
      </c>
      <c r="E221" s="40" t="s">
        <v>6</v>
      </c>
      <c r="F221" s="40" t="s">
        <v>71</v>
      </c>
      <c r="G221" s="38">
        <v>1</v>
      </c>
      <c r="H221" s="51">
        <v>100000</v>
      </c>
      <c r="I221" s="53">
        <v>0</v>
      </c>
      <c r="J221" s="51">
        <f t="shared" si="57"/>
        <v>100000</v>
      </c>
      <c r="K221" s="54">
        <f t="shared" si="58"/>
        <v>100000</v>
      </c>
      <c r="M221" s="45" t="s">
        <v>654</v>
      </c>
      <c r="N221" s="45"/>
      <c r="O221" s="45"/>
      <c r="P221" s="45"/>
      <c r="Q221" s="45"/>
      <c r="R221" s="45"/>
      <c r="S221" s="45"/>
      <c r="T221" s="45"/>
      <c r="U221" s="45"/>
      <c r="V221" s="45"/>
      <c r="W221" s="45"/>
      <c r="X221" s="45"/>
      <c r="Y221" s="45"/>
      <c r="Z221" s="56"/>
    </row>
    <row r="222" spans="1:26">
      <c r="A222" s="7" t="s">
        <v>655</v>
      </c>
      <c r="B222" s="40" t="s">
        <v>656</v>
      </c>
      <c r="C222" s="40" t="s">
        <v>216</v>
      </c>
      <c r="D222" s="40" t="s">
        <v>223</v>
      </c>
      <c r="E222" s="40" t="s">
        <v>6</v>
      </c>
      <c r="F222" s="40" t="s">
        <v>71</v>
      </c>
      <c r="G222" s="38">
        <v>1</v>
      </c>
      <c r="H222" s="51">
        <v>1521552</v>
      </c>
      <c r="I222" s="53">
        <v>0</v>
      </c>
      <c r="J222" s="51">
        <f t="shared" si="57"/>
        <v>1521552</v>
      </c>
      <c r="K222" s="54">
        <f t="shared" si="58"/>
        <v>1521552</v>
      </c>
      <c r="M222" s="45" t="s">
        <v>1076</v>
      </c>
      <c r="N222" s="45"/>
      <c r="O222" s="45"/>
      <c r="P222" s="45"/>
      <c r="Q222" s="45"/>
      <c r="R222" s="45"/>
      <c r="S222" s="45"/>
      <c r="T222" s="45"/>
      <c r="U222" s="45"/>
      <c r="V222" s="45"/>
      <c r="W222" s="45"/>
      <c r="X222" s="45"/>
      <c r="Y222" s="45"/>
      <c r="Z222" s="56"/>
    </row>
    <row r="223" spans="1:26">
      <c r="A223" s="7" t="s">
        <v>658</v>
      </c>
      <c r="B223" s="40" t="s">
        <v>659</v>
      </c>
      <c r="C223" s="40" t="s">
        <v>216</v>
      </c>
      <c r="D223" s="40" t="s">
        <v>223</v>
      </c>
      <c r="E223" s="40" t="s">
        <v>6</v>
      </c>
      <c r="F223" s="40" t="s">
        <v>71</v>
      </c>
      <c r="G223" s="38">
        <v>1</v>
      </c>
      <c r="H223" s="51">
        <v>45404.3</v>
      </c>
      <c r="I223" s="53">
        <v>0</v>
      </c>
      <c r="J223" s="51">
        <f t="shared" si="57"/>
        <v>45404.3</v>
      </c>
      <c r="K223" s="54">
        <f t="shared" si="58"/>
        <v>45404.3</v>
      </c>
      <c r="M223" s="45" t="s">
        <v>654</v>
      </c>
      <c r="N223" s="45"/>
      <c r="O223" s="45"/>
      <c r="P223" s="45"/>
      <c r="Q223" s="45"/>
      <c r="R223" s="45"/>
      <c r="S223" s="45"/>
      <c r="T223" s="45"/>
      <c r="U223" s="45"/>
      <c r="V223" s="45"/>
      <c r="W223" s="45"/>
      <c r="X223" s="45"/>
      <c r="Y223" s="45"/>
      <c r="Z223" s="56"/>
    </row>
    <row r="224" spans="1:26">
      <c r="A224" s="7" t="s">
        <v>660</v>
      </c>
      <c r="B224" s="40" t="s">
        <v>661</v>
      </c>
      <c r="C224" s="40" t="s">
        <v>216</v>
      </c>
      <c r="D224" s="40" t="s">
        <v>223</v>
      </c>
      <c r="E224" s="40" t="s">
        <v>6</v>
      </c>
      <c r="F224" s="40" t="s">
        <v>71</v>
      </c>
      <c r="G224" s="38">
        <v>1</v>
      </c>
      <c r="H224" s="51">
        <v>350000</v>
      </c>
      <c r="I224" s="53">
        <v>0</v>
      </c>
      <c r="J224" s="51">
        <f t="shared" si="57"/>
        <v>350000</v>
      </c>
      <c r="K224" s="54">
        <f t="shared" si="58"/>
        <v>350000</v>
      </c>
      <c r="M224" s="45" t="s">
        <v>1077</v>
      </c>
      <c r="N224" s="45"/>
      <c r="O224" s="45"/>
      <c r="P224" s="45"/>
      <c r="Q224" s="45"/>
      <c r="R224" s="45"/>
      <c r="S224" s="45"/>
      <c r="T224" s="45"/>
      <c r="U224" s="45"/>
      <c r="V224" s="45"/>
      <c r="W224" s="45"/>
      <c r="X224" s="45"/>
      <c r="Y224" s="45"/>
      <c r="Z224" s="56"/>
    </row>
    <row r="225" spans="1:26">
      <c r="A225" s="7" t="s">
        <v>662</v>
      </c>
      <c r="B225" s="40" t="s">
        <v>663</v>
      </c>
      <c r="C225" s="40" t="s">
        <v>216</v>
      </c>
      <c r="D225" s="40" t="s">
        <v>223</v>
      </c>
      <c r="E225" s="40" t="s">
        <v>231</v>
      </c>
      <c r="F225" s="40"/>
      <c r="G225" s="38"/>
      <c r="H225" s="51">
        <v>0</v>
      </c>
      <c r="I225" s="53">
        <v>0</v>
      </c>
      <c r="J225" s="51">
        <f t="shared" si="57"/>
        <v>0</v>
      </c>
      <c r="K225" s="54">
        <f t="shared" si="58"/>
        <v>0</v>
      </c>
      <c r="M225" s="45"/>
      <c r="N225" s="45"/>
      <c r="O225" s="45"/>
      <c r="P225" s="45"/>
      <c r="Q225" s="45"/>
      <c r="R225" s="45"/>
      <c r="S225" s="45"/>
      <c r="T225" s="45"/>
      <c r="U225" s="45"/>
      <c r="V225" s="45"/>
      <c r="W225" s="45"/>
      <c r="X225" s="45"/>
      <c r="Y225" s="45"/>
      <c r="Z225" s="56"/>
    </row>
    <row r="226" spans="1:26">
      <c r="A226" s="7" t="s">
        <v>664</v>
      </c>
      <c r="B226" s="40" t="s">
        <v>665</v>
      </c>
      <c r="C226" s="40" t="s">
        <v>216</v>
      </c>
      <c r="D226" s="40" t="s">
        <v>223</v>
      </c>
      <c r="E226" s="40" t="s">
        <v>782</v>
      </c>
      <c r="F226" s="40" t="s">
        <v>615</v>
      </c>
      <c r="G226" s="183">
        <f>$B$9</f>
        <v>15.826000000000001</v>
      </c>
      <c r="H226" s="51">
        <v>2590</v>
      </c>
      <c r="I226" s="53">
        <v>0</v>
      </c>
      <c r="J226" s="51">
        <f t="shared" si="57"/>
        <v>2590</v>
      </c>
      <c r="K226" s="54">
        <f t="shared" si="58"/>
        <v>40989.340000000004</v>
      </c>
      <c r="M226" s="45"/>
      <c r="N226" s="45"/>
      <c r="O226" s="45"/>
      <c r="P226" s="45"/>
      <c r="Q226" s="45"/>
      <c r="R226" s="45"/>
      <c r="S226" s="45"/>
      <c r="T226" s="45"/>
      <c r="U226" s="45"/>
      <c r="V226" s="45"/>
      <c r="W226" s="45"/>
      <c r="X226" s="45"/>
      <c r="Y226" s="45"/>
      <c r="Z226" s="56"/>
    </row>
    <row r="227" spans="1:26">
      <c r="A227" s="4" t="s">
        <v>666</v>
      </c>
      <c r="B227" s="151" t="s">
        <v>667</v>
      </c>
      <c r="C227" s="151"/>
      <c r="D227" s="151"/>
      <c r="E227" s="151"/>
      <c r="F227" s="151"/>
      <c r="G227" s="152"/>
      <c r="H227" s="153"/>
      <c r="I227" s="154"/>
      <c r="J227" s="153"/>
      <c r="K227" s="172"/>
      <c r="L227" s="70">
        <f>SUM(K228:K263)</f>
        <v>6759782.1359999999</v>
      </c>
      <c r="M227" s="45"/>
      <c r="N227" s="45"/>
      <c r="O227" s="45"/>
      <c r="P227" s="45"/>
      <c r="Q227" s="45"/>
      <c r="R227" s="45"/>
      <c r="S227" s="45"/>
      <c r="T227" s="45"/>
      <c r="U227" s="45"/>
      <c r="V227" s="45"/>
      <c r="W227" s="45"/>
      <c r="X227" s="45"/>
      <c r="Y227" s="45"/>
      <c r="Z227" s="56"/>
    </row>
    <row r="228" spans="1:26">
      <c r="A228" s="6" t="s">
        <v>668</v>
      </c>
      <c r="B228" s="47" t="s">
        <v>669</v>
      </c>
      <c r="C228" s="47" t="s">
        <v>233</v>
      </c>
      <c r="D228" s="47" t="s">
        <v>223</v>
      </c>
      <c r="E228" s="47" t="s">
        <v>555</v>
      </c>
      <c r="F228" s="47" t="s">
        <v>71</v>
      </c>
      <c r="G228" s="42">
        <v>1</v>
      </c>
      <c r="H228" s="61">
        <v>10000</v>
      </c>
      <c r="I228" s="63">
        <v>0</v>
      </c>
      <c r="J228" s="66">
        <f t="shared" ref="J228:J263" si="59">H228*(1+I228)</f>
        <v>10000</v>
      </c>
      <c r="K228" s="67">
        <f t="shared" ref="K228:K263" si="60">J228*G228</f>
        <v>10000</v>
      </c>
      <c r="M228" s="45"/>
      <c r="N228" s="45"/>
      <c r="O228" s="45"/>
      <c r="P228" s="45"/>
      <c r="Q228" s="45"/>
      <c r="R228" s="45"/>
      <c r="S228" s="45"/>
      <c r="T228" s="45"/>
      <c r="U228" s="45"/>
      <c r="V228" s="45"/>
      <c r="W228" s="45"/>
      <c r="X228" s="45"/>
      <c r="Y228" s="45"/>
      <c r="Z228" s="56"/>
    </row>
    <row r="229" spans="1:26">
      <c r="A229" s="7" t="s">
        <v>670</v>
      </c>
      <c r="B229" s="40" t="s">
        <v>671</v>
      </c>
      <c r="C229" s="40" t="s">
        <v>216</v>
      </c>
      <c r="D229" s="40" t="s">
        <v>238</v>
      </c>
      <c r="E229" s="40" t="s">
        <v>555</v>
      </c>
      <c r="F229" s="40" t="s">
        <v>71</v>
      </c>
      <c r="G229" s="38">
        <v>1</v>
      </c>
      <c r="H229" s="51">
        <v>15000</v>
      </c>
      <c r="I229" s="53">
        <v>0</v>
      </c>
      <c r="J229" s="51">
        <f t="shared" si="59"/>
        <v>15000</v>
      </c>
      <c r="K229" s="54">
        <f t="shared" si="60"/>
        <v>15000</v>
      </c>
      <c r="M229" s="45"/>
      <c r="N229" s="45"/>
      <c r="O229" s="45"/>
      <c r="P229" s="45"/>
      <c r="Q229" s="45"/>
      <c r="R229" s="45"/>
      <c r="S229" s="45"/>
      <c r="T229" s="45"/>
      <c r="U229" s="45"/>
      <c r="V229" s="45"/>
      <c r="W229" s="45"/>
      <c r="X229" s="45"/>
      <c r="Y229" s="45"/>
      <c r="Z229" s="56"/>
    </row>
    <row r="230" spans="1:26">
      <c r="A230" s="7" t="s">
        <v>672</v>
      </c>
      <c r="B230" s="40" t="s">
        <v>673</v>
      </c>
      <c r="C230" s="40" t="s">
        <v>216</v>
      </c>
      <c r="D230" s="40" t="s">
        <v>223</v>
      </c>
      <c r="E230" s="40" t="s">
        <v>6</v>
      </c>
      <c r="F230" s="40" t="s">
        <v>71</v>
      </c>
      <c r="G230" s="38">
        <v>1</v>
      </c>
      <c r="H230" s="51">
        <v>50000</v>
      </c>
      <c r="I230" s="53">
        <v>0</v>
      </c>
      <c r="J230" s="51">
        <f t="shared" si="59"/>
        <v>50000</v>
      </c>
      <c r="K230" s="54">
        <f t="shared" si="60"/>
        <v>50000</v>
      </c>
      <c r="M230" s="45" t="s">
        <v>654</v>
      </c>
      <c r="N230" s="45"/>
      <c r="O230" s="45"/>
      <c r="P230" s="45"/>
      <c r="Q230" s="45"/>
      <c r="R230" s="45"/>
      <c r="S230" s="45"/>
      <c r="T230" s="45"/>
      <c r="U230" s="45"/>
      <c r="V230" s="45"/>
      <c r="W230" s="45"/>
      <c r="X230" s="45"/>
      <c r="Y230" s="45"/>
      <c r="Z230" s="56"/>
    </row>
    <row r="231" spans="1:26">
      <c r="A231" s="7" t="s">
        <v>674</v>
      </c>
      <c r="B231" s="40" t="s">
        <v>675</v>
      </c>
      <c r="C231" s="40" t="s">
        <v>216</v>
      </c>
      <c r="D231" s="40" t="s">
        <v>223</v>
      </c>
      <c r="E231" s="40" t="s">
        <v>6</v>
      </c>
      <c r="F231" s="40" t="s">
        <v>71</v>
      </c>
      <c r="G231" s="38">
        <v>1</v>
      </c>
      <c r="H231" s="51">
        <v>833558.05</v>
      </c>
      <c r="I231" s="53">
        <v>0</v>
      </c>
      <c r="J231" s="51">
        <f t="shared" si="59"/>
        <v>833558.05</v>
      </c>
      <c r="K231" s="54">
        <f t="shared" si="60"/>
        <v>833558.05</v>
      </c>
      <c r="M231" s="45" t="s">
        <v>654</v>
      </c>
      <c r="N231" s="45"/>
      <c r="O231" s="45"/>
      <c r="P231" s="45"/>
      <c r="Q231" s="45"/>
      <c r="R231" s="45"/>
      <c r="S231" s="45"/>
      <c r="T231" s="45"/>
      <c r="U231" s="45"/>
      <c r="V231" s="45"/>
      <c r="W231" s="45"/>
      <c r="X231" s="45"/>
      <c r="Y231" s="45"/>
      <c r="Z231" s="56"/>
    </row>
    <row r="232" spans="1:26">
      <c r="A232" s="7" t="s">
        <v>676</v>
      </c>
      <c r="B232" s="40" t="s">
        <v>677</v>
      </c>
      <c r="C232" s="40" t="s">
        <v>216</v>
      </c>
      <c r="D232" s="40" t="s">
        <v>223</v>
      </c>
      <c r="E232" s="40" t="s">
        <v>555</v>
      </c>
      <c r="F232" s="40" t="s">
        <v>61</v>
      </c>
      <c r="G232" s="38">
        <v>272443</v>
      </c>
      <c r="H232" s="51">
        <v>0.18</v>
      </c>
      <c r="I232" s="53">
        <v>0</v>
      </c>
      <c r="J232" s="51">
        <f t="shared" si="59"/>
        <v>0.18</v>
      </c>
      <c r="K232" s="54">
        <f t="shared" si="60"/>
        <v>49039.74</v>
      </c>
      <c r="M232" s="45"/>
      <c r="N232" s="45"/>
      <c r="O232" s="45"/>
      <c r="P232" s="45"/>
      <c r="Q232" s="45"/>
      <c r="R232" s="45"/>
      <c r="S232" s="45"/>
      <c r="T232" s="45"/>
      <c r="U232" s="45"/>
      <c r="V232" s="45"/>
      <c r="W232" s="45"/>
      <c r="X232" s="45"/>
      <c r="Y232" s="45"/>
      <c r="Z232" s="56"/>
    </row>
    <row r="233" spans="1:26">
      <c r="A233" s="7" t="s">
        <v>149</v>
      </c>
      <c r="B233" s="40" t="s">
        <v>678</v>
      </c>
      <c r="C233" s="40" t="s">
        <v>216</v>
      </c>
      <c r="D233" s="40" t="s">
        <v>238</v>
      </c>
      <c r="E233" s="40" t="s">
        <v>555</v>
      </c>
      <c r="F233" s="40" t="s">
        <v>148</v>
      </c>
      <c r="G233" s="38">
        <v>10647</v>
      </c>
      <c r="H233" s="51">
        <v>7.5</v>
      </c>
      <c r="I233" s="53">
        <v>0</v>
      </c>
      <c r="J233" s="51">
        <f t="shared" si="59"/>
        <v>7.5</v>
      </c>
      <c r="K233" s="54">
        <f t="shared" si="60"/>
        <v>79852.5</v>
      </c>
      <c r="M233" s="45"/>
      <c r="N233" s="45"/>
      <c r="O233" s="45"/>
      <c r="P233" s="45"/>
      <c r="Q233" s="45"/>
      <c r="R233" s="45"/>
      <c r="S233" s="45"/>
      <c r="T233" s="45"/>
      <c r="U233" s="45"/>
      <c r="V233" s="45"/>
      <c r="W233" s="45"/>
      <c r="X233" s="45"/>
      <c r="Y233" s="45"/>
      <c r="Z233" s="56"/>
    </row>
    <row r="234" spans="1:26">
      <c r="A234" s="7" t="s">
        <v>679</v>
      </c>
      <c r="B234" s="40" t="s">
        <v>680</v>
      </c>
      <c r="C234" s="40" t="s">
        <v>216</v>
      </c>
      <c r="D234" s="40" t="s">
        <v>242</v>
      </c>
      <c r="E234" s="40" t="s">
        <v>555</v>
      </c>
      <c r="F234" s="40" t="s">
        <v>61</v>
      </c>
      <c r="G234" s="38">
        <v>4641</v>
      </c>
      <c r="H234" s="51">
        <v>10</v>
      </c>
      <c r="I234" s="53">
        <v>0</v>
      </c>
      <c r="J234" s="51">
        <f t="shared" si="59"/>
        <v>10</v>
      </c>
      <c r="K234" s="54">
        <f t="shared" si="60"/>
        <v>46410</v>
      </c>
      <c r="M234" s="45"/>
      <c r="N234" s="45"/>
      <c r="O234" s="45"/>
      <c r="P234" s="45"/>
      <c r="Q234" s="45"/>
      <c r="R234" s="45"/>
      <c r="S234" s="45"/>
      <c r="T234" s="45"/>
      <c r="U234" s="45"/>
      <c r="V234" s="45"/>
      <c r="W234" s="45"/>
      <c r="X234" s="45"/>
      <c r="Y234" s="45"/>
      <c r="Z234" s="56"/>
    </row>
    <row r="235" spans="1:26">
      <c r="A235" s="7" t="s">
        <v>681</v>
      </c>
      <c r="B235" s="40" t="s">
        <v>682</v>
      </c>
      <c r="C235" s="40" t="s">
        <v>216</v>
      </c>
      <c r="D235" s="40" t="s">
        <v>223</v>
      </c>
      <c r="E235" s="40" t="s">
        <v>6</v>
      </c>
      <c r="F235" s="40" t="s">
        <v>71</v>
      </c>
      <c r="G235" s="38">
        <v>1</v>
      </c>
      <c r="H235" s="51">
        <v>123323</v>
      </c>
      <c r="I235" s="53">
        <v>0</v>
      </c>
      <c r="J235" s="51">
        <f t="shared" si="59"/>
        <v>123323</v>
      </c>
      <c r="K235" s="54">
        <f t="shared" si="60"/>
        <v>123323</v>
      </c>
      <c r="M235" s="45" t="s">
        <v>654</v>
      </c>
      <c r="N235" s="45"/>
      <c r="O235" s="45"/>
      <c r="P235" s="45"/>
      <c r="Q235" s="45"/>
      <c r="R235" s="45"/>
      <c r="S235" s="45"/>
      <c r="T235" s="45"/>
      <c r="U235" s="45"/>
      <c r="V235" s="45"/>
      <c r="W235" s="45"/>
      <c r="X235" s="45"/>
      <c r="Y235" s="45"/>
      <c r="Z235" s="56"/>
    </row>
    <row r="236" spans="1:26">
      <c r="A236" s="7" t="s">
        <v>683</v>
      </c>
      <c r="B236" s="40" t="s">
        <v>684</v>
      </c>
      <c r="C236" s="40" t="s">
        <v>216</v>
      </c>
      <c r="D236" s="40" t="s">
        <v>223</v>
      </c>
      <c r="E236" s="40" t="s">
        <v>6</v>
      </c>
      <c r="F236" s="40" t="s">
        <v>71</v>
      </c>
      <c r="G236" s="38">
        <v>1</v>
      </c>
      <c r="H236" s="51">
        <v>165960</v>
      </c>
      <c r="I236" s="53">
        <v>0</v>
      </c>
      <c r="J236" s="51">
        <f t="shared" si="59"/>
        <v>165960</v>
      </c>
      <c r="K236" s="54">
        <f t="shared" si="60"/>
        <v>165960</v>
      </c>
      <c r="M236" s="45" t="s">
        <v>654</v>
      </c>
      <c r="N236" s="45"/>
      <c r="O236" s="45"/>
      <c r="P236" s="45"/>
      <c r="Q236" s="45"/>
      <c r="R236" s="45"/>
      <c r="S236" s="45"/>
      <c r="T236" s="45"/>
      <c r="U236" s="45"/>
      <c r="V236" s="45"/>
      <c r="W236" s="45"/>
      <c r="X236" s="45"/>
      <c r="Y236" s="45"/>
      <c r="Z236" s="56"/>
    </row>
    <row r="237" spans="1:26">
      <c r="A237" s="52" t="s">
        <v>685</v>
      </c>
      <c r="B237" s="40" t="s">
        <v>686</v>
      </c>
      <c r="C237" s="40" t="s">
        <v>216</v>
      </c>
      <c r="D237" s="40" t="s">
        <v>223</v>
      </c>
      <c r="E237" s="40" t="s">
        <v>6</v>
      </c>
      <c r="F237" s="40" t="s">
        <v>71</v>
      </c>
      <c r="G237" s="38">
        <v>1</v>
      </c>
      <c r="H237" s="51">
        <v>213532</v>
      </c>
      <c r="I237" s="53">
        <v>0</v>
      </c>
      <c r="J237" s="51">
        <f t="shared" si="59"/>
        <v>213532</v>
      </c>
      <c r="K237" s="54">
        <f t="shared" si="60"/>
        <v>213532</v>
      </c>
      <c r="M237" s="45" t="s">
        <v>654</v>
      </c>
      <c r="N237" s="45"/>
      <c r="O237" s="45"/>
      <c r="P237" s="45"/>
      <c r="Q237" s="45"/>
      <c r="R237" s="45"/>
      <c r="S237" s="45"/>
      <c r="T237" s="45"/>
      <c r="U237" s="45"/>
      <c r="V237" s="45"/>
      <c r="W237" s="45"/>
      <c r="X237" s="45"/>
      <c r="Y237" s="45"/>
      <c r="Z237" s="56"/>
    </row>
    <row r="238" spans="1:26">
      <c r="A238" s="7" t="s">
        <v>687</v>
      </c>
      <c r="B238" s="40" t="s">
        <v>688</v>
      </c>
      <c r="C238" s="40" t="s">
        <v>216</v>
      </c>
      <c r="D238" s="40" t="s">
        <v>238</v>
      </c>
      <c r="E238" s="40" t="s">
        <v>231</v>
      </c>
      <c r="F238" s="40"/>
      <c r="G238" s="38"/>
      <c r="H238" s="51"/>
      <c r="I238" s="53">
        <v>0</v>
      </c>
      <c r="J238" s="51">
        <f t="shared" si="59"/>
        <v>0</v>
      </c>
      <c r="K238" s="54">
        <f t="shared" si="60"/>
        <v>0</v>
      </c>
      <c r="M238" s="45"/>
      <c r="N238" s="45"/>
      <c r="O238" s="45"/>
      <c r="P238" s="45"/>
      <c r="Q238" s="45"/>
      <c r="R238" s="45"/>
      <c r="S238" s="45"/>
      <c r="T238" s="45"/>
      <c r="U238" s="45"/>
      <c r="V238" s="45"/>
      <c r="W238" s="45"/>
      <c r="X238" s="45"/>
      <c r="Y238" s="45"/>
      <c r="Z238" s="56"/>
    </row>
    <row r="239" spans="1:26" ht="14.25" customHeight="1">
      <c r="A239" s="7" t="s">
        <v>689</v>
      </c>
      <c r="B239" s="40" t="s">
        <v>690</v>
      </c>
      <c r="C239" s="40" t="s">
        <v>216</v>
      </c>
      <c r="D239" s="40" t="s">
        <v>242</v>
      </c>
      <c r="E239" s="40" t="s">
        <v>555</v>
      </c>
      <c r="F239" s="40" t="s">
        <v>71</v>
      </c>
      <c r="G239" s="38">
        <f>$Q$7</f>
        <v>1</v>
      </c>
      <c r="H239" s="51">
        <v>9660</v>
      </c>
      <c r="I239" s="53">
        <v>0</v>
      </c>
      <c r="J239" s="51">
        <f t="shared" si="59"/>
        <v>9660</v>
      </c>
      <c r="K239" s="54">
        <f t="shared" si="60"/>
        <v>9660</v>
      </c>
      <c r="M239" s="45"/>
      <c r="N239" s="45"/>
      <c r="O239" s="45"/>
      <c r="P239" s="45"/>
      <c r="Q239" s="45"/>
      <c r="R239" s="45"/>
      <c r="S239" s="45"/>
      <c r="T239" s="45"/>
      <c r="U239" s="45"/>
      <c r="V239" s="45"/>
      <c r="W239" s="45"/>
      <c r="X239" s="45"/>
      <c r="Y239" s="45"/>
      <c r="Z239" s="56"/>
    </row>
    <row r="240" spans="1:26">
      <c r="A240" s="7" t="s">
        <v>691</v>
      </c>
      <c r="B240" s="40" t="s">
        <v>692</v>
      </c>
      <c r="C240" s="40" t="s">
        <v>216</v>
      </c>
      <c r="D240" s="40" t="s">
        <v>223</v>
      </c>
      <c r="E240" s="40" t="s">
        <v>555</v>
      </c>
      <c r="F240" s="40" t="s">
        <v>615</v>
      </c>
      <c r="G240" s="183">
        <f>$B$9</f>
        <v>15.826000000000001</v>
      </c>
      <c r="H240" s="51">
        <v>2476</v>
      </c>
      <c r="I240" s="53">
        <v>0</v>
      </c>
      <c r="J240" s="51">
        <f t="shared" si="59"/>
        <v>2476</v>
      </c>
      <c r="K240" s="54">
        <f t="shared" si="60"/>
        <v>39185.175999999999</v>
      </c>
      <c r="M240" s="45"/>
      <c r="N240" s="45"/>
      <c r="O240" s="45"/>
      <c r="P240" s="45"/>
      <c r="Q240" s="45"/>
      <c r="R240" s="45"/>
      <c r="S240" s="45"/>
      <c r="T240" s="45"/>
      <c r="U240" s="45"/>
      <c r="V240" s="45"/>
      <c r="W240" s="45"/>
      <c r="X240" s="45"/>
      <c r="Y240" s="45"/>
      <c r="Z240" s="56"/>
    </row>
    <row r="241" spans="1:26">
      <c r="A241" s="7" t="s">
        <v>693</v>
      </c>
      <c r="B241" s="40" t="s">
        <v>694</v>
      </c>
      <c r="C241" s="40" t="s">
        <v>216</v>
      </c>
      <c r="D241" s="40" t="s">
        <v>223</v>
      </c>
      <c r="E241" s="40" t="s">
        <v>6</v>
      </c>
      <c r="F241" s="40" t="s">
        <v>71</v>
      </c>
      <c r="G241" s="38">
        <v>1</v>
      </c>
      <c r="H241" s="51">
        <v>147826</v>
      </c>
      <c r="I241" s="53">
        <v>0</v>
      </c>
      <c r="J241" s="51">
        <f t="shared" si="59"/>
        <v>147826</v>
      </c>
      <c r="K241" s="54">
        <f t="shared" si="60"/>
        <v>147826</v>
      </c>
      <c r="M241" s="45" t="s">
        <v>695</v>
      </c>
      <c r="N241" s="45"/>
      <c r="O241" s="45"/>
      <c r="P241" s="45"/>
      <c r="Q241" s="45"/>
      <c r="R241" s="45"/>
      <c r="S241" s="45"/>
      <c r="T241" s="45"/>
      <c r="U241" s="45"/>
      <c r="V241" s="45"/>
      <c r="W241" s="45"/>
      <c r="X241" s="45"/>
      <c r="Y241" s="45"/>
      <c r="Z241" s="56"/>
    </row>
    <row r="242" spans="1:26">
      <c r="A242" s="7" t="s">
        <v>696</v>
      </c>
      <c r="B242" s="40" t="s">
        <v>697</v>
      </c>
      <c r="C242" s="40" t="s">
        <v>216</v>
      </c>
      <c r="D242" s="40" t="s">
        <v>238</v>
      </c>
      <c r="E242" s="40" t="s">
        <v>6</v>
      </c>
      <c r="F242" s="40" t="s">
        <v>108</v>
      </c>
      <c r="G242" s="38">
        <f>$Q$5</f>
        <v>14</v>
      </c>
      <c r="H242" s="51">
        <v>2485</v>
      </c>
      <c r="I242" s="53">
        <v>0</v>
      </c>
      <c r="J242" s="51">
        <f t="shared" si="59"/>
        <v>2485</v>
      </c>
      <c r="K242" s="54">
        <f t="shared" si="60"/>
        <v>34790</v>
      </c>
      <c r="M242" s="45"/>
      <c r="N242" s="45"/>
      <c r="O242" s="45"/>
      <c r="P242" s="45"/>
      <c r="Q242" s="45"/>
      <c r="R242" s="45"/>
      <c r="S242" s="45"/>
      <c r="T242" s="45"/>
      <c r="U242" s="45"/>
      <c r="V242" s="45"/>
      <c r="W242" s="45"/>
      <c r="X242" s="45"/>
      <c r="Y242" s="45"/>
      <c r="Z242" s="56"/>
    </row>
    <row r="243" spans="1:26">
      <c r="A243" s="7" t="s">
        <v>698</v>
      </c>
      <c r="B243" s="40" t="s">
        <v>699</v>
      </c>
      <c r="C243" s="40" t="s">
        <v>283</v>
      </c>
      <c r="D243" s="40" t="s">
        <v>238</v>
      </c>
      <c r="E243" s="40" t="s">
        <v>6</v>
      </c>
      <c r="F243" s="40" t="s">
        <v>71</v>
      </c>
      <c r="G243" s="38">
        <v>1</v>
      </c>
      <c r="H243" s="51">
        <v>20000</v>
      </c>
      <c r="I243" s="53">
        <v>0</v>
      </c>
      <c r="J243" s="51">
        <f t="shared" si="59"/>
        <v>20000</v>
      </c>
      <c r="K243" s="54">
        <f t="shared" si="60"/>
        <v>20000</v>
      </c>
      <c r="M243" s="45"/>
      <c r="N243" s="45"/>
      <c r="O243" s="45"/>
      <c r="P243" s="45"/>
      <c r="Q243" s="45"/>
      <c r="R243" s="45"/>
      <c r="S243" s="45"/>
      <c r="T243" s="45"/>
      <c r="U243" s="45"/>
      <c r="V243" s="45"/>
      <c r="W243" s="45"/>
      <c r="X243" s="45"/>
      <c r="Y243" s="45"/>
      <c r="Z243" s="56"/>
    </row>
    <row r="244" spans="1:26">
      <c r="A244" s="7" t="s">
        <v>700</v>
      </c>
      <c r="B244" s="40" t="s">
        <v>701</v>
      </c>
      <c r="C244" s="40" t="s">
        <v>216</v>
      </c>
      <c r="D244" s="40" t="s">
        <v>223</v>
      </c>
      <c r="E244" s="40" t="s">
        <v>44</v>
      </c>
      <c r="F244" s="40" t="s">
        <v>148</v>
      </c>
      <c r="G244" s="38">
        <v>300</v>
      </c>
      <c r="H244" s="51">
        <v>72</v>
      </c>
      <c r="I244" s="53">
        <v>0</v>
      </c>
      <c r="J244" s="51">
        <f t="shared" si="59"/>
        <v>72</v>
      </c>
      <c r="K244" s="54">
        <f t="shared" si="60"/>
        <v>21600</v>
      </c>
      <c r="M244" s="45" t="s">
        <v>702</v>
      </c>
      <c r="N244" s="45"/>
      <c r="O244" s="45"/>
      <c r="P244" s="45"/>
      <c r="Q244" s="45"/>
      <c r="R244" s="45"/>
      <c r="S244" s="45"/>
      <c r="T244" s="45"/>
      <c r="U244" s="45"/>
      <c r="V244" s="45"/>
      <c r="W244" s="45"/>
      <c r="X244" s="45"/>
      <c r="Y244" s="45"/>
      <c r="Z244" s="56"/>
    </row>
    <row r="245" spans="1:26">
      <c r="A245" s="7" t="s">
        <v>161</v>
      </c>
      <c r="B245" s="40" t="s">
        <v>703</v>
      </c>
      <c r="C245" s="40" t="s">
        <v>216</v>
      </c>
      <c r="D245" s="40" t="s">
        <v>242</v>
      </c>
      <c r="E245" s="40" t="s">
        <v>6</v>
      </c>
      <c r="F245" s="40" t="s">
        <v>148</v>
      </c>
      <c r="G245" s="38">
        <f>Q7*T11</f>
        <v>372</v>
      </c>
      <c r="H245" s="51">
        <v>75</v>
      </c>
      <c r="I245" s="53">
        <v>0</v>
      </c>
      <c r="J245" s="51">
        <f t="shared" si="59"/>
        <v>75</v>
      </c>
      <c r="K245" s="54">
        <f t="shared" si="60"/>
        <v>27900</v>
      </c>
      <c r="M245" s="45"/>
      <c r="N245" s="45"/>
      <c r="O245" s="45"/>
      <c r="P245" s="45"/>
      <c r="Q245" s="45"/>
      <c r="R245" s="45"/>
      <c r="S245" s="45"/>
      <c r="T245" s="45"/>
      <c r="U245" s="45"/>
      <c r="V245" s="45"/>
      <c r="W245" s="45"/>
      <c r="X245" s="45"/>
      <c r="Y245" s="45"/>
      <c r="Z245" s="56"/>
    </row>
    <row r="246" spans="1:26">
      <c r="A246" s="7" t="s">
        <v>704</v>
      </c>
      <c r="B246" s="40" t="s">
        <v>703</v>
      </c>
      <c r="C246" s="40" t="s">
        <v>216</v>
      </c>
      <c r="D246" s="40" t="s">
        <v>242</v>
      </c>
      <c r="E246" s="40" t="s">
        <v>6</v>
      </c>
      <c r="F246" s="40" t="s">
        <v>108</v>
      </c>
      <c r="G246" s="38">
        <f>$Q$7*2</f>
        <v>2</v>
      </c>
      <c r="H246" s="51">
        <v>1950</v>
      </c>
      <c r="I246" s="53">
        <v>0</v>
      </c>
      <c r="J246" s="51">
        <f t="shared" si="59"/>
        <v>1950</v>
      </c>
      <c r="K246" s="54">
        <f t="shared" si="60"/>
        <v>3900</v>
      </c>
      <c r="M246" s="45"/>
      <c r="N246" s="45"/>
      <c r="O246" s="45"/>
      <c r="P246" s="45"/>
      <c r="Q246" s="45"/>
      <c r="R246" s="45"/>
      <c r="S246" s="45"/>
      <c r="T246" s="45"/>
      <c r="U246" s="45"/>
      <c r="V246" s="45"/>
      <c r="W246" s="45"/>
      <c r="X246" s="45"/>
      <c r="Y246" s="45"/>
      <c r="Z246" s="56"/>
    </row>
    <row r="247" spans="1:26">
      <c r="A247" s="7" t="s">
        <v>705</v>
      </c>
      <c r="B247" s="40" t="s">
        <v>706</v>
      </c>
      <c r="C247" s="40" t="s">
        <v>216</v>
      </c>
      <c r="D247" s="40" t="s">
        <v>223</v>
      </c>
      <c r="E247" s="40" t="s">
        <v>71</v>
      </c>
      <c r="F247" s="40" t="s">
        <v>108</v>
      </c>
      <c r="G247" s="38">
        <v>2</v>
      </c>
      <c r="H247" s="54">
        <v>96000</v>
      </c>
      <c r="I247" s="53">
        <v>0</v>
      </c>
      <c r="J247" s="51">
        <f t="shared" si="59"/>
        <v>96000</v>
      </c>
      <c r="K247" s="54">
        <f t="shared" si="60"/>
        <v>192000</v>
      </c>
      <c r="M247" s="45" t="s">
        <v>1078</v>
      </c>
      <c r="N247" s="45"/>
      <c r="O247" s="45"/>
      <c r="P247" s="45"/>
      <c r="Q247" s="45"/>
      <c r="R247" s="45"/>
      <c r="S247" s="45"/>
      <c r="T247" s="45"/>
      <c r="U247" s="45"/>
      <c r="V247" s="45"/>
      <c r="W247" s="45"/>
      <c r="X247" s="45"/>
      <c r="Y247" s="45"/>
      <c r="Z247" s="56"/>
    </row>
    <row r="248" spans="1:26">
      <c r="A248" s="7" t="s">
        <v>707</v>
      </c>
      <c r="B248" s="40" t="s">
        <v>708</v>
      </c>
      <c r="C248" s="40" t="s">
        <v>216</v>
      </c>
      <c r="D248" s="40" t="s">
        <v>223</v>
      </c>
      <c r="E248" s="40" t="s">
        <v>71</v>
      </c>
      <c r="F248" s="40" t="s">
        <v>108</v>
      </c>
      <c r="G248" s="38">
        <v>2</v>
      </c>
      <c r="H248" s="51">
        <v>3555</v>
      </c>
      <c r="I248" s="53">
        <v>0</v>
      </c>
      <c r="J248" s="51">
        <f t="shared" si="59"/>
        <v>3555</v>
      </c>
      <c r="K248" s="54">
        <f t="shared" si="60"/>
        <v>7110</v>
      </c>
      <c r="M248" s="45" t="s">
        <v>1078</v>
      </c>
      <c r="N248" s="45"/>
      <c r="O248" s="45"/>
      <c r="P248" s="45"/>
      <c r="Q248" s="45"/>
      <c r="R248" s="45"/>
      <c r="S248" s="45"/>
      <c r="T248" s="45"/>
      <c r="U248" s="45"/>
      <c r="V248" s="45"/>
      <c r="W248" s="45"/>
      <c r="X248" s="45"/>
      <c r="Y248" s="45"/>
      <c r="Z248" s="56"/>
    </row>
    <row r="249" spans="1:26">
      <c r="A249" s="7" t="s">
        <v>709</v>
      </c>
      <c r="B249" s="40" t="s">
        <v>710</v>
      </c>
      <c r="C249" s="40" t="s">
        <v>216</v>
      </c>
      <c r="D249" s="40" t="s">
        <v>223</v>
      </c>
      <c r="E249" s="40" t="s">
        <v>231</v>
      </c>
      <c r="F249" s="40"/>
      <c r="G249" s="38"/>
      <c r="H249" s="51">
        <v>44</v>
      </c>
      <c r="I249" s="53">
        <v>0</v>
      </c>
      <c r="J249" s="51">
        <f t="shared" si="59"/>
        <v>44</v>
      </c>
      <c r="K249" s="54">
        <f t="shared" si="60"/>
        <v>0</v>
      </c>
      <c r="M249" s="45"/>
      <c r="N249" s="45"/>
      <c r="O249" s="45"/>
      <c r="P249" s="45"/>
      <c r="Q249" s="45"/>
      <c r="R249" s="45"/>
      <c r="S249" s="45"/>
      <c r="T249" s="45"/>
      <c r="U249" s="45"/>
      <c r="V249" s="45"/>
      <c r="W249" s="45"/>
      <c r="X249" s="45"/>
      <c r="Y249" s="45"/>
      <c r="Z249" s="56"/>
    </row>
    <row r="250" spans="1:26">
      <c r="A250" s="7" t="s">
        <v>711</v>
      </c>
      <c r="B250" s="40" t="s">
        <v>712</v>
      </c>
      <c r="C250" s="40" t="s">
        <v>216</v>
      </c>
      <c r="D250" s="40" t="s">
        <v>223</v>
      </c>
      <c r="E250" s="40" t="s">
        <v>231</v>
      </c>
      <c r="F250" s="40"/>
      <c r="G250" s="38"/>
      <c r="H250" s="51">
        <v>1950</v>
      </c>
      <c r="I250" s="53">
        <v>0</v>
      </c>
      <c r="J250" s="51">
        <f t="shared" si="59"/>
        <v>1950</v>
      </c>
      <c r="K250" s="54">
        <f t="shared" si="60"/>
        <v>0</v>
      </c>
      <c r="M250" s="45"/>
      <c r="N250" s="45"/>
      <c r="O250" s="45"/>
      <c r="P250" s="45"/>
      <c r="Q250" s="45"/>
      <c r="R250" s="45"/>
      <c r="S250" s="45"/>
      <c r="T250" s="45"/>
      <c r="U250" s="45"/>
      <c r="V250" s="45"/>
      <c r="W250" s="45"/>
      <c r="X250" s="45"/>
      <c r="Y250" s="45"/>
      <c r="Z250" s="56"/>
    </row>
    <row r="251" spans="1:26">
      <c r="A251" s="7" t="s">
        <v>713</v>
      </c>
      <c r="B251" s="40" t="s">
        <v>714</v>
      </c>
      <c r="C251" s="40" t="s">
        <v>216</v>
      </c>
      <c r="D251" s="40" t="s">
        <v>223</v>
      </c>
      <c r="E251" s="40" t="s">
        <v>555</v>
      </c>
      <c r="F251" s="40" t="s">
        <v>615</v>
      </c>
      <c r="G251" s="183">
        <f>$B$9</f>
        <v>15.826000000000001</v>
      </c>
      <c r="H251" s="51">
        <v>5000</v>
      </c>
      <c r="I251" s="53">
        <v>0</v>
      </c>
      <c r="J251" s="51">
        <f t="shared" si="59"/>
        <v>5000</v>
      </c>
      <c r="K251" s="54">
        <f t="shared" si="60"/>
        <v>79130</v>
      </c>
      <c r="M251" s="45"/>
      <c r="N251" s="45"/>
      <c r="O251" s="45"/>
      <c r="P251" s="45"/>
      <c r="Q251" s="45"/>
      <c r="R251" s="45"/>
      <c r="S251" s="45"/>
      <c r="T251" s="45"/>
      <c r="U251" s="45"/>
      <c r="V251" s="45"/>
      <c r="W251" s="45"/>
      <c r="X251" s="45"/>
      <c r="Y251" s="45"/>
      <c r="Z251" s="56"/>
    </row>
    <row r="252" spans="1:26">
      <c r="A252" s="7" t="s">
        <v>715</v>
      </c>
      <c r="B252" s="40" t="s">
        <v>716</v>
      </c>
      <c r="C252" s="40" t="s">
        <v>216</v>
      </c>
      <c r="D252" s="40" t="s">
        <v>223</v>
      </c>
      <c r="E252" s="40" t="s">
        <v>6</v>
      </c>
      <c r="F252" s="40" t="s">
        <v>71</v>
      </c>
      <c r="G252" s="38">
        <v>1</v>
      </c>
      <c r="H252" s="51">
        <v>363945</v>
      </c>
      <c r="I252" s="53">
        <v>0</v>
      </c>
      <c r="J252" s="51">
        <f t="shared" si="59"/>
        <v>363945</v>
      </c>
      <c r="K252" s="54">
        <f t="shared" si="60"/>
        <v>363945</v>
      </c>
      <c r="M252" s="45" t="s">
        <v>717</v>
      </c>
      <c r="N252" s="45"/>
      <c r="O252" s="45"/>
      <c r="P252" s="45"/>
      <c r="Q252" s="45"/>
      <c r="R252" s="45"/>
      <c r="S252" s="45"/>
      <c r="T252" s="45"/>
      <c r="U252" s="45"/>
      <c r="V252" s="45"/>
      <c r="W252" s="45"/>
      <c r="X252" s="45"/>
      <c r="Y252" s="45"/>
      <c r="Z252" s="56"/>
    </row>
    <row r="253" spans="1:26">
      <c r="A253" s="7" t="s">
        <v>718</v>
      </c>
      <c r="B253" s="40" t="s">
        <v>719</v>
      </c>
      <c r="C253" s="40" t="s">
        <v>216</v>
      </c>
      <c r="D253" s="40" t="s">
        <v>223</v>
      </c>
      <c r="E253" s="40" t="s">
        <v>369</v>
      </c>
      <c r="F253" s="40" t="s">
        <v>71</v>
      </c>
      <c r="G253" s="38">
        <v>1</v>
      </c>
      <c r="H253" s="51">
        <v>0</v>
      </c>
      <c r="I253" s="53">
        <v>0</v>
      </c>
      <c r="J253" s="51">
        <f t="shared" si="59"/>
        <v>0</v>
      </c>
      <c r="K253" s="54">
        <f t="shared" si="60"/>
        <v>0</v>
      </c>
      <c r="M253" s="45" t="s">
        <v>654</v>
      </c>
      <c r="N253" s="45"/>
      <c r="O253" s="45"/>
      <c r="P253" s="45"/>
      <c r="Q253" s="45"/>
      <c r="R253" s="45"/>
      <c r="S253" s="45"/>
      <c r="T253" s="45"/>
      <c r="U253" s="45"/>
      <c r="V253" s="45"/>
      <c r="W253" s="45"/>
      <c r="X253" s="45"/>
      <c r="Y253" s="45"/>
      <c r="Z253" s="56"/>
    </row>
    <row r="254" spans="1:26">
      <c r="A254" s="7" t="s">
        <v>720</v>
      </c>
      <c r="B254" s="40" t="s">
        <v>721</v>
      </c>
      <c r="C254" s="40" t="s">
        <v>216</v>
      </c>
      <c r="D254" s="40" t="s">
        <v>223</v>
      </c>
      <c r="E254" s="40" t="s">
        <v>73</v>
      </c>
      <c r="F254" s="40" t="s">
        <v>71</v>
      </c>
      <c r="G254" s="38">
        <v>1</v>
      </c>
      <c r="H254" s="51">
        <v>192605</v>
      </c>
      <c r="I254" s="53">
        <v>0</v>
      </c>
      <c r="J254" s="51">
        <f t="shared" si="59"/>
        <v>192605</v>
      </c>
      <c r="K254" s="54">
        <f t="shared" si="60"/>
        <v>192605</v>
      </c>
      <c r="M254" s="45" t="s">
        <v>1079</v>
      </c>
      <c r="N254" s="45"/>
      <c r="O254" s="45"/>
      <c r="P254" s="45"/>
      <c r="Q254" s="45"/>
      <c r="R254" s="45"/>
      <c r="S254" s="45"/>
      <c r="T254" s="45"/>
      <c r="U254" s="45"/>
      <c r="V254" s="45"/>
      <c r="W254" s="45"/>
      <c r="X254" s="45"/>
      <c r="Y254" s="45"/>
      <c r="Z254" s="56"/>
    </row>
    <row r="255" spans="1:26">
      <c r="A255" s="7" t="s">
        <v>722</v>
      </c>
      <c r="B255" s="40" t="s">
        <v>723</v>
      </c>
      <c r="C255" s="40" t="s">
        <v>283</v>
      </c>
      <c r="D255" s="40" t="s">
        <v>242</v>
      </c>
      <c r="E255" s="40" t="s">
        <v>73</v>
      </c>
      <c r="F255" s="40" t="s">
        <v>71</v>
      </c>
      <c r="G255" s="38">
        <v>1</v>
      </c>
      <c r="H255" s="51">
        <v>5000</v>
      </c>
      <c r="I255" s="53">
        <v>0</v>
      </c>
      <c r="J255" s="51">
        <f t="shared" si="59"/>
        <v>5000</v>
      </c>
      <c r="K255" s="54">
        <f t="shared" si="60"/>
        <v>5000</v>
      </c>
      <c r="M255" s="45"/>
      <c r="N255" s="45"/>
      <c r="O255" s="45"/>
      <c r="P255" s="45"/>
      <c r="Q255" s="45"/>
      <c r="R255" s="45"/>
      <c r="S255" s="45"/>
      <c r="T255" s="45"/>
      <c r="U255" s="45"/>
      <c r="V255" s="45"/>
      <c r="W255" s="45"/>
      <c r="X255" s="45"/>
      <c r="Y255" s="45"/>
      <c r="Z255" s="56"/>
    </row>
    <row r="256" spans="1:26">
      <c r="A256" s="7" t="s">
        <v>724</v>
      </c>
      <c r="B256" s="40" t="s">
        <v>725</v>
      </c>
      <c r="C256" s="40" t="s">
        <v>283</v>
      </c>
      <c r="D256" s="40" t="s">
        <v>228</v>
      </c>
      <c r="E256" s="40" t="s">
        <v>73</v>
      </c>
      <c r="F256" s="40" t="s">
        <v>71</v>
      </c>
      <c r="G256" s="38">
        <v>1</v>
      </c>
      <c r="H256" s="51">
        <v>7000</v>
      </c>
      <c r="I256" s="53">
        <v>0</v>
      </c>
      <c r="J256" s="51">
        <f t="shared" si="59"/>
        <v>7000</v>
      </c>
      <c r="K256" s="54">
        <f t="shared" si="60"/>
        <v>7000</v>
      </c>
      <c r="M256" s="45"/>
      <c r="N256" s="45"/>
      <c r="O256" s="45"/>
      <c r="P256" s="45"/>
      <c r="Q256" s="45"/>
      <c r="R256" s="45"/>
      <c r="S256" s="45"/>
      <c r="T256" s="45"/>
      <c r="U256" s="45"/>
      <c r="V256" s="45"/>
      <c r="W256" s="45"/>
      <c r="X256" s="45"/>
      <c r="Y256" s="45"/>
      <c r="Z256" s="56"/>
    </row>
    <row r="257" spans="1:26">
      <c r="A257" s="7" t="s">
        <v>726</v>
      </c>
      <c r="B257" s="40" t="s">
        <v>727</v>
      </c>
      <c r="C257" s="40" t="s">
        <v>216</v>
      </c>
      <c r="D257" s="40" t="s">
        <v>223</v>
      </c>
      <c r="E257" s="40" t="s">
        <v>44</v>
      </c>
      <c r="F257" s="40" t="s">
        <v>61</v>
      </c>
      <c r="G257" s="666">
        <f>187517-15000</f>
        <v>172517</v>
      </c>
      <c r="H257" s="50">
        <v>12.01</v>
      </c>
      <c r="I257" s="53">
        <v>0</v>
      </c>
      <c r="J257" s="51">
        <f t="shared" si="59"/>
        <v>12.01</v>
      </c>
      <c r="K257" s="54">
        <f>J257*G257</f>
        <v>2071929.17</v>
      </c>
      <c r="M257" s="45" t="s">
        <v>1080</v>
      </c>
      <c r="N257" s="45"/>
      <c r="O257" s="45"/>
      <c r="P257" s="45"/>
      <c r="Q257" s="45"/>
      <c r="R257" s="45"/>
      <c r="S257" s="45"/>
      <c r="T257" s="45"/>
      <c r="U257" s="45"/>
      <c r="V257" s="45"/>
      <c r="W257" s="45"/>
      <c r="X257" s="45"/>
      <c r="Y257" s="45"/>
      <c r="Z257" s="56"/>
    </row>
    <row r="258" spans="1:26">
      <c r="A258" s="7" t="s">
        <v>729</v>
      </c>
      <c r="B258" s="40" t="s">
        <v>727</v>
      </c>
      <c r="C258" s="40" t="s">
        <v>216</v>
      </c>
      <c r="D258" s="40" t="s">
        <v>223</v>
      </c>
      <c r="E258" s="40" t="s">
        <v>231</v>
      </c>
      <c r="F258" s="40"/>
      <c r="G258" s="38"/>
      <c r="H258" s="51"/>
      <c r="I258" s="53">
        <v>0</v>
      </c>
      <c r="J258" s="51">
        <f t="shared" si="59"/>
        <v>0</v>
      </c>
      <c r="K258" s="54">
        <f t="shared" si="60"/>
        <v>0</v>
      </c>
      <c r="M258" s="45"/>
      <c r="N258" s="45"/>
      <c r="O258" s="45"/>
      <c r="P258" s="45"/>
      <c r="Q258" s="45"/>
      <c r="R258" s="45"/>
      <c r="S258" s="45"/>
      <c r="T258" s="45"/>
      <c r="U258" s="45"/>
      <c r="V258" s="45"/>
      <c r="W258" s="45"/>
      <c r="X258" s="45"/>
      <c r="Y258" s="45"/>
      <c r="Z258" s="56"/>
    </row>
    <row r="259" spans="1:26">
      <c r="A259" s="7" t="s">
        <v>730</v>
      </c>
      <c r="B259" s="40" t="s">
        <v>731</v>
      </c>
      <c r="C259" s="40" t="s">
        <v>216</v>
      </c>
      <c r="D259" s="40" t="s">
        <v>223</v>
      </c>
      <c r="E259" s="40" t="s">
        <v>326</v>
      </c>
      <c r="F259" s="40" t="s">
        <v>71</v>
      </c>
      <c r="G259" s="38">
        <v>1</v>
      </c>
      <c r="H259" s="51">
        <f>'Park Options'!E7</f>
        <v>39687</v>
      </c>
      <c r="I259" s="53">
        <v>0</v>
      </c>
      <c r="J259" s="51">
        <f t="shared" si="59"/>
        <v>39687</v>
      </c>
      <c r="K259" s="54">
        <f t="shared" si="60"/>
        <v>39687</v>
      </c>
      <c r="M259" s="45" t="s">
        <v>1081</v>
      </c>
      <c r="N259" s="45"/>
      <c r="O259" s="45"/>
      <c r="P259" s="45"/>
      <c r="Q259" s="45"/>
      <c r="R259" s="45"/>
      <c r="S259" s="45"/>
      <c r="T259" s="45"/>
      <c r="U259" s="45"/>
      <c r="V259" s="45"/>
      <c r="W259" s="45"/>
      <c r="X259" s="45"/>
      <c r="Y259" s="45"/>
      <c r="Z259" s="56"/>
    </row>
    <row r="260" spans="1:26">
      <c r="A260" s="7" t="s">
        <v>732</v>
      </c>
      <c r="B260" s="40" t="s">
        <v>673</v>
      </c>
      <c r="C260" s="40" t="s">
        <v>216</v>
      </c>
      <c r="D260" s="40" t="s">
        <v>1005</v>
      </c>
      <c r="E260" s="40" t="s">
        <v>733</v>
      </c>
      <c r="F260" s="40" t="s">
        <v>71</v>
      </c>
      <c r="G260" s="38">
        <v>1</v>
      </c>
      <c r="H260" s="51">
        <v>25000</v>
      </c>
      <c r="I260" s="53">
        <v>0</v>
      </c>
      <c r="J260" s="51">
        <f t="shared" si="59"/>
        <v>25000</v>
      </c>
      <c r="K260" s="54">
        <f t="shared" si="60"/>
        <v>25000</v>
      </c>
      <c r="M260" s="45"/>
      <c r="N260" s="45"/>
      <c r="O260" s="45"/>
      <c r="P260" s="45"/>
      <c r="Q260" s="45"/>
      <c r="R260" s="45"/>
      <c r="S260" s="45"/>
      <c r="T260" s="45"/>
      <c r="U260" s="45"/>
      <c r="V260" s="45"/>
      <c r="W260" s="45"/>
      <c r="X260" s="45"/>
      <c r="Y260" s="45"/>
      <c r="Z260" s="56"/>
    </row>
    <row r="261" spans="1:26">
      <c r="A261" s="7" t="s">
        <v>734</v>
      </c>
      <c r="B261" s="40" t="s">
        <v>675</v>
      </c>
      <c r="C261" s="40" t="s">
        <v>216</v>
      </c>
      <c r="D261" s="40" t="s">
        <v>1005</v>
      </c>
      <c r="E261" s="40" t="s">
        <v>6</v>
      </c>
      <c r="F261" s="40" t="s">
        <v>71</v>
      </c>
      <c r="G261" s="38">
        <v>1</v>
      </c>
      <c r="H261" s="51">
        <v>1646980.5</v>
      </c>
      <c r="I261" s="53">
        <v>0</v>
      </c>
      <c r="J261" s="51">
        <f t="shared" si="59"/>
        <v>1646980.5</v>
      </c>
      <c r="K261" s="54">
        <f t="shared" si="60"/>
        <v>1646980.5</v>
      </c>
      <c r="M261" s="45" t="s">
        <v>735</v>
      </c>
      <c r="N261" s="45"/>
      <c r="O261" s="45"/>
      <c r="P261" s="45"/>
      <c r="Q261" s="45"/>
      <c r="R261" s="45"/>
      <c r="S261" s="45"/>
      <c r="T261" s="45"/>
      <c r="U261" s="45"/>
      <c r="V261" s="45"/>
      <c r="W261" s="45"/>
      <c r="X261" s="45"/>
      <c r="Y261" s="45"/>
      <c r="Z261" s="56"/>
    </row>
    <row r="262" spans="1:26">
      <c r="A262" s="7" t="s">
        <v>736</v>
      </c>
      <c r="B262" s="40" t="s">
        <v>682</v>
      </c>
      <c r="C262" s="40" t="s">
        <v>216</v>
      </c>
      <c r="D262" s="40" t="s">
        <v>1005</v>
      </c>
      <c r="E262" s="40" t="s">
        <v>6</v>
      </c>
      <c r="F262" s="40" t="s">
        <v>71</v>
      </c>
      <c r="G262" s="38">
        <v>1</v>
      </c>
      <c r="H262" s="51">
        <v>153040</v>
      </c>
      <c r="I262" s="53">
        <v>0</v>
      </c>
      <c r="J262" s="51">
        <f t="shared" si="59"/>
        <v>153040</v>
      </c>
      <c r="K262" s="54">
        <f t="shared" si="60"/>
        <v>153040</v>
      </c>
      <c r="M262" s="45"/>
      <c r="N262" s="45"/>
      <c r="O262" s="45"/>
      <c r="P262" s="45"/>
      <c r="Q262" s="45"/>
      <c r="R262" s="45"/>
      <c r="S262" s="45"/>
      <c r="T262" s="45"/>
      <c r="U262" s="45"/>
      <c r="V262" s="45"/>
      <c r="W262" s="45"/>
      <c r="X262" s="45"/>
      <c r="Y262" s="45"/>
      <c r="Z262" s="56"/>
    </row>
    <row r="263" spans="1:26">
      <c r="A263" s="7" t="s">
        <v>737</v>
      </c>
      <c r="B263" s="40" t="s">
        <v>686</v>
      </c>
      <c r="C263" s="40" t="s">
        <v>216</v>
      </c>
      <c r="D263" s="40" t="s">
        <v>1005</v>
      </c>
      <c r="E263" s="40" t="s">
        <v>6</v>
      </c>
      <c r="F263" s="40" t="s">
        <v>71</v>
      </c>
      <c r="G263" s="38">
        <v>1</v>
      </c>
      <c r="H263" s="51">
        <v>84819</v>
      </c>
      <c r="I263" s="53">
        <v>0</v>
      </c>
      <c r="J263" s="51">
        <f t="shared" si="59"/>
        <v>84819</v>
      </c>
      <c r="K263" s="54">
        <f t="shared" si="60"/>
        <v>84819</v>
      </c>
      <c r="M263" s="45"/>
      <c r="N263" s="45"/>
      <c r="O263" s="45"/>
      <c r="P263" s="45"/>
      <c r="Q263" s="45"/>
      <c r="R263" s="45"/>
      <c r="S263" s="45"/>
      <c r="T263" s="45"/>
      <c r="U263" s="45"/>
      <c r="V263" s="45"/>
      <c r="W263" s="45"/>
      <c r="X263" s="45"/>
      <c r="Y263" s="45"/>
      <c r="Z263" s="56"/>
    </row>
    <row r="264" spans="1:26">
      <c r="A264" s="4" t="s">
        <v>738</v>
      </c>
      <c r="B264" s="151" t="s">
        <v>739</v>
      </c>
      <c r="C264" s="151"/>
      <c r="D264" s="151"/>
      <c r="E264" s="151"/>
      <c r="F264" s="151"/>
      <c r="G264" s="152"/>
      <c r="H264" s="153"/>
      <c r="I264" s="154"/>
      <c r="J264" s="153"/>
      <c r="K264" s="172"/>
      <c r="L264" s="70">
        <f>SUM(K265:K280)</f>
        <v>6235909.9000000004</v>
      </c>
      <c r="M264" s="45"/>
      <c r="N264" s="45"/>
      <c r="O264" s="45"/>
      <c r="P264" s="45"/>
      <c r="Q264" s="45"/>
      <c r="R264" s="45"/>
      <c r="S264" s="45"/>
      <c r="T264" s="45"/>
      <c r="U264" s="45"/>
      <c r="V264" s="178"/>
      <c r="W264" s="45"/>
      <c r="X264" s="45"/>
      <c r="Y264" s="45"/>
      <c r="Z264" s="56"/>
    </row>
    <row r="265" spans="1:26">
      <c r="A265" s="6" t="s">
        <v>740</v>
      </c>
      <c r="B265" s="47" t="s">
        <v>741</v>
      </c>
      <c r="C265" s="47" t="s">
        <v>283</v>
      </c>
      <c r="D265" s="47"/>
      <c r="E265" s="47" t="s">
        <v>742</v>
      </c>
      <c r="F265" s="47" t="s">
        <v>88</v>
      </c>
      <c r="G265" s="42">
        <f>$E$8</f>
        <v>390</v>
      </c>
      <c r="H265" s="61">
        <f>112356/312</f>
        <v>360.11538461538464</v>
      </c>
      <c r="I265" s="63">
        <v>0</v>
      </c>
      <c r="J265" s="66">
        <f t="shared" ref="J265:J280" si="61">H265*(1+I265)</f>
        <v>360.11538461538464</v>
      </c>
      <c r="K265" s="67">
        <f t="shared" ref="K265:K280" si="62">J265*G265</f>
        <v>140445</v>
      </c>
      <c r="M265" s="45" t="s">
        <v>743</v>
      </c>
      <c r="N265" s="45"/>
      <c r="O265" s="45"/>
      <c r="P265" s="45"/>
      <c r="Q265" s="45"/>
      <c r="R265" s="45"/>
      <c r="S265" s="45"/>
      <c r="T265" s="45"/>
      <c r="U265" s="45"/>
      <c r="V265" s="199"/>
      <c r="W265" s="45"/>
      <c r="X265" s="45"/>
      <c r="Y265" s="45"/>
      <c r="Z265" s="56"/>
    </row>
    <row r="266" spans="1:26">
      <c r="A266" s="7" t="s">
        <v>744</v>
      </c>
      <c r="B266" s="40" t="s">
        <v>745</v>
      </c>
      <c r="C266" s="40" t="s">
        <v>283</v>
      </c>
      <c r="D266" s="40" t="s">
        <v>1005</v>
      </c>
      <c r="E266" s="40" t="s">
        <v>231</v>
      </c>
      <c r="F266" s="40"/>
      <c r="G266" s="38"/>
      <c r="H266" s="51"/>
      <c r="I266" s="53">
        <v>0</v>
      </c>
      <c r="J266" s="51">
        <f t="shared" si="61"/>
        <v>0</v>
      </c>
      <c r="K266" s="54">
        <f t="shared" si="62"/>
        <v>0</v>
      </c>
      <c r="M266" s="45"/>
      <c r="N266" s="45"/>
      <c r="O266" s="45"/>
      <c r="P266" s="45"/>
      <c r="Q266" s="45"/>
      <c r="R266" s="45"/>
      <c r="S266" s="45"/>
      <c r="T266" s="45"/>
      <c r="U266" s="45"/>
      <c r="V266" s="45"/>
      <c r="W266" s="45"/>
      <c r="X266" s="45"/>
      <c r="Y266" s="45"/>
      <c r="Z266" s="56"/>
    </row>
    <row r="267" spans="1:26">
      <c r="A267" s="44" t="s">
        <v>746</v>
      </c>
      <c r="B267" s="40" t="s">
        <v>745</v>
      </c>
      <c r="C267" s="40" t="s">
        <v>216</v>
      </c>
      <c r="D267" s="206" t="s">
        <v>223</v>
      </c>
      <c r="E267" s="206" t="s">
        <v>6</v>
      </c>
      <c r="F267" s="206" t="s">
        <v>71</v>
      </c>
      <c r="G267" s="207">
        <v>1</v>
      </c>
      <c r="H267" s="208">
        <v>832918.12</v>
      </c>
      <c r="I267" s="209">
        <v>0</v>
      </c>
      <c r="J267" s="208">
        <f t="shared" si="61"/>
        <v>832918.12</v>
      </c>
      <c r="K267" s="210">
        <f t="shared" si="62"/>
        <v>832918.12</v>
      </c>
      <c r="M267" s="45" t="s">
        <v>1082</v>
      </c>
      <c r="N267" s="45"/>
      <c r="O267" s="45"/>
      <c r="P267" s="45"/>
      <c r="Q267" s="45"/>
      <c r="R267" s="45"/>
      <c r="S267" s="45"/>
      <c r="T267" s="45"/>
      <c r="U267" s="45"/>
      <c r="V267" s="45"/>
      <c r="W267" s="45"/>
      <c r="X267" s="45"/>
      <c r="Y267" s="45"/>
      <c r="Z267" s="56"/>
    </row>
    <row r="268" spans="1:26">
      <c r="A268" s="52" t="s">
        <v>748</v>
      </c>
      <c r="B268" s="40" t="s">
        <v>749</v>
      </c>
      <c r="C268" s="40" t="s">
        <v>216</v>
      </c>
      <c r="D268" s="206" t="s">
        <v>223</v>
      </c>
      <c r="E268" s="206" t="s">
        <v>6</v>
      </c>
      <c r="F268" s="206" t="s">
        <v>71</v>
      </c>
      <c r="G268" s="207">
        <v>1</v>
      </c>
      <c r="H268" s="208">
        <v>394942</v>
      </c>
      <c r="I268" s="209">
        <v>0</v>
      </c>
      <c r="J268" s="208">
        <f t="shared" si="61"/>
        <v>394942</v>
      </c>
      <c r="K268" s="210">
        <f t="shared" si="62"/>
        <v>394942</v>
      </c>
      <c r="M268" s="45" t="s">
        <v>1083</v>
      </c>
      <c r="N268" s="45"/>
      <c r="O268" s="45"/>
      <c r="P268" s="45"/>
      <c r="Q268" s="45"/>
      <c r="R268" s="45"/>
      <c r="S268" s="45"/>
      <c r="T268" s="45"/>
      <c r="U268" s="45"/>
      <c r="V268" s="45"/>
      <c r="W268" s="45"/>
      <c r="X268" s="45"/>
      <c r="Y268" s="45"/>
      <c r="Z268" s="56"/>
    </row>
    <row r="269" spans="1:26">
      <c r="A269" s="44" t="s">
        <v>751</v>
      </c>
      <c r="B269" s="40" t="s">
        <v>752</v>
      </c>
      <c r="C269" s="40" t="s">
        <v>216</v>
      </c>
      <c r="D269" s="40"/>
      <c r="E269" s="40" t="s">
        <v>231</v>
      </c>
      <c r="F269" s="40"/>
      <c r="G269" s="38"/>
      <c r="H269" s="51"/>
      <c r="I269" s="53">
        <v>0</v>
      </c>
      <c r="J269" s="51">
        <f t="shared" si="61"/>
        <v>0</v>
      </c>
      <c r="K269" s="54">
        <f t="shared" si="62"/>
        <v>0</v>
      </c>
      <c r="M269" s="45"/>
      <c r="N269" s="45"/>
      <c r="O269" s="45"/>
      <c r="P269" s="45"/>
      <c r="Q269" s="45"/>
      <c r="R269" s="45"/>
      <c r="S269" s="45"/>
      <c r="T269" s="45"/>
      <c r="U269" s="45"/>
      <c r="V269" s="45"/>
      <c r="W269" s="45"/>
      <c r="X269" s="45"/>
      <c r="Y269" s="45"/>
      <c r="Z269" s="56"/>
    </row>
    <row r="270" spans="1:26">
      <c r="A270" s="7" t="s">
        <v>753</v>
      </c>
      <c r="B270" s="40" t="s">
        <v>754</v>
      </c>
      <c r="C270" s="40" t="s">
        <v>283</v>
      </c>
      <c r="D270" s="40"/>
      <c r="E270" s="40" t="s">
        <v>73</v>
      </c>
      <c r="F270" s="40" t="s">
        <v>71</v>
      </c>
      <c r="G270" s="38">
        <v>1</v>
      </c>
      <c r="H270" s="51">
        <f>5000*3</f>
        <v>15000</v>
      </c>
      <c r="I270" s="53">
        <v>0</v>
      </c>
      <c r="J270" s="51">
        <f t="shared" si="61"/>
        <v>15000</v>
      </c>
      <c r="K270" s="54">
        <f t="shared" si="62"/>
        <v>15000</v>
      </c>
      <c r="M270" s="45"/>
      <c r="N270" s="45"/>
      <c r="O270" s="45"/>
      <c r="P270" s="45"/>
      <c r="Q270" s="45"/>
      <c r="R270" s="45"/>
      <c r="S270" s="45"/>
      <c r="T270" s="45"/>
      <c r="U270" s="45"/>
      <c r="V270" s="45"/>
      <c r="W270" s="45"/>
      <c r="X270" s="45"/>
      <c r="Y270" s="45"/>
      <c r="Z270" s="56"/>
    </row>
    <row r="271" spans="1:26">
      <c r="A271" s="7" t="s">
        <v>755</v>
      </c>
      <c r="B271" s="40" t="s">
        <v>756</v>
      </c>
      <c r="C271" s="40" t="s">
        <v>216</v>
      </c>
      <c r="D271" s="40" t="s">
        <v>1005</v>
      </c>
      <c r="E271" s="40" t="s">
        <v>6</v>
      </c>
      <c r="F271" s="40" t="s">
        <v>71</v>
      </c>
      <c r="G271" s="38">
        <v>1</v>
      </c>
      <c r="H271" s="51">
        <v>112000</v>
      </c>
      <c r="I271" s="53">
        <v>0</v>
      </c>
      <c r="J271" s="51">
        <f t="shared" si="61"/>
        <v>112000</v>
      </c>
      <c r="K271" s="54">
        <f t="shared" si="62"/>
        <v>112000</v>
      </c>
      <c r="M271" s="45" t="s">
        <v>1084</v>
      </c>
      <c r="N271" s="45"/>
      <c r="O271" s="45"/>
      <c r="P271" s="45"/>
      <c r="Q271" s="45"/>
      <c r="R271" s="45"/>
      <c r="S271" s="45"/>
      <c r="T271" s="45"/>
      <c r="U271" s="45"/>
      <c r="V271" s="45"/>
      <c r="W271" s="45"/>
      <c r="X271" s="45"/>
      <c r="Y271" s="45"/>
      <c r="Z271" s="56"/>
    </row>
    <row r="272" spans="1:26">
      <c r="A272" s="7" t="s">
        <v>759</v>
      </c>
      <c r="B272" s="40" t="s">
        <v>760</v>
      </c>
      <c r="C272" s="40" t="s">
        <v>216</v>
      </c>
      <c r="D272" s="206" t="s">
        <v>223</v>
      </c>
      <c r="E272" s="206" t="s">
        <v>6</v>
      </c>
      <c r="F272" s="206" t="s">
        <v>71</v>
      </c>
      <c r="G272" s="207">
        <v>1</v>
      </c>
      <c r="H272" s="208">
        <v>436695</v>
      </c>
      <c r="I272" s="209">
        <v>0</v>
      </c>
      <c r="J272" s="208">
        <f t="shared" si="61"/>
        <v>436695</v>
      </c>
      <c r="K272" s="210">
        <f t="shared" si="62"/>
        <v>436695</v>
      </c>
      <c r="M272" s="45" t="s">
        <v>761</v>
      </c>
      <c r="N272" s="45"/>
      <c r="O272" s="45"/>
      <c r="P272" s="45"/>
      <c r="Q272" s="45"/>
      <c r="R272" s="45"/>
      <c r="S272" s="45"/>
      <c r="T272" s="45"/>
      <c r="U272" s="45"/>
      <c r="V272" s="45"/>
      <c r="W272" s="45"/>
      <c r="X272" s="45"/>
      <c r="Y272" s="45"/>
      <c r="Z272" s="56"/>
    </row>
    <row r="273" spans="1:26">
      <c r="A273" s="7" t="s">
        <v>762</v>
      </c>
      <c r="B273" s="40" t="s">
        <v>763</v>
      </c>
      <c r="C273" s="40" t="s">
        <v>283</v>
      </c>
      <c r="D273" s="40"/>
      <c r="E273" s="40" t="s">
        <v>73</v>
      </c>
      <c r="F273" s="40" t="s">
        <v>71</v>
      </c>
      <c r="G273" s="38">
        <v>1</v>
      </c>
      <c r="H273" s="51">
        <f>5000*5</f>
        <v>25000</v>
      </c>
      <c r="I273" s="53">
        <v>0</v>
      </c>
      <c r="J273" s="51">
        <f t="shared" si="61"/>
        <v>25000</v>
      </c>
      <c r="K273" s="54">
        <f t="shared" si="62"/>
        <v>25000</v>
      </c>
      <c r="M273" s="45"/>
      <c r="N273" s="45"/>
      <c r="O273" s="45"/>
      <c r="P273" s="45"/>
      <c r="Q273" s="45"/>
      <c r="R273" s="45"/>
      <c r="S273" s="45"/>
      <c r="T273" s="45"/>
      <c r="U273" s="45"/>
      <c r="V273" s="45"/>
      <c r="W273" s="45"/>
      <c r="X273" s="45"/>
      <c r="Y273" s="45"/>
      <c r="Z273" s="56"/>
    </row>
    <row r="274" spans="1:26">
      <c r="A274" s="7" t="s">
        <v>764</v>
      </c>
      <c r="B274" s="40" t="s">
        <v>765</v>
      </c>
      <c r="C274" s="40" t="s">
        <v>216</v>
      </c>
      <c r="D274" s="40"/>
      <c r="E274" s="40" t="s">
        <v>231</v>
      </c>
      <c r="F274" s="40"/>
      <c r="G274" s="38"/>
      <c r="H274" s="51"/>
      <c r="I274" s="53">
        <v>0</v>
      </c>
      <c r="J274" s="51">
        <f t="shared" si="61"/>
        <v>0</v>
      </c>
      <c r="K274" s="54">
        <f t="shared" si="62"/>
        <v>0</v>
      </c>
      <c r="M274" s="45"/>
      <c r="N274" s="45"/>
      <c r="O274" s="45"/>
      <c r="P274" s="45"/>
      <c r="Q274" s="45"/>
      <c r="R274" s="45"/>
      <c r="S274" s="45"/>
      <c r="T274" s="45"/>
      <c r="U274" s="45"/>
      <c r="V274" s="45"/>
      <c r="W274" s="45"/>
      <c r="X274" s="45"/>
      <c r="Y274" s="45"/>
      <c r="Z274" s="56"/>
    </row>
    <row r="275" spans="1:26">
      <c r="A275" s="7" t="s">
        <v>766</v>
      </c>
      <c r="B275" s="40" t="s">
        <v>767</v>
      </c>
      <c r="C275" s="40" t="s">
        <v>216</v>
      </c>
      <c r="D275" s="40"/>
      <c r="E275" s="40" t="s">
        <v>231</v>
      </c>
      <c r="F275" s="40"/>
      <c r="G275" s="38"/>
      <c r="H275" s="51"/>
      <c r="I275" s="53">
        <v>0</v>
      </c>
      <c r="J275" s="51">
        <f t="shared" si="61"/>
        <v>0</v>
      </c>
      <c r="K275" s="54">
        <f t="shared" si="62"/>
        <v>0</v>
      </c>
      <c r="M275" s="45"/>
      <c r="N275" s="45"/>
      <c r="O275" s="45"/>
      <c r="P275" s="45"/>
      <c r="Q275" s="45"/>
      <c r="R275" s="45"/>
      <c r="S275" s="45"/>
      <c r="T275" s="45"/>
      <c r="U275" s="45"/>
      <c r="V275" s="45"/>
      <c r="W275" s="45"/>
      <c r="X275" s="45"/>
      <c r="Y275" s="45"/>
      <c r="Z275" s="56"/>
    </row>
    <row r="276" spans="1:26">
      <c r="A276" s="7" t="s">
        <v>768</v>
      </c>
      <c r="B276" s="40" t="s">
        <v>769</v>
      </c>
      <c r="C276" s="40" t="s">
        <v>216</v>
      </c>
      <c r="D276" s="40"/>
      <c r="E276" s="40" t="s">
        <v>231</v>
      </c>
      <c r="F276" s="40"/>
      <c r="G276" s="38"/>
      <c r="H276" s="51"/>
      <c r="I276" s="53">
        <v>0</v>
      </c>
      <c r="J276" s="51">
        <f t="shared" si="61"/>
        <v>0</v>
      </c>
      <c r="K276" s="54">
        <f t="shared" si="62"/>
        <v>0</v>
      </c>
      <c r="M276" s="45"/>
      <c r="N276" s="45"/>
      <c r="O276" s="45"/>
      <c r="P276" s="45"/>
      <c r="Q276" s="45"/>
      <c r="R276" s="45"/>
      <c r="S276" s="45"/>
      <c r="T276" s="45"/>
      <c r="U276" s="45"/>
      <c r="V276" s="45"/>
      <c r="W276" s="45"/>
      <c r="X276" s="45"/>
      <c r="Y276" s="45"/>
      <c r="Z276" s="56"/>
    </row>
    <row r="277" spans="1:26">
      <c r="A277" s="7" t="s">
        <v>770</v>
      </c>
      <c r="B277" s="40" t="s">
        <v>745</v>
      </c>
      <c r="C277" s="40" t="s">
        <v>216</v>
      </c>
      <c r="D277" s="206" t="s">
        <v>1005</v>
      </c>
      <c r="E277" s="206" t="s">
        <v>6</v>
      </c>
      <c r="F277" s="206" t="s">
        <v>71</v>
      </c>
      <c r="G277" s="207">
        <v>1</v>
      </c>
      <c r="H277" s="208">
        <v>1538312.1666666667</v>
      </c>
      <c r="I277" s="209">
        <v>0</v>
      </c>
      <c r="J277" s="208">
        <f t="shared" si="61"/>
        <v>1538312.1666666667</v>
      </c>
      <c r="K277" s="210">
        <f t="shared" si="62"/>
        <v>1538312.1666666667</v>
      </c>
      <c r="M277" s="45" t="s">
        <v>1085</v>
      </c>
      <c r="N277" s="45"/>
      <c r="O277" s="45"/>
      <c r="P277" s="45"/>
      <c r="Q277" s="45"/>
      <c r="R277" s="45"/>
      <c r="S277" s="45"/>
      <c r="T277" s="45"/>
      <c r="U277" s="45"/>
      <c r="V277" s="45"/>
      <c r="W277" s="45"/>
      <c r="X277" s="45"/>
      <c r="Y277" s="45"/>
      <c r="Z277" s="56"/>
    </row>
    <row r="278" spans="1:26">
      <c r="A278" s="7" t="s">
        <v>771</v>
      </c>
      <c r="B278" s="40" t="s">
        <v>749</v>
      </c>
      <c r="C278" s="40" t="s">
        <v>216</v>
      </c>
      <c r="D278" s="206" t="s">
        <v>1005</v>
      </c>
      <c r="E278" s="206" t="s">
        <v>6</v>
      </c>
      <c r="F278" s="206" t="s">
        <v>71</v>
      </c>
      <c r="G278" s="207">
        <v>1</v>
      </c>
      <c r="H278" s="208">
        <v>731659</v>
      </c>
      <c r="I278" s="209">
        <v>0</v>
      </c>
      <c r="J278" s="208">
        <f t="shared" si="61"/>
        <v>731659</v>
      </c>
      <c r="K278" s="210">
        <f t="shared" si="62"/>
        <v>731659</v>
      </c>
      <c r="M278" s="45" t="s">
        <v>1086</v>
      </c>
      <c r="N278" s="45"/>
      <c r="O278" s="45"/>
      <c r="P278" s="45"/>
      <c r="Q278" s="45"/>
      <c r="R278" s="45"/>
      <c r="S278" s="45"/>
      <c r="T278" s="45"/>
      <c r="U278" s="45"/>
      <c r="V278" s="45"/>
      <c r="W278" s="45"/>
      <c r="X278" s="45"/>
      <c r="Y278" s="45"/>
      <c r="Z278" s="56"/>
    </row>
    <row r="279" spans="1:26">
      <c r="A279" s="7" t="s">
        <v>772</v>
      </c>
      <c r="B279" s="40" t="s">
        <v>752</v>
      </c>
      <c r="C279" s="40" t="s">
        <v>216</v>
      </c>
      <c r="D279" s="206" t="s">
        <v>1005</v>
      </c>
      <c r="E279" s="206" t="s">
        <v>6</v>
      </c>
      <c r="F279" s="206" t="s">
        <v>71</v>
      </c>
      <c r="G279" s="207">
        <v>1</v>
      </c>
      <c r="H279" s="208">
        <v>795889</v>
      </c>
      <c r="I279" s="209">
        <v>0</v>
      </c>
      <c r="J279" s="208">
        <f t="shared" si="61"/>
        <v>795889</v>
      </c>
      <c r="K279" s="210">
        <f t="shared" si="62"/>
        <v>795889</v>
      </c>
      <c r="M279" s="45"/>
      <c r="N279" s="45"/>
      <c r="O279" s="45"/>
      <c r="P279" s="45"/>
      <c r="Q279" s="45"/>
      <c r="R279" s="45"/>
      <c r="S279" s="45"/>
      <c r="T279" s="45"/>
      <c r="U279" s="45"/>
      <c r="V279" s="45"/>
      <c r="W279" s="45"/>
      <c r="X279" s="45"/>
      <c r="Y279" s="45"/>
      <c r="Z279" s="56"/>
    </row>
    <row r="280" spans="1:26">
      <c r="A280" s="7" t="s">
        <v>773</v>
      </c>
      <c r="B280" s="40" t="s">
        <v>760</v>
      </c>
      <c r="C280" s="40" t="s">
        <v>216</v>
      </c>
      <c r="D280" s="206" t="s">
        <v>1005</v>
      </c>
      <c r="E280" s="206" t="s">
        <v>6</v>
      </c>
      <c r="F280" s="206" t="s">
        <v>71</v>
      </c>
      <c r="G280" s="207">
        <v>1</v>
      </c>
      <c r="H280" s="208">
        <v>1213049.6133333333</v>
      </c>
      <c r="I280" s="209">
        <v>0</v>
      </c>
      <c r="J280" s="208">
        <f t="shared" si="61"/>
        <v>1213049.6133333333</v>
      </c>
      <c r="K280" s="210">
        <f t="shared" si="62"/>
        <v>1213049.6133333333</v>
      </c>
      <c r="M280" s="346" t="s">
        <v>1087</v>
      </c>
      <c r="N280" s="45"/>
      <c r="O280" s="45"/>
      <c r="P280" s="45"/>
      <c r="Q280" s="45"/>
      <c r="R280" s="45"/>
      <c r="S280" s="45"/>
      <c r="T280" s="45"/>
      <c r="U280" s="45"/>
      <c r="V280" s="45"/>
      <c r="W280" s="45"/>
      <c r="X280" s="45"/>
      <c r="Y280" s="45"/>
      <c r="Z280" s="56"/>
    </row>
    <row r="281" spans="1:26">
      <c r="A281" s="4" t="s">
        <v>774</v>
      </c>
      <c r="B281" s="151" t="s">
        <v>775</v>
      </c>
      <c r="C281" s="151"/>
      <c r="D281" s="151"/>
      <c r="E281" s="151"/>
      <c r="F281" s="151"/>
      <c r="G281" s="152"/>
      <c r="H281" s="153"/>
      <c r="I281" s="154"/>
      <c r="J281" s="153"/>
      <c r="K281" s="172"/>
      <c r="L281" s="70">
        <f>SUM(K282)</f>
        <v>15000</v>
      </c>
      <c r="M281" s="45"/>
      <c r="N281" s="45"/>
      <c r="O281" s="45"/>
      <c r="P281" s="45"/>
      <c r="Q281" s="45"/>
      <c r="R281" s="45"/>
      <c r="S281" s="45"/>
      <c r="T281" s="45"/>
      <c r="U281" s="45"/>
      <c r="V281" s="45"/>
      <c r="W281" s="45"/>
      <c r="X281" s="45"/>
      <c r="Y281" s="45"/>
      <c r="Z281" s="56"/>
    </row>
    <row r="282" spans="1:26">
      <c r="A282" s="5" t="s">
        <v>776</v>
      </c>
      <c r="B282" s="65" t="s">
        <v>777</v>
      </c>
      <c r="C282" s="65" t="s">
        <v>283</v>
      </c>
      <c r="D282" s="65" t="s">
        <v>1005</v>
      </c>
      <c r="E282" s="65" t="s">
        <v>73</v>
      </c>
      <c r="F282" s="65" t="s">
        <v>71</v>
      </c>
      <c r="G282" s="43">
        <v>1</v>
      </c>
      <c r="H282" s="64">
        <v>15000</v>
      </c>
      <c r="I282" s="157">
        <v>0</v>
      </c>
      <c r="J282" s="158">
        <f>H282*(1+I282)</f>
        <v>15000</v>
      </c>
      <c r="K282" s="159">
        <f>J282*G282</f>
        <v>15000</v>
      </c>
      <c r="M282" s="45"/>
      <c r="N282" s="45"/>
      <c r="O282" s="45"/>
      <c r="P282" s="45"/>
      <c r="Q282" s="45"/>
      <c r="R282" s="45"/>
      <c r="S282" s="45"/>
      <c r="T282" s="45"/>
      <c r="U282" s="45"/>
      <c r="V282" s="45"/>
      <c r="W282" s="45"/>
      <c r="X282" s="45"/>
      <c r="Y282" s="45"/>
      <c r="Z282" s="56"/>
    </row>
    <row r="283" spans="1:26">
      <c r="A283" s="4" t="s">
        <v>778</v>
      </c>
      <c r="B283" s="151" t="s">
        <v>779</v>
      </c>
      <c r="C283" s="151"/>
      <c r="D283" s="151"/>
      <c r="E283" s="151"/>
      <c r="F283" s="151"/>
      <c r="G283" s="152"/>
      <c r="H283" s="153"/>
      <c r="I283" s="154"/>
      <c r="J283" s="153"/>
      <c r="K283" s="172"/>
      <c r="L283" s="70">
        <f>SUM(K284:K286)</f>
        <v>469750</v>
      </c>
      <c r="M283" s="45"/>
      <c r="N283" s="45"/>
      <c r="O283" s="45"/>
      <c r="P283" s="45"/>
      <c r="Q283" s="45"/>
      <c r="R283" s="45"/>
      <c r="S283" s="45"/>
      <c r="T283" s="45"/>
      <c r="U283" s="45"/>
      <c r="V283" s="45"/>
      <c r="W283" s="45"/>
      <c r="X283" s="45"/>
      <c r="Y283" s="45"/>
      <c r="Z283" s="56"/>
    </row>
    <row r="284" spans="1:26">
      <c r="A284" s="374" t="s">
        <v>780</v>
      </c>
      <c r="B284" s="375" t="s">
        <v>781</v>
      </c>
      <c r="C284" s="375" t="s">
        <v>216</v>
      </c>
      <c r="D284" s="375"/>
      <c r="E284" s="375" t="s">
        <v>782</v>
      </c>
      <c r="F284" s="375" t="s">
        <v>88</v>
      </c>
      <c r="G284" s="376">
        <f>$E$8</f>
        <v>390</v>
      </c>
      <c r="H284" s="377">
        <v>1025</v>
      </c>
      <c r="I284" s="378">
        <v>0</v>
      </c>
      <c r="J284" s="379">
        <f t="shared" ref="J284:J286" si="63">H284*(1+I284)</f>
        <v>1025</v>
      </c>
      <c r="K284" s="380">
        <f t="shared" ref="K284:K286" si="64">J284*G284</f>
        <v>399750</v>
      </c>
      <c r="M284" s="45"/>
      <c r="N284" s="45"/>
      <c r="O284" s="45"/>
      <c r="P284" s="45"/>
      <c r="Q284" s="45"/>
      <c r="R284" s="45"/>
      <c r="S284" s="45"/>
      <c r="T284" s="45"/>
      <c r="U284" s="45"/>
      <c r="V284" s="45"/>
      <c r="W284" s="45"/>
      <c r="X284" s="45"/>
      <c r="Y284" s="45"/>
      <c r="Z284" s="56"/>
    </row>
    <row r="285" spans="1:26">
      <c r="A285" s="7" t="s">
        <v>783</v>
      </c>
      <c r="B285" s="40" t="s">
        <v>784</v>
      </c>
      <c r="C285" s="40" t="s">
        <v>283</v>
      </c>
      <c r="D285" s="40"/>
      <c r="E285" s="40" t="s">
        <v>73</v>
      </c>
      <c r="F285" s="40" t="s">
        <v>71</v>
      </c>
      <c r="G285" s="38">
        <v>1</v>
      </c>
      <c r="H285" s="51">
        <v>50000</v>
      </c>
      <c r="I285" s="53">
        <v>0</v>
      </c>
      <c r="J285" s="51">
        <f t="shared" si="63"/>
        <v>50000</v>
      </c>
      <c r="K285" s="54">
        <f t="shared" si="64"/>
        <v>50000</v>
      </c>
      <c r="M285" s="45" t="s">
        <v>785</v>
      </c>
      <c r="N285" s="45"/>
      <c r="O285" s="45"/>
      <c r="P285" s="45"/>
      <c r="Q285" s="45"/>
      <c r="R285" s="45"/>
      <c r="S285" s="45"/>
      <c r="T285" s="45"/>
      <c r="U285" s="45"/>
      <c r="V285" s="45"/>
      <c r="W285" s="45"/>
      <c r="X285" s="45"/>
      <c r="Y285" s="45"/>
      <c r="Z285" s="56"/>
    </row>
    <row r="286" spans="1:26">
      <c r="A286" s="7" t="s">
        <v>786</v>
      </c>
      <c r="B286" s="40" t="s">
        <v>787</v>
      </c>
      <c r="C286" s="40" t="s">
        <v>283</v>
      </c>
      <c r="D286" s="40"/>
      <c r="E286" s="40" t="s">
        <v>73</v>
      </c>
      <c r="F286" s="40" t="s">
        <v>71</v>
      </c>
      <c r="G286" s="38">
        <v>1</v>
      </c>
      <c r="H286" s="51">
        <v>20000</v>
      </c>
      <c r="I286" s="53">
        <v>0</v>
      </c>
      <c r="J286" s="51">
        <f t="shared" si="63"/>
        <v>20000</v>
      </c>
      <c r="K286" s="54">
        <f t="shared" si="64"/>
        <v>20000</v>
      </c>
      <c r="M286" s="45"/>
      <c r="N286" s="45"/>
      <c r="O286" s="45"/>
      <c r="P286" s="45"/>
      <c r="Q286" s="45"/>
      <c r="R286" s="45"/>
      <c r="S286" s="45"/>
      <c r="T286" s="45"/>
      <c r="U286" s="45"/>
      <c r="V286" s="45"/>
      <c r="W286" s="45"/>
      <c r="X286" s="45"/>
      <c r="Y286" s="45"/>
      <c r="Z286" s="56"/>
    </row>
    <row r="287" spans="1:26">
      <c r="A287" s="4" t="s">
        <v>788</v>
      </c>
      <c r="B287" s="151" t="s">
        <v>789</v>
      </c>
      <c r="C287" s="151"/>
      <c r="D287" s="151"/>
      <c r="E287" s="151"/>
      <c r="F287" s="151"/>
      <c r="G287" s="152"/>
      <c r="H287" s="153"/>
      <c r="I287" s="154"/>
      <c r="J287" s="153"/>
      <c r="K287" s="172"/>
      <c r="L287" s="70">
        <f>SUM(K288:K296)</f>
        <v>427358.97360000003</v>
      </c>
      <c r="M287" s="45"/>
      <c r="N287" s="45"/>
      <c r="O287" s="45"/>
      <c r="P287" s="45"/>
      <c r="Q287" s="45"/>
      <c r="R287" s="45"/>
      <c r="S287" s="45"/>
      <c r="T287" s="45"/>
      <c r="U287" s="45"/>
      <c r="V287" s="45"/>
      <c r="W287" s="45"/>
      <c r="X287" s="45"/>
      <c r="Y287" s="45"/>
      <c r="Z287" s="56"/>
    </row>
    <row r="288" spans="1:26">
      <c r="A288" s="6" t="s">
        <v>790</v>
      </c>
      <c r="B288" s="47" t="s">
        <v>791</v>
      </c>
      <c r="C288" s="47" t="s">
        <v>216</v>
      </c>
      <c r="D288" s="47"/>
      <c r="E288" s="47" t="s">
        <v>782</v>
      </c>
      <c r="F288" s="47" t="s">
        <v>71</v>
      </c>
      <c r="G288" s="185">
        <f>$B$9</f>
        <v>15.826000000000001</v>
      </c>
      <c r="H288" s="61">
        <v>2914</v>
      </c>
      <c r="I288" s="63">
        <v>0</v>
      </c>
      <c r="J288" s="66">
        <f t="shared" ref="J288:J296" si="65">H288*(1+I288)</f>
        <v>2914</v>
      </c>
      <c r="K288" s="67">
        <f t="shared" ref="K288:K296" si="66">J288*G288</f>
        <v>46116.964</v>
      </c>
      <c r="M288" s="45"/>
      <c r="N288" s="45"/>
      <c r="O288" s="45"/>
      <c r="P288" s="45"/>
      <c r="Q288" s="45"/>
      <c r="R288" s="45"/>
      <c r="S288" s="45"/>
      <c r="T288" s="45"/>
      <c r="U288" s="45"/>
      <c r="V288" s="45"/>
      <c r="W288" s="45"/>
      <c r="X288" s="45"/>
      <c r="Y288" s="45"/>
      <c r="Z288" s="56"/>
    </row>
    <row r="289" spans="1:26">
      <c r="A289" s="7" t="s">
        <v>792</v>
      </c>
      <c r="B289" s="40" t="s">
        <v>793</v>
      </c>
      <c r="C289" s="40" t="s">
        <v>216</v>
      </c>
      <c r="D289" s="40"/>
      <c r="E289" s="40" t="s">
        <v>782</v>
      </c>
      <c r="F289" s="40" t="s">
        <v>71</v>
      </c>
      <c r="G289" s="183">
        <f t="shared" ref="G289:G296" si="67">$B$9</f>
        <v>15.826000000000001</v>
      </c>
      <c r="H289" s="51">
        <v>1542</v>
      </c>
      <c r="I289" s="53">
        <v>0</v>
      </c>
      <c r="J289" s="51">
        <f t="shared" si="65"/>
        <v>1542</v>
      </c>
      <c r="K289" s="54">
        <f t="shared" si="66"/>
        <v>24403.691999999999</v>
      </c>
      <c r="M289" s="45"/>
      <c r="N289" s="45"/>
      <c r="O289" s="45"/>
      <c r="P289" s="45"/>
      <c r="Q289" s="45"/>
      <c r="R289" s="45"/>
      <c r="S289" s="45"/>
      <c r="T289" s="45"/>
      <c r="U289" s="45"/>
      <c r="V289" s="45"/>
      <c r="W289" s="45"/>
      <c r="X289" s="45"/>
      <c r="Y289" s="45"/>
      <c r="Z289" s="56"/>
    </row>
    <row r="290" spans="1:26">
      <c r="A290" s="7" t="s">
        <v>795</v>
      </c>
      <c r="B290" s="40" t="s">
        <v>796</v>
      </c>
      <c r="C290" s="40" t="s">
        <v>216</v>
      </c>
      <c r="D290" s="40"/>
      <c r="E290" s="40" t="s">
        <v>782</v>
      </c>
      <c r="F290" s="40" t="s">
        <v>71</v>
      </c>
      <c r="G290" s="183">
        <f t="shared" si="67"/>
        <v>15.826000000000001</v>
      </c>
      <c r="H290" s="51">
        <v>1870</v>
      </c>
      <c r="I290" s="53">
        <v>0</v>
      </c>
      <c r="J290" s="51">
        <f t="shared" si="65"/>
        <v>1870</v>
      </c>
      <c r="K290" s="54">
        <f t="shared" si="66"/>
        <v>29594.620000000003</v>
      </c>
      <c r="M290" s="45"/>
      <c r="N290" s="45"/>
      <c r="O290" s="45"/>
      <c r="P290" s="45"/>
      <c r="Q290" s="45"/>
      <c r="R290" s="45"/>
      <c r="S290" s="45"/>
      <c r="T290" s="45"/>
      <c r="U290" s="45"/>
      <c r="V290" s="45"/>
      <c r="W290" s="45"/>
      <c r="X290" s="45"/>
      <c r="Y290" s="45"/>
      <c r="Z290" s="56"/>
    </row>
    <row r="291" spans="1:26">
      <c r="A291" s="7" t="s">
        <v>797</v>
      </c>
      <c r="B291" s="40" t="s">
        <v>798</v>
      </c>
      <c r="C291" s="40" t="s">
        <v>216</v>
      </c>
      <c r="D291" s="40"/>
      <c r="E291" s="40" t="s">
        <v>782</v>
      </c>
      <c r="F291" s="40" t="s">
        <v>71</v>
      </c>
      <c r="G291" s="183">
        <f t="shared" si="67"/>
        <v>15.826000000000001</v>
      </c>
      <c r="H291" s="51">
        <v>6618.4</v>
      </c>
      <c r="I291" s="53">
        <v>0</v>
      </c>
      <c r="J291" s="51">
        <f t="shared" si="65"/>
        <v>6618.4</v>
      </c>
      <c r="K291" s="54">
        <f t="shared" si="66"/>
        <v>104742.7984</v>
      </c>
      <c r="M291" s="45"/>
      <c r="N291" s="45"/>
      <c r="O291" s="45"/>
      <c r="P291" s="45"/>
      <c r="Q291" s="45"/>
      <c r="R291" s="45"/>
      <c r="S291" s="45"/>
      <c r="T291" s="45"/>
      <c r="U291" s="45"/>
      <c r="V291" s="45"/>
      <c r="W291" s="45"/>
      <c r="X291" s="45"/>
      <c r="Y291" s="45"/>
      <c r="Z291" s="56"/>
    </row>
    <row r="292" spans="1:26">
      <c r="A292" s="7" t="s">
        <v>799</v>
      </c>
      <c r="B292" s="40" t="s">
        <v>800</v>
      </c>
      <c r="C292" s="40" t="s">
        <v>216</v>
      </c>
      <c r="D292" s="40"/>
      <c r="E292" s="40" t="s">
        <v>782</v>
      </c>
      <c r="F292" s="40" t="s">
        <v>71</v>
      </c>
      <c r="G292" s="183">
        <f t="shared" si="67"/>
        <v>15.826000000000001</v>
      </c>
      <c r="H292" s="51">
        <v>4006</v>
      </c>
      <c r="I292" s="53">
        <v>0</v>
      </c>
      <c r="J292" s="51">
        <f t="shared" si="65"/>
        <v>4006</v>
      </c>
      <c r="K292" s="54">
        <f t="shared" si="66"/>
        <v>63398.956000000006</v>
      </c>
      <c r="M292" s="45"/>
      <c r="N292" s="45"/>
      <c r="O292" s="45"/>
      <c r="P292" s="45"/>
      <c r="Q292" s="45"/>
      <c r="R292" s="45"/>
      <c r="S292" s="45"/>
      <c r="T292" s="45"/>
      <c r="U292" s="45"/>
      <c r="V292" s="45"/>
      <c r="W292" s="45"/>
      <c r="X292" s="45"/>
      <c r="Y292" s="45"/>
      <c r="Z292" s="56"/>
    </row>
    <row r="293" spans="1:26">
      <c r="A293" s="7" t="s">
        <v>801</v>
      </c>
      <c r="B293" s="40" t="s">
        <v>802</v>
      </c>
      <c r="C293" s="40" t="s">
        <v>216</v>
      </c>
      <c r="D293" s="40"/>
      <c r="E293" s="40" t="s">
        <v>782</v>
      </c>
      <c r="F293" s="40" t="s">
        <v>71</v>
      </c>
      <c r="G293" s="183">
        <f t="shared" si="67"/>
        <v>15.826000000000001</v>
      </c>
      <c r="H293" s="51">
        <v>3544.2</v>
      </c>
      <c r="I293" s="53">
        <v>0</v>
      </c>
      <c r="J293" s="51">
        <f t="shared" si="65"/>
        <v>3544.2</v>
      </c>
      <c r="K293" s="54">
        <f t="shared" si="66"/>
        <v>56090.5092</v>
      </c>
      <c r="M293" s="45"/>
      <c r="N293" s="45"/>
      <c r="O293" s="45"/>
      <c r="P293" s="45"/>
      <c r="Q293" s="45"/>
      <c r="R293" s="45"/>
      <c r="S293" s="45"/>
      <c r="T293" s="45"/>
      <c r="U293" s="45"/>
      <c r="V293" s="45"/>
      <c r="W293" s="45"/>
      <c r="X293" s="45"/>
      <c r="Y293" s="45"/>
      <c r="Z293" s="56"/>
    </row>
    <row r="294" spans="1:26">
      <c r="A294" s="7" t="s">
        <v>803</v>
      </c>
      <c r="B294" s="40" t="s">
        <v>804</v>
      </c>
      <c r="C294" s="40" t="s">
        <v>216</v>
      </c>
      <c r="D294" s="40"/>
      <c r="E294" s="40" t="s">
        <v>782</v>
      </c>
      <c r="F294" s="40" t="s">
        <v>71</v>
      </c>
      <c r="G294" s="183">
        <f t="shared" si="67"/>
        <v>15.826000000000001</v>
      </c>
      <c r="H294" s="51">
        <v>816</v>
      </c>
      <c r="I294" s="53">
        <v>0</v>
      </c>
      <c r="J294" s="51">
        <f t="shared" si="65"/>
        <v>816</v>
      </c>
      <c r="K294" s="54">
        <f t="shared" si="66"/>
        <v>12914.016</v>
      </c>
      <c r="M294" s="45"/>
      <c r="N294" s="45"/>
      <c r="O294" s="45"/>
      <c r="P294" s="45"/>
      <c r="Q294" s="45"/>
      <c r="R294" s="45"/>
      <c r="S294" s="45"/>
      <c r="T294" s="45"/>
      <c r="U294" s="45"/>
      <c r="V294" s="45"/>
      <c r="W294" s="45"/>
      <c r="X294" s="45"/>
      <c r="Y294" s="45"/>
      <c r="Z294" s="56"/>
    </row>
    <row r="295" spans="1:26">
      <c r="A295" s="7" t="s">
        <v>805</v>
      </c>
      <c r="B295" s="40" t="s">
        <v>806</v>
      </c>
      <c r="C295" s="40" t="s">
        <v>216</v>
      </c>
      <c r="D295" s="40"/>
      <c r="E295" s="40" t="s">
        <v>782</v>
      </c>
      <c r="F295" s="40" t="s">
        <v>71</v>
      </c>
      <c r="G295" s="183">
        <f t="shared" si="67"/>
        <v>15.826000000000001</v>
      </c>
      <c r="H295" s="51">
        <v>716.4</v>
      </c>
      <c r="I295" s="53">
        <v>0</v>
      </c>
      <c r="J295" s="51">
        <f t="shared" si="65"/>
        <v>716.4</v>
      </c>
      <c r="K295" s="54">
        <f t="shared" si="66"/>
        <v>11337.7464</v>
      </c>
      <c r="M295" s="45"/>
      <c r="N295" s="45"/>
      <c r="O295" s="45"/>
      <c r="P295" s="45"/>
      <c r="Q295" s="45"/>
      <c r="R295" s="45"/>
      <c r="S295" s="45"/>
      <c r="T295" s="45"/>
      <c r="U295" s="45"/>
      <c r="V295" s="45"/>
      <c r="W295" s="45"/>
      <c r="X295" s="45"/>
      <c r="Y295" s="45"/>
      <c r="Z295" s="56"/>
    </row>
    <row r="296" spans="1:26">
      <c r="A296" s="7" t="s">
        <v>807</v>
      </c>
      <c r="B296" s="40" t="s">
        <v>808</v>
      </c>
      <c r="C296" s="40" t="s">
        <v>216</v>
      </c>
      <c r="D296" s="40"/>
      <c r="E296" s="40" t="s">
        <v>782</v>
      </c>
      <c r="F296" s="40" t="s">
        <v>71</v>
      </c>
      <c r="G296" s="183">
        <f t="shared" si="67"/>
        <v>15.826000000000001</v>
      </c>
      <c r="H296" s="51">
        <v>4976.6000000000004</v>
      </c>
      <c r="I296" s="53">
        <v>0</v>
      </c>
      <c r="J296" s="51">
        <f t="shared" si="65"/>
        <v>4976.6000000000004</v>
      </c>
      <c r="K296" s="54">
        <f t="shared" si="66"/>
        <v>78759.671600000001</v>
      </c>
      <c r="M296" s="45"/>
      <c r="N296" s="45"/>
      <c r="O296" s="45"/>
      <c r="P296" s="45"/>
      <c r="Q296" s="45"/>
      <c r="R296" s="45"/>
      <c r="S296" s="45"/>
      <c r="T296" s="45"/>
      <c r="U296" s="45"/>
      <c r="V296" s="45"/>
      <c r="W296" s="45"/>
      <c r="X296" s="45"/>
      <c r="Y296" s="45"/>
      <c r="Z296" s="56"/>
    </row>
    <row r="297" spans="1:26" hidden="1">
      <c r="A297" s="4" t="s">
        <v>809</v>
      </c>
      <c r="B297" s="151"/>
      <c r="C297" s="151"/>
      <c r="D297" s="151"/>
      <c r="E297" s="151"/>
      <c r="F297" s="151"/>
      <c r="G297" s="152"/>
      <c r="H297" s="153"/>
      <c r="I297" s="154"/>
      <c r="J297" s="153"/>
      <c r="K297" s="172"/>
      <c r="L297" s="70">
        <f>SUM(K298:K305)</f>
        <v>0</v>
      </c>
      <c r="M297" s="45"/>
      <c r="N297" s="45"/>
      <c r="O297" s="45"/>
      <c r="P297" s="45"/>
      <c r="Q297" s="45"/>
      <c r="R297" s="45"/>
      <c r="S297" s="45"/>
      <c r="T297" s="45"/>
      <c r="U297" s="45"/>
      <c r="V297" s="45"/>
      <c r="W297" s="45"/>
      <c r="X297" s="45"/>
      <c r="Y297" s="45"/>
      <c r="Z297" s="56"/>
    </row>
    <row r="298" spans="1:26" hidden="1">
      <c r="A298" s="6" t="s">
        <v>809</v>
      </c>
      <c r="B298" s="47"/>
      <c r="C298" s="47"/>
      <c r="D298" s="47"/>
      <c r="E298" s="47" t="s">
        <v>231</v>
      </c>
      <c r="F298" s="47"/>
      <c r="G298" s="42"/>
      <c r="H298" s="61"/>
      <c r="I298" s="63">
        <v>0</v>
      </c>
      <c r="J298" s="66">
        <f t="shared" ref="J298:J305" si="68">H298*(1+I298)</f>
        <v>0</v>
      </c>
      <c r="K298" s="67">
        <f t="shared" ref="K298:K305" si="69">J298*G298</f>
        <v>0</v>
      </c>
      <c r="M298" s="45"/>
      <c r="N298" s="45"/>
      <c r="O298" s="45"/>
      <c r="P298" s="45"/>
      <c r="Q298" s="45"/>
      <c r="R298" s="45"/>
      <c r="S298" s="45"/>
      <c r="T298" s="45"/>
      <c r="U298" s="45"/>
      <c r="V298" s="45"/>
      <c r="W298" s="45"/>
      <c r="X298" s="45"/>
      <c r="Y298" s="45"/>
      <c r="Z298" s="56"/>
    </row>
    <row r="299" spans="1:26" hidden="1">
      <c r="A299" s="7" t="s">
        <v>810</v>
      </c>
      <c r="B299" s="40"/>
      <c r="C299" s="40"/>
      <c r="D299" s="40"/>
      <c r="E299" s="40" t="s">
        <v>231</v>
      </c>
      <c r="F299" s="40"/>
      <c r="G299" s="38"/>
      <c r="H299" s="51"/>
      <c r="I299" s="53">
        <v>0</v>
      </c>
      <c r="J299" s="51">
        <f t="shared" si="68"/>
        <v>0</v>
      </c>
      <c r="K299" s="54">
        <f t="shared" si="69"/>
        <v>0</v>
      </c>
      <c r="M299" s="45"/>
      <c r="N299" s="45"/>
      <c r="O299" s="45"/>
      <c r="P299" s="45"/>
      <c r="Q299" s="45"/>
      <c r="R299" s="45"/>
      <c r="S299" s="45"/>
      <c r="T299" s="45"/>
      <c r="U299" s="45"/>
      <c r="V299" s="45"/>
      <c r="W299" s="45"/>
      <c r="X299" s="45"/>
      <c r="Y299" s="45"/>
      <c r="Z299" s="56"/>
    </row>
    <row r="300" spans="1:26" hidden="1">
      <c r="A300" s="7" t="s">
        <v>811</v>
      </c>
      <c r="B300" s="40"/>
      <c r="C300" s="40"/>
      <c r="D300" s="40"/>
      <c r="E300" s="40" t="s">
        <v>231</v>
      </c>
      <c r="F300" s="40"/>
      <c r="G300" s="38"/>
      <c r="H300" s="51"/>
      <c r="I300" s="53">
        <v>0</v>
      </c>
      <c r="J300" s="51">
        <f t="shared" si="68"/>
        <v>0</v>
      </c>
      <c r="K300" s="54">
        <f t="shared" si="69"/>
        <v>0</v>
      </c>
      <c r="M300" s="45"/>
      <c r="N300" s="45"/>
      <c r="O300" s="45"/>
      <c r="P300" s="45"/>
      <c r="Q300" s="45"/>
      <c r="R300" s="45"/>
      <c r="S300" s="45"/>
      <c r="T300" s="45"/>
      <c r="U300" s="45"/>
      <c r="V300" s="45"/>
      <c r="W300" s="45"/>
      <c r="X300" s="45"/>
      <c r="Y300" s="45"/>
      <c r="Z300" s="56"/>
    </row>
    <row r="301" spans="1:26" hidden="1">
      <c r="A301" s="7" t="s">
        <v>812</v>
      </c>
      <c r="B301" s="40"/>
      <c r="C301" s="40"/>
      <c r="D301" s="40"/>
      <c r="E301" s="40" t="s">
        <v>231</v>
      </c>
      <c r="F301" s="40"/>
      <c r="G301" s="38"/>
      <c r="H301" s="51"/>
      <c r="I301" s="53">
        <v>0</v>
      </c>
      <c r="J301" s="51">
        <f t="shared" si="68"/>
        <v>0</v>
      </c>
      <c r="K301" s="54">
        <f t="shared" si="69"/>
        <v>0</v>
      </c>
      <c r="M301" s="45"/>
      <c r="N301" s="45"/>
      <c r="O301" s="45"/>
      <c r="P301" s="45"/>
      <c r="Q301" s="45"/>
      <c r="R301" s="45"/>
      <c r="S301" s="45"/>
      <c r="T301" s="45"/>
      <c r="U301" s="45"/>
      <c r="V301" s="45"/>
      <c r="W301" s="45"/>
      <c r="X301" s="45"/>
      <c r="Y301" s="45"/>
      <c r="Z301" s="56"/>
    </row>
    <row r="302" spans="1:26" hidden="1">
      <c r="A302" s="7" t="s">
        <v>813</v>
      </c>
      <c r="B302" s="40"/>
      <c r="C302" s="40"/>
      <c r="D302" s="40"/>
      <c r="E302" s="40" t="s">
        <v>231</v>
      </c>
      <c r="F302" s="40"/>
      <c r="G302" s="38"/>
      <c r="H302" s="51"/>
      <c r="I302" s="53">
        <v>0</v>
      </c>
      <c r="J302" s="51">
        <f t="shared" si="68"/>
        <v>0</v>
      </c>
      <c r="K302" s="54">
        <f t="shared" si="69"/>
        <v>0</v>
      </c>
      <c r="M302" s="45"/>
      <c r="N302" s="45"/>
      <c r="O302" s="45"/>
      <c r="P302" s="45"/>
      <c r="Q302" s="45"/>
      <c r="R302" s="45"/>
      <c r="S302" s="45"/>
      <c r="T302" s="45"/>
      <c r="U302" s="45"/>
      <c r="V302" s="45"/>
      <c r="W302" s="45"/>
      <c r="X302" s="45"/>
      <c r="Y302" s="45"/>
      <c r="Z302" s="56"/>
    </row>
    <row r="303" spans="1:26" hidden="1">
      <c r="A303" s="7" t="s">
        <v>814</v>
      </c>
      <c r="B303" s="40"/>
      <c r="C303" s="40"/>
      <c r="D303" s="40"/>
      <c r="E303" s="40" t="s">
        <v>231</v>
      </c>
      <c r="F303" s="40"/>
      <c r="G303" s="38"/>
      <c r="H303" s="51"/>
      <c r="I303" s="53">
        <v>0</v>
      </c>
      <c r="J303" s="51">
        <f t="shared" si="68"/>
        <v>0</v>
      </c>
      <c r="K303" s="54">
        <f t="shared" si="69"/>
        <v>0</v>
      </c>
      <c r="M303" s="45"/>
      <c r="N303" s="45"/>
      <c r="O303" s="45"/>
      <c r="P303" s="45"/>
      <c r="Q303" s="45"/>
      <c r="R303" s="45"/>
      <c r="S303" s="45"/>
      <c r="T303" s="45"/>
      <c r="U303" s="45"/>
      <c r="V303" s="45"/>
      <c r="W303" s="45"/>
      <c r="X303" s="45"/>
      <c r="Y303" s="45"/>
      <c r="Z303" s="56"/>
    </row>
    <row r="304" spans="1:26" hidden="1">
      <c r="A304" s="7" t="s">
        <v>815</v>
      </c>
      <c r="B304" s="40"/>
      <c r="C304" s="40"/>
      <c r="D304" s="40"/>
      <c r="E304" s="40" t="s">
        <v>231</v>
      </c>
      <c r="F304" s="40"/>
      <c r="G304" s="38"/>
      <c r="H304" s="51"/>
      <c r="I304" s="53">
        <v>0</v>
      </c>
      <c r="J304" s="51">
        <f t="shared" si="68"/>
        <v>0</v>
      </c>
      <c r="K304" s="54">
        <f t="shared" si="69"/>
        <v>0</v>
      </c>
      <c r="M304" s="45"/>
      <c r="N304" s="45"/>
      <c r="O304" s="45"/>
      <c r="P304" s="45"/>
      <c r="Q304" s="45"/>
      <c r="R304" s="45"/>
      <c r="S304" s="45"/>
      <c r="T304" s="45"/>
      <c r="U304" s="45"/>
      <c r="V304" s="45"/>
      <c r="W304" s="45"/>
      <c r="X304" s="45"/>
      <c r="Y304" s="45"/>
      <c r="Z304" s="56"/>
    </row>
    <row r="305" spans="1:26" hidden="1">
      <c r="A305" s="7" t="s">
        <v>816</v>
      </c>
      <c r="B305" s="40"/>
      <c r="C305" s="40"/>
      <c r="D305" s="40"/>
      <c r="E305" s="40" t="s">
        <v>231</v>
      </c>
      <c r="F305" s="40"/>
      <c r="G305" s="38"/>
      <c r="H305" s="51"/>
      <c r="I305" s="53">
        <v>0</v>
      </c>
      <c r="J305" s="51">
        <f t="shared" si="68"/>
        <v>0</v>
      </c>
      <c r="K305" s="54">
        <f t="shared" si="69"/>
        <v>0</v>
      </c>
      <c r="M305" s="45"/>
      <c r="N305" s="45"/>
      <c r="O305" s="45"/>
      <c r="P305" s="45"/>
      <c r="Q305" s="45"/>
      <c r="R305" s="45"/>
      <c r="S305" s="45"/>
      <c r="T305" s="45"/>
      <c r="U305" s="45"/>
      <c r="V305" s="45"/>
      <c r="W305" s="45"/>
      <c r="X305" s="45"/>
      <c r="Y305" s="45"/>
      <c r="Z305" s="56"/>
    </row>
    <row r="306" spans="1:26">
      <c r="A306" s="4" t="s">
        <v>817</v>
      </c>
      <c r="B306" s="151" t="s">
        <v>817</v>
      </c>
      <c r="C306" s="151"/>
      <c r="D306" s="151"/>
      <c r="E306" s="151"/>
      <c r="F306" s="151"/>
      <c r="G306" s="152"/>
      <c r="H306" s="153"/>
      <c r="I306" s="154"/>
      <c r="J306" s="153"/>
      <c r="K306" s="172"/>
      <c r="L306" s="70">
        <f>SUM(K307:K308)</f>
        <v>1228606</v>
      </c>
      <c r="M306" s="45"/>
      <c r="N306" s="45"/>
      <c r="O306" s="45"/>
      <c r="P306" s="45"/>
      <c r="Q306" s="45"/>
      <c r="R306" s="45"/>
      <c r="S306" s="45"/>
      <c r="T306" s="45"/>
      <c r="U306" s="45"/>
      <c r="V306" s="45"/>
      <c r="W306" s="45"/>
      <c r="X306" s="45"/>
      <c r="Y306" s="45"/>
      <c r="Z306" s="56"/>
    </row>
    <row r="307" spans="1:26">
      <c r="A307" s="6" t="s">
        <v>818</v>
      </c>
      <c r="B307" s="47"/>
      <c r="C307" s="47"/>
      <c r="D307" s="47"/>
      <c r="E307" s="47"/>
      <c r="F307" s="47"/>
      <c r="G307" s="198">
        <v>0</v>
      </c>
      <c r="H307" s="61"/>
      <c r="I307" s="63"/>
      <c r="J307" s="66"/>
      <c r="K307" s="67">
        <f>G307*SUM(K22:K305)</f>
        <v>0</v>
      </c>
      <c r="M307" s="45"/>
      <c r="N307" s="45"/>
      <c r="O307" s="45"/>
      <c r="P307" s="45"/>
      <c r="Q307" s="45"/>
      <c r="R307" s="45"/>
      <c r="S307" s="45"/>
      <c r="T307" s="45"/>
      <c r="U307" s="45"/>
      <c r="V307" s="45"/>
      <c r="W307" s="45"/>
      <c r="X307" s="45"/>
      <c r="Y307" s="45"/>
      <c r="Z307" s="56"/>
    </row>
    <row r="308" spans="1:26">
      <c r="A308" s="5" t="s">
        <v>817</v>
      </c>
      <c r="B308" s="65"/>
      <c r="C308" s="65"/>
      <c r="D308" s="65"/>
      <c r="E308" s="65"/>
      <c r="F308" s="65"/>
      <c r="G308" s="186">
        <v>0.02</v>
      </c>
      <c r="H308" s="64"/>
      <c r="I308" s="157"/>
      <c r="J308" s="158"/>
      <c r="K308" s="159">
        <v>1228606</v>
      </c>
      <c r="M308" s="45" t="s">
        <v>819</v>
      </c>
      <c r="N308" s="45"/>
      <c r="O308" s="45"/>
      <c r="P308" s="45"/>
      <c r="Q308" s="45"/>
      <c r="R308" s="45"/>
      <c r="S308" s="45"/>
      <c r="T308" s="45"/>
      <c r="U308" s="45"/>
      <c r="V308" s="45"/>
      <c r="W308" s="45"/>
      <c r="X308" s="45"/>
      <c r="Y308" s="45"/>
      <c r="Z308" s="56"/>
    </row>
    <row r="309" spans="1:26">
      <c r="A309" s="4" t="s">
        <v>820</v>
      </c>
      <c r="B309" s="151" t="s">
        <v>821</v>
      </c>
      <c r="C309" s="151"/>
      <c r="D309" s="151"/>
      <c r="E309" s="151"/>
      <c r="F309" s="151"/>
      <c r="G309" s="152"/>
      <c r="H309" s="153"/>
      <c r="I309" s="154"/>
      <c r="J309" s="153"/>
      <c r="K309" s="172"/>
      <c r="L309" s="70">
        <f>SUM(K310:K323)</f>
        <v>1375126.8</v>
      </c>
      <c r="M309" s="45"/>
      <c r="N309" s="45"/>
      <c r="O309" s="45"/>
      <c r="P309" s="45"/>
      <c r="Q309" s="45"/>
      <c r="R309" s="45"/>
      <c r="S309" s="45"/>
      <c r="T309" s="45"/>
      <c r="U309" s="45"/>
      <c r="V309" s="45"/>
      <c r="W309" s="45"/>
      <c r="X309" s="45"/>
      <c r="Y309" s="45"/>
      <c r="Z309" s="56"/>
    </row>
    <row r="310" spans="1:26">
      <c r="A310" s="6" t="s">
        <v>822</v>
      </c>
      <c r="B310" s="47" t="s">
        <v>823</v>
      </c>
      <c r="C310" s="47" t="s">
        <v>216</v>
      </c>
      <c r="D310" s="47"/>
      <c r="E310" s="47" t="s">
        <v>824</v>
      </c>
      <c r="F310" s="47" t="s">
        <v>71</v>
      </c>
      <c r="G310" s="42">
        <v>1</v>
      </c>
      <c r="H310" s="61">
        <v>10000</v>
      </c>
      <c r="I310" s="63">
        <v>0</v>
      </c>
      <c r="J310" s="66">
        <f t="shared" ref="J310:J323" si="70">H310*(1+I310)</f>
        <v>10000</v>
      </c>
      <c r="K310" s="67">
        <f t="shared" ref="K310:K323" si="71">J310*G310</f>
        <v>10000</v>
      </c>
      <c r="M310" s="45"/>
      <c r="N310" s="45"/>
      <c r="O310" s="45"/>
      <c r="P310" s="45"/>
      <c r="Q310" s="45"/>
      <c r="R310" s="45"/>
      <c r="S310" s="45"/>
      <c r="T310" s="45"/>
      <c r="U310" s="45"/>
      <c r="V310" s="45"/>
      <c r="W310" s="45"/>
      <c r="X310" s="45"/>
      <c r="Y310" s="45"/>
      <c r="Z310" s="56"/>
    </row>
    <row r="311" spans="1:26">
      <c r="A311" s="7" t="s">
        <v>825</v>
      </c>
      <c r="B311" s="40" t="s">
        <v>826</v>
      </c>
      <c r="C311" s="40" t="s">
        <v>216</v>
      </c>
      <c r="D311" s="40"/>
      <c r="E311" s="40" t="s">
        <v>231</v>
      </c>
      <c r="F311" s="40"/>
      <c r="G311" s="38"/>
      <c r="H311" s="51"/>
      <c r="I311" s="53">
        <v>0</v>
      </c>
      <c r="J311" s="51">
        <f t="shared" si="70"/>
        <v>0</v>
      </c>
      <c r="K311" s="54">
        <f t="shared" si="71"/>
        <v>0</v>
      </c>
      <c r="M311" s="45"/>
      <c r="N311" s="45"/>
      <c r="O311" s="45"/>
      <c r="P311" s="45"/>
      <c r="Q311" s="45"/>
      <c r="R311" s="45"/>
      <c r="S311" s="45"/>
      <c r="T311" s="45"/>
      <c r="U311" s="45"/>
      <c r="V311" s="45"/>
      <c r="W311" s="45"/>
      <c r="X311" s="45"/>
      <c r="Y311" s="45"/>
      <c r="Z311" s="56"/>
    </row>
    <row r="312" spans="1:26">
      <c r="A312" s="7" t="s">
        <v>827</v>
      </c>
      <c r="B312" s="40" t="s">
        <v>828</v>
      </c>
      <c r="C312" s="40" t="s">
        <v>216</v>
      </c>
      <c r="D312" s="40"/>
      <c r="E312" s="40" t="s">
        <v>824</v>
      </c>
      <c r="F312" s="40" t="s">
        <v>71</v>
      </c>
      <c r="G312" s="38">
        <v>1</v>
      </c>
      <c r="H312" s="51">
        <v>21000</v>
      </c>
      <c r="I312" s="53">
        <v>0</v>
      </c>
      <c r="J312" s="51">
        <f t="shared" si="70"/>
        <v>21000</v>
      </c>
      <c r="K312" s="54">
        <f t="shared" si="71"/>
        <v>21000</v>
      </c>
      <c r="M312" s="45"/>
      <c r="N312" s="45"/>
      <c r="O312" s="45"/>
      <c r="P312" s="45"/>
      <c r="Q312" s="45"/>
      <c r="R312" s="45"/>
      <c r="S312" s="45"/>
      <c r="T312" s="45"/>
      <c r="U312" s="45"/>
      <c r="V312" s="45"/>
      <c r="W312" s="45"/>
      <c r="X312" s="45"/>
      <c r="Y312" s="45"/>
      <c r="Z312" s="56"/>
    </row>
    <row r="313" spans="1:26">
      <c r="A313" s="7" t="s">
        <v>829</v>
      </c>
      <c r="B313" s="40" t="s">
        <v>830</v>
      </c>
      <c r="C313" s="40" t="s">
        <v>216</v>
      </c>
      <c r="D313" s="40"/>
      <c r="E313" s="40" t="s">
        <v>555</v>
      </c>
      <c r="F313" s="40" t="s">
        <v>71</v>
      </c>
      <c r="G313" s="38">
        <v>1</v>
      </c>
      <c r="H313" s="51">
        <v>21900</v>
      </c>
      <c r="I313" s="53">
        <v>0</v>
      </c>
      <c r="J313" s="51">
        <f t="shared" si="70"/>
        <v>21900</v>
      </c>
      <c r="K313" s="54">
        <f t="shared" si="71"/>
        <v>21900</v>
      </c>
      <c r="M313" s="45"/>
      <c r="N313" s="45"/>
      <c r="O313" s="45"/>
      <c r="P313" s="45"/>
      <c r="Q313" s="45"/>
      <c r="R313" s="45"/>
      <c r="S313" s="45"/>
      <c r="T313" s="45"/>
      <c r="U313" s="45"/>
      <c r="V313" s="45"/>
      <c r="W313" s="45"/>
      <c r="X313" s="45"/>
      <c r="Y313" s="45"/>
      <c r="Z313" s="56"/>
    </row>
    <row r="314" spans="1:26">
      <c r="A314" s="9" t="s">
        <v>831</v>
      </c>
      <c r="B314" s="40" t="s">
        <v>832</v>
      </c>
      <c r="C314" s="40" t="s">
        <v>216</v>
      </c>
      <c r="D314" s="40"/>
      <c r="E314" s="40" t="s">
        <v>555</v>
      </c>
      <c r="F314" s="40" t="s">
        <v>1088</v>
      </c>
      <c r="G314" s="38">
        <f>1140*2</f>
        <v>2280</v>
      </c>
      <c r="H314" s="50">
        <v>56.81</v>
      </c>
      <c r="I314" s="53">
        <v>0</v>
      </c>
      <c r="J314" s="51">
        <f t="shared" si="70"/>
        <v>56.81</v>
      </c>
      <c r="K314" s="54">
        <f t="shared" si="71"/>
        <v>129526.8</v>
      </c>
      <c r="M314" s="45"/>
      <c r="N314" s="45"/>
      <c r="O314" s="45"/>
      <c r="P314" s="45"/>
      <c r="Q314" s="45"/>
      <c r="R314" s="45"/>
      <c r="S314" s="45"/>
      <c r="T314" s="45"/>
      <c r="U314" s="45"/>
      <c r="V314" s="45"/>
      <c r="W314" s="45"/>
      <c r="X314" s="45"/>
      <c r="Y314" s="45"/>
      <c r="Z314" s="56"/>
    </row>
    <row r="315" spans="1:26">
      <c r="A315" s="9" t="s">
        <v>939</v>
      </c>
      <c r="B315" s="40" t="s">
        <v>834</v>
      </c>
      <c r="C315" s="40" t="s">
        <v>216</v>
      </c>
      <c r="D315" s="40"/>
      <c r="E315" s="40" t="s">
        <v>231</v>
      </c>
      <c r="F315" s="40"/>
      <c r="G315" s="38"/>
      <c r="H315" s="51"/>
      <c r="I315" s="53">
        <v>0</v>
      </c>
      <c r="J315" s="51">
        <f t="shared" si="70"/>
        <v>0</v>
      </c>
      <c r="K315" s="54">
        <f t="shared" si="71"/>
        <v>0</v>
      </c>
      <c r="M315" s="45"/>
      <c r="N315" s="45"/>
      <c r="O315" s="45"/>
      <c r="P315" s="45"/>
      <c r="Q315" s="45"/>
      <c r="R315" s="45"/>
      <c r="S315" s="45"/>
      <c r="T315" s="45"/>
      <c r="U315" s="45"/>
      <c r="V315" s="45"/>
      <c r="W315" s="45"/>
      <c r="X315" s="45"/>
      <c r="Y315" s="45"/>
      <c r="Z315" s="56"/>
    </row>
    <row r="316" spans="1:26">
      <c r="A316" s="9" t="s">
        <v>835</v>
      </c>
      <c r="B316" s="40" t="s">
        <v>836</v>
      </c>
      <c r="C316" s="40" t="s">
        <v>216</v>
      </c>
      <c r="D316" s="40"/>
      <c r="E316" s="40" t="s">
        <v>555</v>
      </c>
      <c r="F316" s="40" t="s">
        <v>71</v>
      </c>
      <c r="G316" s="38">
        <v>1</v>
      </c>
      <c r="H316" s="51">
        <v>15000</v>
      </c>
      <c r="I316" s="53">
        <v>0</v>
      </c>
      <c r="J316" s="51">
        <f t="shared" si="70"/>
        <v>15000</v>
      </c>
      <c r="K316" s="54">
        <f t="shared" si="71"/>
        <v>15000</v>
      </c>
      <c r="M316" s="45"/>
      <c r="N316" s="45"/>
      <c r="O316" s="45"/>
      <c r="P316" s="45"/>
      <c r="Q316" s="45"/>
      <c r="R316" s="45"/>
      <c r="S316" s="45"/>
      <c r="T316" s="45"/>
      <c r="U316" s="45"/>
      <c r="V316" s="45"/>
      <c r="W316" s="45"/>
      <c r="X316" s="45"/>
      <c r="Y316" s="45"/>
      <c r="Z316" s="56"/>
    </row>
    <row r="317" spans="1:26">
      <c r="A317" s="9" t="s">
        <v>837</v>
      </c>
      <c r="B317" s="40" t="s">
        <v>838</v>
      </c>
      <c r="C317" s="40" t="s">
        <v>216</v>
      </c>
      <c r="D317" s="40"/>
      <c r="E317" s="40" t="s">
        <v>555</v>
      </c>
      <c r="F317" s="40" t="s">
        <v>71</v>
      </c>
      <c r="G317" s="38">
        <v>1</v>
      </c>
      <c r="H317" s="51">
        <v>5000</v>
      </c>
      <c r="I317" s="53">
        <v>0</v>
      </c>
      <c r="J317" s="51">
        <f t="shared" si="70"/>
        <v>5000</v>
      </c>
      <c r="K317" s="54">
        <f t="shared" si="71"/>
        <v>5000</v>
      </c>
      <c r="M317" s="45"/>
      <c r="N317" s="45"/>
      <c r="O317" s="45"/>
      <c r="P317" s="45"/>
      <c r="Q317" s="45"/>
      <c r="R317" s="45"/>
      <c r="S317" s="45"/>
      <c r="T317" s="45"/>
      <c r="U317" s="45"/>
      <c r="V317" s="45"/>
      <c r="W317" s="45"/>
      <c r="X317" s="45"/>
      <c r="Y317" s="45"/>
      <c r="Z317" s="56"/>
    </row>
    <row r="318" spans="1:26">
      <c r="A318" s="9" t="s">
        <v>839</v>
      </c>
      <c r="B318" s="40" t="s">
        <v>840</v>
      </c>
      <c r="C318" s="40" t="s">
        <v>216</v>
      </c>
      <c r="D318" s="40"/>
      <c r="E318" s="40" t="s">
        <v>231</v>
      </c>
      <c r="F318" s="40"/>
      <c r="G318" s="38"/>
      <c r="H318" s="51"/>
      <c r="I318" s="53">
        <v>0</v>
      </c>
      <c r="J318" s="51">
        <f t="shared" si="70"/>
        <v>0</v>
      </c>
      <c r="K318" s="54">
        <f t="shared" si="71"/>
        <v>0</v>
      </c>
      <c r="M318" s="45"/>
      <c r="N318" s="45"/>
      <c r="O318" s="45"/>
      <c r="P318" s="45"/>
      <c r="Q318" s="45"/>
      <c r="R318" s="45"/>
      <c r="S318" s="45"/>
      <c r="T318" s="45"/>
      <c r="U318" s="45"/>
      <c r="V318" s="45"/>
      <c r="W318" s="45"/>
      <c r="X318" s="45"/>
      <c r="Y318" s="45"/>
      <c r="Z318" s="56"/>
    </row>
    <row r="319" spans="1:26">
      <c r="A319" s="7" t="s">
        <v>841</v>
      </c>
      <c r="B319" s="40" t="s">
        <v>842</v>
      </c>
      <c r="C319" s="40" t="s">
        <v>216</v>
      </c>
      <c r="D319" s="40"/>
      <c r="E319" s="40" t="s">
        <v>73</v>
      </c>
      <c r="F319" s="40" t="s">
        <v>71</v>
      </c>
      <c r="G319" s="38">
        <v>1</v>
      </c>
      <c r="H319" s="51">
        <v>1000000</v>
      </c>
      <c r="I319" s="53">
        <v>0</v>
      </c>
      <c r="J319" s="51">
        <f t="shared" si="70"/>
        <v>1000000</v>
      </c>
      <c r="K319" s="54">
        <f t="shared" si="71"/>
        <v>1000000</v>
      </c>
      <c r="M319" s="45"/>
      <c r="N319" s="45"/>
      <c r="O319" s="45"/>
      <c r="P319" s="45"/>
      <c r="Q319" s="45"/>
      <c r="R319" s="45"/>
      <c r="S319" s="45"/>
      <c r="T319" s="45"/>
      <c r="U319" s="45"/>
      <c r="V319" s="45"/>
      <c r="W319" s="45"/>
      <c r="X319" s="45"/>
      <c r="Y319" s="45"/>
      <c r="Z319" s="56"/>
    </row>
    <row r="320" spans="1:26">
      <c r="A320" s="7" t="s">
        <v>843</v>
      </c>
      <c r="B320" s="40" t="s">
        <v>844</v>
      </c>
      <c r="C320" s="40" t="s">
        <v>216</v>
      </c>
      <c r="D320" s="40"/>
      <c r="E320" s="40" t="s">
        <v>733</v>
      </c>
      <c r="F320" s="40" t="s">
        <v>71</v>
      </c>
      <c r="G320" s="38">
        <v>1</v>
      </c>
      <c r="H320" s="51">
        <v>150000</v>
      </c>
      <c r="I320" s="53">
        <v>0</v>
      </c>
      <c r="J320" s="51">
        <f t="shared" si="70"/>
        <v>150000</v>
      </c>
      <c r="K320" s="54">
        <f t="shared" si="71"/>
        <v>150000</v>
      </c>
      <c r="M320" s="45" t="s">
        <v>845</v>
      </c>
      <c r="N320" s="45"/>
      <c r="O320" s="45"/>
      <c r="P320" s="45"/>
      <c r="Q320" s="45"/>
      <c r="R320" s="45"/>
      <c r="S320" s="45"/>
      <c r="T320" s="45"/>
      <c r="U320" s="45"/>
      <c r="V320" s="45"/>
      <c r="W320" s="45"/>
      <c r="X320" s="45"/>
      <c r="Y320" s="45"/>
      <c r="Z320" s="56"/>
    </row>
    <row r="321" spans="1:26">
      <c r="A321" s="9" t="s">
        <v>846</v>
      </c>
      <c r="B321" s="40" t="s">
        <v>630</v>
      </c>
      <c r="C321" s="40" t="s">
        <v>216</v>
      </c>
      <c r="D321" s="40"/>
      <c r="E321" s="40" t="s">
        <v>555</v>
      </c>
      <c r="F321" s="40" t="s">
        <v>71</v>
      </c>
      <c r="G321" s="38">
        <v>1</v>
      </c>
      <c r="H321" s="51">
        <v>19500</v>
      </c>
      <c r="I321" s="53">
        <v>0</v>
      </c>
      <c r="J321" s="51">
        <f t="shared" si="70"/>
        <v>19500</v>
      </c>
      <c r="K321" s="54">
        <f t="shared" si="71"/>
        <v>19500</v>
      </c>
      <c r="M321" s="45"/>
      <c r="N321" s="45"/>
      <c r="O321" s="45"/>
      <c r="P321" s="45"/>
      <c r="Q321" s="45"/>
      <c r="R321" s="45"/>
      <c r="S321" s="45"/>
      <c r="T321" s="45"/>
      <c r="U321" s="45"/>
      <c r="V321" s="45"/>
      <c r="W321" s="45"/>
      <c r="X321" s="45"/>
      <c r="Y321" s="45"/>
      <c r="Z321" s="56"/>
    </row>
    <row r="322" spans="1:26">
      <c r="A322" s="9" t="s">
        <v>847</v>
      </c>
      <c r="B322" s="40" t="s">
        <v>848</v>
      </c>
      <c r="C322" s="40" t="s">
        <v>216</v>
      </c>
      <c r="D322" s="40"/>
      <c r="E322" s="40" t="s">
        <v>555</v>
      </c>
      <c r="F322" s="40" t="s">
        <v>71</v>
      </c>
      <c r="G322" s="38">
        <v>1</v>
      </c>
      <c r="H322" s="51">
        <v>2000</v>
      </c>
      <c r="I322" s="53">
        <v>0</v>
      </c>
      <c r="J322" s="51">
        <f t="shared" si="70"/>
        <v>2000</v>
      </c>
      <c r="K322" s="54">
        <f t="shared" si="71"/>
        <v>2000</v>
      </c>
      <c r="M322" s="45"/>
      <c r="N322" s="45"/>
      <c r="O322" s="45"/>
      <c r="P322" s="45"/>
      <c r="Q322" s="45"/>
      <c r="R322" s="45"/>
      <c r="S322" s="45"/>
      <c r="T322" s="45"/>
      <c r="U322" s="45"/>
      <c r="V322" s="45"/>
      <c r="W322" s="45"/>
      <c r="X322" s="45"/>
      <c r="Y322" s="45"/>
      <c r="Z322" s="56"/>
    </row>
    <row r="323" spans="1:26">
      <c r="A323" s="9" t="s">
        <v>849</v>
      </c>
      <c r="B323" s="40" t="s">
        <v>850</v>
      </c>
      <c r="C323" s="40" t="s">
        <v>216</v>
      </c>
      <c r="D323" s="40"/>
      <c r="E323" s="40" t="s">
        <v>555</v>
      </c>
      <c r="F323" s="40" t="s">
        <v>71</v>
      </c>
      <c r="G323" s="38">
        <v>1</v>
      </c>
      <c r="H323" s="51">
        <v>1200</v>
      </c>
      <c r="I323" s="53">
        <v>0</v>
      </c>
      <c r="J323" s="51">
        <f t="shared" si="70"/>
        <v>1200</v>
      </c>
      <c r="K323" s="54">
        <f t="shared" si="71"/>
        <v>1200</v>
      </c>
      <c r="M323" s="45"/>
      <c r="N323" s="45"/>
      <c r="O323" s="45"/>
      <c r="P323" s="45"/>
      <c r="Q323" s="45"/>
      <c r="R323" s="45"/>
      <c r="S323" s="45"/>
      <c r="T323" s="45"/>
      <c r="U323" s="45"/>
      <c r="V323" s="45"/>
      <c r="W323" s="45"/>
      <c r="X323" s="45"/>
      <c r="Y323" s="45"/>
      <c r="Z323" s="56"/>
    </row>
    <row r="324" spans="1:26">
      <c r="A324" s="4" t="s">
        <v>851</v>
      </c>
      <c r="B324" s="151" t="s">
        <v>852</v>
      </c>
      <c r="C324" s="151"/>
      <c r="D324" s="151"/>
      <c r="E324" s="151"/>
      <c r="F324" s="151"/>
      <c r="G324" s="152"/>
      <c r="H324" s="153"/>
      <c r="I324" s="154"/>
      <c r="J324" s="153"/>
      <c r="K324" s="172"/>
      <c r="L324" s="70">
        <f>SUM(K325)</f>
        <v>3747174.6203276957</v>
      </c>
      <c r="M324" s="45"/>
      <c r="N324" s="45"/>
      <c r="O324" s="45"/>
      <c r="P324" s="45"/>
      <c r="Q324" s="45"/>
      <c r="R324" s="45"/>
      <c r="S324" s="45"/>
      <c r="T324" s="45"/>
      <c r="U324" s="45"/>
      <c r="V324" s="45"/>
      <c r="W324" s="45"/>
      <c r="X324" s="45"/>
      <c r="Y324" s="45"/>
      <c r="Z324" s="56"/>
    </row>
    <row r="325" spans="1:26">
      <c r="A325" s="5" t="s">
        <v>851</v>
      </c>
      <c r="B325" s="65" t="s">
        <v>853</v>
      </c>
      <c r="C325" s="65"/>
      <c r="D325" s="65"/>
      <c r="E325" s="65"/>
      <c r="F325" s="65"/>
      <c r="G325" s="186">
        <v>0.06</v>
      </c>
      <c r="H325" s="64"/>
      <c r="I325" s="157"/>
      <c r="J325" s="158"/>
      <c r="K325" s="159">
        <v>3747174.6203276957</v>
      </c>
      <c r="M325" s="45" t="s">
        <v>854</v>
      </c>
      <c r="N325" s="45"/>
      <c r="O325" s="45"/>
      <c r="P325" s="45"/>
      <c r="Q325" s="45"/>
      <c r="R325" s="45"/>
      <c r="S325" s="45"/>
      <c r="T325" s="45"/>
      <c r="U325" s="45"/>
      <c r="V325" s="45"/>
      <c r="W325" s="45"/>
      <c r="X325" s="45"/>
      <c r="Y325" s="45"/>
      <c r="Z325" s="56"/>
    </row>
    <row r="326" spans="1:26">
      <c r="A326" s="4" t="s">
        <v>855</v>
      </c>
      <c r="B326" s="151" t="s">
        <v>856</v>
      </c>
      <c r="C326" s="151"/>
      <c r="D326" s="151"/>
      <c r="E326" s="151"/>
      <c r="F326" s="151"/>
      <c r="G326" s="152"/>
      <c r="H326" s="153"/>
      <c r="I326" s="154"/>
      <c r="J326" s="153"/>
      <c r="K326" s="172"/>
      <c r="L326" s="70">
        <f>SUM(K327)</f>
        <v>690860</v>
      </c>
      <c r="M326" s="45"/>
      <c r="N326" s="45"/>
      <c r="O326" s="45"/>
      <c r="P326" s="45"/>
      <c r="Q326" s="45"/>
      <c r="R326" s="45"/>
      <c r="S326" s="45"/>
      <c r="T326" s="45"/>
      <c r="U326" s="45"/>
      <c r="V326" s="45"/>
      <c r="W326" s="45"/>
      <c r="X326" s="45"/>
      <c r="Y326" s="45"/>
      <c r="Z326" s="56"/>
    </row>
    <row r="327" spans="1:26">
      <c r="A327" s="5" t="s">
        <v>855</v>
      </c>
      <c r="B327" s="65" t="s">
        <v>857</v>
      </c>
      <c r="C327" s="65" t="s">
        <v>858</v>
      </c>
      <c r="D327" s="65"/>
      <c r="E327" s="65"/>
      <c r="F327" s="65"/>
      <c r="G327" s="186">
        <v>1.0999999999999999E-2</v>
      </c>
      <c r="H327" s="64"/>
      <c r="I327" s="157"/>
      <c r="J327" s="158"/>
      <c r="K327" s="159">
        <v>690860</v>
      </c>
      <c r="M327" s="45" t="s">
        <v>854</v>
      </c>
      <c r="N327" s="45"/>
      <c r="O327" s="45"/>
      <c r="P327" s="45"/>
      <c r="Q327" s="45"/>
      <c r="R327" s="45"/>
      <c r="S327" s="45"/>
      <c r="T327" s="45"/>
      <c r="U327" s="45"/>
      <c r="V327" s="45"/>
      <c r="W327" s="45"/>
      <c r="X327" s="45"/>
      <c r="Y327" s="45"/>
      <c r="Z327" s="56"/>
    </row>
    <row r="328" spans="1:26">
      <c r="A328" s="4" t="s">
        <v>859</v>
      </c>
      <c r="B328" s="151" t="s">
        <v>856</v>
      </c>
      <c r="C328" s="151"/>
      <c r="D328" s="151"/>
      <c r="E328" s="151"/>
      <c r="F328" s="151"/>
      <c r="G328" s="152"/>
      <c r="H328" s="153"/>
      <c r="I328" s="154"/>
      <c r="J328" s="153"/>
      <c r="K328" s="172"/>
      <c r="L328" s="70">
        <f>SUM(K329:K331)</f>
        <v>680000</v>
      </c>
      <c r="M328" s="45"/>
      <c r="N328" s="45"/>
      <c r="O328" s="45"/>
      <c r="P328" s="45"/>
      <c r="Q328" s="45"/>
      <c r="R328" s="45"/>
      <c r="S328" s="45"/>
      <c r="T328" s="45"/>
      <c r="U328" s="45"/>
      <c r="V328" s="45"/>
      <c r="W328" s="45"/>
      <c r="X328" s="45"/>
      <c r="Y328" s="45"/>
      <c r="Z328" s="56"/>
    </row>
    <row r="329" spans="1:26">
      <c r="A329" s="6" t="s">
        <v>860</v>
      </c>
      <c r="B329" s="47" t="s">
        <v>861</v>
      </c>
      <c r="C329" s="47"/>
      <c r="D329" s="47"/>
      <c r="E329" s="47"/>
      <c r="F329" s="47" t="s">
        <v>862</v>
      </c>
      <c r="G329" s="187">
        <v>3.03</v>
      </c>
      <c r="H329" s="61"/>
      <c r="I329" s="63"/>
      <c r="J329" s="66"/>
      <c r="K329" s="67">
        <v>350000</v>
      </c>
      <c r="M329" s="45" t="s">
        <v>854</v>
      </c>
      <c r="N329" s="45"/>
      <c r="O329" s="45"/>
      <c r="P329" s="45"/>
      <c r="Q329" s="45"/>
      <c r="R329" s="45"/>
      <c r="S329" s="45"/>
      <c r="T329" s="45"/>
      <c r="U329" s="45"/>
      <c r="V329" s="45"/>
      <c r="W329" s="45"/>
      <c r="X329" s="45"/>
      <c r="Y329" s="45"/>
      <c r="Z329" s="56"/>
    </row>
    <row r="330" spans="1:26">
      <c r="A330" s="9" t="s">
        <v>863</v>
      </c>
      <c r="B330" s="40" t="s">
        <v>861</v>
      </c>
      <c r="C330" s="40"/>
      <c r="D330" s="40"/>
      <c r="E330" s="40"/>
      <c r="F330" s="40" t="s">
        <v>864</v>
      </c>
      <c r="G330" s="53">
        <v>0.05</v>
      </c>
      <c r="H330" s="51"/>
      <c r="I330" s="53"/>
      <c r="J330" s="51"/>
      <c r="K330" s="54">
        <v>15000</v>
      </c>
      <c r="M330" s="45" t="s">
        <v>854</v>
      </c>
      <c r="N330" s="45"/>
      <c r="O330" s="45"/>
      <c r="P330" s="45"/>
      <c r="Q330" s="45"/>
      <c r="R330" s="45"/>
      <c r="S330" s="45"/>
      <c r="T330" s="45"/>
      <c r="U330" s="45"/>
      <c r="V330" s="45"/>
      <c r="W330" s="45"/>
      <c r="X330" s="45"/>
      <c r="Y330" s="45"/>
      <c r="Z330" s="56"/>
    </row>
    <row r="331" spans="1:26">
      <c r="A331" s="9" t="s">
        <v>865</v>
      </c>
      <c r="B331" s="40" t="s">
        <v>861</v>
      </c>
      <c r="C331" s="40"/>
      <c r="D331" s="40"/>
      <c r="E331" s="40"/>
      <c r="F331" s="40" t="s">
        <v>866</v>
      </c>
      <c r="G331" s="53">
        <v>0.95</v>
      </c>
      <c r="H331" s="51"/>
      <c r="I331" s="53"/>
      <c r="J331" s="51"/>
      <c r="K331" s="54">
        <v>315000</v>
      </c>
      <c r="M331" s="45" t="s">
        <v>854</v>
      </c>
      <c r="N331" s="45"/>
      <c r="O331" s="45"/>
      <c r="P331" s="45"/>
      <c r="Q331" s="45"/>
      <c r="R331" s="45"/>
      <c r="S331" s="45"/>
      <c r="T331" s="45"/>
      <c r="U331" s="45"/>
      <c r="V331" s="45"/>
      <c r="W331" s="45"/>
      <c r="X331" s="45"/>
      <c r="Y331" s="45"/>
      <c r="Z331" s="56"/>
    </row>
    <row r="332" spans="1:26">
      <c r="A332" s="4" t="s">
        <v>867</v>
      </c>
      <c r="B332" s="151" t="s">
        <v>868</v>
      </c>
      <c r="C332" s="151"/>
      <c r="D332" s="151"/>
      <c r="E332" s="151"/>
      <c r="F332" s="151"/>
      <c r="G332" s="152"/>
      <c r="H332" s="153"/>
      <c r="I332" s="154"/>
      <c r="J332" s="153"/>
      <c r="K332" s="172"/>
      <c r="L332" s="70">
        <f>SUM(K333:K334)</f>
        <v>5232390.6496751485</v>
      </c>
      <c r="M332" s="45"/>
      <c r="N332" s="45"/>
      <c r="O332" s="45"/>
      <c r="P332" s="45"/>
      <c r="Q332" s="45"/>
      <c r="R332" s="45"/>
      <c r="S332" s="45"/>
      <c r="T332" s="45"/>
      <c r="U332" s="45"/>
      <c r="V332" s="45"/>
      <c r="W332" s="45"/>
      <c r="X332" s="45"/>
      <c r="Y332" s="45"/>
      <c r="Z332" s="56"/>
    </row>
    <row r="333" spans="1:26">
      <c r="A333" s="3" t="s">
        <v>869</v>
      </c>
      <c r="B333" s="60" t="s">
        <v>868</v>
      </c>
      <c r="C333" s="60"/>
      <c r="D333" s="60"/>
      <c r="E333" s="60"/>
      <c r="F333" s="60"/>
      <c r="G333" s="188">
        <v>0.02</v>
      </c>
      <c r="H333" s="147"/>
      <c r="I333" s="148"/>
      <c r="J333" s="149"/>
      <c r="K333" s="150">
        <f>SUM(K23:K323,K327:K331)*G333</f>
        <v>1308097.6624187871</v>
      </c>
      <c r="M333" s="45"/>
      <c r="N333" s="45"/>
      <c r="O333" s="45"/>
      <c r="P333" s="45"/>
      <c r="Q333" s="45"/>
      <c r="R333" s="45"/>
      <c r="S333" s="45"/>
      <c r="T333" s="45"/>
      <c r="U333" s="45"/>
      <c r="V333" s="45"/>
      <c r="W333" s="45"/>
      <c r="X333" s="45"/>
      <c r="Y333" s="45"/>
      <c r="Z333" s="56"/>
    </row>
    <row r="334" spans="1:26">
      <c r="A334" s="3" t="s">
        <v>867</v>
      </c>
      <c r="B334" s="60" t="s">
        <v>868</v>
      </c>
      <c r="C334" s="60"/>
      <c r="D334" s="60"/>
      <c r="E334" s="60"/>
      <c r="F334" s="60"/>
      <c r="G334" s="188">
        <v>0.06</v>
      </c>
      <c r="H334" s="147"/>
      <c r="I334" s="148"/>
      <c r="J334" s="149"/>
      <c r="K334" s="150">
        <f>SUM(K23:K323,K327:K331)*G334</f>
        <v>3924292.9872563612</v>
      </c>
      <c r="M334" s="45"/>
      <c r="N334" s="45"/>
      <c r="O334" s="45"/>
      <c r="P334" s="45"/>
      <c r="Q334" s="45"/>
      <c r="R334" s="45"/>
      <c r="S334" s="45"/>
      <c r="T334" s="45"/>
      <c r="U334" s="45"/>
      <c r="V334" s="45"/>
      <c r="W334" s="45"/>
      <c r="X334" s="45"/>
      <c r="Y334" s="45"/>
      <c r="Z334" s="56"/>
    </row>
    <row r="335" spans="1:26" ht="15" thickBot="1">
      <c r="A335" s="16" t="s">
        <v>870</v>
      </c>
      <c r="B335" s="17"/>
      <c r="C335" s="17"/>
      <c r="D335" s="17"/>
      <c r="E335" s="17"/>
      <c r="F335" s="17"/>
      <c r="G335" s="17"/>
      <c r="H335" s="18"/>
      <c r="I335" s="19"/>
      <c r="J335" s="20"/>
      <c r="K335" s="20"/>
      <c r="L335" s="21">
        <f>SUM(L20:L334)</f>
        <v>78131623.011269912</v>
      </c>
      <c r="M335" s="15"/>
      <c r="N335" s="15"/>
      <c r="O335" s="15"/>
      <c r="P335" s="15"/>
      <c r="Q335" s="15"/>
      <c r="R335" s="15"/>
      <c r="S335" s="15"/>
      <c r="T335" s="15"/>
      <c r="U335" s="15"/>
      <c r="V335" s="15"/>
      <c r="W335" s="15"/>
      <c r="X335" s="15"/>
      <c r="Y335" s="15"/>
      <c r="Z335" s="56"/>
    </row>
    <row r="336" spans="1:26" ht="15" thickBot="1">
      <c r="G336" s="56"/>
      <c r="H336" s="56"/>
      <c r="I336" s="189"/>
      <c r="L336" s="190">
        <f>SUM(K20:K335)-L335</f>
        <v>0</v>
      </c>
      <c r="M336" s="190"/>
    </row>
    <row r="337" spans="1:17">
      <c r="A337" s="10" t="s">
        <v>214</v>
      </c>
      <c r="B337" s="88" t="s">
        <v>215</v>
      </c>
      <c r="C337" s="88"/>
      <c r="D337" s="88"/>
      <c r="E337" s="191">
        <f t="shared" ref="E337:E372" si="72">_xlfn.XLOOKUP(A337,$A$20:$A$335,$L$20:$L$335)</f>
        <v>3747174.6203276957</v>
      </c>
      <c r="P337" s="161" t="s">
        <v>871</v>
      </c>
      <c r="Q337" s="92"/>
    </row>
    <row r="338" spans="1:17">
      <c r="A338" s="11" t="s">
        <v>219</v>
      </c>
      <c r="B338" s="86" t="s">
        <v>220</v>
      </c>
      <c r="C338" s="86"/>
      <c r="D338" s="86"/>
      <c r="E338" s="192">
        <f t="shared" si="72"/>
        <v>12000</v>
      </c>
      <c r="P338" s="196">
        <f>SUM(K309:K323,K23:K305)</f>
        <v>62805417.120939374</v>
      </c>
      <c r="Q338" s="96"/>
    </row>
    <row r="339" spans="1:17">
      <c r="A339" s="11" t="s">
        <v>224</v>
      </c>
      <c r="B339" s="86" t="s">
        <v>225</v>
      </c>
      <c r="C339" s="86"/>
      <c r="D339" s="86"/>
      <c r="E339" s="192">
        <f t="shared" si="72"/>
        <v>2705484.8800000004</v>
      </c>
      <c r="K339" s="194" t="s">
        <v>1089</v>
      </c>
      <c r="L339" s="190">
        <f>L332+L328+L326+L324+L306+L20</f>
        <v>15326205.89033054</v>
      </c>
      <c r="M339" s="200"/>
      <c r="P339" s="196">
        <f>P338*0.06</f>
        <v>3768325.0272563621</v>
      </c>
      <c r="Q339" s="96"/>
    </row>
    <row r="340" spans="1:17" ht="15" thickBot="1">
      <c r="A340" s="11" t="s">
        <v>259</v>
      </c>
      <c r="B340" s="86" t="s">
        <v>260</v>
      </c>
      <c r="C340" s="86"/>
      <c r="D340" s="86"/>
      <c r="E340" s="192">
        <f t="shared" si="72"/>
        <v>0</v>
      </c>
      <c r="L340" s="668">
        <f>L339/L335</f>
        <v>0.19615880612284026</v>
      </c>
      <c r="P340" s="197">
        <f>P339/B6</f>
        <v>144935.57797139854</v>
      </c>
      <c r="Q340" s="139"/>
    </row>
    <row r="341" spans="1:17">
      <c r="A341" s="11" t="s">
        <v>269</v>
      </c>
      <c r="B341" s="86" t="s">
        <v>270</v>
      </c>
      <c r="C341" s="86"/>
      <c r="D341" s="86"/>
      <c r="E341" s="192">
        <f t="shared" si="72"/>
        <v>212500</v>
      </c>
      <c r="L341" s="190"/>
    </row>
    <row r="342" spans="1:17">
      <c r="A342" s="11" t="s">
        <v>284</v>
      </c>
      <c r="B342" s="86" t="s">
        <v>285</v>
      </c>
      <c r="C342" s="86"/>
      <c r="D342" s="86"/>
      <c r="E342" s="192">
        <f t="shared" si="72"/>
        <v>496414</v>
      </c>
      <c r="L342" s="190"/>
    </row>
    <row r="343" spans="1:17">
      <c r="A343" s="11" t="s">
        <v>305</v>
      </c>
      <c r="B343" s="86" t="s">
        <v>306</v>
      </c>
      <c r="C343" s="86"/>
      <c r="D343" s="86"/>
      <c r="E343" s="192">
        <f t="shared" si="72"/>
        <v>10109885.917922445</v>
      </c>
      <c r="L343" s="190"/>
    </row>
    <row r="344" spans="1:17">
      <c r="A344" s="11" t="s">
        <v>335</v>
      </c>
      <c r="B344" s="86" t="s">
        <v>336</v>
      </c>
      <c r="C344" s="86"/>
      <c r="D344" s="86"/>
      <c r="E344" s="192">
        <f t="shared" si="72"/>
        <v>2151524.4500000002</v>
      </c>
      <c r="L344" s="112"/>
    </row>
    <row r="345" spans="1:17">
      <c r="A345" s="11" t="s">
        <v>362</v>
      </c>
      <c r="B345" s="86" t="s">
        <v>363</v>
      </c>
      <c r="C345" s="86"/>
      <c r="D345" s="86"/>
      <c r="E345" s="192">
        <f t="shared" si="72"/>
        <v>712714</v>
      </c>
      <c r="L345" s="112"/>
    </row>
    <row r="346" spans="1:17">
      <c r="A346" s="11" t="s">
        <v>391</v>
      </c>
      <c r="B346" s="86" t="s">
        <v>392</v>
      </c>
      <c r="C346" s="86"/>
      <c r="D346" s="86"/>
      <c r="E346" s="192">
        <f t="shared" si="72"/>
        <v>6929507.4281769637</v>
      </c>
      <c r="K346" s="194"/>
      <c r="L346" s="112"/>
    </row>
    <row r="347" spans="1:17">
      <c r="A347" s="11" t="s">
        <v>467</v>
      </c>
      <c r="B347" s="86" t="s">
        <v>468</v>
      </c>
      <c r="C347" s="86"/>
      <c r="D347" s="86"/>
      <c r="E347" s="192">
        <f t="shared" si="72"/>
        <v>524041</v>
      </c>
      <c r="K347" s="194"/>
    </row>
    <row r="348" spans="1:17">
      <c r="A348" s="13" t="s">
        <v>505</v>
      </c>
      <c r="B348" s="101" t="s">
        <v>506</v>
      </c>
      <c r="C348" s="101"/>
      <c r="D348" s="101"/>
      <c r="E348" s="193">
        <f t="shared" si="72"/>
        <v>1212160</v>
      </c>
      <c r="K348" s="194"/>
    </row>
    <row r="349" spans="1:17">
      <c r="A349" s="10" t="s">
        <v>510</v>
      </c>
      <c r="B349" s="88" t="s">
        <v>511</v>
      </c>
      <c r="C349" s="88"/>
      <c r="D349" s="88"/>
      <c r="E349" s="191">
        <f t="shared" si="72"/>
        <v>2422380.1008403362</v>
      </c>
    </row>
    <row r="350" spans="1:17">
      <c r="A350" s="11" t="s">
        <v>534</v>
      </c>
      <c r="B350" s="86" t="s">
        <v>535</v>
      </c>
      <c r="C350" s="86"/>
      <c r="D350" s="86"/>
      <c r="E350" s="192">
        <f t="shared" si="72"/>
        <v>1141345</v>
      </c>
    </row>
    <row r="351" spans="1:17">
      <c r="A351" s="11" t="s">
        <v>546</v>
      </c>
      <c r="B351" s="86" t="s">
        <v>545</v>
      </c>
      <c r="C351" s="86"/>
      <c r="D351" s="86"/>
      <c r="E351" s="192">
        <f t="shared" si="72"/>
        <v>0</v>
      </c>
    </row>
    <row r="352" spans="1:17">
      <c r="A352" s="11" t="s">
        <v>547</v>
      </c>
      <c r="B352" s="86" t="s">
        <v>548</v>
      </c>
      <c r="C352" s="86"/>
      <c r="D352" s="86"/>
      <c r="E352" s="192">
        <f t="shared" si="72"/>
        <v>439560</v>
      </c>
    </row>
    <row r="353" spans="1:5">
      <c r="A353" s="11" t="s">
        <v>556</v>
      </c>
      <c r="B353" s="86" t="s">
        <v>557</v>
      </c>
      <c r="C353" s="86"/>
      <c r="D353" s="86"/>
      <c r="E353" s="192">
        <f t="shared" si="72"/>
        <v>1246292.8899999999</v>
      </c>
    </row>
    <row r="354" spans="1:5">
      <c r="A354" s="11" t="s">
        <v>564</v>
      </c>
      <c r="B354" s="86" t="s">
        <v>565</v>
      </c>
      <c r="C354" s="86"/>
      <c r="D354" s="86"/>
      <c r="E354" s="192">
        <f t="shared" si="72"/>
        <v>4454896.0999999996</v>
      </c>
    </row>
    <row r="355" spans="1:5">
      <c r="A355" s="11" t="s">
        <v>577</v>
      </c>
      <c r="B355" s="86" t="s">
        <v>578</v>
      </c>
      <c r="C355" s="86"/>
      <c r="D355" s="86"/>
      <c r="E355" s="192">
        <f t="shared" si="72"/>
        <v>3844690.7216494842</v>
      </c>
    </row>
    <row r="356" spans="1:5">
      <c r="A356" s="11" t="s">
        <v>587</v>
      </c>
      <c r="B356" s="86" t="s">
        <v>588</v>
      </c>
      <c r="C356" s="86"/>
      <c r="D356" s="86"/>
      <c r="E356" s="192">
        <f t="shared" si="72"/>
        <v>5172089.9400000004</v>
      </c>
    </row>
    <row r="357" spans="1:5">
      <c r="A357" s="11" t="s">
        <v>627</v>
      </c>
      <c r="B357" s="86" t="s">
        <v>628</v>
      </c>
      <c r="C357" s="86"/>
      <c r="D357" s="86"/>
      <c r="E357" s="192">
        <f t="shared" si="72"/>
        <v>256063.90999999997</v>
      </c>
    </row>
    <row r="358" spans="1:5">
      <c r="A358" s="11" t="s">
        <v>636</v>
      </c>
      <c r="B358" s="86" t="s">
        <v>637</v>
      </c>
      <c r="C358" s="86"/>
      <c r="D358" s="86"/>
      <c r="E358" s="192">
        <f t="shared" si="72"/>
        <v>1225627.1168501596</v>
      </c>
    </row>
    <row r="359" spans="1:5">
      <c r="A359" s="11" t="s">
        <v>644</v>
      </c>
      <c r="B359" s="86" t="s">
        <v>645</v>
      </c>
      <c r="C359" s="86"/>
      <c r="D359" s="86"/>
      <c r="E359" s="192">
        <f t="shared" si="72"/>
        <v>2253311.8558999998</v>
      </c>
    </row>
    <row r="360" spans="1:5">
      <c r="A360" s="13" t="s">
        <v>666</v>
      </c>
      <c r="B360" s="101" t="s">
        <v>667</v>
      </c>
      <c r="C360" s="101"/>
      <c r="D360" s="101"/>
      <c r="E360" s="193">
        <f t="shared" si="72"/>
        <v>6759782.1359999999</v>
      </c>
    </row>
    <row r="361" spans="1:5">
      <c r="A361" s="10" t="s">
        <v>738</v>
      </c>
      <c r="B361" s="88" t="s">
        <v>739</v>
      </c>
      <c r="C361" s="88"/>
      <c r="D361" s="88"/>
      <c r="E361" s="191">
        <f t="shared" si="72"/>
        <v>6235909.9000000004</v>
      </c>
    </row>
    <row r="362" spans="1:5">
      <c r="A362" s="11" t="s">
        <v>774</v>
      </c>
      <c r="B362" s="86" t="s">
        <v>775</v>
      </c>
      <c r="C362" s="86"/>
      <c r="D362" s="86"/>
      <c r="E362" s="192">
        <f t="shared" si="72"/>
        <v>15000</v>
      </c>
    </row>
    <row r="363" spans="1:5">
      <c r="A363" s="11" t="s">
        <v>778</v>
      </c>
      <c r="B363" s="86" t="s">
        <v>779</v>
      </c>
      <c r="C363" s="86"/>
      <c r="D363" s="86"/>
      <c r="E363" s="192">
        <f t="shared" si="72"/>
        <v>469750</v>
      </c>
    </row>
    <row r="364" spans="1:5">
      <c r="A364" s="11" t="s">
        <v>788</v>
      </c>
      <c r="B364" s="86" t="s">
        <v>789</v>
      </c>
      <c r="C364" s="86"/>
      <c r="D364" s="86"/>
      <c r="E364" s="192">
        <f t="shared" si="72"/>
        <v>427358.97360000003</v>
      </c>
    </row>
    <row r="365" spans="1:5">
      <c r="A365" s="11" t="s">
        <v>809</v>
      </c>
      <c r="B365" s="86"/>
      <c r="C365" s="86"/>
      <c r="D365" s="86"/>
      <c r="E365" s="192">
        <f t="shared" si="72"/>
        <v>0</v>
      </c>
    </row>
    <row r="366" spans="1:5">
      <c r="A366" s="11" t="s">
        <v>817</v>
      </c>
      <c r="B366" s="86"/>
      <c r="C366" s="86"/>
      <c r="D366" s="86"/>
      <c r="E366" s="192">
        <f t="shared" si="72"/>
        <v>1228606</v>
      </c>
    </row>
    <row r="367" spans="1:5">
      <c r="A367" s="11" t="s">
        <v>820</v>
      </c>
      <c r="B367" s="86"/>
      <c r="C367" s="86"/>
      <c r="D367" s="86"/>
      <c r="E367" s="192">
        <f t="shared" si="72"/>
        <v>1375126.8</v>
      </c>
    </row>
    <row r="368" spans="1:5">
      <c r="A368" s="11" t="s">
        <v>851</v>
      </c>
      <c r="B368" s="86" t="s">
        <v>852</v>
      </c>
      <c r="C368" s="86"/>
      <c r="D368" s="86"/>
      <c r="E368" s="192">
        <f t="shared" si="72"/>
        <v>3747174.6203276957</v>
      </c>
    </row>
    <row r="369" spans="1:6">
      <c r="A369" s="11" t="s">
        <v>855</v>
      </c>
      <c r="B369" s="86" t="s">
        <v>856</v>
      </c>
      <c r="C369" s="86"/>
      <c r="D369" s="86"/>
      <c r="E369" s="192">
        <f t="shared" si="72"/>
        <v>690860</v>
      </c>
    </row>
    <row r="370" spans="1:6">
      <c r="A370" s="11" t="s">
        <v>859</v>
      </c>
      <c r="B370" s="86" t="s">
        <v>856</v>
      </c>
      <c r="C370" s="86"/>
      <c r="D370" s="86"/>
      <c r="E370" s="192">
        <f t="shared" si="72"/>
        <v>680000</v>
      </c>
    </row>
    <row r="371" spans="1:6">
      <c r="A371" s="11" t="s">
        <v>867</v>
      </c>
      <c r="B371" s="86" t="s">
        <v>868</v>
      </c>
      <c r="C371" s="86"/>
      <c r="D371" s="86"/>
      <c r="E371" s="192">
        <f t="shared" si="72"/>
        <v>5232390.6496751485</v>
      </c>
    </row>
    <row r="372" spans="1:6">
      <c r="A372" s="12" t="s">
        <v>870</v>
      </c>
      <c r="B372" s="101"/>
      <c r="C372" s="101"/>
      <c r="D372" s="101"/>
      <c r="E372" s="193">
        <f t="shared" si="72"/>
        <v>78131623.011269912</v>
      </c>
    </row>
    <row r="373" spans="1:6">
      <c r="B373" s="55"/>
      <c r="C373" s="55"/>
      <c r="D373" s="55"/>
      <c r="E373" s="194">
        <f>SUM(E337:E348,E349:E360,E361:E371)-E372</f>
        <v>0</v>
      </c>
    </row>
    <row r="377" spans="1:6">
      <c r="F377" s="23" t="s">
        <v>203</v>
      </c>
    </row>
    <row r="378" spans="1:6">
      <c r="A378" s="14"/>
      <c r="B378" s="22"/>
      <c r="C378" s="22"/>
      <c r="D378" s="22"/>
      <c r="E378" s="22"/>
      <c r="F378" s="23" t="s">
        <v>119</v>
      </c>
    </row>
    <row r="379" spans="1:6">
      <c r="A379" s="14" t="s">
        <v>872</v>
      </c>
      <c r="B379" s="22" t="s">
        <v>215</v>
      </c>
      <c r="C379" s="22"/>
      <c r="D379" s="22"/>
      <c r="E379" s="22"/>
      <c r="F379" s="24">
        <f t="shared" ref="F379:F409" si="73">SUMIF($B$20:$B$335,B379,$L$20:$L$335)</f>
        <v>3747174.6203276957</v>
      </c>
    </row>
    <row r="380" spans="1:6">
      <c r="A380" s="14" t="s">
        <v>873</v>
      </c>
      <c r="B380" s="22" t="s">
        <v>220</v>
      </c>
      <c r="C380" s="22"/>
      <c r="D380" s="22"/>
      <c r="E380" s="22"/>
      <c r="F380" s="24">
        <f t="shared" si="73"/>
        <v>12000</v>
      </c>
    </row>
    <row r="381" spans="1:6">
      <c r="A381" s="14" t="s">
        <v>874</v>
      </c>
      <c r="B381" s="22" t="s">
        <v>225</v>
      </c>
      <c r="C381" s="22"/>
      <c r="D381" s="22"/>
      <c r="E381" s="22"/>
      <c r="F381" s="24">
        <f t="shared" si="73"/>
        <v>2705484.8800000004</v>
      </c>
    </row>
    <row r="382" spans="1:6">
      <c r="A382" s="14" t="s">
        <v>875</v>
      </c>
      <c r="B382" s="22" t="s">
        <v>270</v>
      </c>
      <c r="C382" s="22"/>
      <c r="D382" s="22"/>
      <c r="E382" s="22"/>
      <c r="F382" s="24">
        <f t="shared" si="73"/>
        <v>212500</v>
      </c>
    </row>
    <row r="383" spans="1:6">
      <c r="A383" s="14" t="s">
        <v>876</v>
      </c>
      <c r="B383" s="22" t="s">
        <v>285</v>
      </c>
      <c r="C383" s="22"/>
      <c r="D383" s="22"/>
      <c r="E383" s="22"/>
      <c r="F383" s="24">
        <f t="shared" si="73"/>
        <v>496414</v>
      </c>
    </row>
    <row r="384" spans="1:6">
      <c r="A384" s="14" t="s">
        <v>877</v>
      </c>
      <c r="B384" s="22" t="s">
        <v>306</v>
      </c>
      <c r="C384" s="22"/>
      <c r="D384" s="22"/>
      <c r="E384" s="22"/>
      <c r="F384" s="24">
        <f t="shared" si="73"/>
        <v>10109885.917922445</v>
      </c>
    </row>
    <row r="385" spans="1:6">
      <c r="A385" s="14" t="s">
        <v>878</v>
      </c>
      <c r="B385" s="22" t="s">
        <v>336</v>
      </c>
      <c r="C385" s="22"/>
      <c r="D385" s="22"/>
      <c r="E385" s="22"/>
      <c r="F385" s="24">
        <f t="shared" si="73"/>
        <v>2151524.4500000002</v>
      </c>
    </row>
    <row r="386" spans="1:6">
      <c r="A386" s="14" t="s">
        <v>879</v>
      </c>
      <c r="B386" s="22" t="s">
        <v>363</v>
      </c>
      <c r="C386" s="22"/>
      <c r="D386" s="22"/>
      <c r="E386" s="22"/>
      <c r="F386" s="24">
        <f t="shared" si="73"/>
        <v>712714</v>
      </c>
    </row>
    <row r="387" spans="1:6">
      <c r="A387" s="14" t="s">
        <v>880</v>
      </c>
      <c r="B387" s="22" t="s">
        <v>392</v>
      </c>
      <c r="C387" s="22"/>
      <c r="D387" s="22"/>
      <c r="E387" s="22"/>
      <c r="F387" s="24">
        <f t="shared" si="73"/>
        <v>6929507.4281769637</v>
      </c>
    </row>
    <row r="388" spans="1:6">
      <c r="A388" s="14" t="s">
        <v>881</v>
      </c>
      <c r="B388" s="22" t="s">
        <v>468</v>
      </c>
      <c r="C388" s="22"/>
      <c r="D388" s="22"/>
      <c r="E388" s="22"/>
      <c r="F388" s="24">
        <f t="shared" si="73"/>
        <v>524041</v>
      </c>
    </row>
    <row r="389" spans="1:6">
      <c r="A389" s="14" t="s">
        <v>882</v>
      </c>
      <c r="B389" s="22" t="s">
        <v>506</v>
      </c>
      <c r="C389" s="22"/>
      <c r="D389" s="22"/>
      <c r="E389" s="22"/>
      <c r="F389" s="24">
        <f t="shared" si="73"/>
        <v>1212160</v>
      </c>
    </row>
    <row r="390" spans="1:6">
      <c r="A390" s="14" t="s">
        <v>883</v>
      </c>
      <c r="B390" s="22" t="s">
        <v>511</v>
      </c>
      <c r="C390" s="22"/>
      <c r="D390" s="22"/>
      <c r="E390" s="22"/>
      <c r="F390" s="24">
        <f t="shared" si="73"/>
        <v>2422380.1008403362</v>
      </c>
    </row>
    <row r="391" spans="1:6">
      <c r="A391" s="14" t="s">
        <v>884</v>
      </c>
      <c r="B391" s="22" t="s">
        <v>535</v>
      </c>
      <c r="C391" s="22"/>
      <c r="D391" s="22"/>
      <c r="E391" s="22"/>
      <c r="F391" s="24">
        <f t="shared" si="73"/>
        <v>1141345</v>
      </c>
    </row>
    <row r="392" spans="1:6">
      <c r="A392" s="14" t="s">
        <v>885</v>
      </c>
      <c r="B392" s="22" t="s">
        <v>548</v>
      </c>
      <c r="C392" s="22"/>
      <c r="D392" s="22"/>
      <c r="E392" s="22"/>
      <c r="F392" s="24">
        <f t="shared" si="73"/>
        <v>439560</v>
      </c>
    </row>
    <row r="393" spans="1:6">
      <c r="A393" s="14" t="s">
        <v>886</v>
      </c>
      <c r="B393" s="22" t="s">
        <v>557</v>
      </c>
      <c r="C393" s="22"/>
      <c r="D393" s="22"/>
      <c r="E393" s="22"/>
      <c r="F393" s="24">
        <f t="shared" si="73"/>
        <v>1246292.8899999999</v>
      </c>
    </row>
    <row r="394" spans="1:6">
      <c r="A394" s="14" t="s">
        <v>887</v>
      </c>
      <c r="B394" s="22" t="s">
        <v>565</v>
      </c>
      <c r="C394" s="22"/>
      <c r="D394" s="22"/>
      <c r="E394" s="22"/>
      <c r="F394" s="24">
        <f t="shared" si="73"/>
        <v>4454896.0999999996</v>
      </c>
    </row>
    <row r="395" spans="1:6">
      <c r="A395" s="14" t="s">
        <v>888</v>
      </c>
      <c r="B395" s="22" t="s">
        <v>578</v>
      </c>
      <c r="C395" s="22"/>
      <c r="D395" s="22"/>
      <c r="E395" s="22"/>
      <c r="F395" s="24">
        <f t="shared" si="73"/>
        <v>3844690.7216494842</v>
      </c>
    </row>
    <row r="396" spans="1:6">
      <c r="A396" s="14" t="s">
        <v>889</v>
      </c>
      <c r="B396" s="22" t="s">
        <v>588</v>
      </c>
      <c r="C396" s="22"/>
      <c r="D396" s="22"/>
      <c r="E396" s="22"/>
      <c r="F396" s="24">
        <f t="shared" si="73"/>
        <v>5172089.9400000004</v>
      </c>
    </row>
    <row r="397" spans="1:6">
      <c r="A397" s="14" t="s">
        <v>890</v>
      </c>
      <c r="B397" s="22" t="s">
        <v>628</v>
      </c>
      <c r="C397" s="22"/>
      <c r="D397" s="22"/>
      <c r="E397" s="22"/>
      <c r="F397" s="24">
        <f t="shared" si="73"/>
        <v>256063.90999999997</v>
      </c>
    </row>
    <row r="398" spans="1:6">
      <c r="A398" s="14" t="s">
        <v>891</v>
      </c>
      <c r="B398" s="22" t="s">
        <v>637</v>
      </c>
      <c r="C398" s="22"/>
      <c r="D398" s="22"/>
      <c r="E398" s="22"/>
      <c r="F398" s="24">
        <f t="shared" si="73"/>
        <v>1225627.1168501596</v>
      </c>
    </row>
    <row r="399" spans="1:6">
      <c r="A399" s="14" t="s">
        <v>892</v>
      </c>
      <c r="B399" s="22" t="s">
        <v>645</v>
      </c>
      <c r="C399" s="22"/>
      <c r="D399" s="22"/>
      <c r="E399" s="22"/>
      <c r="F399" s="24">
        <f t="shared" si="73"/>
        <v>2253311.8558999998</v>
      </c>
    </row>
    <row r="400" spans="1:6">
      <c r="A400" s="14" t="s">
        <v>893</v>
      </c>
      <c r="B400" s="22" t="s">
        <v>667</v>
      </c>
      <c r="C400" s="22"/>
      <c r="D400" s="22"/>
      <c r="E400" s="22"/>
      <c r="F400" s="24">
        <f t="shared" si="73"/>
        <v>6759782.1359999999</v>
      </c>
    </row>
    <row r="401" spans="1:7">
      <c r="A401" s="14" t="s">
        <v>894</v>
      </c>
      <c r="B401" s="22" t="s">
        <v>739</v>
      </c>
      <c r="C401" s="22"/>
      <c r="D401" s="22"/>
      <c r="E401" s="22"/>
      <c r="F401" s="24">
        <f t="shared" si="73"/>
        <v>6235909.9000000004</v>
      </c>
    </row>
    <row r="402" spans="1:7">
      <c r="A402" s="14" t="s">
        <v>895</v>
      </c>
      <c r="B402" s="22" t="s">
        <v>775</v>
      </c>
      <c r="C402" s="22"/>
      <c r="D402" s="22"/>
      <c r="E402" s="22"/>
      <c r="F402" s="24">
        <f t="shared" si="73"/>
        <v>15000</v>
      </c>
    </row>
    <row r="403" spans="1:7">
      <c r="A403" s="14" t="s">
        <v>896</v>
      </c>
      <c r="B403" s="22" t="s">
        <v>779</v>
      </c>
      <c r="C403" s="22"/>
      <c r="D403" s="22"/>
      <c r="E403" s="22"/>
      <c r="F403" s="24">
        <f t="shared" si="73"/>
        <v>469750</v>
      </c>
    </row>
    <row r="404" spans="1:7">
      <c r="A404" s="14" t="s">
        <v>897</v>
      </c>
      <c r="B404" s="22" t="s">
        <v>789</v>
      </c>
      <c r="C404" s="22"/>
      <c r="D404" s="22"/>
      <c r="E404" s="22"/>
      <c r="F404" s="24">
        <f t="shared" si="73"/>
        <v>427358.97360000003</v>
      </c>
    </row>
    <row r="405" spans="1:7">
      <c r="A405" s="14" t="s">
        <v>817</v>
      </c>
      <c r="B405" s="22" t="s">
        <v>817</v>
      </c>
      <c r="C405" s="22"/>
      <c r="D405" s="22"/>
      <c r="E405" s="22"/>
      <c r="F405" s="24">
        <f t="shared" si="73"/>
        <v>1228606</v>
      </c>
    </row>
    <row r="406" spans="1:7">
      <c r="A406" s="14" t="s">
        <v>821</v>
      </c>
      <c r="B406" s="22" t="s">
        <v>821</v>
      </c>
      <c r="C406" s="22"/>
      <c r="D406" s="22"/>
      <c r="E406" s="22"/>
      <c r="F406" s="24">
        <f t="shared" si="73"/>
        <v>1375126.8</v>
      </c>
    </row>
    <row r="407" spans="1:7">
      <c r="A407" s="14" t="s">
        <v>898</v>
      </c>
      <c r="B407" s="22" t="s">
        <v>856</v>
      </c>
      <c r="C407" s="22"/>
      <c r="D407" s="22"/>
      <c r="E407" s="22"/>
      <c r="F407" s="24">
        <f t="shared" si="73"/>
        <v>1370860</v>
      </c>
    </row>
    <row r="408" spans="1:7">
      <c r="A408" s="14" t="s">
        <v>899</v>
      </c>
      <c r="B408" s="22" t="s">
        <v>852</v>
      </c>
      <c r="C408" s="22"/>
      <c r="D408" s="22"/>
      <c r="E408" s="22"/>
      <c r="F408" s="24">
        <f t="shared" si="73"/>
        <v>3747174.6203276957</v>
      </c>
    </row>
    <row r="409" spans="1:7">
      <c r="A409" s="14" t="s">
        <v>900</v>
      </c>
      <c r="B409" s="22" t="s">
        <v>868</v>
      </c>
      <c r="C409" s="22"/>
      <c r="D409" s="22"/>
      <c r="E409" s="22"/>
      <c r="F409" s="24">
        <f t="shared" si="73"/>
        <v>5232390.6496751485</v>
      </c>
    </row>
    <row r="410" spans="1:7">
      <c r="A410" s="14" t="s">
        <v>119</v>
      </c>
      <c r="B410" s="22"/>
      <c r="C410" s="22"/>
      <c r="D410" s="22"/>
      <c r="E410" s="22"/>
      <c r="F410" s="25">
        <f>SUM(F379:F409)</f>
        <v>78131623.011269912</v>
      </c>
    </row>
    <row r="411" spans="1:7">
      <c r="A411" s="26" t="s">
        <v>901</v>
      </c>
      <c r="B411" s="27"/>
      <c r="C411" s="27"/>
      <c r="D411" s="27"/>
      <c r="E411" s="27"/>
      <c r="F411" s="28">
        <f>$L$335-F410</f>
        <v>0</v>
      </c>
    </row>
    <row r="413" spans="1:7">
      <c r="A413" s="29" t="s">
        <v>902</v>
      </c>
      <c r="B413" s="22"/>
      <c r="C413" s="22"/>
      <c r="D413" s="22"/>
      <c r="E413" s="22"/>
      <c r="F413" s="22"/>
      <c r="G413" s="14"/>
    </row>
    <row r="414" spans="1:7">
      <c r="A414" s="29" t="s">
        <v>903</v>
      </c>
      <c r="B414" s="22"/>
      <c r="C414" s="22"/>
      <c r="D414" s="22"/>
      <c r="E414" s="22"/>
      <c r="F414" s="22"/>
      <c r="G414" s="14"/>
    </row>
    <row r="415" spans="1:7">
      <c r="A415" s="14" t="s">
        <v>431</v>
      </c>
      <c r="B415" s="22" t="s">
        <v>432</v>
      </c>
      <c r="C415" s="22"/>
      <c r="D415" s="22"/>
      <c r="E415" s="22"/>
      <c r="F415" s="24">
        <f t="shared" ref="F415:F425" si="74">SUMIF($B$20:$B$335,B415,$K$20:$K$335)</f>
        <v>774203.08</v>
      </c>
      <c r="G415" s="22" t="s">
        <v>392</v>
      </c>
    </row>
    <row r="416" spans="1:7">
      <c r="A416" s="14" t="s">
        <v>435</v>
      </c>
      <c r="B416" s="22" t="s">
        <v>436</v>
      </c>
      <c r="C416" s="22"/>
      <c r="D416" s="22"/>
      <c r="E416" s="22"/>
      <c r="F416" s="24">
        <f t="shared" si="74"/>
        <v>0</v>
      </c>
      <c r="G416" s="22" t="s">
        <v>392</v>
      </c>
    </row>
    <row r="417" spans="1:7">
      <c r="A417" s="14" t="s">
        <v>437</v>
      </c>
      <c r="B417" s="22" t="s">
        <v>438</v>
      </c>
      <c r="C417" s="22"/>
      <c r="D417" s="22"/>
      <c r="E417" s="22"/>
      <c r="F417" s="24">
        <f t="shared" si="74"/>
        <v>0</v>
      </c>
      <c r="G417" s="22" t="s">
        <v>392</v>
      </c>
    </row>
    <row r="418" spans="1:7">
      <c r="A418" s="14" t="s">
        <v>439</v>
      </c>
      <c r="B418" s="22" t="s">
        <v>440</v>
      </c>
      <c r="C418" s="22"/>
      <c r="D418" s="22"/>
      <c r="E418" s="22"/>
      <c r="F418" s="24">
        <f t="shared" si="74"/>
        <v>275075.75797696278</v>
      </c>
      <c r="G418" s="22" t="s">
        <v>392</v>
      </c>
    </row>
    <row r="419" spans="1:7">
      <c r="A419" s="14" t="s">
        <v>441</v>
      </c>
      <c r="B419" s="22" t="s">
        <v>904</v>
      </c>
      <c r="C419" s="22"/>
      <c r="D419" s="22"/>
      <c r="E419" s="22"/>
      <c r="F419" s="24">
        <f t="shared" si="74"/>
        <v>0</v>
      </c>
      <c r="G419" s="22" t="s">
        <v>392</v>
      </c>
    </row>
    <row r="420" spans="1:7">
      <c r="A420" s="14" t="s">
        <v>442</v>
      </c>
      <c r="B420" s="22" t="s">
        <v>443</v>
      </c>
      <c r="C420" s="22"/>
      <c r="D420" s="22"/>
      <c r="E420" s="22"/>
      <c r="F420" s="24">
        <f t="shared" si="74"/>
        <v>0</v>
      </c>
      <c r="G420" s="22" t="s">
        <v>392</v>
      </c>
    </row>
    <row r="421" spans="1:7">
      <c r="A421" s="14" t="s">
        <v>444</v>
      </c>
      <c r="B421" s="22" t="s">
        <v>445</v>
      </c>
      <c r="C421" s="22"/>
      <c r="D421" s="22"/>
      <c r="E421" s="22"/>
      <c r="F421" s="24">
        <f t="shared" si="74"/>
        <v>0</v>
      </c>
      <c r="G421" s="22" t="s">
        <v>392</v>
      </c>
    </row>
    <row r="422" spans="1:7">
      <c r="A422" s="14" t="s">
        <v>905</v>
      </c>
      <c r="B422" s="22" t="s">
        <v>447</v>
      </c>
      <c r="C422" s="22"/>
      <c r="D422" s="22"/>
      <c r="E422" s="22"/>
      <c r="F422" s="24">
        <f t="shared" si="74"/>
        <v>37688.400000000001</v>
      </c>
      <c r="G422" s="22" t="s">
        <v>392</v>
      </c>
    </row>
    <row r="423" spans="1:7">
      <c r="A423" s="14" t="s">
        <v>906</v>
      </c>
      <c r="B423" s="22" t="s">
        <v>449</v>
      </c>
      <c r="C423" s="22"/>
      <c r="D423" s="22"/>
      <c r="E423" s="22"/>
      <c r="F423" s="24">
        <f t="shared" si="74"/>
        <v>27500</v>
      </c>
      <c r="G423" s="22" t="s">
        <v>392</v>
      </c>
    </row>
    <row r="424" spans="1:7">
      <c r="A424" s="14" t="s">
        <v>507</v>
      </c>
      <c r="B424" s="22" t="s">
        <v>508</v>
      </c>
      <c r="C424" s="22"/>
      <c r="D424" s="22"/>
      <c r="E424" s="22"/>
      <c r="F424" s="24">
        <f t="shared" si="74"/>
        <v>1212160</v>
      </c>
      <c r="G424" s="22" t="s">
        <v>506</v>
      </c>
    </row>
    <row r="425" spans="1:7" ht="16.149999999999999">
      <c r="A425" s="14" t="s">
        <v>513</v>
      </c>
      <c r="B425" s="22" t="s">
        <v>514</v>
      </c>
      <c r="C425" s="22"/>
      <c r="D425" s="22"/>
      <c r="E425" s="22"/>
      <c r="F425" s="30">
        <f t="shared" si="74"/>
        <v>169433.12394957984</v>
      </c>
      <c r="G425" s="22" t="s">
        <v>511</v>
      </c>
    </row>
    <row r="426" spans="1:7">
      <c r="A426" s="14" t="s">
        <v>907</v>
      </c>
      <c r="B426" s="22"/>
      <c r="C426" s="22"/>
      <c r="D426" s="22"/>
      <c r="E426" s="22"/>
      <c r="F426" s="25">
        <f>SUM(F415:F425)</f>
        <v>2496060.3619265426</v>
      </c>
      <c r="G426" s="14"/>
    </row>
    <row r="427" spans="1:7">
      <c r="A427" s="14"/>
      <c r="B427" s="22"/>
      <c r="C427" s="22"/>
      <c r="D427" s="22"/>
      <c r="E427" s="22"/>
      <c r="F427" s="22"/>
      <c r="G427" s="14"/>
    </row>
    <row r="428" spans="1:7">
      <c r="A428" s="14"/>
      <c r="B428" s="22"/>
      <c r="C428" s="22"/>
      <c r="D428" s="22"/>
      <c r="E428" s="22"/>
      <c r="F428" s="14"/>
      <c r="G428" s="14"/>
    </row>
    <row r="429" spans="1:7">
      <c r="A429" s="29" t="s">
        <v>908</v>
      </c>
      <c r="B429" s="22"/>
      <c r="C429" s="22"/>
      <c r="D429" s="22"/>
      <c r="E429" s="22"/>
      <c r="F429" s="22"/>
      <c r="G429" s="14"/>
    </row>
    <row r="430" spans="1:7">
      <c r="A430" s="26" t="s">
        <v>909</v>
      </c>
      <c r="B430" s="22"/>
      <c r="C430" s="22"/>
      <c r="D430" s="22"/>
      <c r="E430" s="22"/>
      <c r="F430" s="22"/>
      <c r="G430" s="14"/>
    </row>
    <row r="431" spans="1:7">
      <c r="A431" s="14" t="s">
        <v>910</v>
      </c>
      <c r="B431" s="22">
        <v>2</v>
      </c>
      <c r="C431" s="22"/>
      <c r="D431" s="22"/>
      <c r="E431" s="22"/>
      <c r="F431" s="24">
        <f t="shared" ref="F431:F436" si="75">SUMIF($B$20:$B$335,B431,$L$20:$L$335)</f>
        <v>12000</v>
      </c>
      <c r="G431" s="14"/>
    </row>
    <row r="432" spans="1:7">
      <c r="A432" s="14" t="s">
        <v>911</v>
      </c>
      <c r="B432" s="22">
        <v>31</v>
      </c>
      <c r="C432" s="22"/>
      <c r="D432" s="22"/>
      <c r="E432" s="22"/>
      <c r="F432" s="24">
        <f t="shared" si="75"/>
        <v>2253311.8558999998</v>
      </c>
      <c r="G432" s="14"/>
    </row>
    <row r="433" spans="1:7">
      <c r="A433" s="14" t="s">
        <v>912</v>
      </c>
      <c r="B433" s="22">
        <v>32</v>
      </c>
      <c r="C433" s="22"/>
      <c r="D433" s="22"/>
      <c r="E433" s="22"/>
      <c r="F433" s="24">
        <f t="shared" si="75"/>
        <v>6759782.1359999999</v>
      </c>
      <c r="G433" s="14"/>
    </row>
    <row r="434" spans="1:7">
      <c r="A434" s="14" t="s">
        <v>913</v>
      </c>
      <c r="B434" s="22">
        <v>33</v>
      </c>
      <c r="C434" s="22"/>
      <c r="D434" s="22"/>
      <c r="E434" s="22"/>
      <c r="F434" s="24">
        <f t="shared" si="75"/>
        <v>6235909.9000000004</v>
      </c>
      <c r="G434" s="14"/>
    </row>
    <row r="435" spans="1:7">
      <c r="A435" s="14" t="s">
        <v>914</v>
      </c>
      <c r="B435" s="22">
        <v>34</v>
      </c>
      <c r="C435" s="22"/>
      <c r="D435" s="22"/>
      <c r="E435" s="22"/>
      <c r="F435" s="24">
        <f t="shared" si="75"/>
        <v>15000</v>
      </c>
      <c r="G435" s="14"/>
    </row>
    <row r="436" spans="1:7">
      <c r="A436" s="14" t="s">
        <v>915</v>
      </c>
      <c r="B436" s="22">
        <v>48</v>
      </c>
      <c r="C436" s="22"/>
      <c r="D436" s="22"/>
      <c r="E436" s="22"/>
      <c r="F436" s="24">
        <f t="shared" si="75"/>
        <v>469750</v>
      </c>
      <c r="G436" s="14"/>
    </row>
    <row r="437" spans="1:7">
      <c r="A437" s="14"/>
      <c r="B437" s="22"/>
      <c r="C437" s="22"/>
      <c r="D437" s="22"/>
      <c r="E437" s="22"/>
      <c r="F437" s="24"/>
      <c r="G437" s="14"/>
    </row>
    <row r="438" spans="1:7">
      <c r="A438" s="26" t="s">
        <v>916</v>
      </c>
      <c r="B438" s="22"/>
      <c r="C438" s="22"/>
      <c r="D438" s="22"/>
      <c r="E438" s="22"/>
      <c r="F438" s="24"/>
      <c r="G438" s="14"/>
    </row>
    <row r="439" spans="1:7">
      <c r="A439" s="14" t="s">
        <v>172</v>
      </c>
      <c r="B439" s="22" t="s">
        <v>539</v>
      </c>
      <c r="C439" s="22"/>
      <c r="D439" s="22"/>
      <c r="E439" s="22"/>
      <c r="F439" s="24">
        <f t="shared" ref="F439:F446" si="76">SUMIF($B$20:$B$335,B439,$K$20:$K$335)</f>
        <v>889296</v>
      </c>
      <c r="G439" s="14"/>
    </row>
    <row r="440" spans="1:7">
      <c r="A440" s="14" t="s">
        <v>307</v>
      </c>
      <c r="B440" s="22" t="s">
        <v>308</v>
      </c>
      <c r="C440" s="22"/>
      <c r="D440" s="22"/>
      <c r="E440" s="22"/>
      <c r="F440" s="24">
        <f t="shared" si="76"/>
        <v>0</v>
      </c>
      <c r="G440" s="14"/>
    </row>
    <row r="441" spans="1:7">
      <c r="A441" s="14" t="s">
        <v>917</v>
      </c>
      <c r="B441" s="22"/>
      <c r="C441" s="22"/>
      <c r="D441" s="22"/>
      <c r="E441" s="22"/>
      <c r="F441" s="24">
        <f t="shared" si="76"/>
        <v>0</v>
      </c>
      <c r="G441" s="14"/>
    </row>
    <row r="442" spans="1:7">
      <c r="A442" s="14" t="s">
        <v>918</v>
      </c>
      <c r="B442" s="22"/>
      <c r="C442" s="22"/>
      <c r="D442" s="22"/>
      <c r="E442" s="22"/>
      <c r="F442" s="24">
        <f t="shared" si="76"/>
        <v>0</v>
      </c>
      <c r="G442" s="14"/>
    </row>
    <row r="443" spans="1:7">
      <c r="A443" s="14" t="s">
        <v>536</v>
      </c>
      <c r="B443" s="22" t="s">
        <v>537</v>
      </c>
      <c r="C443" s="22"/>
      <c r="D443" s="22"/>
      <c r="E443" s="22"/>
      <c r="F443" s="24">
        <f t="shared" si="76"/>
        <v>245000</v>
      </c>
      <c r="G443" s="14"/>
    </row>
    <row r="444" spans="1:7">
      <c r="A444" s="14" t="s">
        <v>479</v>
      </c>
      <c r="B444" s="22" t="s">
        <v>919</v>
      </c>
      <c r="C444" s="22"/>
      <c r="D444" s="22"/>
      <c r="E444" s="22"/>
      <c r="F444" s="24">
        <f t="shared" si="76"/>
        <v>0</v>
      </c>
      <c r="G444" s="14"/>
    </row>
    <row r="445" spans="1:7">
      <c r="A445" s="14" t="s">
        <v>608</v>
      </c>
      <c r="B445" s="22" t="s">
        <v>920</v>
      </c>
      <c r="C445" s="22"/>
      <c r="D445" s="22"/>
      <c r="E445" s="22"/>
      <c r="F445" s="24">
        <f t="shared" si="76"/>
        <v>0</v>
      </c>
      <c r="G445" s="14"/>
    </row>
    <row r="446" spans="1:7">
      <c r="A446" s="14" t="s">
        <v>234</v>
      </c>
      <c r="B446" s="22" t="s">
        <v>227</v>
      </c>
      <c r="C446" s="22"/>
      <c r="D446" s="22"/>
      <c r="E446" s="14"/>
      <c r="F446" s="24">
        <f t="shared" si="76"/>
        <v>1806719.4000000001</v>
      </c>
      <c r="G446" s="14"/>
    </row>
    <row r="447" spans="1:7">
      <c r="A447" s="29" t="s">
        <v>921</v>
      </c>
      <c r="B447" s="23"/>
      <c r="C447" s="23"/>
      <c r="D447" s="23"/>
      <c r="E447" s="29"/>
      <c r="F447" s="31">
        <f>SUM(F431:F446)</f>
        <v>18686769.291900001</v>
      </c>
      <c r="G447" s="14"/>
    </row>
    <row r="448" spans="1:7">
      <c r="A448" s="14"/>
      <c r="B448" s="22"/>
      <c r="C448" s="22"/>
      <c r="D448" s="22"/>
      <c r="E448" s="14"/>
      <c r="F448" s="14"/>
      <c r="G448" s="14"/>
    </row>
    <row r="449" spans="1:7">
      <c r="A449" s="14"/>
      <c r="B449" s="14"/>
      <c r="C449" s="14"/>
      <c r="D449" s="14"/>
      <c r="E449" s="14"/>
      <c r="F449" s="14"/>
      <c r="G449" s="14"/>
    </row>
    <row r="450" spans="1:7">
      <c r="A450" s="14" t="s">
        <v>732</v>
      </c>
      <c r="B450" s="22" t="s">
        <v>922</v>
      </c>
      <c r="C450" s="22"/>
      <c r="D450" s="22"/>
      <c r="E450" s="32" t="s">
        <v>923</v>
      </c>
      <c r="F450" s="22"/>
      <c r="G450" s="14"/>
    </row>
    <row r="451" spans="1:7">
      <c r="A451" s="14" t="s">
        <v>734</v>
      </c>
      <c r="B451" s="22" t="s">
        <v>924</v>
      </c>
      <c r="C451" s="22"/>
      <c r="D451" s="22"/>
      <c r="E451" s="32" t="s">
        <v>923</v>
      </c>
      <c r="F451" s="22"/>
      <c r="G451" s="14"/>
    </row>
    <row r="452" spans="1:7">
      <c r="A452" s="14" t="s">
        <v>736</v>
      </c>
      <c r="B452" s="22" t="s">
        <v>925</v>
      </c>
      <c r="C452" s="22"/>
      <c r="D452" s="22"/>
      <c r="E452" s="32" t="s">
        <v>923</v>
      </c>
      <c r="F452" s="22"/>
      <c r="G452" s="14"/>
    </row>
    <row r="453" spans="1:7">
      <c r="A453" s="14" t="s">
        <v>737</v>
      </c>
      <c r="B453" s="22" t="s">
        <v>926</v>
      </c>
      <c r="C453" s="22"/>
      <c r="D453" s="22"/>
      <c r="E453" s="32" t="s">
        <v>923</v>
      </c>
      <c r="F453" s="22"/>
      <c r="G453" s="14"/>
    </row>
    <row r="454" spans="1:7">
      <c r="A454" s="14" t="s">
        <v>751</v>
      </c>
      <c r="B454" s="22" t="s">
        <v>927</v>
      </c>
      <c r="C454" s="22"/>
      <c r="D454" s="22"/>
      <c r="E454" s="32" t="s">
        <v>928</v>
      </c>
      <c r="F454" s="22"/>
      <c r="G454" s="14"/>
    </row>
    <row r="455" spans="1:7">
      <c r="A455" s="14" t="s">
        <v>770</v>
      </c>
      <c r="B455" s="22" t="s">
        <v>929</v>
      </c>
      <c r="C455" s="22"/>
      <c r="D455" s="22"/>
      <c r="E455" s="32" t="s">
        <v>928</v>
      </c>
      <c r="F455" s="22"/>
      <c r="G455" s="14"/>
    </row>
    <row r="456" spans="1:7">
      <c r="A456" s="14" t="s">
        <v>771</v>
      </c>
      <c r="B456" s="22" t="s">
        <v>930</v>
      </c>
      <c r="C456" s="22"/>
      <c r="D456" s="22"/>
      <c r="E456" s="32" t="s">
        <v>928</v>
      </c>
      <c r="F456" s="22"/>
      <c r="G456" s="14"/>
    </row>
    <row r="457" spans="1:7">
      <c r="A457" s="14" t="s">
        <v>773</v>
      </c>
      <c r="B457" s="22" t="s">
        <v>931</v>
      </c>
      <c r="C457" s="22"/>
      <c r="D457" s="22"/>
      <c r="E457" s="32" t="s">
        <v>928</v>
      </c>
      <c r="F457" s="14"/>
      <c r="G457" s="14"/>
    </row>
    <row r="458" spans="1:7">
      <c r="A458" s="14" t="s">
        <v>776</v>
      </c>
      <c r="B458" s="22" t="s">
        <v>932</v>
      </c>
      <c r="C458" s="22"/>
      <c r="D458" s="22"/>
      <c r="E458" s="32" t="s">
        <v>933</v>
      </c>
      <c r="F458" s="14"/>
      <c r="G458" s="14"/>
    </row>
    <row r="459" spans="1:7">
      <c r="A459" s="14" t="s">
        <v>234</v>
      </c>
      <c r="B459" s="22" t="s">
        <v>227</v>
      </c>
      <c r="C459" s="22"/>
      <c r="D459" s="22"/>
      <c r="E459" s="22"/>
      <c r="F459" s="14"/>
      <c r="G459" s="14"/>
    </row>
    <row r="460" spans="1:7">
      <c r="A460" s="14"/>
      <c r="B460" s="22"/>
      <c r="C460" s="22"/>
      <c r="D460" s="22"/>
      <c r="E460" s="22"/>
      <c r="F460" s="14"/>
      <c r="G460" s="14"/>
    </row>
    <row r="461" spans="1:7">
      <c r="A461" s="29" t="s">
        <v>934</v>
      </c>
      <c r="B461" s="22"/>
      <c r="C461" s="22"/>
      <c r="D461" s="22"/>
      <c r="E461" s="22"/>
      <c r="F461" s="14"/>
      <c r="G461" s="14"/>
    </row>
    <row r="462" spans="1:7">
      <c r="A462" s="29" t="s">
        <v>935</v>
      </c>
      <c r="B462" s="22"/>
      <c r="C462" s="22"/>
      <c r="D462" s="22"/>
      <c r="E462" s="22"/>
      <c r="F462" s="14"/>
      <c r="G462" s="14"/>
    </row>
    <row r="463" spans="1:7">
      <c r="A463" s="14" t="s">
        <v>479</v>
      </c>
      <c r="B463" s="22" t="s">
        <v>919</v>
      </c>
      <c r="C463" s="22"/>
      <c r="D463" s="22"/>
      <c r="E463" s="22"/>
      <c r="F463" s="24">
        <f t="shared" ref="F463:F473" si="77">SUMIF($B$20:$B$335,B463,$K$20:$K$335)</f>
        <v>0</v>
      </c>
      <c r="G463" s="14"/>
    </row>
    <row r="464" spans="1:7">
      <c r="A464" s="14" t="s">
        <v>608</v>
      </c>
      <c r="B464" s="22" t="s">
        <v>920</v>
      </c>
      <c r="C464" s="22"/>
      <c r="D464" s="22"/>
      <c r="E464" s="22"/>
      <c r="F464" s="24">
        <f t="shared" si="77"/>
        <v>0</v>
      </c>
      <c r="G464" s="14"/>
    </row>
    <row r="465" spans="1:7">
      <c r="A465" s="14" t="s">
        <v>732</v>
      </c>
      <c r="B465" s="22" t="s">
        <v>922</v>
      </c>
      <c r="C465" s="22"/>
      <c r="D465" s="22"/>
      <c r="E465" s="22"/>
      <c r="F465" s="24">
        <f t="shared" si="77"/>
        <v>0</v>
      </c>
      <c r="G465" s="14"/>
    </row>
    <row r="466" spans="1:7">
      <c r="A466" s="14" t="s">
        <v>734</v>
      </c>
      <c r="B466" s="22" t="s">
        <v>924</v>
      </c>
      <c r="C466" s="22"/>
      <c r="D466" s="22"/>
      <c r="E466" s="22"/>
      <c r="F466" s="24">
        <f t="shared" si="77"/>
        <v>0</v>
      </c>
      <c r="G466" s="14"/>
    </row>
    <row r="467" spans="1:7">
      <c r="A467" s="14" t="s">
        <v>736</v>
      </c>
      <c r="B467" s="22" t="s">
        <v>925</v>
      </c>
      <c r="C467" s="22"/>
      <c r="D467" s="22"/>
      <c r="E467" s="22"/>
      <c r="F467" s="24">
        <f t="shared" si="77"/>
        <v>0</v>
      </c>
      <c r="G467" s="14"/>
    </row>
    <row r="468" spans="1:7">
      <c r="A468" s="14" t="s">
        <v>737</v>
      </c>
      <c r="B468" s="22" t="s">
        <v>926</v>
      </c>
      <c r="C468" s="22"/>
      <c r="D468" s="22"/>
      <c r="E468" s="22"/>
      <c r="F468" s="24">
        <f t="shared" si="77"/>
        <v>0</v>
      </c>
      <c r="G468" s="14"/>
    </row>
    <row r="469" spans="1:7">
      <c r="A469" s="14" t="s">
        <v>770</v>
      </c>
      <c r="B469" s="22" t="s">
        <v>929</v>
      </c>
      <c r="C469" s="22"/>
      <c r="D469" s="22"/>
      <c r="E469" s="22"/>
      <c r="F469" s="24">
        <f t="shared" si="77"/>
        <v>0</v>
      </c>
      <c r="G469" s="14"/>
    </row>
    <row r="470" spans="1:7">
      <c r="A470" s="14" t="s">
        <v>771</v>
      </c>
      <c r="B470" s="22" t="s">
        <v>930</v>
      </c>
      <c r="C470" s="22"/>
      <c r="D470" s="22"/>
      <c r="E470" s="22"/>
      <c r="F470" s="24">
        <f t="shared" si="77"/>
        <v>0</v>
      </c>
      <c r="G470" s="14"/>
    </row>
    <row r="471" spans="1:7">
      <c r="A471" s="14" t="s">
        <v>751</v>
      </c>
      <c r="B471" s="22" t="s">
        <v>927</v>
      </c>
      <c r="C471" s="22"/>
      <c r="D471" s="22"/>
      <c r="E471" s="22"/>
      <c r="F471" s="24">
        <f t="shared" si="77"/>
        <v>0</v>
      </c>
      <c r="G471" s="14"/>
    </row>
    <row r="472" spans="1:7">
      <c r="A472" s="14" t="s">
        <v>773</v>
      </c>
      <c r="B472" s="22" t="s">
        <v>931</v>
      </c>
      <c r="C472" s="22"/>
      <c r="D472" s="22"/>
      <c r="E472" s="22"/>
      <c r="F472" s="24">
        <f t="shared" si="77"/>
        <v>0</v>
      </c>
      <c r="G472" s="14"/>
    </row>
    <row r="473" spans="1:7">
      <c r="A473" s="14" t="s">
        <v>776</v>
      </c>
      <c r="B473" s="22" t="s">
        <v>932</v>
      </c>
      <c r="C473" s="22"/>
      <c r="D473" s="22"/>
      <c r="E473" s="22"/>
      <c r="F473" s="24">
        <f t="shared" si="77"/>
        <v>0</v>
      </c>
      <c r="G473" s="14"/>
    </row>
    <row r="474" spans="1:7">
      <c r="A474" s="14"/>
      <c r="B474" s="22"/>
      <c r="C474" s="22"/>
      <c r="D474" s="22"/>
      <c r="E474" s="22"/>
      <c r="F474" s="14"/>
      <c r="G474" s="14"/>
    </row>
    <row r="475" spans="1:7">
      <c r="A475" s="29" t="s">
        <v>936</v>
      </c>
      <c r="B475" s="22"/>
      <c r="C475" s="22"/>
      <c r="D475" s="22"/>
      <c r="E475" s="22"/>
      <c r="F475" s="14"/>
      <c r="G475" s="14"/>
    </row>
    <row r="476" spans="1:7">
      <c r="A476" s="26" t="s">
        <v>909</v>
      </c>
      <c r="B476" s="22"/>
      <c r="C476" s="22"/>
      <c r="D476" s="22"/>
      <c r="E476" s="22"/>
      <c r="F476" s="14"/>
      <c r="G476" s="14"/>
    </row>
    <row r="477" spans="1:7">
      <c r="A477" s="14" t="s">
        <v>259</v>
      </c>
      <c r="B477" s="22" t="s">
        <v>260</v>
      </c>
      <c r="C477" s="22"/>
      <c r="D477" s="22"/>
      <c r="E477" s="22"/>
      <c r="F477" s="24">
        <f>SUMIF($B$20:$B$335,B477,$K$20:$K$335)</f>
        <v>0</v>
      </c>
      <c r="G477" s="14"/>
    </row>
    <row r="478" spans="1:7">
      <c r="A478" s="14"/>
      <c r="B478" s="22"/>
      <c r="C478" s="22"/>
      <c r="D478" s="22"/>
      <c r="E478" s="22"/>
      <c r="F478" s="14"/>
      <c r="G478" s="14"/>
    </row>
    <row r="479" spans="1:7">
      <c r="A479" s="26" t="s">
        <v>916</v>
      </c>
      <c r="B479" s="22"/>
      <c r="C479" s="22"/>
      <c r="D479" s="22"/>
      <c r="E479" s="22"/>
      <c r="F479" s="14"/>
      <c r="G479" s="14"/>
    </row>
    <row r="480" spans="1:7">
      <c r="A480" s="14" t="s">
        <v>234</v>
      </c>
      <c r="B480" s="22" t="s">
        <v>227</v>
      </c>
      <c r="C480" s="22"/>
      <c r="D480" s="22"/>
      <c r="E480" s="22"/>
      <c r="F480" s="24">
        <f t="shared" ref="F480:F511" si="78">SUMIF($B$20:$B$335,B480,$K$20:$K$335)</f>
        <v>1806719.4000000001</v>
      </c>
      <c r="G480" s="14"/>
    </row>
    <row r="481" spans="1:7">
      <c r="A481" s="14" t="s">
        <v>240</v>
      </c>
      <c r="B481" s="22" t="s">
        <v>241</v>
      </c>
      <c r="C481" s="22"/>
      <c r="D481" s="22"/>
      <c r="E481" s="22"/>
      <c r="F481" s="24">
        <f t="shared" si="78"/>
        <v>2500</v>
      </c>
      <c r="G481" s="14"/>
    </row>
    <row r="482" spans="1:7">
      <c r="A482" s="14" t="s">
        <v>243</v>
      </c>
      <c r="B482" s="22" t="s">
        <v>244</v>
      </c>
      <c r="C482" s="22"/>
      <c r="D482" s="22"/>
      <c r="E482" s="22"/>
      <c r="F482" s="24">
        <f t="shared" si="78"/>
        <v>18399</v>
      </c>
      <c r="G482" s="14"/>
    </row>
    <row r="483" spans="1:7">
      <c r="A483" s="14" t="s">
        <v>248</v>
      </c>
      <c r="B483" s="22" t="s">
        <v>249</v>
      </c>
      <c r="C483" s="22"/>
      <c r="D483" s="22"/>
      <c r="E483" s="22"/>
      <c r="F483" s="24">
        <f t="shared" si="78"/>
        <v>3500</v>
      </c>
      <c r="G483" s="14"/>
    </row>
    <row r="484" spans="1:7">
      <c r="A484" s="14" t="s">
        <v>256</v>
      </c>
      <c r="B484" s="22" t="s">
        <v>257</v>
      </c>
      <c r="C484" s="22"/>
      <c r="D484" s="22"/>
      <c r="E484" s="22"/>
      <c r="F484" s="24">
        <f t="shared" si="78"/>
        <v>64575.680000000008</v>
      </c>
      <c r="G484" s="14"/>
    </row>
    <row r="485" spans="1:7">
      <c r="A485" s="14" t="s">
        <v>279</v>
      </c>
      <c r="B485" s="22" t="s">
        <v>280</v>
      </c>
      <c r="C485" s="22"/>
      <c r="D485" s="22"/>
      <c r="E485" s="22"/>
      <c r="F485" s="24">
        <f t="shared" si="78"/>
        <v>6000</v>
      </c>
      <c r="G485" s="14"/>
    </row>
    <row r="486" spans="1:7">
      <c r="A486" s="14" t="s">
        <v>937</v>
      </c>
      <c r="B486" s="22" t="s">
        <v>282</v>
      </c>
      <c r="C486" s="22"/>
      <c r="D486" s="22"/>
      <c r="E486" s="22"/>
      <c r="F486" s="24">
        <f t="shared" si="78"/>
        <v>9500</v>
      </c>
      <c r="G486" s="14"/>
    </row>
    <row r="487" spans="1:7">
      <c r="A487" s="14" t="s">
        <v>294</v>
      </c>
      <c r="B487" s="22" t="s">
        <v>295</v>
      </c>
      <c r="C487" s="22"/>
      <c r="D487" s="22"/>
      <c r="E487" s="22"/>
      <c r="F487" s="24">
        <f t="shared" si="78"/>
        <v>0</v>
      </c>
      <c r="G487" s="14"/>
    </row>
    <row r="488" spans="1:7">
      <c r="A488" s="14" t="s">
        <v>296</v>
      </c>
      <c r="B488" s="22" t="s">
        <v>297</v>
      </c>
      <c r="C488" s="22"/>
      <c r="D488" s="22"/>
      <c r="E488" s="22"/>
      <c r="F488" s="24">
        <f t="shared" si="78"/>
        <v>1950</v>
      </c>
      <c r="G488" s="14"/>
    </row>
    <row r="489" spans="1:7">
      <c r="A489" s="14" t="s">
        <v>315</v>
      </c>
      <c r="B489" s="22" t="s">
        <v>316</v>
      </c>
      <c r="C489" s="22"/>
      <c r="D489" s="22"/>
      <c r="E489" s="22"/>
      <c r="F489" s="24">
        <f t="shared" si="78"/>
        <v>0</v>
      </c>
      <c r="G489" s="14"/>
    </row>
    <row r="490" spans="1:7">
      <c r="A490" s="14" t="s">
        <v>317</v>
      </c>
      <c r="B490" s="22" t="s">
        <v>318</v>
      </c>
      <c r="C490" s="22"/>
      <c r="D490" s="22"/>
      <c r="E490" s="22"/>
      <c r="F490" s="24">
        <f t="shared" si="78"/>
        <v>10000</v>
      </c>
      <c r="G490" s="14"/>
    </row>
    <row r="491" spans="1:7">
      <c r="A491" s="14" t="s">
        <v>319</v>
      </c>
      <c r="B491" s="22" t="s">
        <v>320</v>
      </c>
      <c r="C491" s="22"/>
      <c r="D491" s="22"/>
      <c r="E491" s="22"/>
      <c r="F491" s="24">
        <f t="shared" si="78"/>
        <v>0</v>
      </c>
      <c r="G491" s="14"/>
    </row>
    <row r="492" spans="1:7">
      <c r="A492" s="14" t="s">
        <v>321</v>
      </c>
      <c r="B492" s="22" t="s">
        <v>322</v>
      </c>
      <c r="C492" s="22"/>
      <c r="D492" s="22"/>
      <c r="E492" s="22"/>
      <c r="F492" s="24">
        <f t="shared" si="78"/>
        <v>0</v>
      </c>
      <c r="G492" s="14"/>
    </row>
    <row r="493" spans="1:7">
      <c r="A493" s="14" t="s">
        <v>331</v>
      </c>
      <c r="B493" s="22" t="s">
        <v>332</v>
      </c>
      <c r="C493" s="22"/>
      <c r="D493" s="22"/>
      <c r="E493" s="22"/>
      <c r="F493" s="24">
        <f t="shared" si="78"/>
        <v>4800</v>
      </c>
      <c r="G493" s="14"/>
    </row>
    <row r="494" spans="1:7">
      <c r="A494" s="14" t="s">
        <v>344</v>
      </c>
      <c r="B494" s="22" t="s">
        <v>345</v>
      </c>
      <c r="C494" s="22"/>
      <c r="D494" s="22"/>
      <c r="E494" s="22"/>
      <c r="F494" s="24">
        <f t="shared" si="78"/>
        <v>7500</v>
      </c>
      <c r="G494" s="14"/>
    </row>
    <row r="495" spans="1:7">
      <c r="A495" s="14" t="s">
        <v>346</v>
      </c>
      <c r="B495" s="22" t="s">
        <v>345</v>
      </c>
      <c r="C495" s="22"/>
      <c r="D495" s="22"/>
      <c r="E495" s="22"/>
      <c r="F495" s="24">
        <f t="shared" si="78"/>
        <v>7500</v>
      </c>
      <c r="G495" s="14"/>
    </row>
    <row r="496" spans="1:7">
      <c r="A496" s="14" t="s">
        <v>378</v>
      </c>
      <c r="B496" s="22" t="s">
        <v>379</v>
      </c>
      <c r="C496" s="22"/>
      <c r="D496" s="22"/>
      <c r="E496" s="22"/>
      <c r="F496" s="24">
        <f t="shared" si="78"/>
        <v>0</v>
      </c>
      <c r="G496" s="14"/>
    </row>
    <row r="497" spans="1:7">
      <c r="A497" s="14" t="s">
        <v>380</v>
      </c>
      <c r="B497" s="22" t="s">
        <v>381</v>
      </c>
      <c r="C497" s="22"/>
      <c r="D497" s="22"/>
      <c r="E497" s="22"/>
      <c r="F497" s="24">
        <f t="shared" si="78"/>
        <v>0</v>
      </c>
      <c r="G497" s="14"/>
    </row>
    <row r="498" spans="1:7">
      <c r="A498" s="14" t="s">
        <v>407</v>
      </c>
      <c r="B498" s="22" t="s">
        <v>406</v>
      </c>
      <c r="C498" s="22"/>
      <c r="D498" s="22"/>
      <c r="E498" s="22"/>
      <c r="F498" s="24">
        <f t="shared" si="78"/>
        <v>926682.03519999993</v>
      </c>
      <c r="G498" s="14"/>
    </row>
    <row r="499" spans="1:7">
      <c r="A499" s="14" t="s">
        <v>412</v>
      </c>
      <c r="B499" s="22" t="s">
        <v>406</v>
      </c>
      <c r="C499" s="22"/>
      <c r="D499" s="22"/>
      <c r="E499" s="22"/>
      <c r="F499" s="24">
        <f t="shared" si="78"/>
        <v>926682.03519999993</v>
      </c>
      <c r="G499" s="14"/>
    </row>
    <row r="500" spans="1:7">
      <c r="A500" s="14" t="s">
        <v>938</v>
      </c>
      <c r="B500" s="22" t="s">
        <v>406</v>
      </c>
      <c r="C500" s="22"/>
      <c r="D500" s="22"/>
      <c r="E500" s="22"/>
      <c r="F500" s="24">
        <f t="shared" si="78"/>
        <v>926682.03519999993</v>
      </c>
      <c r="G500" s="14"/>
    </row>
    <row r="501" spans="1:7">
      <c r="A501" s="14" t="s">
        <v>471</v>
      </c>
      <c r="B501" s="22" t="s">
        <v>472</v>
      </c>
      <c r="C501" s="22"/>
      <c r="D501" s="22"/>
      <c r="E501" s="22"/>
      <c r="F501" s="24">
        <f t="shared" si="78"/>
        <v>60450</v>
      </c>
      <c r="G501" s="14"/>
    </row>
    <row r="502" spans="1:7">
      <c r="A502" s="14" t="s">
        <v>489</v>
      </c>
      <c r="B502" s="22" t="s">
        <v>490</v>
      </c>
      <c r="C502" s="22"/>
      <c r="D502" s="22"/>
      <c r="E502" s="22"/>
      <c r="F502" s="24">
        <f t="shared" si="78"/>
        <v>0</v>
      </c>
      <c r="G502" s="14"/>
    </row>
    <row r="503" spans="1:7">
      <c r="A503" s="14" t="s">
        <v>491</v>
      </c>
      <c r="B503" s="22" t="s">
        <v>492</v>
      </c>
      <c r="C503" s="22"/>
      <c r="D503" s="22"/>
      <c r="E503" s="22"/>
      <c r="F503" s="24">
        <f t="shared" si="78"/>
        <v>13440</v>
      </c>
      <c r="G503" s="14"/>
    </row>
    <row r="504" spans="1:7">
      <c r="A504" s="14" t="s">
        <v>531</v>
      </c>
      <c r="B504" s="22" t="s">
        <v>532</v>
      </c>
      <c r="C504" s="22"/>
      <c r="D504" s="22"/>
      <c r="E504" s="22"/>
      <c r="F504" s="24">
        <f t="shared" si="78"/>
        <v>18000</v>
      </c>
      <c r="G504" s="14"/>
    </row>
    <row r="505" spans="1:7">
      <c r="A505" s="14" t="s">
        <v>536</v>
      </c>
      <c r="B505" s="22" t="s">
        <v>537</v>
      </c>
      <c r="C505" s="22"/>
      <c r="D505" s="22"/>
      <c r="E505" s="22"/>
      <c r="F505" s="24">
        <f t="shared" si="78"/>
        <v>245000</v>
      </c>
      <c r="G505" s="14"/>
    </row>
    <row r="506" spans="1:7">
      <c r="A506" s="14" t="s">
        <v>172</v>
      </c>
      <c r="B506" s="22" t="s">
        <v>539</v>
      </c>
      <c r="C506" s="22"/>
      <c r="D506" s="22"/>
      <c r="E506" s="22"/>
      <c r="F506" s="24">
        <f t="shared" si="78"/>
        <v>889296</v>
      </c>
      <c r="G506" s="14"/>
    </row>
    <row r="507" spans="1:7">
      <c r="A507" s="14" t="s">
        <v>541</v>
      </c>
      <c r="B507" s="22" t="s">
        <v>542</v>
      </c>
      <c r="C507" s="22"/>
      <c r="D507" s="22"/>
      <c r="E507" s="22"/>
      <c r="F507" s="24">
        <f t="shared" si="78"/>
        <v>7049</v>
      </c>
      <c r="G507" s="14"/>
    </row>
    <row r="508" spans="1:7">
      <c r="A508" s="14" t="s">
        <v>553</v>
      </c>
      <c r="B508" s="22" t="s">
        <v>554</v>
      </c>
      <c r="C508" s="22"/>
      <c r="D508" s="22"/>
      <c r="E508" s="22"/>
      <c r="F508" s="24">
        <f t="shared" si="78"/>
        <v>13000</v>
      </c>
      <c r="G508" s="14"/>
    </row>
    <row r="509" spans="1:7">
      <c r="A509" s="14" t="s">
        <v>572</v>
      </c>
      <c r="B509" s="22" t="s">
        <v>573</v>
      </c>
      <c r="C509" s="22"/>
      <c r="D509" s="22"/>
      <c r="E509" s="22"/>
      <c r="F509" s="24">
        <f t="shared" si="78"/>
        <v>24612</v>
      </c>
      <c r="G509" s="14"/>
    </row>
    <row r="510" spans="1:7">
      <c r="A510" s="14" t="s">
        <v>575</v>
      </c>
      <c r="B510" s="22" t="s">
        <v>576</v>
      </c>
      <c r="C510" s="22"/>
      <c r="D510" s="22"/>
      <c r="E510" s="22"/>
      <c r="F510" s="24">
        <f t="shared" si="78"/>
        <v>6000</v>
      </c>
      <c r="G510" s="14"/>
    </row>
    <row r="511" spans="1:7">
      <c r="A511" s="14" t="s">
        <v>601</v>
      </c>
      <c r="B511" s="22" t="s">
        <v>591</v>
      </c>
      <c r="C511" s="22"/>
      <c r="D511" s="22"/>
      <c r="E511" s="22"/>
      <c r="F511" s="24">
        <f t="shared" si="78"/>
        <v>4368876.9400000004</v>
      </c>
      <c r="G511" s="14"/>
    </row>
    <row r="512" spans="1:7">
      <c r="A512" s="14" t="s">
        <v>604</v>
      </c>
      <c r="B512" s="22" t="s">
        <v>595</v>
      </c>
      <c r="C512" s="22"/>
      <c r="D512" s="22"/>
      <c r="E512" s="22"/>
      <c r="F512" s="24">
        <f t="shared" ref="F512:F529" si="79">SUMIF($B$20:$B$335,B512,$K$20:$K$335)</f>
        <v>276470.99999999994</v>
      </c>
      <c r="G512" s="14"/>
    </row>
    <row r="513" spans="1:7">
      <c r="A513" s="14" t="s">
        <v>605</v>
      </c>
      <c r="B513" s="22" t="s">
        <v>591</v>
      </c>
      <c r="C513" s="22"/>
      <c r="D513" s="22"/>
      <c r="E513" s="22"/>
      <c r="F513" s="24">
        <f t="shared" si="79"/>
        <v>4368876.9400000004</v>
      </c>
      <c r="G513" s="14"/>
    </row>
    <row r="514" spans="1:7">
      <c r="A514" s="14" t="s">
        <v>606</v>
      </c>
      <c r="B514" s="22" t="s">
        <v>607</v>
      </c>
      <c r="C514" s="22"/>
      <c r="D514" s="22"/>
      <c r="E514" s="22"/>
      <c r="F514" s="24">
        <f t="shared" si="79"/>
        <v>0</v>
      </c>
      <c r="G514" s="14"/>
    </row>
    <row r="515" spans="1:7">
      <c r="A515" s="14" t="s">
        <v>619</v>
      </c>
      <c r="B515" s="22" t="s">
        <v>620</v>
      </c>
      <c r="C515" s="22"/>
      <c r="D515" s="22"/>
      <c r="E515" s="22"/>
      <c r="F515" s="24">
        <f t="shared" si="79"/>
        <v>17000</v>
      </c>
      <c r="G515" s="14"/>
    </row>
    <row r="516" spans="1:7">
      <c r="A516" s="14" t="s">
        <v>621</v>
      </c>
      <c r="B516" s="22" t="s">
        <v>622</v>
      </c>
      <c r="C516" s="22"/>
      <c r="D516" s="22"/>
      <c r="E516" s="22"/>
      <c r="F516" s="24">
        <f t="shared" si="79"/>
        <v>11000</v>
      </c>
      <c r="G516" s="14"/>
    </row>
    <row r="517" spans="1:7">
      <c r="A517" s="14" t="s">
        <v>623</v>
      </c>
      <c r="B517" s="22" t="s">
        <v>624</v>
      </c>
      <c r="C517" s="22"/>
      <c r="D517" s="22"/>
      <c r="E517" s="22"/>
      <c r="F517" s="24">
        <f t="shared" si="79"/>
        <v>2000</v>
      </c>
      <c r="G517" s="14"/>
    </row>
    <row r="518" spans="1:7">
      <c r="A518" s="14" t="s">
        <v>625</v>
      </c>
      <c r="B518" s="22" t="s">
        <v>591</v>
      </c>
      <c r="C518" s="22"/>
      <c r="D518" s="22"/>
      <c r="E518" s="22"/>
      <c r="F518" s="24">
        <f t="shared" si="79"/>
        <v>4368876.9400000004</v>
      </c>
      <c r="G518" s="14"/>
    </row>
    <row r="519" spans="1:7">
      <c r="A519" s="14" t="s">
        <v>626</v>
      </c>
      <c r="B519" s="22" t="s">
        <v>595</v>
      </c>
      <c r="C519" s="22"/>
      <c r="D519" s="22"/>
      <c r="E519" s="22"/>
      <c r="F519" s="24">
        <f t="shared" si="79"/>
        <v>276470.99999999994</v>
      </c>
      <c r="G519" s="14"/>
    </row>
    <row r="520" spans="1:7">
      <c r="A520" s="14" t="s">
        <v>679</v>
      </c>
      <c r="B520" s="22" t="s">
        <v>680</v>
      </c>
      <c r="C520" s="22"/>
      <c r="D520" s="22"/>
      <c r="E520" s="22"/>
      <c r="F520" s="24">
        <f t="shared" si="79"/>
        <v>46410</v>
      </c>
      <c r="G520" s="14"/>
    </row>
    <row r="521" spans="1:7">
      <c r="A521" s="14" t="s">
        <v>689</v>
      </c>
      <c r="B521" s="22" t="s">
        <v>690</v>
      </c>
      <c r="C521" s="22"/>
      <c r="D521" s="22"/>
      <c r="E521" s="22"/>
      <c r="F521" s="24">
        <f t="shared" si="79"/>
        <v>9660</v>
      </c>
      <c r="G521" s="14"/>
    </row>
    <row r="522" spans="1:7">
      <c r="A522" s="14" t="s">
        <v>161</v>
      </c>
      <c r="B522" s="22" t="s">
        <v>703</v>
      </c>
      <c r="C522" s="22"/>
      <c r="D522" s="22"/>
      <c r="E522" s="22"/>
      <c r="F522" s="24">
        <f t="shared" si="79"/>
        <v>31800</v>
      </c>
      <c r="G522" s="14"/>
    </row>
    <row r="523" spans="1:7">
      <c r="A523" s="14" t="s">
        <v>722</v>
      </c>
      <c r="B523" s="22" t="s">
        <v>723</v>
      </c>
      <c r="C523" s="22"/>
      <c r="D523" s="22"/>
      <c r="E523" s="22"/>
      <c r="F523" s="24">
        <f t="shared" si="79"/>
        <v>5000</v>
      </c>
      <c r="G523" s="14"/>
    </row>
    <row r="524" spans="1:7">
      <c r="A524" s="14" t="s">
        <v>827</v>
      </c>
      <c r="B524" s="22" t="s">
        <v>828</v>
      </c>
      <c r="C524" s="22"/>
      <c r="D524" s="22"/>
      <c r="E524" s="22"/>
      <c r="F524" s="24">
        <f t="shared" si="79"/>
        <v>21000</v>
      </c>
      <c r="G524" s="14"/>
    </row>
    <row r="525" spans="1:7">
      <c r="A525" s="14" t="s">
        <v>829</v>
      </c>
      <c r="B525" s="22" t="s">
        <v>830</v>
      </c>
      <c r="C525" s="22"/>
      <c r="D525" s="22"/>
      <c r="E525" s="22"/>
      <c r="F525" s="24">
        <f t="shared" si="79"/>
        <v>21900</v>
      </c>
      <c r="G525" s="14"/>
    </row>
    <row r="526" spans="1:7">
      <c r="A526" s="14" t="s">
        <v>831</v>
      </c>
      <c r="B526" s="22" t="s">
        <v>832</v>
      </c>
      <c r="C526" s="22"/>
      <c r="D526" s="22"/>
      <c r="E526" s="22"/>
      <c r="F526" s="24">
        <f t="shared" si="79"/>
        <v>129526.8</v>
      </c>
      <c r="G526" s="14"/>
    </row>
    <row r="527" spans="1:7">
      <c r="A527" s="14" t="s">
        <v>939</v>
      </c>
      <c r="B527" s="22" t="s">
        <v>834</v>
      </c>
      <c r="C527" s="22"/>
      <c r="D527" s="22"/>
      <c r="E527" s="22"/>
      <c r="F527" s="24">
        <f t="shared" si="79"/>
        <v>0</v>
      </c>
      <c r="G527" s="14"/>
    </row>
    <row r="528" spans="1:7">
      <c r="A528" s="14" t="s">
        <v>846</v>
      </c>
      <c r="B528" s="22" t="s">
        <v>630</v>
      </c>
      <c r="C528" s="22"/>
      <c r="D528" s="22"/>
      <c r="E528" s="22"/>
      <c r="F528" s="24">
        <f t="shared" si="79"/>
        <v>23100</v>
      </c>
      <c r="G528" s="14"/>
    </row>
    <row r="529" spans="1:7">
      <c r="A529" s="14" t="s">
        <v>847</v>
      </c>
      <c r="B529" s="22" t="s">
        <v>848</v>
      </c>
      <c r="C529" s="22"/>
      <c r="D529" s="22"/>
      <c r="E529" s="22"/>
      <c r="F529" s="24">
        <f t="shared" si="79"/>
        <v>2000</v>
      </c>
      <c r="G529" s="14"/>
    </row>
  </sheetData>
  <autoFilter ref="A19:M373" xr:uid="{705B4724-39A6-4B76-8B6A-9DAEE3A59253}"/>
  <conditionalFormatting sqref="A2:B11">
    <cfRule type="expression" dxfId="142" priority="8">
      <formula>MOD(ROW(),2)</formula>
    </cfRule>
  </conditionalFormatting>
  <conditionalFormatting sqref="A13:B17">
    <cfRule type="expression" dxfId="141" priority="12">
      <formula>MOD(ROW(),2)=0</formula>
    </cfRule>
  </conditionalFormatting>
  <conditionalFormatting sqref="D3:F7">
    <cfRule type="expression" dxfId="140" priority="29">
      <formula>MOD(ROW(),2)=0</formula>
    </cfRule>
  </conditionalFormatting>
  <conditionalFormatting sqref="D10:F16">
    <cfRule type="expression" dxfId="139" priority="21">
      <formula>MOD(ROW(),2)</formula>
    </cfRule>
  </conditionalFormatting>
  <conditionalFormatting sqref="D15:F15">
    <cfRule type="expression" dxfId="138" priority="28">
      <formula>MOD(ROW(),2)=0</formula>
    </cfRule>
  </conditionalFormatting>
  <conditionalFormatting sqref="E373">
    <cfRule type="cellIs" dxfId="137" priority="23" operator="lessThan">
      <formula>0</formula>
    </cfRule>
    <cfRule type="cellIs" dxfId="136" priority="24" operator="greaterThan">
      <formula>0</formula>
    </cfRule>
  </conditionalFormatting>
  <conditionalFormatting sqref="E21:K21">
    <cfRule type="expression" dxfId="135" priority="3">
      <formula>MOD(ROW(),2)</formula>
    </cfRule>
  </conditionalFormatting>
  <conditionalFormatting sqref="E45:K49">
    <cfRule type="expression" dxfId="134" priority="20">
      <formula>MOD(ROW(),2)</formula>
    </cfRule>
  </conditionalFormatting>
  <conditionalFormatting sqref="E51:K58">
    <cfRule type="expression" dxfId="133" priority="19">
      <formula>MOD(ROW(),2)</formula>
    </cfRule>
  </conditionalFormatting>
  <conditionalFormatting sqref="E85:K99">
    <cfRule type="expression" dxfId="132" priority="18">
      <formula>MOD(ROW(),2)</formula>
    </cfRule>
  </conditionalFormatting>
  <conditionalFormatting sqref="E191:K208">
    <cfRule type="expression" dxfId="131" priority="11">
      <formula>MOD(ROW(),2)</formula>
    </cfRule>
  </conditionalFormatting>
  <conditionalFormatting sqref="E310:K323">
    <cfRule type="expression" dxfId="130" priority="4">
      <formula>MOD(ROW(),2)</formula>
    </cfRule>
  </conditionalFormatting>
  <conditionalFormatting sqref="E325:K325">
    <cfRule type="expression" dxfId="129" priority="2">
      <formula>MOD(ROW(),2)</formula>
    </cfRule>
  </conditionalFormatting>
  <conditionalFormatting sqref="E20:L20 A20:D114 E22:L22 E23:K23 E24:L24 E25:K33 E34:L35 E36:K43 E44:L44 E50:L50 E59:L59 E60:K71 E72:L72 E73:K83 E84:L84 E100:L100 E101:K114 A115:K115 E116:K138 A116:D156 E139:L139 E140:K155 E156:L156 A157:K158 E159:L159 A159:D187 E160:K167 E168:L168 E169:K171 E172:L172 E173:K173 E174:L174 E175:K176 E177:L177 E178:K180 E181:L181 E182:K186 E187:L187 A188:K189 E190:L190 A190:D306 E209:L209 E210:K212 E213:L213 E214:K216 E217:L217 E218:K226 E227:L227 E228:K263 E264:L264 E265:K280 E281:L281 E282:K282 E283:L283 E284:K286 E287:L287 E288:K296 E297:L297 E298:K305 E306:L306 A307:K307 E308:K308 A308:D332 E309:L309 E324:L324 E326:L326 E327:K327 E328:L328 E329:K331 E332:L332 A333:K334 A335:L335">
    <cfRule type="expression" dxfId="128" priority="25">
      <formula>MOD(ROW(),2)</formula>
    </cfRule>
  </conditionalFormatting>
  <conditionalFormatting sqref="H3:O7">
    <cfRule type="expression" dxfId="127" priority="9">
      <formula>MOD(ROW(),2)</formula>
    </cfRule>
  </conditionalFormatting>
  <conditionalFormatting sqref="L336:M336">
    <cfRule type="cellIs" dxfId="126" priority="22" operator="lessThan">
      <formula>0</formula>
    </cfRule>
    <cfRule type="cellIs" dxfId="125" priority="26" operator="greaterThan">
      <formula>0</formula>
    </cfRule>
  </conditionalFormatting>
  <conditionalFormatting sqref="M20:Y89 M90 M91:Y161 M162 M163:Y169 M170 M171:Y199 M200:M201">
    <cfRule type="expression" dxfId="124" priority="16">
      <formula>MOD(ROW(),2)</formula>
    </cfRule>
  </conditionalFormatting>
  <conditionalFormatting sqref="M202:Y334">
    <cfRule type="expression" dxfId="123" priority="1">
      <formula>MOD(ROW(),2)</formula>
    </cfRule>
  </conditionalFormatting>
  <conditionalFormatting sqref="P5:R18">
    <cfRule type="expression" dxfId="122" priority="14">
      <formula>MOD(ROW(),2)</formula>
    </cfRule>
  </conditionalFormatting>
  <conditionalFormatting sqref="P1:X3">
    <cfRule type="expression" dxfId="121" priority="27">
      <formula>MOD(ROW(),2)</formula>
    </cfRule>
  </conditionalFormatting>
  <conditionalFormatting sqref="S4:X18">
    <cfRule type="expression" dxfId="120" priority="6">
      <formula>MOD(ROW(),2)</formula>
    </cfRule>
  </conditionalFormatting>
  <conditionalFormatting sqref="AP4:AT8">
    <cfRule type="expression" dxfId="119" priority="10">
      <formula>MOD(ROW(),2)=0</formula>
    </cfRule>
  </conditionalFormatting>
  <dataValidations count="2">
    <dataValidation type="list" allowBlank="1" showInputMessage="1" showErrorMessage="1" sqref="B3" xr:uid="{C835E262-4D3F-4D89-8D0D-2D18A3E199B8}">
      <formula1>"Level 1, Level 2, Level 3"</formula1>
    </dataValidation>
    <dataValidation type="list" allowBlank="1" showInputMessage="1" showErrorMessage="1" sqref="B4" xr:uid="{66BE07C0-F32F-4BA7-80C4-43FD71D9B1EC}">
      <formula1>"Urban, Market, Senior, Afforable"</formula1>
    </dataValidation>
  </dataValidations>
  <printOptions horizontalCentered="1"/>
  <pageMargins left="0.25" right="0.25" top="0.7" bottom="0.5" header="0.35" footer="0.05"/>
  <pageSetup paperSize="3" scale="52" fitToHeight="0" orientation="landscape" horizontalDpi="1200" verticalDpi="1200" r:id="rId1"/>
  <headerFooter>
    <oddHeader>&amp;R&amp;G</oddHeader>
  </headerFooter>
  <rowBreaks count="3" manualBreakCount="3">
    <brk id="99" max="24" man="1"/>
    <brk id="176" max="24" man="1"/>
    <brk id="263" max="24"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ECEA-886C-4ECD-870B-1812DE139CF6}">
  <sheetPr>
    <tabColor theme="3" tint="0.499984740745262"/>
    <pageSetUpPr fitToPage="1"/>
  </sheetPr>
  <dimension ref="A1:BB525"/>
  <sheetViews>
    <sheetView showGridLines="0" view="pageBreakPreview" zoomScale="70" zoomScaleNormal="100" zoomScaleSheetLayoutView="70" workbookViewId="0">
      <pane xSplit="1" ySplit="19" topLeftCell="B159" activePane="bottomRight" state="frozen"/>
      <selection pane="bottomRight" activeCell="J167" sqref="J167"/>
      <selection pane="bottomLeft" activeCell="A20" sqref="A20"/>
      <selection pane="topRight" activeCell="B1" sqref="B1"/>
    </sheetView>
  </sheetViews>
  <sheetFormatPr defaultColWidth="9.140625" defaultRowHeight="14.45"/>
  <cols>
    <col min="1" max="1" width="39" style="55" customWidth="1"/>
    <col min="2" max="2" width="17.85546875" style="56" customWidth="1"/>
    <col min="3" max="3" width="15.140625" style="56" customWidth="1"/>
    <col min="4" max="4" width="20" style="56" customWidth="1"/>
    <col min="5" max="5" width="13.14062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3.140625" style="55" customWidth="1"/>
    <col min="12" max="12" width="28.140625" style="55" bestFit="1" customWidth="1"/>
    <col min="13" max="13" width="16.5703125" style="55" customWidth="1"/>
    <col min="14"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26" width="9.140625" style="55"/>
    <col min="27" max="27" width="22.42578125" style="55" bestFit="1" customWidth="1"/>
    <col min="28" max="28" width="13.5703125" style="55" customWidth="1"/>
    <col min="29" max="29" width="11.140625" style="55" customWidth="1"/>
    <col min="30" max="30" width="13" style="55" customWidth="1"/>
    <col min="31" max="31" width="10.5703125" style="55" customWidth="1"/>
    <col min="32" max="35" width="9.140625" style="55"/>
    <col min="36" max="36" width="12" style="55" customWidth="1"/>
    <col min="37" max="37" width="9.140625" style="55"/>
    <col min="38" max="38" width="10.7109375" style="55" customWidth="1"/>
    <col min="39" max="41" width="9.140625" style="55"/>
    <col min="42" max="42" width="21.85546875" style="55" customWidth="1"/>
    <col min="43" max="43" width="9.140625" style="55"/>
    <col min="44" max="44" width="13.140625" style="55" customWidth="1"/>
    <col min="45" max="45" width="10.5703125" style="55" bestFit="1" customWidth="1"/>
    <col min="46" max="46" width="12.85546875" style="55" customWidth="1"/>
    <col min="47" max="48" width="9.140625" style="55"/>
    <col min="49" max="49" width="13" style="55" customWidth="1"/>
    <col min="50" max="51" width="9.140625" style="55"/>
    <col min="52" max="52" width="13" style="55" customWidth="1"/>
    <col min="53" max="53" width="10.5703125" style="55" bestFit="1" customWidth="1"/>
    <col min="54" max="54" width="13.140625" style="55" bestFit="1" customWidth="1"/>
    <col min="55" max="16384" width="9.140625" style="55"/>
  </cols>
  <sheetData>
    <row r="1" spans="1:54" ht="15"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54" ht="15"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637">
        <f>'Level 1'!Q2-22352</f>
        <v>149760</v>
      </c>
      <c r="R2" s="83" t="s">
        <v>95</v>
      </c>
      <c r="S2" s="84" t="s">
        <v>96</v>
      </c>
      <c r="T2" s="48">
        <f>(14.42+12.35+13.12+11.52)*K8</f>
        <v>9150.98</v>
      </c>
      <c r="U2" s="59" t="s">
        <v>61</v>
      </c>
      <c r="V2" s="84" t="s">
        <v>1036</v>
      </c>
      <c r="W2" s="48"/>
      <c r="X2" s="59" t="s">
        <v>61</v>
      </c>
      <c r="AP2" s="55" t="s">
        <v>98</v>
      </c>
      <c r="AW2" s="55" t="s">
        <v>99</v>
      </c>
    </row>
    <row r="3" spans="1:54">
      <c r="A3" s="85" t="s">
        <v>105</v>
      </c>
      <c r="B3" s="86" t="s">
        <v>37</v>
      </c>
      <c r="D3" s="87" t="s">
        <v>106</v>
      </c>
      <c r="E3" s="88">
        <v>0</v>
      </c>
      <c r="F3" s="89">
        <f t="shared" ref="F3:F8" si="0">E3/$E$8</f>
        <v>0</v>
      </c>
      <c r="H3" s="86">
        <v>1</v>
      </c>
      <c r="I3" s="86">
        <v>3</v>
      </c>
      <c r="J3" s="86">
        <f>SUM(K3:N3)</f>
        <v>169</v>
      </c>
      <c r="K3" s="86">
        <v>87</v>
      </c>
      <c r="L3" s="86">
        <v>17</v>
      </c>
      <c r="M3" s="86">
        <v>48</v>
      </c>
      <c r="N3" s="86">
        <v>17</v>
      </c>
      <c r="O3" s="48">
        <v>185300</v>
      </c>
      <c r="P3" s="84" t="s">
        <v>107</v>
      </c>
      <c r="Q3" s="638">
        <v>4</v>
      </c>
      <c r="R3" s="59" t="s">
        <v>108</v>
      </c>
      <c r="S3" s="84" t="s">
        <v>109</v>
      </c>
      <c r="T3" s="48">
        <f>L8*(43.46+3.6+7.5)</f>
        <v>2673.44</v>
      </c>
      <c r="U3" s="59" t="s">
        <v>61</v>
      </c>
      <c r="V3" s="84" t="s">
        <v>1037</v>
      </c>
      <c r="W3" s="48"/>
      <c r="X3" s="59" t="s">
        <v>61</v>
      </c>
      <c r="AA3" s="90" t="s">
        <v>110</v>
      </c>
      <c r="AB3" s="91"/>
      <c r="AC3" s="91"/>
      <c r="AD3" s="91"/>
      <c r="AE3" s="91" t="s">
        <v>111</v>
      </c>
      <c r="AF3" s="92">
        <f>21*7</f>
        <v>147</v>
      </c>
      <c r="AH3" s="90" t="s">
        <v>112</v>
      </c>
      <c r="AI3" s="91"/>
      <c r="AJ3" s="91"/>
      <c r="AK3" s="91"/>
      <c r="AL3" s="91" t="s">
        <v>111</v>
      </c>
      <c r="AM3" s="92">
        <f>15000+6560+6500+15400+4570+4635+4540+4250</f>
        <v>61455</v>
      </c>
      <c r="AP3" s="78" t="s">
        <v>83</v>
      </c>
      <c r="AQ3" s="79" t="s">
        <v>84</v>
      </c>
      <c r="AR3" s="79" t="s">
        <v>113</v>
      </c>
      <c r="AS3" s="79" t="s">
        <v>85</v>
      </c>
      <c r="AT3" s="79" t="s">
        <v>85</v>
      </c>
      <c r="AW3" s="55" t="s">
        <v>114</v>
      </c>
      <c r="AX3" s="55" t="s">
        <v>115</v>
      </c>
      <c r="AY3" s="55" t="s">
        <v>116</v>
      </c>
      <c r="AZ3" s="55" t="s">
        <v>117</v>
      </c>
      <c r="BA3" s="55" t="s">
        <v>118</v>
      </c>
      <c r="BB3" s="55" t="s">
        <v>119</v>
      </c>
    </row>
    <row r="4" spans="1:54">
      <c r="A4" s="85" t="s">
        <v>2</v>
      </c>
      <c r="B4" s="86" t="s">
        <v>120</v>
      </c>
      <c r="D4" s="93" t="s">
        <v>89</v>
      </c>
      <c r="E4" s="86">
        <f>K8</f>
        <v>178</v>
      </c>
      <c r="F4" s="94">
        <f>E4/$E$8</f>
        <v>0.4564102564102564</v>
      </c>
      <c r="H4" s="86">
        <v>2</v>
      </c>
      <c r="I4" s="86">
        <v>2</v>
      </c>
      <c r="J4" s="86">
        <f t="shared" ref="J4" si="1">SUM(K4:N4)</f>
        <v>24</v>
      </c>
      <c r="K4" s="86">
        <v>9</v>
      </c>
      <c r="L4" s="86">
        <v>7</v>
      </c>
      <c r="M4" s="86">
        <v>8</v>
      </c>
      <c r="N4" s="86">
        <v>0</v>
      </c>
      <c r="O4" s="48">
        <v>24353</v>
      </c>
      <c r="P4" s="95" t="s">
        <v>121</v>
      </c>
      <c r="Q4" s="477">
        <f>Q3*3</f>
        <v>12</v>
      </c>
      <c r="R4" s="96" t="s">
        <v>108</v>
      </c>
      <c r="S4" s="84" t="s">
        <v>122</v>
      </c>
      <c r="T4" s="48">
        <f>(13+13+12+12.5+6.3)*6+(8.5+16+13+7+11)*46</f>
        <v>2893.8</v>
      </c>
      <c r="U4" s="59" t="s">
        <v>61</v>
      </c>
      <c r="V4" s="84" t="s">
        <v>1038</v>
      </c>
      <c r="W4" s="48"/>
      <c r="X4" s="59" t="s">
        <v>61</v>
      </c>
      <c r="AA4" s="95" t="s">
        <v>123</v>
      </c>
      <c r="AF4" s="96">
        <f>14*7</f>
        <v>98</v>
      </c>
      <c r="AH4" s="95" t="s">
        <v>123</v>
      </c>
      <c r="AM4" s="96"/>
      <c r="AP4" s="87" t="s">
        <v>106</v>
      </c>
      <c r="AQ4" s="88">
        <v>0</v>
      </c>
      <c r="AR4" s="348">
        <v>3192.5</v>
      </c>
      <c r="AS4" s="89">
        <v>0</v>
      </c>
      <c r="AT4" s="348">
        <f>AR4*(1+AS4)</f>
        <v>3192.5</v>
      </c>
      <c r="AW4" s="55" t="s">
        <v>123</v>
      </c>
      <c r="AX4" s="55">
        <v>3</v>
      </c>
      <c r="AY4" s="55">
        <v>9</v>
      </c>
      <c r="AZ4" s="55">
        <f>AY4*AX4</f>
        <v>27</v>
      </c>
      <c r="BA4" s="358">
        <f>275</f>
        <v>275</v>
      </c>
      <c r="BB4" s="358">
        <f>BA4*AZ4</f>
        <v>7425</v>
      </c>
    </row>
    <row r="5" spans="1:54">
      <c r="A5" s="85" t="s">
        <v>124</v>
      </c>
      <c r="B5" s="204">
        <v>45748</v>
      </c>
      <c r="D5" s="93" t="s">
        <v>90</v>
      </c>
      <c r="E5" s="86">
        <f>L8</f>
        <v>49</v>
      </c>
      <c r="F5" s="94">
        <f t="shared" si="0"/>
        <v>0.12564102564102564</v>
      </c>
      <c r="H5" s="86">
        <v>3</v>
      </c>
      <c r="I5" s="86">
        <v>3</v>
      </c>
      <c r="J5" s="86">
        <v>173</v>
      </c>
      <c r="K5" s="86">
        <v>73</v>
      </c>
      <c r="L5" s="86">
        <v>18</v>
      </c>
      <c r="M5" s="86">
        <v>51</v>
      </c>
      <c r="N5" s="86">
        <v>31</v>
      </c>
      <c r="O5" s="48">
        <v>192543</v>
      </c>
      <c r="P5" s="84" t="s">
        <v>125</v>
      </c>
      <c r="Q5" s="98">
        <v>14</v>
      </c>
      <c r="R5" s="59" t="s">
        <v>126</v>
      </c>
      <c r="S5" s="84" t="s">
        <v>127</v>
      </c>
      <c r="T5" s="48">
        <f>(15+7+4+16.82+31)*N8</f>
        <v>3543.3599999999997</v>
      </c>
      <c r="U5" s="59" t="s">
        <v>61</v>
      </c>
      <c r="V5" s="84" t="s">
        <v>1039</v>
      </c>
      <c r="W5" s="48"/>
      <c r="X5" s="59" t="s">
        <v>61</v>
      </c>
      <c r="AA5" s="95" t="s">
        <v>128</v>
      </c>
      <c r="AB5" s="55">
        <f>21*4+8*8+7*6</f>
        <v>190</v>
      </c>
      <c r="AF5" s="96">
        <f>8*22</f>
        <v>176</v>
      </c>
      <c r="AH5" s="95" t="s">
        <v>128</v>
      </c>
      <c r="AI5" s="55">
        <v>19256</v>
      </c>
      <c r="AM5" s="96"/>
      <c r="AP5" s="93" t="s">
        <v>89</v>
      </c>
      <c r="AQ5" s="86">
        <v>171</v>
      </c>
      <c r="AR5" s="349">
        <v>3192.5</v>
      </c>
      <c r="AS5" s="94">
        <v>0</v>
      </c>
      <c r="AT5" s="349">
        <f t="shared" ref="AT5:AT8" si="2">AR5*(1+AS5)</f>
        <v>3192.5</v>
      </c>
      <c r="AW5" s="55" t="s">
        <v>129</v>
      </c>
      <c r="AX5" s="55">
        <v>2</v>
      </c>
      <c r="AY5" s="55">
        <v>2</v>
      </c>
      <c r="AZ5" s="55">
        <f t="shared" ref="AZ5:AZ8" si="3">AY5*AX5</f>
        <v>4</v>
      </c>
      <c r="BA5" s="358">
        <f>275</f>
        <v>275</v>
      </c>
      <c r="BB5" s="358">
        <f t="shared" ref="BB5:BB8" si="4">BA5*AZ5</f>
        <v>1100</v>
      </c>
    </row>
    <row r="6" spans="1:54">
      <c r="A6" s="85" t="s">
        <v>130</v>
      </c>
      <c r="B6" s="86">
        <v>26</v>
      </c>
      <c r="D6" s="93" t="s">
        <v>91</v>
      </c>
      <c r="E6" s="86">
        <f>M8</f>
        <v>115</v>
      </c>
      <c r="F6" s="94">
        <f t="shared" si="0"/>
        <v>0.29487179487179488</v>
      </c>
      <c r="H6" s="86">
        <v>4</v>
      </c>
      <c r="I6" s="86">
        <v>2</v>
      </c>
      <c r="J6" s="86">
        <v>24</v>
      </c>
      <c r="K6" s="86">
        <v>9</v>
      </c>
      <c r="L6" s="86">
        <v>7</v>
      </c>
      <c r="M6" s="86">
        <v>8</v>
      </c>
      <c r="N6" s="86">
        <v>0</v>
      </c>
      <c r="O6" s="48">
        <v>24353</v>
      </c>
      <c r="P6" s="84" t="s">
        <v>131</v>
      </c>
      <c r="Q6" s="638">
        <f>4+6+6</f>
        <v>16</v>
      </c>
      <c r="R6" s="59" t="s">
        <v>108</v>
      </c>
      <c r="S6" s="84" t="s">
        <v>132</v>
      </c>
      <c r="T6" s="68">
        <f>86*38</f>
        <v>3268</v>
      </c>
      <c r="U6" s="59" t="s">
        <v>61</v>
      </c>
      <c r="V6" s="58" t="s">
        <v>1040</v>
      </c>
      <c r="W6" s="68"/>
      <c r="X6" s="99" t="s">
        <v>61</v>
      </c>
      <c r="AA6" s="95" t="s">
        <v>133</v>
      </c>
      <c r="AB6" s="55">
        <f>14*4+21*2+8*6</f>
        <v>146</v>
      </c>
      <c r="AF6" s="96">
        <f>7*10</f>
        <v>70</v>
      </c>
      <c r="AH6" s="95" t="s">
        <v>133</v>
      </c>
      <c r="AI6" s="55">
        <v>8980</v>
      </c>
      <c r="AM6" s="96"/>
      <c r="AP6" s="93" t="s">
        <v>90</v>
      </c>
      <c r="AQ6" s="86">
        <v>52</v>
      </c>
      <c r="AR6" s="349">
        <v>3192.5</v>
      </c>
      <c r="AS6" s="94">
        <v>0</v>
      </c>
      <c r="AT6" s="349">
        <f t="shared" si="2"/>
        <v>3192.5</v>
      </c>
      <c r="AW6" s="55" t="s">
        <v>111</v>
      </c>
      <c r="AX6" s="55">
        <v>2</v>
      </c>
      <c r="AY6" s="55">
        <v>9</v>
      </c>
      <c r="AZ6" s="55">
        <f t="shared" si="3"/>
        <v>18</v>
      </c>
      <c r="BA6" s="358">
        <f>275</f>
        <v>275</v>
      </c>
      <c r="BB6" s="358">
        <f t="shared" si="4"/>
        <v>4950</v>
      </c>
    </row>
    <row r="7" spans="1:54">
      <c r="A7" s="85" t="s">
        <v>115</v>
      </c>
      <c r="B7" s="86" t="s">
        <v>134</v>
      </c>
      <c r="D7" s="100" t="s">
        <v>92</v>
      </c>
      <c r="E7" s="101">
        <f>N8</f>
        <v>48</v>
      </c>
      <c r="F7" s="102">
        <f t="shared" si="0"/>
        <v>0.12307692307692308</v>
      </c>
      <c r="H7" s="86"/>
      <c r="I7" s="86"/>
      <c r="J7" s="86"/>
      <c r="K7" s="86"/>
      <c r="L7" s="86"/>
      <c r="M7" s="86"/>
      <c r="N7" s="86"/>
      <c r="O7" s="48"/>
      <c r="P7" s="103" t="s">
        <v>135</v>
      </c>
      <c r="Q7" s="104">
        <v>1</v>
      </c>
      <c r="R7" s="105"/>
      <c r="S7" s="84" t="s">
        <v>136</v>
      </c>
      <c r="T7" s="48"/>
      <c r="U7" s="59" t="s">
        <v>61</v>
      </c>
      <c r="V7" s="58" t="s">
        <v>1041</v>
      </c>
      <c r="W7" s="68"/>
      <c r="X7" s="99" t="s">
        <v>61</v>
      </c>
      <c r="AA7" s="95" t="s">
        <v>137</v>
      </c>
      <c r="AB7" s="55">
        <f>21*2+14*2+8*6</f>
        <v>118</v>
      </c>
      <c r="AF7" s="96">
        <f>SUM(AF3:AF6)</f>
        <v>491</v>
      </c>
      <c r="AH7" s="95" t="s">
        <v>137</v>
      </c>
      <c r="AI7" s="55">
        <v>8850</v>
      </c>
      <c r="AM7" s="96"/>
      <c r="AP7" s="93" t="s">
        <v>91</v>
      </c>
      <c r="AQ7" s="86">
        <v>118</v>
      </c>
      <c r="AR7" s="349">
        <v>3192.5</v>
      </c>
      <c r="AS7" s="94">
        <v>0.1</v>
      </c>
      <c r="AT7" s="349">
        <f t="shared" si="2"/>
        <v>3511.7500000000005</v>
      </c>
      <c r="AW7" s="55" t="s">
        <v>138</v>
      </c>
      <c r="AX7" s="55">
        <v>3</v>
      </c>
      <c r="AY7" s="55">
        <v>3</v>
      </c>
      <c r="AZ7" s="55">
        <f t="shared" si="3"/>
        <v>9</v>
      </c>
      <c r="BA7" s="358">
        <f>275</f>
        <v>275</v>
      </c>
      <c r="BB7" s="358">
        <f t="shared" si="4"/>
        <v>2475</v>
      </c>
    </row>
    <row r="8" spans="1:54" ht="15" thickBot="1">
      <c r="A8" s="85" t="s">
        <v>139</v>
      </c>
      <c r="B8" s="638">
        <f>O8</f>
        <v>426549</v>
      </c>
      <c r="D8" s="106" t="s">
        <v>140</v>
      </c>
      <c r="E8" s="107">
        <f>SUM(E3:E7)</f>
        <v>390</v>
      </c>
      <c r="F8" s="108">
        <f t="shared" si="0"/>
        <v>1</v>
      </c>
      <c r="H8" s="109" t="s">
        <v>140</v>
      </c>
      <c r="I8" s="80">
        <f t="shared" ref="I8:O8" si="5">SUM(I3:I7)</f>
        <v>10</v>
      </c>
      <c r="J8" s="80">
        <f t="shared" si="5"/>
        <v>390</v>
      </c>
      <c r="K8" s="80">
        <f t="shared" si="5"/>
        <v>178</v>
      </c>
      <c r="L8" s="80">
        <f t="shared" si="5"/>
        <v>49</v>
      </c>
      <c r="M8" s="80">
        <f t="shared" si="5"/>
        <v>115</v>
      </c>
      <c r="N8" s="80">
        <f t="shared" si="5"/>
        <v>48</v>
      </c>
      <c r="O8" s="110">
        <f t="shared" si="5"/>
        <v>426549</v>
      </c>
      <c r="P8" s="84" t="s">
        <v>141</v>
      </c>
      <c r="Q8" s="48">
        <v>1</v>
      </c>
      <c r="R8" s="59"/>
      <c r="S8" s="58" t="s">
        <v>0</v>
      </c>
      <c r="T8" s="640">
        <f>AJ40</f>
        <v>261711</v>
      </c>
      <c r="U8" s="99" t="s">
        <v>61</v>
      </c>
      <c r="V8" s="58" t="s">
        <v>1042</v>
      </c>
      <c r="W8" s="68"/>
      <c r="X8" s="99" t="s">
        <v>61</v>
      </c>
      <c r="AA8" s="95" t="s">
        <v>142</v>
      </c>
      <c r="AB8" s="55">
        <f>21*2+14*8+8*12+7*8</f>
        <v>306</v>
      </c>
      <c r="AF8" s="96"/>
      <c r="AH8" s="95" t="s">
        <v>142</v>
      </c>
      <c r="AI8" s="55">
        <v>19965</v>
      </c>
      <c r="AM8" s="96"/>
      <c r="AP8" s="100" t="s">
        <v>92</v>
      </c>
      <c r="AQ8" s="101">
        <v>49</v>
      </c>
      <c r="AR8" s="350">
        <v>3192.5</v>
      </c>
      <c r="AS8" s="102">
        <v>0.2</v>
      </c>
      <c r="AT8" s="350">
        <f t="shared" si="2"/>
        <v>3831</v>
      </c>
      <c r="AW8" s="55" t="s">
        <v>144</v>
      </c>
      <c r="AX8" s="55">
        <v>2</v>
      </c>
      <c r="AY8" s="55">
        <v>2</v>
      </c>
      <c r="AZ8" s="55">
        <f t="shared" si="3"/>
        <v>4</v>
      </c>
      <c r="BA8" s="358">
        <v>275</v>
      </c>
      <c r="BB8" s="358">
        <f t="shared" si="4"/>
        <v>1100</v>
      </c>
    </row>
    <row r="9" spans="1:54" ht="15" thickBot="1">
      <c r="A9" s="85" t="s">
        <v>145</v>
      </c>
      <c r="B9" s="111">
        <v>15.826000000000001</v>
      </c>
      <c r="D9" s="72" t="s">
        <v>146</v>
      </c>
      <c r="E9" s="72"/>
      <c r="F9" s="72"/>
      <c r="K9" s="57"/>
      <c r="L9" s="112"/>
      <c r="M9" s="112"/>
      <c r="P9" s="84" t="s">
        <v>147</v>
      </c>
      <c r="Q9" s="48">
        <f>AJ35</f>
        <v>2932</v>
      </c>
      <c r="R9" s="59" t="s">
        <v>148</v>
      </c>
      <c r="S9" s="58" t="s">
        <v>149</v>
      </c>
      <c r="T9" s="68">
        <v>900</v>
      </c>
      <c r="U9" s="99" t="s">
        <v>61</v>
      </c>
      <c r="V9" s="58" t="s">
        <v>1043</v>
      </c>
      <c r="W9" s="68"/>
      <c r="X9" s="99" t="s">
        <v>61</v>
      </c>
      <c r="AA9" s="95" t="s">
        <v>150</v>
      </c>
      <c r="AB9" s="55">
        <f>21*4+8*6</f>
        <v>132</v>
      </c>
      <c r="AC9" s="55">
        <f>SUM(AB5:AB9)</f>
        <v>892</v>
      </c>
      <c r="AF9" s="96"/>
      <c r="AH9" s="95" t="s">
        <v>150</v>
      </c>
      <c r="AI9" s="55">
        <f>5870+6250+6290+5915</f>
        <v>24325</v>
      </c>
      <c r="AJ9" s="55">
        <f>SUM(AI5:AI9)</f>
        <v>81376</v>
      </c>
      <c r="AM9" s="96"/>
      <c r="AP9" s="106" t="s">
        <v>140</v>
      </c>
      <c r="AQ9" s="107">
        <f>SUM(AQ4:AQ8)</f>
        <v>390</v>
      </c>
      <c r="AR9" s="107"/>
      <c r="AS9" s="108"/>
      <c r="AT9" s="107">
        <f>SUMPRODUCT(AQ4:AQ8,AT4:AT8)/AQ9</f>
        <v>3369.3153846153846</v>
      </c>
      <c r="BA9" s="358"/>
      <c r="BB9" s="358">
        <f>SUM(BB4:BB8)</f>
        <v>17050</v>
      </c>
    </row>
    <row r="10" spans="1:54">
      <c r="A10" s="85" t="s">
        <v>152</v>
      </c>
      <c r="B10" s="48">
        <f>B9*43560</f>
        <v>689380.56</v>
      </c>
      <c r="D10" s="113" t="s">
        <v>153</v>
      </c>
      <c r="E10" s="114"/>
      <c r="F10" s="115">
        <v>0</v>
      </c>
      <c r="K10" s="1"/>
      <c r="P10" s="84" t="s">
        <v>154</v>
      </c>
      <c r="Q10" s="638">
        <f>Q2/100</f>
        <v>1497.6</v>
      </c>
      <c r="R10" s="59" t="s">
        <v>155</v>
      </c>
      <c r="S10" s="58" t="s">
        <v>156</v>
      </c>
      <c r="T10" s="68">
        <f>10114-1655-215-35*8</f>
        <v>7964</v>
      </c>
      <c r="U10" s="99" t="s">
        <v>61</v>
      </c>
      <c r="V10" s="58" t="s">
        <v>1044</v>
      </c>
      <c r="W10" s="68"/>
      <c r="X10" s="99" t="s">
        <v>61</v>
      </c>
      <c r="AA10" s="95"/>
      <c r="AF10" s="96"/>
      <c r="AH10" s="95"/>
      <c r="AM10" s="96"/>
      <c r="AT10" s="351">
        <f>AT9-AR8</f>
        <v>176.81538461538457</v>
      </c>
    </row>
    <row r="11" spans="1:54" ht="15" thickBot="1">
      <c r="A11" s="85" t="s">
        <v>157</v>
      </c>
      <c r="B11" s="48">
        <v>4</v>
      </c>
      <c r="D11" s="85" t="s">
        <v>158</v>
      </c>
      <c r="E11" s="45"/>
      <c r="F11" s="86">
        <v>388</v>
      </c>
      <c r="K11" s="354"/>
      <c r="M11" s="355"/>
      <c r="N11" s="347"/>
      <c r="P11" s="84" t="s">
        <v>159</v>
      </c>
      <c r="Q11" s="638">
        <f>'Level 1'!Q11</f>
        <v>26012</v>
      </c>
      <c r="R11" s="59" t="s">
        <v>160</v>
      </c>
      <c r="S11" s="58" t="s">
        <v>161</v>
      </c>
      <c r="T11" s="68">
        <f>67+148+90+132</f>
        <v>437</v>
      </c>
      <c r="U11" s="99" t="s">
        <v>148</v>
      </c>
      <c r="V11" s="58" t="s">
        <v>162</v>
      </c>
      <c r="W11" s="68">
        <v>19607</v>
      </c>
      <c r="X11" s="99" t="s">
        <v>61</v>
      </c>
      <c r="AA11" s="95" t="s">
        <v>163</v>
      </c>
      <c r="AE11" s="55" t="s">
        <v>138</v>
      </c>
      <c r="AF11" s="96">
        <f>14*8</f>
        <v>112</v>
      </c>
      <c r="AH11" s="95" t="s">
        <v>163</v>
      </c>
      <c r="AL11" s="55" t="s">
        <v>138</v>
      </c>
      <c r="AM11" s="96">
        <f>5782+5760+8825+9150</f>
        <v>29517</v>
      </c>
      <c r="AT11" s="352">
        <f>AT10/AR8</f>
        <v>5.5384615384615372E-2</v>
      </c>
    </row>
    <row r="12" spans="1:54">
      <c r="A12" s="116" t="s">
        <v>164</v>
      </c>
      <c r="B12" s="117"/>
      <c r="D12" s="85" t="s">
        <v>165</v>
      </c>
      <c r="E12" s="45"/>
      <c r="F12" s="86">
        <v>403</v>
      </c>
      <c r="K12" s="1"/>
      <c r="P12" s="84" t="s">
        <v>1045</v>
      </c>
      <c r="Q12" s="48">
        <f>139051+19843+101286+52253+19843</f>
        <v>332276</v>
      </c>
      <c r="R12" s="59" t="s">
        <v>167</v>
      </c>
      <c r="S12" s="118" t="s">
        <v>168</v>
      </c>
      <c r="T12" s="49">
        <f>200*2</f>
        <v>400</v>
      </c>
      <c r="U12" s="119" t="s">
        <v>148</v>
      </c>
      <c r="V12" s="58" t="s">
        <v>169</v>
      </c>
      <c r="W12" s="68">
        <v>2180</v>
      </c>
      <c r="X12" s="99" t="s">
        <v>61</v>
      </c>
      <c r="AA12" s="95" t="s">
        <v>128</v>
      </c>
      <c r="AF12" s="96">
        <f>20*8</f>
        <v>160</v>
      </c>
      <c r="AH12" s="95" t="s">
        <v>128</v>
      </c>
      <c r="AM12" s="96"/>
    </row>
    <row r="13" spans="1:54" ht="15" thickBot="1">
      <c r="A13" s="120" t="s">
        <v>170</v>
      </c>
      <c r="B13" s="202">
        <v>45062</v>
      </c>
      <c r="D13" s="85" t="s">
        <v>171</v>
      </c>
      <c r="E13" s="45"/>
      <c r="F13" s="86">
        <v>16</v>
      </c>
      <c r="K13" s="1"/>
      <c r="O13" s="194"/>
      <c r="P13" s="84" t="s">
        <v>172</v>
      </c>
      <c r="Q13" s="46">
        <f>F11</f>
        <v>388</v>
      </c>
      <c r="R13" s="59" t="s">
        <v>108</v>
      </c>
      <c r="S13" s="58" t="s">
        <v>173</v>
      </c>
      <c r="T13" s="68">
        <v>7476</v>
      </c>
      <c r="U13" s="99" t="s">
        <v>61</v>
      </c>
      <c r="V13" s="58" t="s">
        <v>174</v>
      </c>
      <c r="W13" s="49">
        <v>21000</v>
      </c>
      <c r="X13" s="99" t="s">
        <v>61</v>
      </c>
      <c r="AA13" s="95" t="s">
        <v>133</v>
      </c>
      <c r="AF13" s="96">
        <f>8*18</f>
        <v>144</v>
      </c>
      <c r="AH13" s="95" t="s">
        <v>133</v>
      </c>
      <c r="AM13" s="96"/>
    </row>
    <row r="14" spans="1:54">
      <c r="A14" s="121" t="s">
        <v>175</v>
      </c>
      <c r="B14" s="86" t="s">
        <v>1046</v>
      </c>
      <c r="D14" s="85" t="s">
        <v>176</v>
      </c>
      <c r="E14" s="45"/>
      <c r="F14" s="86">
        <v>0</v>
      </c>
      <c r="J14" s="122" t="s">
        <v>177</v>
      </c>
      <c r="K14" s="123"/>
      <c r="L14" s="124">
        <f>L331</f>
        <v>82551538.366786778</v>
      </c>
      <c r="P14" s="84" t="s">
        <v>178</v>
      </c>
      <c r="Q14" s="638">
        <f>4*2+12*3</f>
        <v>44</v>
      </c>
      <c r="R14" s="59" t="s">
        <v>179</v>
      </c>
      <c r="S14" s="58" t="s">
        <v>180</v>
      </c>
      <c r="T14" s="68">
        <v>0</v>
      </c>
      <c r="U14" s="99" t="s">
        <v>61</v>
      </c>
      <c r="V14" s="58" t="s">
        <v>181</v>
      </c>
      <c r="W14" s="68">
        <v>2180</v>
      </c>
      <c r="X14" s="99" t="s">
        <v>61</v>
      </c>
      <c r="AA14" s="95" t="s">
        <v>137</v>
      </c>
      <c r="AF14" s="96">
        <f>7*12</f>
        <v>84</v>
      </c>
      <c r="AH14" s="95" t="s">
        <v>137</v>
      </c>
      <c r="AM14" s="96"/>
    </row>
    <row r="15" spans="1:54">
      <c r="A15" s="121" t="s">
        <v>182</v>
      </c>
      <c r="B15" s="86" t="s">
        <v>1046</v>
      </c>
      <c r="D15" s="85" t="s">
        <v>183</v>
      </c>
      <c r="E15" s="45"/>
      <c r="F15" s="86">
        <f>SUM(F10:F14)</f>
        <v>807</v>
      </c>
      <c r="J15" s="125" t="s">
        <v>184</v>
      </c>
      <c r="K15" s="126"/>
      <c r="L15" s="127">
        <f>L14/E8</f>
        <v>211670.61119688916</v>
      </c>
      <c r="P15" s="84" t="s">
        <v>185</v>
      </c>
      <c r="Q15" s="48">
        <v>1</v>
      </c>
      <c r="R15" s="59" t="s">
        <v>186</v>
      </c>
      <c r="S15" s="58" t="s">
        <v>187</v>
      </c>
      <c r="T15" s="68">
        <f>748+1140+800</f>
        <v>2688</v>
      </c>
      <c r="U15" s="99" t="s">
        <v>61</v>
      </c>
      <c r="V15" s="58" t="s">
        <v>1047</v>
      </c>
      <c r="W15" s="640">
        <v>0</v>
      </c>
      <c r="X15" s="99" t="s">
        <v>61</v>
      </c>
      <c r="AA15" s="95" t="s">
        <v>142</v>
      </c>
      <c r="AB15" s="55">
        <f>21*2+14*2+8*6+7*6</f>
        <v>160</v>
      </c>
      <c r="AC15" s="55">
        <f>AB15*2</f>
        <v>320</v>
      </c>
      <c r="AF15" s="96">
        <f>SUM(AF11:AF14)</f>
        <v>500</v>
      </c>
      <c r="AH15" s="95" t="s">
        <v>142</v>
      </c>
      <c r="AI15" s="55">
        <f>5035+5775+1960+1960</f>
        <v>14730</v>
      </c>
      <c r="AJ15" s="55">
        <f>AI15*2</f>
        <v>29460</v>
      </c>
      <c r="AM15" s="96"/>
    </row>
    <row r="16" spans="1:54" ht="15" thickBot="1">
      <c r="A16" s="121" t="s">
        <v>188</v>
      </c>
      <c r="B16" s="86" t="s">
        <v>1046</v>
      </c>
      <c r="D16" s="129" t="s">
        <v>189</v>
      </c>
      <c r="E16" s="130"/>
      <c r="F16" s="131">
        <f>SUM(F10:F13)/E8</f>
        <v>2.0692307692307694</v>
      </c>
      <c r="J16" s="132" t="s">
        <v>190</v>
      </c>
      <c r="K16" s="133"/>
      <c r="L16" s="134">
        <f>L14/B8</f>
        <v>193.53354096900188</v>
      </c>
      <c r="P16" s="84" t="s">
        <v>191</v>
      </c>
      <c r="Q16" s="48">
        <v>10</v>
      </c>
      <c r="R16" s="59" t="s">
        <v>186</v>
      </c>
      <c r="S16" s="58" t="s">
        <v>192</v>
      </c>
      <c r="T16" s="68">
        <v>1557</v>
      </c>
      <c r="U16" s="99" t="s">
        <v>61</v>
      </c>
      <c r="V16" s="58" t="s">
        <v>193</v>
      </c>
      <c r="W16" s="68">
        <v>4</v>
      </c>
      <c r="X16" s="99" t="s">
        <v>108</v>
      </c>
      <c r="AA16" s="95"/>
      <c r="AF16" s="96"/>
      <c r="AH16" s="95"/>
      <c r="AM16" s="96"/>
    </row>
    <row r="17" spans="1:39" ht="15" thickBot="1">
      <c r="A17" s="128" t="s">
        <v>194</v>
      </c>
      <c r="B17" s="203">
        <v>45043</v>
      </c>
      <c r="C17" s="136"/>
      <c r="D17" s="136"/>
      <c r="J17" s="1"/>
      <c r="P17" s="84" t="s">
        <v>195</v>
      </c>
      <c r="Q17" s="638">
        <v>58</v>
      </c>
      <c r="R17" s="59" t="s">
        <v>186</v>
      </c>
      <c r="S17" s="58" t="s">
        <v>196</v>
      </c>
      <c r="T17" s="68">
        <v>0</v>
      </c>
      <c r="U17" s="99" t="s">
        <v>61</v>
      </c>
      <c r="V17" s="58" t="s">
        <v>197</v>
      </c>
      <c r="W17" s="68">
        <v>1</v>
      </c>
      <c r="X17" s="99" t="s">
        <v>108</v>
      </c>
      <c r="AA17" s="137" t="s">
        <v>198</v>
      </c>
      <c r="AB17" s="138">
        <f>12.5*62</f>
        <v>775</v>
      </c>
      <c r="AC17" s="138"/>
      <c r="AD17" s="138"/>
      <c r="AE17" s="138"/>
      <c r="AF17" s="139"/>
      <c r="AH17" s="137" t="s">
        <v>198</v>
      </c>
      <c r="AI17" s="138">
        <f>12.5*62</f>
        <v>775</v>
      </c>
      <c r="AJ17" s="138"/>
      <c r="AK17" s="138"/>
      <c r="AL17" s="138"/>
      <c r="AM17" s="139"/>
    </row>
    <row r="18" spans="1:39" ht="15" thickBot="1">
      <c r="A18" s="135"/>
      <c r="B18" s="136"/>
      <c r="C18" s="136"/>
      <c r="D18" s="136"/>
      <c r="J18" s="1"/>
      <c r="P18" s="140" t="s">
        <v>199</v>
      </c>
      <c r="Q18" s="639">
        <v>10</v>
      </c>
      <c r="R18" s="142" t="s">
        <v>186</v>
      </c>
      <c r="S18" s="140" t="s">
        <v>200</v>
      </c>
      <c r="T18" s="141">
        <f>(E6*250+E7*500)/E8</f>
        <v>135.25641025641025</v>
      </c>
      <c r="U18" s="142"/>
      <c r="V18" s="140" t="s">
        <v>201</v>
      </c>
      <c r="W18" s="141">
        <f>119500+43500+114500</f>
        <v>277500</v>
      </c>
      <c r="X18" s="142"/>
    </row>
    <row r="19" spans="1:39" ht="30.75" customHeight="1" thickBot="1">
      <c r="A19" s="33" t="s">
        <v>202</v>
      </c>
      <c r="B19" s="34" t="s">
        <v>203</v>
      </c>
      <c r="C19" s="35" t="s">
        <v>204</v>
      </c>
      <c r="D19" s="34" t="s">
        <v>205</v>
      </c>
      <c r="E19" s="34" t="s">
        <v>206</v>
      </c>
      <c r="F19" s="34" t="s">
        <v>207</v>
      </c>
      <c r="G19" s="34" t="s">
        <v>1048</v>
      </c>
      <c r="H19" s="34" t="s">
        <v>209</v>
      </c>
      <c r="I19" s="35" t="s">
        <v>210</v>
      </c>
      <c r="J19" s="35" t="s">
        <v>211</v>
      </c>
      <c r="K19" s="34" t="s">
        <v>212</v>
      </c>
      <c r="L19" s="33" t="s">
        <v>119</v>
      </c>
      <c r="M19" s="36" t="s">
        <v>213</v>
      </c>
      <c r="N19" s="37"/>
      <c r="O19" s="37"/>
      <c r="P19" s="37"/>
      <c r="Q19" s="37"/>
      <c r="R19" s="37"/>
      <c r="S19" s="37"/>
      <c r="T19" s="37"/>
      <c r="U19" s="37"/>
      <c r="V19" s="37"/>
      <c r="W19" s="37"/>
      <c r="X19" s="37"/>
      <c r="Y19" s="37"/>
    </row>
    <row r="20" spans="1:39">
      <c r="A20" s="2" t="s">
        <v>214</v>
      </c>
      <c r="B20" s="143" t="s">
        <v>215</v>
      </c>
      <c r="C20" s="143"/>
      <c r="D20" s="143"/>
      <c r="E20" s="143"/>
      <c r="F20" s="143"/>
      <c r="G20" s="143"/>
      <c r="H20" s="144"/>
      <c r="I20" s="145"/>
      <c r="J20" s="146"/>
      <c r="K20" s="146"/>
      <c r="L20" s="69">
        <f>K21</f>
        <v>4080000.0000000005</v>
      </c>
      <c r="M20" s="45" t="s">
        <v>854</v>
      </c>
      <c r="N20" s="114"/>
      <c r="O20" s="114"/>
      <c r="P20" s="114"/>
      <c r="Q20" s="114"/>
      <c r="R20" s="114"/>
      <c r="S20" s="114"/>
      <c r="T20" s="114"/>
      <c r="U20" s="114"/>
      <c r="V20" s="114"/>
      <c r="W20" s="114"/>
      <c r="X20" s="114"/>
      <c r="Y20" s="114"/>
    </row>
    <row r="21" spans="1:39">
      <c r="A21" s="3" t="s">
        <v>214</v>
      </c>
      <c r="B21" s="60" t="s">
        <v>215</v>
      </c>
      <c r="C21" s="60" t="s">
        <v>216</v>
      </c>
      <c r="D21" s="60"/>
      <c r="E21" s="60"/>
      <c r="F21" s="60" t="s">
        <v>217</v>
      </c>
      <c r="G21" s="62">
        <f>$B$6</f>
        <v>26</v>
      </c>
      <c r="H21" s="195">
        <f>4080000/26</f>
        <v>156923.07692307694</v>
      </c>
      <c r="I21" s="148">
        <v>0</v>
      </c>
      <c r="J21" s="149">
        <f>H21*(1+I21)</f>
        <v>156923.07692307694</v>
      </c>
      <c r="K21" s="150">
        <f>J21*G21</f>
        <v>4080000.0000000005</v>
      </c>
      <c r="M21" s="45"/>
      <c r="N21" s="45"/>
      <c r="O21" s="45"/>
      <c r="P21" s="45"/>
      <c r="Q21" s="45"/>
      <c r="R21" s="45"/>
      <c r="S21" s="45"/>
      <c r="T21" s="45"/>
      <c r="U21" s="45"/>
      <c r="V21" s="45"/>
      <c r="W21" s="45"/>
      <c r="X21" s="45"/>
      <c r="Y21" s="45"/>
      <c r="AA21" s="358">
        <f>Q11*9</f>
        <v>234108</v>
      </c>
    </row>
    <row r="22" spans="1:39">
      <c r="A22" s="4" t="s">
        <v>219</v>
      </c>
      <c r="B22" s="151" t="s">
        <v>220</v>
      </c>
      <c r="C22" s="151"/>
      <c r="D22" s="151"/>
      <c r="E22" s="151"/>
      <c r="F22" s="151"/>
      <c r="G22" s="152"/>
      <c r="H22" s="153"/>
      <c r="I22" s="154"/>
      <c r="J22" s="155"/>
      <c r="K22" s="156"/>
      <c r="L22" s="70">
        <f>K23</f>
        <v>12000</v>
      </c>
      <c r="M22" s="45"/>
      <c r="N22" s="45"/>
      <c r="O22" s="45"/>
      <c r="P22" s="45"/>
      <c r="Q22" s="45"/>
      <c r="R22" s="45"/>
      <c r="S22" s="45"/>
      <c r="T22" s="45"/>
      <c r="U22" s="45"/>
      <c r="V22" s="45"/>
      <c r="W22" s="45"/>
      <c r="X22" s="45"/>
      <c r="Y22" s="45"/>
    </row>
    <row r="23" spans="1:39">
      <c r="A23" s="5" t="s">
        <v>221</v>
      </c>
      <c r="B23" s="65" t="s">
        <v>222</v>
      </c>
      <c r="C23" s="65" t="s">
        <v>216</v>
      </c>
      <c r="D23" s="65" t="s">
        <v>223</v>
      </c>
      <c r="E23" s="65" t="s">
        <v>73</v>
      </c>
      <c r="F23" s="65"/>
      <c r="G23" s="43">
        <v>1</v>
      </c>
      <c r="H23" s="64">
        <v>12000</v>
      </c>
      <c r="I23" s="157">
        <v>0</v>
      </c>
      <c r="J23" s="158">
        <f>H23*(1+I23)</f>
        <v>12000</v>
      </c>
      <c r="K23" s="159">
        <f>J23*G23</f>
        <v>12000</v>
      </c>
      <c r="M23" s="45"/>
      <c r="N23" s="45"/>
      <c r="O23" s="45"/>
      <c r="P23" s="45"/>
      <c r="Q23" s="45"/>
      <c r="R23" s="45"/>
      <c r="S23" s="45"/>
      <c r="T23" s="45"/>
      <c r="U23" s="45"/>
      <c r="V23" s="45"/>
      <c r="W23" s="45"/>
      <c r="X23" s="45"/>
      <c r="Y23" s="45"/>
    </row>
    <row r="24" spans="1:39">
      <c r="A24" s="4" t="s">
        <v>224</v>
      </c>
      <c r="B24" s="151" t="s">
        <v>225</v>
      </c>
      <c r="C24" s="151"/>
      <c r="D24" s="151"/>
      <c r="E24" s="151"/>
      <c r="F24" s="151"/>
      <c r="G24" s="152"/>
      <c r="H24" s="153"/>
      <c r="I24" s="154"/>
      <c r="J24" s="155"/>
      <c r="K24" s="156"/>
      <c r="L24" s="70">
        <f>SUM(K25:K34)</f>
        <v>2681833.9200000004</v>
      </c>
      <c r="M24" s="45"/>
      <c r="N24" s="45"/>
      <c r="O24" s="45"/>
      <c r="P24" s="45"/>
      <c r="Q24" s="45"/>
      <c r="R24" s="45"/>
      <c r="S24" s="45"/>
      <c r="T24" s="45"/>
      <c r="U24" s="45"/>
      <c r="V24" s="45"/>
      <c r="W24" s="45"/>
      <c r="X24" s="45"/>
      <c r="Y24" s="45"/>
      <c r="Z24" s="56"/>
    </row>
    <row r="25" spans="1:39">
      <c r="A25" s="6" t="s">
        <v>226</v>
      </c>
      <c r="B25" s="47" t="s">
        <v>227</v>
      </c>
      <c r="C25" s="47" t="s">
        <v>216</v>
      </c>
      <c r="D25" s="47" t="s">
        <v>228</v>
      </c>
      <c r="E25" s="47" t="s">
        <v>44</v>
      </c>
      <c r="F25" s="47" t="s">
        <v>61</v>
      </c>
      <c r="G25" s="42">
        <f>Q2</f>
        <v>149760</v>
      </c>
      <c r="H25" s="61">
        <v>11.99</v>
      </c>
      <c r="I25" s="63">
        <v>0</v>
      </c>
      <c r="J25" s="66">
        <f t="shared" ref="J25:J34" si="6">H25*(1+I25)</f>
        <v>11.99</v>
      </c>
      <c r="K25" s="594">
        <f t="shared" ref="K25:K34" si="7">J25*G25</f>
        <v>1795622.4000000001</v>
      </c>
      <c r="M25" s="45" t="s">
        <v>1090</v>
      </c>
      <c r="N25" s="45"/>
      <c r="O25" s="45"/>
      <c r="P25" s="45"/>
      <c r="Q25" s="45"/>
      <c r="R25" s="45"/>
      <c r="S25" s="45"/>
      <c r="T25" s="45"/>
      <c r="U25" s="45"/>
      <c r="V25" s="45"/>
      <c r="W25" s="45"/>
      <c r="X25" s="45"/>
      <c r="Y25" s="45"/>
      <c r="Z25" s="56"/>
    </row>
    <row r="26" spans="1:39">
      <c r="A26" s="7" t="s">
        <v>230</v>
      </c>
      <c r="B26" s="40" t="s">
        <v>227</v>
      </c>
      <c r="C26" s="40" t="s">
        <v>216</v>
      </c>
      <c r="D26" s="40" t="s">
        <v>228</v>
      </c>
      <c r="E26" s="40" t="s">
        <v>231</v>
      </c>
      <c r="F26" s="40"/>
      <c r="G26" s="38"/>
      <c r="H26" s="51"/>
      <c r="I26" s="53"/>
      <c r="J26" s="160">
        <f t="shared" si="6"/>
        <v>0</v>
      </c>
      <c r="K26" s="67">
        <f t="shared" si="7"/>
        <v>0</v>
      </c>
      <c r="M26" s="45"/>
      <c r="N26" s="45"/>
      <c r="O26" s="45"/>
      <c r="P26" s="45"/>
      <c r="Q26" s="45"/>
      <c r="R26" s="45"/>
      <c r="S26" s="45"/>
      <c r="T26" s="45"/>
      <c r="U26" s="45"/>
      <c r="V26" s="45"/>
      <c r="W26" s="45"/>
      <c r="X26" s="45"/>
      <c r="Y26" s="45"/>
      <c r="Z26" s="56"/>
    </row>
    <row r="27" spans="1:39">
      <c r="A27" s="7" t="s">
        <v>232</v>
      </c>
      <c r="B27" s="40" t="s">
        <v>227</v>
      </c>
      <c r="C27" s="40" t="s">
        <v>233</v>
      </c>
      <c r="D27" s="40" t="s">
        <v>228</v>
      </c>
      <c r="E27" s="60" t="s">
        <v>73</v>
      </c>
      <c r="F27" s="40" t="s">
        <v>71</v>
      </c>
      <c r="G27" s="38">
        <v>1</v>
      </c>
      <c r="H27" s="51">
        <f>2500*3</f>
        <v>7500</v>
      </c>
      <c r="I27" s="53">
        <v>0</v>
      </c>
      <c r="J27" s="160">
        <f t="shared" si="6"/>
        <v>7500</v>
      </c>
      <c r="K27" s="67">
        <f t="shared" si="7"/>
        <v>7500</v>
      </c>
      <c r="M27" s="45"/>
      <c r="N27" s="45"/>
      <c r="O27" s="45"/>
      <c r="P27" s="45"/>
      <c r="Q27" s="45"/>
      <c r="R27" s="45"/>
      <c r="S27" s="45"/>
      <c r="T27" s="45"/>
      <c r="U27" s="45"/>
      <c r="V27" s="45"/>
      <c r="W27" s="45"/>
      <c r="X27" s="45"/>
      <c r="Y27" s="45"/>
      <c r="Z27" s="56"/>
      <c r="AF27" s="55">
        <f>1800+1350+1350+360+900+360+900+1080+360+450</f>
        <v>8910</v>
      </c>
    </row>
    <row r="28" spans="1:39">
      <c r="A28" s="7" t="s">
        <v>234</v>
      </c>
      <c r="B28" s="40" t="s">
        <v>227</v>
      </c>
      <c r="C28" s="40" t="s">
        <v>216</v>
      </c>
      <c r="D28" s="40" t="s">
        <v>235</v>
      </c>
      <c r="E28" s="40" t="s">
        <v>44</v>
      </c>
      <c r="F28" s="60" t="s">
        <v>61</v>
      </c>
      <c r="G28" s="62">
        <v>300</v>
      </c>
      <c r="H28" s="51">
        <v>11.99</v>
      </c>
      <c r="I28" s="53"/>
      <c r="J28" s="160">
        <f t="shared" si="6"/>
        <v>11.99</v>
      </c>
      <c r="K28" s="67">
        <f t="shared" si="7"/>
        <v>3597</v>
      </c>
      <c r="M28" s="45"/>
      <c r="N28" s="45"/>
      <c r="O28" s="45"/>
      <c r="P28" s="45"/>
      <c r="Q28" s="45"/>
      <c r="R28" s="45"/>
      <c r="S28" s="45"/>
      <c r="T28" s="45"/>
      <c r="U28" s="45"/>
      <c r="V28" s="45"/>
      <c r="W28" s="45"/>
      <c r="X28" s="45"/>
      <c r="Y28" s="45"/>
      <c r="Z28" s="56"/>
    </row>
    <row r="29" spans="1:39">
      <c r="A29" s="7" t="s">
        <v>236</v>
      </c>
      <c r="B29" s="40" t="s">
        <v>237</v>
      </c>
      <c r="C29" s="40" t="s">
        <v>216</v>
      </c>
      <c r="D29" s="40" t="s">
        <v>238</v>
      </c>
      <c r="E29" s="40" t="s">
        <v>44</v>
      </c>
      <c r="F29" s="40" t="s">
        <v>108</v>
      </c>
      <c r="G29" s="38">
        <f>Q5</f>
        <v>14</v>
      </c>
      <c r="H29" s="51">
        <f>11031/4</f>
        <v>2757.75</v>
      </c>
      <c r="I29" s="53">
        <v>0</v>
      </c>
      <c r="J29" s="160">
        <f t="shared" si="6"/>
        <v>2757.75</v>
      </c>
      <c r="K29" s="67">
        <f t="shared" si="7"/>
        <v>38608.5</v>
      </c>
      <c r="M29" s="45"/>
      <c r="N29" s="45"/>
      <c r="O29" s="45"/>
      <c r="P29" s="45"/>
      <c r="Q29" s="45"/>
      <c r="R29" s="45"/>
      <c r="S29" s="45"/>
      <c r="T29" s="45"/>
      <c r="U29" s="45"/>
      <c r="V29" s="45"/>
      <c r="W29" s="45"/>
      <c r="X29" s="45"/>
      <c r="Y29" s="45"/>
      <c r="Z29" s="56"/>
    </row>
    <row r="30" spans="1:39" ht="15" thickBot="1">
      <c r="A30" s="7" t="s">
        <v>240</v>
      </c>
      <c r="B30" s="40" t="s">
        <v>241</v>
      </c>
      <c r="C30" s="40" t="s">
        <v>216</v>
      </c>
      <c r="D30" s="40" t="s">
        <v>242</v>
      </c>
      <c r="E30" s="40" t="s">
        <v>44</v>
      </c>
      <c r="F30" s="40" t="s">
        <v>71</v>
      </c>
      <c r="G30" s="38">
        <f>$Q$7</f>
        <v>1</v>
      </c>
      <c r="H30" s="51">
        <v>2500</v>
      </c>
      <c r="I30" s="53">
        <v>0</v>
      </c>
      <c r="J30" s="160">
        <f t="shared" si="6"/>
        <v>2500</v>
      </c>
      <c r="K30" s="67">
        <f t="shared" si="7"/>
        <v>2500</v>
      </c>
      <c r="M30" s="45"/>
      <c r="N30" s="45"/>
      <c r="O30" s="45"/>
      <c r="P30" s="45"/>
      <c r="Q30" s="45"/>
      <c r="R30" s="45"/>
      <c r="S30" s="45"/>
      <c r="T30" s="45"/>
      <c r="U30" s="45"/>
      <c r="V30" s="45"/>
      <c r="W30" s="45"/>
      <c r="X30" s="45"/>
      <c r="Y30" s="45"/>
      <c r="Z30" s="56"/>
      <c r="AE30" s="56"/>
      <c r="AF30" s="56"/>
      <c r="AG30" s="56"/>
      <c r="AH30" s="56"/>
      <c r="AI30" s="56"/>
    </row>
    <row r="31" spans="1:39">
      <c r="A31" s="7" t="s">
        <v>243</v>
      </c>
      <c r="B31" s="40" t="s">
        <v>244</v>
      </c>
      <c r="C31" s="40" t="s">
        <v>216</v>
      </c>
      <c r="D31" s="40" t="s">
        <v>242</v>
      </c>
      <c r="E31" s="40" t="s">
        <v>231</v>
      </c>
      <c r="F31" s="40"/>
      <c r="G31" s="38"/>
      <c r="H31" s="51"/>
      <c r="I31" s="53"/>
      <c r="J31" s="160">
        <f t="shared" si="6"/>
        <v>0</v>
      </c>
      <c r="K31" s="67">
        <f t="shared" si="7"/>
        <v>0</v>
      </c>
      <c r="M31" s="45"/>
      <c r="N31" s="45"/>
      <c r="O31" s="45"/>
      <c r="P31" s="45"/>
      <c r="Q31" s="45"/>
      <c r="R31" s="45"/>
      <c r="S31" s="45"/>
      <c r="T31" s="45"/>
      <c r="U31" s="45"/>
      <c r="V31" s="45"/>
      <c r="W31" s="45"/>
      <c r="X31" s="45"/>
      <c r="Y31" s="45"/>
      <c r="Z31" s="56"/>
      <c r="AA31" s="161" t="s">
        <v>245</v>
      </c>
      <c r="AB31" s="91"/>
      <c r="AC31" s="91"/>
      <c r="AD31" s="162" t="s">
        <v>246</v>
      </c>
      <c r="AE31" s="163" t="s">
        <v>40</v>
      </c>
      <c r="AF31" s="163" t="s">
        <v>41</v>
      </c>
      <c r="AG31" s="163" t="s">
        <v>43</v>
      </c>
      <c r="AH31" s="163" t="s">
        <v>45</v>
      </c>
      <c r="AI31" s="163" t="s">
        <v>247</v>
      </c>
      <c r="AJ31" s="164"/>
    </row>
    <row r="32" spans="1:39">
      <c r="A32" s="7" t="s">
        <v>248</v>
      </c>
      <c r="B32" s="40" t="s">
        <v>249</v>
      </c>
      <c r="C32" s="40" t="s">
        <v>216</v>
      </c>
      <c r="D32" s="40" t="s">
        <v>250</v>
      </c>
      <c r="E32" s="40" t="s">
        <v>231</v>
      </c>
      <c r="F32" s="40"/>
      <c r="G32" s="38"/>
      <c r="H32" s="51"/>
      <c r="I32" s="53"/>
      <c r="J32" s="160">
        <f t="shared" si="6"/>
        <v>0</v>
      </c>
      <c r="K32" s="67">
        <f t="shared" si="7"/>
        <v>0</v>
      </c>
      <c r="M32" s="45"/>
      <c r="N32" s="45"/>
      <c r="O32" s="45"/>
      <c r="P32" s="45"/>
      <c r="Q32" s="45"/>
      <c r="R32" s="45"/>
      <c r="S32" s="45"/>
      <c r="T32" s="45"/>
      <c r="U32" s="45"/>
      <c r="V32" s="45"/>
      <c r="W32" s="45"/>
      <c r="X32" s="45"/>
      <c r="Y32" s="45"/>
      <c r="Z32" s="56"/>
      <c r="AA32" s="95"/>
      <c r="AB32" s="55" t="s">
        <v>251</v>
      </c>
      <c r="AD32" s="55">
        <f>(21+15)</f>
        <v>36</v>
      </c>
      <c r="AE32" s="55">
        <f>AD32*7*2</f>
        <v>504</v>
      </c>
      <c r="AF32" s="55">
        <f>AD32*2</f>
        <v>72</v>
      </c>
      <c r="AG32" s="55">
        <f>AD32*7</f>
        <v>252</v>
      </c>
      <c r="AH32" s="55">
        <v>500</v>
      </c>
      <c r="AI32" s="55">
        <v>0</v>
      </c>
      <c r="AJ32" s="96"/>
    </row>
    <row r="33" spans="1:36">
      <c r="A33" s="7" t="s">
        <v>252</v>
      </c>
      <c r="B33" s="40" t="s">
        <v>253</v>
      </c>
      <c r="C33" s="40" t="s">
        <v>216</v>
      </c>
      <c r="D33" s="40" t="s">
        <v>228</v>
      </c>
      <c r="E33" s="40" t="s">
        <v>44</v>
      </c>
      <c r="F33" s="40" t="s">
        <v>61</v>
      </c>
      <c r="G33" s="38">
        <f>T8</f>
        <v>261711</v>
      </c>
      <c r="H33" s="51">
        <v>2.94</v>
      </c>
      <c r="I33" s="53">
        <v>0</v>
      </c>
      <c r="J33" s="160">
        <f t="shared" si="6"/>
        <v>2.94</v>
      </c>
      <c r="K33" s="594">
        <f t="shared" si="7"/>
        <v>769430.34</v>
      </c>
      <c r="M33" s="45"/>
      <c r="N33" s="45"/>
      <c r="O33" s="45"/>
      <c r="P33" s="45"/>
      <c r="Q33" s="45"/>
      <c r="R33" s="45"/>
      <c r="S33" s="45"/>
      <c r="T33" s="45"/>
      <c r="U33" s="45"/>
      <c r="V33" s="45"/>
      <c r="W33" s="45"/>
      <c r="X33" s="45"/>
      <c r="Y33" s="45"/>
      <c r="Z33" s="56"/>
      <c r="AA33" s="95"/>
      <c r="AB33" s="55" t="s">
        <v>255</v>
      </c>
      <c r="AD33" s="55">
        <v>13</v>
      </c>
      <c r="AE33" s="55">
        <f>AD33*10*2</f>
        <v>260</v>
      </c>
      <c r="AF33" s="165" t="s">
        <v>231</v>
      </c>
      <c r="AG33" s="55">
        <f>AD33*8</f>
        <v>104</v>
      </c>
      <c r="AH33" s="55">
        <f>AD33*8</f>
        <v>104</v>
      </c>
      <c r="AI33" s="165" t="s">
        <v>231</v>
      </c>
      <c r="AJ33" s="96"/>
    </row>
    <row r="34" spans="1:36">
      <c r="A34" s="8" t="s">
        <v>256</v>
      </c>
      <c r="B34" s="166" t="s">
        <v>257</v>
      </c>
      <c r="C34" s="166" t="s">
        <v>216</v>
      </c>
      <c r="D34" s="166" t="s">
        <v>228</v>
      </c>
      <c r="E34" s="166" t="s">
        <v>44</v>
      </c>
      <c r="F34" s="166" t="s">
        <v>61</v>
      </c>
      <c r="G34" s="39">
        <f>SUM($T$6:$T$7)</f>
        <v>3268</v>
      </c>
      <c r="H34" s="167">
        <v>19.760000000000002</v>
      </c>
      <c r="I34" s="168">
        <v>0</v>
      </c>
      <c r="J34" s="169">
        <f t="shared" si="6"/>
        <v>19.760000000000002</v>
      </c>
      <c r="K34" s="159">
        <f t="shared" si="7"/>
        <v>64575.680000000008</v>
      </c>
      <c r="L34" s="71"/>
      <c r="M34" s="45"/>
      <c r="N34" s="45"/>
      <c r="O34" s="45"/>
      <c r="P34" s="45"/>
      <c r="Q34" s="45"/>
      <c r="R34" s="45"/>
      <c r="S34" s="45"/>
      <c r="T34" s="45"/>
      <c r="U34" s="45"/>
      <c r="V34" s="45"/>
      <c r="W34" s="45"/>
      <c r="X34" s="45"/>
      <c r="Y34" s="45"/>
      <c r="Z34" s="56"/>
      <c r="AA34" s="95"/>
      <c r="AB34" s="55" t="s">
        <v>258</v>
      </c>
      <c r="AD34" s="55">
        <v>8</v>
      </c>
      <c r="AE34" s="55">
        <f>AD34*52</f>
        <v>416</v>
      </c>
      <c r="AF34" s="55">
        <f>AD34*12</f>
        <v>96</v>
      </c>
      <c r="AG34" s="55">
        <f>AD34*28</f>
        <v>224</v>
      </c>
      <c r="AH34" s="55">
        <v>400</v>
      </c>
      <c r="AI34" s="55">
        <v>0</v>
      </c>
      <c r="AJ34" s="96"/>
    </row>
    <row r="35" spans="1:36" ht="15" thickBot="1">
      <c r="A35" s="4" t="s">
        <v>259</v>
      </c>
      <c r="B35" s="151" t="s">
        <v>260</v>
      </c>
      <c r="C35" s="151"/>
      <c r="D35" s="151"/>
      <c r="E35" s="151"/>
      <c r="F35" s="151"/>
      <c r="G35" s="152"/>
      <c r="H35" s="153"/>
      <c r="I35" s="154"/>
      <c r="J35" s="155"/>
      <c r="K35" s="156"/>
      <c r="L35" s="70">
        <f>SUM(K36:K43)</f>
        <v>0</v>
      </c>
      <c r="M35" s="45"/>
      <c r="N35" s="45"/>
      <c r="O35" s="45"/>
      <c r="P35" s="45"/>
      <c r="Q35" s="45"/>
      <c r="R35" s="45"/>
      <c r="S35" s="45"/>
      <c r="T35" s="45"/>
      <c r="U35" s="45"/>
      <c r="V35" s="45"/>
      <c r="W35" s="45"/>
      <c r="X35" s="45"/>
      <c r="Y35" s="45"/>
      <c r="Z35" s="56"/>
      <c r="AA35" s="137"/>
      <c r="AB35" s="138"/>
      <c r="AC35" s="138"/>
      <c r="AD35" s="138"/>
      <c r="AE35" s="170">
        <f>SUM(AE32:AE34)</f>
        <v>1180</v>
      </c>
      <c r="AF35" s="170">
        <f t="shared" ref="AF35:AI35" si="8">SUM(AF32:AF34)</f>
        <v>168</v>
      </c>
      <c r="AG35" s="170">
        <f t="shared" si="8"/>
        <v>580</v>
      </c>
      <c r="AH35" s="170">
        <f t="shared" si="8"/>
        <v>1004</v>
      </c>
      <c r="AI35" s="170">
        <f t="shared" si="8"/>
        <v>0</v>
      </c>
      <c r="AJ35" s="171">
        <f>SUM(AE35:AI35)</f>
        <v>2932</v>
      </c>
    </row>
    <row r="36" spans="1:36" ht="15" thickBot="1">
      <c r="A36" s="6" t="s">
        <v>261</v>
      </c>
      <c r="B36" s="47"/>
      <c r="C36" s="47" t="s">
        <v>216</v>
      </c>
      <c r="D36" s="47"/>
      <c r="E36" s="47" t="s">
        <v>231</v>
      </c>
      <c r="F36" s="47"/>
      <c r="G36" s="42">
        <v>0</v>
      </c>
      <c r="H36" s="61">
        <v>1</v>
      </c>
      <c r="I36" s="63"/>
      <c r="J36" s="66">
        <v>0</v>
      </c>
      <c r="K36" s="67">
        <f t="shared" ref="K36:K43" si="9">J36*G36</f>
        <v>0</v>
      </c>
      <c r="M36" s="45"/>
      <c r="N36" s="45"/>
      <c r="O36" s="45"/>
      <c r="P36" s="45"/>
      <c r="Q36" s="45"/>
      <c r="R36" s="45"/>
      <c r="S36" s="45"/>
      <c r="T36" s="45"/>
      <c r="U36" s="45"/>
      <c r="V36" s="45"/>
      <c r="W36" s="45"/>
      <c r="X36" s="45"/>
      <c r="Y36" s="45"/>
      <c r="Z36" s="56"/>
    </row>
    <row r="37" spans="1:36">
      <c r="A37" s="7" t="s">
        <v>262</v>
      </c>
      <c r="B37" s="40"/>
      <c r="C37" s="40" t="s">
        <v>216</v>
      </c>
      <c r="D37" s="40"/>
      <c r="E37" s="40" t="s">
        <v>231</v>
      </c>
      <c r="F37" s="40"/>
      <c r="G37" s="38"/>
      <c r="H37" s="51"/>
      <c r="I37" s="53"/>
      <c r="J37" s="160">
        <f t="shared" ref="J37:J43" si="10">H37*(1+I37)</f>
        <v>0</v>
      </c>
      <c r="K37" s="67">
        <f t="shared" si="9"/>
        <v>0</v>
      </c>
      <c r="M37" s="45"/>
      <c r="N37" s="45"/>
      <c r="O37" s="45"/>
      <c r="P37" s="45"/>
      <c r="Q37" s="45"/>
      <c r="R37" s="45"/>
      <c r="S37" s="45"/>
      <c r="T37" s="45"/>
      <c r="U37" s="45"/>
      <c r="V37" s="45"/>
      <c r="W37" s="45"/>
      <c r="X37" s="45"/>
      <c r="Y37" s="45"/>
      <c r="Z37" s="56"/>
      <c r="AA37" s="161" t="s">
        <v>0</v>
      </c>
      <c r="AB37" s="91"/>
      <c r="AC37" s="91"/>
      <c r="AD37" s="162"/>
      <c r="AE37" s="163" t="s">
        <v>40</v>
      </c>
      <c r="AF37" s="163" t="s">
        <v>41</v>
      </c>
      <c r="AG37" s="163" t="s">
        <v>43</v>
      </c>
      <c r="AH37" s="163" t="s">
        <v>45</v>
      </c>
      <c r="AI37" s="163" t="s">
        <v>247</v>
      </c>
      <c r="AJ37" s="92"/>
    </row>
    <row r="38" spans="1:36">
      <c r="A38" s="7" t="s">
        <v>263</v>
      </c>
      <c r="B38" s="40"/>
      <c r="C38" s="40" t="s">
        <v>216</v>
      </c>
      <c r="D38" s="40"/>
      <c r="E38" s="40" t="s">
        <v>231</v>
      </c>
      <c r="F38" s="40"/>
      <c r="G38" s="38"/>
      <c r="H38" s="51"/>
      <c r="I38" s="53"/>
      <c r="J38" s="160">
        <f t="shared" si="10"/>
        <v>0</v>
      </c>
      <c r="K38" s="67">
        <f t="shared" si="9"/>
        <v>0</v>
      </c>
      <c r="M38" s="45"/>
      <c r="N38" s="45"/>
      <c r="O38" s="45"/>
      <c r="P38" s="45"/>
      <c r="Q38" s="45"/>
      <c r="R38" s="45"/>
      <c r="S38" s="45"/>
      <c r="T38" s="45"/>
      <c r="U38" s="45"/>
      <c r="V38" s="45"/>
      <c r="W38" s="45"/>
      <c r="X38" s="45"/>
      <c r="Y38" s="45"/>
      <c r="Z38" s="56"/>
      <c r="AA38" s="95"/>
      <c r="AB38" s="55" t="s">
        <v>38</v>
      </c>
      <c r="AD38" s="55" t="s">
        <v>61</v>
      </c>
      <c r="AE38" s="55">
        <f>62029-860-2726</f>
        <v>58443</v>
      </c>
      <c r="AF38" s="55">
        <f>12359-669</f>
        <v>11690</v>
      </c>
      <c r="AG38" s="55">
        <f>64481-860-2888</f>
        <v>60733</v>
      </c>
      <c r="AH38" s="55">
        <f>12359-669</f>
        <v>11690</v>
      </c>
      <c r="AI38" s="55">
        <v>0</v>
      </c>
      <c r="AJ38" s="96"/>
    </row>
    <row r="39" spans="1:36">
      <c r="A39" s="7" t="s">
        <v>264</v>
      </c>
      <c r="B39" s="40"/>
      <c r="C39" s="40" t="s">
        <v>216</v>
      </c>
      <c r="D39" s="40"/>
      <c r="E39" s="40" t="s">
        <v>231</v>
      </c>
      <c r="F39" s="40"/>
      <c r="G39" s="38"/>
      <c r="H39" s="51"/>
      <c r="I39" s="53"/>
      <c r="J39" s="160">
        <f t="shared" si="10"/>
        <v>0</v>
      </c>
      <c r="K39" s="67">
        <f t="shared" si="9"/>
        <v>0</v>
      </c>
      <c r="M39" s="45"/>
      <c r="N39" s="45"/>
      <c r="O39" s="45"/>
      <c r="P39" s="45"/>
      <c r="Q39" s="45"/>
      <c r="R39" s="45"/>
      <c r="S39" s="45"/>
      <c r="T39" s="45"/>
      <c r="U39" s="45"/>
      <c r="V39" s="45"/>
      <c r="W39" s="45"/>
      <c r="X39" s="45"/>
      <c r="Y39" s="45"/>
      <c r="Z39" s="56"/>
      <c r="AA39" s="95"/>
      <c r="AB39" s="55" t="s">
        <v>39</v>
      </c>
      <c r="AD39" s="55" t="s">
        <v>61</v>
      </c>
      <c r="AE39" s="55">
        <f>62109-860-2827</f>
        <v>58422</v>
      </c>
      <c r="AF39" s="165" t="s">
        <v>231</v>
      </c>
      <c r="AG39" s="165">
        <v>60733</v>
      </c>
      <c r="AH39" s="165" t="s">
        <v>231</v>
      </c>
      <c r="AI39" s="165">
        <v>0</v>
      </c>
      <c r="AJ39" s="96"/>
    </row>
    <row r="40" spans="1:36" ht="15" thickBot="1">
      <c r="A40" s="7" t="s">
        <v>265</v>
      </c>
      <c r="B40" s="40"/>
      <c r="C40" s="40" t="s">
        <v>216</v>
      </c>
      <c r="D40" s="40"/>
      <c r="E40" s="40" t="s">
        <v>231</v>
      </c>
      <c r="F40" s="40"/>
      <c r="G40" s="38"/>
      <c r="H40" s="51"/>
      <c r="I40" s="53"/>
      <c r="J40" s="160">
        <f t="shared" si="10"/>
        <v>0</v>
      </c>
      <c r="K40" s="67">
        <f t="shared" si="9"/>
        <v>0</v>
      </c>
      <c r="M40" s="45"/>
      <c r="N40" s="45"/>
      <c r="O40" s="45"/>
      <c r="P40" s="45"/>
      <c r="Q40" s="45"/>
      <c r="R40" s="45"/>
      <c r="S40" s="45"/>
      <c r="T40" s="45"/>
      <c r="U40" s="45"/>
      <c r="V40" s="45"/>
      <c r="W40" s="45"/>
      <c r="X40" s="45"/>
      <c r="Y40" s="45"/>
      <c r="Z40" s="56"/>
      <c r="AA40" s="137"/>
      <c r="AB40" s="138" t="s">
        <v>119</v>
      </c>
      <c r="AC40" s="138"/>
      <c r="AD40" s="138" t="s">
        <v>61</v>
      </c>
      <c r="AE40" s="170">
        <f>SUM(AE38:AE39)</f>
        <v>116865</v>
      </c>
      <c r="AF40" s="170">
        <f t="shared" ref="AF40:AI40" si="11">SUM(AF38:AF39)</f>
        <v>11690</v>
      </c>
      <c r="AG40" s="170">
        <f t="shared" si="11"/>
        <v>121466</v>
      </c>
      <c r="AH40" s="170">
        <f t="shared" si="11"/>
        <v>11690</v>
      </c>
      <c r="AI40" s="170">
        <f t="shared" si="11"/>
        <v>0</v>
      </c>
      <c r="AJ40" s="171">
        <f>SUM(AE40:AI40)</f>
        <v>261711</v>
      </c>
    </row>
    <row r="41" spans="1:36">
      <c r="A41" s="7" t="s">
        <v>266</v>
      </c>
      <c r="B41" s="40"/>
      <c r="C41" s="40" t="s">
        <v>216</v>
      </c>
      <c r="D41" s="40"/>
      <c r="E41" s="40" t="s">
        <v>231</v>
      </c>
      <c r="F41" s="40"/>
      <c r="G41" s="38"/>
      <c r="H41" s="51"/>
      <c r="I41" s="53"/>
      <c r="J41" s="160">
        <f t="shared" si="10"/>
        <v>0</v>
      </c>
      <c r="K41" s="67">
        <f t="shared" si="9"/>
        <v>0</v>
      </c>
      <c r="M41" s="45"/>
      <c r="N41" s="45"/>
      <c r="O41" s="45"/>
      <c r="P41" s="45"/>
      <c r="Q41" s="45"/>
      <c r="R41" s="45"/>
      <c r="S41" s="45"/>
      <c r="T41" s="45"/>
      <c r="U41" s="45"/>
      <c r="V41" s="45"/>
      <c r="W41" s="45"/>
      <c r="X41" s="45"/>
      <c r="Y41" s="45"/>
      <c r="Z41" s="56"/>
    </row>
    <row r="42" spans="1:36">
      <c r="A42" s="7" t="s">
        <v>267</v>
      </c>
      <c r="B42" s="40"/>
      <c r="C42" s="40" t="s">
        <v>216</v>
      </c>
      <c r="D42" s="40"/>
      <c r="E42" s="40" t="s">
        <v>231</v>
      </c>
      <c r="F42" s="40"/>
      <c r="G42" s="38"/>
      <c r="H42" s="51"/>
      <c r="I42" s="53"/>
      <c r="J42" s="160">
        <f t="shared" si="10"/>
        <v>0</v>
      </c>
      <c r="K42" s="67">
        <f t="shared" si="9"/>
        <v>0</v>
      </c>
      <c r="M42" s="45"/>
      <c r="N42" s="45"/>
      <c r="O42" s="45"/>
      <c r="P42" s="45"/>
      <c r="Q42" s="45"/>
      <c r="R42" s="45"/>
      <c r="S42" s="45"/>
      <c r="T42" s="45"/>
      <c r="U42" s="45"/>
      <c r="V42" s="45"/>
      <c r="W42" s="45"/>
      <c r="X42" s="45"/>
      <c r="Y42" s="45"/>
      <c r="Z42" s="56"/>
    </row>
    <row r="43" spans="1:36">
      <c r="A43" s="8" t="s">
        <v>268</v>
      </c>
      <c r="B43" s="166"/>
      <c r="C43" s="166" t="s">
        <v>216</v>
      </c>
      <c r="D43" s="166"/>
      <c r="E43" s="166" t="s">
        <v>231</v>
      </c>
      <c r="F43" s="166"/>
      <c r="G43" s="39"/>
      <c r="H43" s="167"/>
      <c r="I43" s="168"/>
      <c r="J43" s="169">
        <f t="shared" si="10"/>
        <v>0</v>
      </c>
      <c r="K43" s="159">
        <f t="shared" si="9"/>
        <v>0</v>
      </c>
      <c r="M43" s="45"/>
      <c r="N43" s="45"/>
      <c r="O43" s="45"/>
      <c r="P43" s="45"/>
      <c r="Q43" s="45"/>
      <c r="R43" s="45"/>
      <c r="S43" s="45"/>
      <c r="T43" s="45"/>
      <c r="U43" s="45"/>
      <c r="V43" s="45"/>
      <c r="W43" s="45"/>
      <c r="X43" s="45"/>
      <c r="Y43" s="45"/>
      <c r="Z43" s="56"/>
    </row>
    <row r="44" spans="1:36">
      <c r="A44" s="4" t="s">
        <v>269</v>
      </c>
      <c r="B44" s="151" t="s">
        <v>270</v>
      </c>
      <c r="C44" s="151"/>
      <c r="D44" s="151"/>
      <c r="E44" s="151"/>
      <c r="F44" s="151"/>
      <c r="G44" s="152"/>
      <c r="H44" s="153"/>
      <c r="I44" s="154"/>
      <c r="J44" s="153"/>
      <c r="K44" s="172"/>
      <c r="L44" s="70">
        <f>SUM(K45:K49)</f>
        <v>208800</v>
      </c>
      <c r="M44" s="45"/>
      <c r="N44" s="45"/>
      <c r="O44" s="45"/>
      <c r="P44" s="45"/>
      <c r="Q44" s="45"/>
      <c r="R44" s="45"/>
      <c r="S44" s="45"/>
      <c r="T44" s="45"/>
      <c r="U44" s="45"/>
      <c r="V44" s="45"/>
      <c r="W44" s="45"/>
      <c r="X44" s="45"/>
      <c r="Y44" s="45"/>
      <c r="Z44" s="56"/>
    </row>
    <row r="45" spans="1:36">
      <c r="A45" s="6" t="s">
        <v>271</v>
      </c>
      <c r="B45" s="47" t="s">
        <v>272</v>
      </c>
      <c r="C45" s="47" t="s">
        <v>216</v>
      </c>
      <c r="D45" s="47" t="s">
        <v>228</v>
      </c>
      <c r="E45" s="47" t="s">
        <v>44</v>
      </c>
      <c r="F45" s="47" t="s">
        <v>273</v>
      </c>
      <c r="G45" s="42">
        <f>Q4</f>
        <v>12</v>
      </c>
      <c r="H45" s="61">
        <v>9500</v>
      </c>
      <c r="I45" s="63">
        <v>0</v>
      </c>
      <c r="J45" s="66">
        <f t="shared" ref="J45:J49" si="12">H45*(1+I45)</f>
        <v>9500</v>
      </c>
      <c r="K45" s="594">
        <f t="shared" ref="K45:K49" si="13">J45*G45</f>
        <v>114000</v>
      </c>
      <c r="M45" s="45"/>
      <c r="N45" s="45"/>
      <c r="O45" s="45"/>
      <c r="P45" s="45"/>
      <c r="Q45" s="45"/>
      <c r="R45" s="45"/>
      <c r="S45" s="45"/>
      <c r="T45" s="45"/>
      <c r="U45" s="45"/>
      <c r="V45" s="45"/>
      <c r="W45" s="45"/>
      <c r="X45" s="45"/>
      <c r="Y45" s="45"/>
      <c r="Z45" s="56"/>
    </row>
    <row r="46" spans="1:36">
      <c r="A46" s="7" t="s">
        <v>275</v>
      </c>
      <c r="B46" s="40" t="s">
        <v>276</v>
      </c>
      <c r="C46" s="40" t="s">
        <v>216</v>
      </c>
      <c r="D46" s="40" t="s">
        <v>238</v>
      </c>
      <c r="E46" s="40" t="s">
        <v>44</v>
      </c>
      <c r="F46" s="40" t="s">
        <v>108</v>
      </c>
      <c r="G46" s="38">
        <f>$Q$5</f>
        <v>14</v>
      </c>
      <c r="H46" s="51">
        <v>5700</v>
      </c>
      <c r="I46" s="53">
        <v>0</v>
      </c>
      <c r="J46" s="160">
        <f t="shared" si="12"/>
        <v>5700</v>
      </c>
      <c r="K46" s="67">
        <f t="shared" si="13"/>
        <v>79800</v>
      </c>
      <c r="M46" s="45"/>
      <c r="N46" s="45"/>
      <c r="O46" s="45"/>
      <c r="P46" s="45"/>
      <c r="Q46" s="45"/>
      <c r="R46" s="45"/>
      <c r="S46" s="45"/>
      <c r="T46" s="45"/>
      <c r="U46" s="45"/>
      <c r="V46" s="45"/>
      <c r="W46" s="45"/>
      <c r="X46" s="45"/>
      <c r="Y46" s="45"/>
      <c r="Z46" s="56"/>
    </row>
    <row r="47" spans="1:36">
      <c r="A47" s="7" t="s">
        <v>277</v>
      </c>
      <c r="B47" s="40" t="s">
        <v>278</v>
      </c>
      <c r="C47" s="40" t="s">
        <v>216</v>
      </c>
      <c r="D47" s="40" t="s">
        <v>223</v>
      </c>
      <c r="E47" s="40" t="s">
        <v>231</v>
      </c>
      <c r="F47" s="40"/>
      <c r="G47" s="38"/>
      <c r="H47" s="51"/>
      <c r="I47" s="53"/>
      <c r="J47" s="160">
        <f t="shared" si="12"/>
        <v>0</v>
      </c>
      <c r="K47" s="67">
        <f t="shared" si="13"/>
        <v>0</v>
      </c>
      <c r="M47" s="45"/>
      <c r="N47" s="45"/>
      <c r="O47" s="45"/>
      <c r="P47" s="45"/>
      <c r="Q47" s="45"/>
      <c r="R47" s="45"/>
      <c r="S47" s="45"/>
      <c r="T47" s="45"/>
      <c r="U47" s="45"/>
      <c r="V47" s="45"/>
      <c r="W47" s="45"/>
      <c r="X47" s="45"/>
      <c r="Y47" s="45"/>
      <c r="Z47" s="56"/>
    </row>
    <row r="48" spans="1:36">
      <c r="A48" s="7" t="s">
        <v>279</v>
      </c>
      <c r="B48" s="40" t="s">
        <v>280</v>
      </c>
      <c r="C48" s="40" t="s">
        <v>216</v>
      </c>
      <c r="D48" s="40" t="s">
        <v>242</v>
      </c>
      <c r="E48" s="40" t="s">
        <v>555</v>
      </c>
      <c r="F48" s="40" t="s">
        <v>71</v>
      </c>
      <c r="G48" s="38">
        <f>$Q$7</f>
        <v>1</v>
      </c>
      <c r="H48" s="51">
        <v>6000</v>
      </c>
      <c r="I48" s="53">
        <v>0</v>
      </c>
      <c r="J48" s="160">
        <f t="shared" si="12"/>
        <v>6000</v>
      </c>
      <c r="K48" s="67">
        <f t="shared" si="13"/>
        <v>6000</v>
      </c>
      <c r="M48" s="45"/>
      <c r="N48" s="45"/>
      <c r="O48" s="45"/>
      <c r="P48" s="45"/>
      <c r="Q48" s="45"/>
      <c r="R48" s="45"/>
      <c r="S48" s="45"/>
      <c r="T48" s="45"/>
      <c r="U48" s="45"/>
      <c r="V48" s="45"/>
      <c r="W48" s="45"/>
      <c r="X48" s="45"/>
      <c r="Y48" s="45"/>
      <c r="Z48" s="56"/>
    </row>
    <row r="49" spans="1:26">
      <c r="A49" s="7" t="s">
        <v>281</v>
      </c>
      <c r="B49" s="40" t="s">
        <v>282</v>
      </c>
      <c r="C49" s="40" t="s">
        <v>283</v>
      </c>
      <c r="D49" s="40" t="s">
        <v>250</v>
      </c>
      <c r="E49" s="40" t="s">
        <v>44</v>
      </c>
      <c r="F49" s="40" t="s">
        <v>71</v>
      </c>
      <c r="G49" s="38">
        <f>$Q$7</f>
        <v>1</v>
      </c>
      <c r="H49" s="51">
        <v>9000</v>
      </c>
      <c r="I49" s="53">
        <v>0</v>
      </c>
      <c r="J49" s="160">
        <f t="shared" si="12"/>
        <v>9000</v>
      </c>
      <c r="K49" s="67">
        <f t="shared" si="13"/>
        <v>9000</v>
      </c>
      <c r="M49" s="45"/>
      <c r="N49" s="45"/>
      <c r="O49" s="45"/>
      <c r="P49" s="45"/>
      <c r="Q49" s="45"/>
      <c r="R49" s="45"/>
      <c r="S49" s="45"/>
      <c r="T49" s="45"/>
      <c r="U49" s="45"/>
      <c r="V49" s="45"/>
      <c r="W49" s="45"/>
      <c r="X49" s="45"/>
      <c r="Y49" s="45"/>
      <c r="Z49" s="56"/>
    </row>
    <row r="50" spans="1:26">
      <c r="A50" s="4" t="s">
        <v>284</v>
      </c>
      <c r="B50" s="151" t="s">
        <v>285</v>
      </c>
      <c r="C50" s="151"/>
      <c r="D50" s="151"/>
      <c r="E50" s="151"/>
      <c r="F50" s="151"/>
      <c r="G50" s="152"/>
      <c r="H50" s="153"/>
      <c r="I50" s="154"/>
      <c r="J50" s="153"/>
      <c r="K50" s="172"/>
      <c r="L50" s="70">
        <f>SUM(K51:K58)</f>
        <v>500854</v>
      </c>
      <c r="M50" s="45"/>
      <c r="N50" s="45"/>
      <c r="O50" s="45"/>
      <c r="P50" s="45"/>
      <c r="Q50" s="45"/>
      <c r="R50" s="45"/>
      <c r="S50" s="45"/>
      <c r="T50" s="45"/>
      <c r="U50" s="45"/>
      <c r="V50" s="45"/>
      <c r="W50" s="45"/>
      <c r="X50" s="45"/>
      <c r="Y50" s="45"/>
      <c r="Z50" s="56"/>
    </row>
    <row r="51" spans="1:26">
      <c r="A51" s="6" t="s">
        <v>286</v>
      </c>
      <c r="B51" s="47" t="s">
        <v>287</v>
      </c>
      <c r="C51" s="47" t="s">
        <v>216</v>
      </c>
      <c r="D51" s="47" t="s">
        <v>228</v>
      </c>
      <c r="E51" s="47" t="s">
        <v>73</v>
      </c>
      <c r="F51" s="47" t="s">
        <v>71</v>
      </c>
      <c r="G51" s="42">
        <v>1</v>
      </c>
      <c r="H51" s="61">
        <v>125000</v>
      </c>
      <c r="I51" s="63">
        <v>0</v>
      </c>
      <c r="J51" s="66">
        <f t="shared" ref="J51:J58" si="14">H51*(1+I51)</f>
        <v>125000</v>
      </c>
      <c r="K51" s="67">
        <f t="shared" ref="K51:K58" si="15">J51*G51</f>
        <v>125000</v>
      </c>
      <c r="M51" s="45" t="s">
        <v>1091</v>
      </c>
      <c r="N51" s="45"/>
      <c r="O51" s="45"/>
      <c r="P51" s="45"/>
      <c r="Q51" s="45"/>
      <c r="R51" s="45"/>
      <c r="S51" s="45"/>
      <c r="T51" s="45"/>
      <c r="U51" s="45"/>
      <c r="V51" s="45"/>
      <c r="W51" s="45"/>
      <c r="X51" s="45"/>
      <c r="Y51" s="45"/>
      <c r="Z51" s="56"/>
    </row>
    <row r="52" spans="1:26">
      <c r="A52" s="7" t="s">
        <v>289</v>
      </c>
      <c r="B52" s="40" t="s">
        <v>290</v>
      </c>
      <c r="C52" s="40" t="s">
        <v>216</v>
      </c>
      <c r="D52" s="40" t="s">
        <v>228</v>
      </c>
      <c r="E52" s="40" t="s">
        <v>44</v>
      </c>
      <c r="F52" s="40" t="s">
        <v>108</v>
      </c>
      <c r="G52" s="38">
        <f>$Q$3</f>
        <v>4</v>
      </c>
      <c r="H52" s="51">
        <v>4040</v>
      </c>
      <c r="I52" s="53">
        <v>0</v>
      </c>
      <c r="J52" s="66">
        <f t="shared" si="14"/>
        <v>4040</v>
      </c>
      <c r="K52" s="67">
        <f t="shared" si="15"/>
        <v>16160</v>
      </c>
      <c r="M52" s="45"/>
      <c r="N52" s="45"/>
      <c r="O52" s="45"/>
      <c r="P52" s="45"/>
      <c r="Q52" s="45"/>
      <c r="R52" s="45"/>
      <c r="S52" s="45"/>
      <c r="T52" s="45"/>
      <c r="U52" s="45"/>
      <c r="V52" s="45"/>
      <c r="W52" s="45"/>
      <c r="X52" s="45"/>
      <c r="Y52" s="45"/>
      <c r="Z52" s="56"/>
    </row>
    <row r="53" spans="1:26">
      <c r="A53" s="7" t="s">
        <v>291</v>
      </c>
      <c r="B53" s="40" t="s">
        <v>292</v>
      </c>
      <c r="C53" s="40" t="s">
        <v>216</v>
      </c>
      <c r="D53" s="40" t="s">
        <v>228</v>
      </c>
      <c r="E53" s="40" t="s">
        <v>44</v>
      </c>
      <c r="F53" s="40" t="s">
        <v>1049</v>
      </c>
      <c r="G53" s="38">
        <f>Q14</f>
        <v>44</v>
      </c>
      <c r="H53" s="51">
        <v>2000</v>
      </c>
      <c r="I53" s="53">
        <v>0</v>
      </c>
      <c r="J53" s="66">
        <f t="shared" si="14"/>
        <v>2000</v>
      </c>
      <c r="K53" s="67">
        <f t="shared" si="15"/>
        <v>88000</v>
      </c>
      <c r="M53" s="45"/>
      <c r="N53" s="45"/>
      <c r="O53" s="45"/>
      <c r="P53" s="45"/>
      <c r="Q53" s="45"/>
      <c r="R53" s="45"/>
      <c r="S53" s="45"/>
      <c r="T53" s="45"/>
      <c r="U53" s="45"/>
      <c r="V53" s="45"/>
      <c r="W53" s="45"/>
      <c r="X53" s="45"/>
      <c r="Y53" s="45"/>
      <c r="Z53" s="56"/>
    </row>
    <row r="54" spans="1:26">
      <c r="A54" s="7" t="s">
        <v>293</v>
      </c>
      <c r="B54" s="40" t="s">
        <v>292</v>
      </c>
      <c r="C54" s="40" t="s">
        <v>216</v>
      </c>
      <c r="D54" s="40" t="s">
        <v>228</v>
      </c>
      <c r="E54" s="40" t="s">
        <v>231</v>
      </c>
      <c r="F54" s="40"/>
      <c r="G54" s="38"/>
      <c r="H54" s="51">
        <v>0</v>
      </c>
      <c r="I54" s="53">
        <v>0</v>
      </c>
      <c r="J54" s="66">
        <f t="shared" si="14"/>
        <v>0</v>
      </c>
      <c r="K54" s="67">
        <f t="shared" si="15"/>
        <v>0</v>
      </c>
      <c r="M54" s="45"/>
      <c r="N54" s="45"/>
      <c r="O54" s="45"/>
      <c r="P54" s="45"/>
      <c r="Q54" s="45"/>
      <c r="R54" s="45"/>
      <c r="S54" s="45"/>
      <c r="T54" s="45"/>
      <c r="U54" s="45"/>
      <c r="V54" s="45"/>
      <c r="W54" s="45"/>
      <c r="X54" s="45"/>
      <c r="Y54" s="45"/>
      <c r="Z54" s="56"/>
    </row>
    <row r="55" spans="1:26">
      <c r="A55" s="7" t="s">
        <v>294</v>
      </c>
      <c r="B55" s="40" t="s">
        <v>295</v>
      </c>
      <c r="C55" s="40" t="s">
        <v>216</v>
      </c>
      <c r="D55" s="40" t="s">
        <v>242</v>
      </c>
      <c r="E55" s="40" t="s">
        <v>231</v>
      </c>
      <c r="F55" s="40"/>
      <c r="G55" s="38"/>
      <c r="H55" s="51">
        <v>0</v>
      </c>
      <c r="I55" s="53">
        <v>0</v>
      </c>
      <c r="J55" s="66">
        <f t="shared" si="14"/>
        <v>0</v>
      </c>
      <c r="K55" s="67">
        <f t="shared" si="15"/>
        <v>0</v>
      </c>
      <c r="M55" s="45"/>
      <c r="N55" s="45"/>
      <c r="O55" s="45"/>
      <c r="P55" s="45"/>
      <c r="Q55" s="45"/>
      <c r="R55" s="45"/>
      <c r="S55" s="45"/>
      <c r="T55" s="45"/>
      <c r="U55" s="45"/>
      <c r="V55" s="45"/>
      <c r="W55" s="45"/>
      <c r="X55" s="45"/>
      <c r="Y55" s="45"/>
      <c r="Z55" s="56"/>
    </row>
    <row r="56" spans="1:26">
      <c r="A56" s="7" t="s">
        <v>296</v>
      </c>
      <c r="B56" s="40" t="s">
        <v>297</v>
      </c>
      <c r="C56" s="40" t="s">
        <v>216</v>
      </c>
      <c r="D56" s="40" t="s">
        <v>250</v>
      </c>
      <c r="E56" s="40" t="s">
        <v>44</v>
      </c>
      <c r="F56" s="40" t="s">
        <v>108</v>
      </c>
      <c r="G56" s="38">
        <f>$Q$7</f>
        <v>1</v>
      </c>
      <c r="H56" s="51">
        <v>1950</v>
      </c>
      <c r="I56" s="53">
        <v>0</v>
      </c>
      <c r="J56" s="66">
        <f t="shared" si="14"/>
        <v>1950</v>
      </c>
      <c r="K56" s="67">
        <f t="shared" si="15"/>
        <v>1950</v>
      </c>
      <c r="M56" s="45"/>
      <c r="N56" s="45"/>
      <c r="O56" s="45"/>
      <c r="P56" s="45"/>
      <c r="Q56" s="45"/>
      <c r="R56" s="45"/>
      <c r="S56" s="45"/>
      <c r="T56" s="45"/>
      <c r="U56" s="45"/>
      <c r="V56" s="45"/>
      <c r="W56" s="45"/>
      <c r="X56" s="45"/>
      <c r="Y56" s="45"/>
      <c r="Z56" s="56"/>
    </row>
    <row r="57" spans="1:26">
      <c r="A57" s="7" t="s">
        <v>298</v>
      </c>
      <c r="B57" s="40" t="s">
        <v>299</v>
      </c>
      <c r="C57" s="40" t="s">
        <v>216</v>
      </c>
      <c r="D57" s="40" t="s">
        <v>228</v>
      </c>
      <c r="E57" s="40" t="s">
        <v>44</v>
      </c>
      <c r="F57" s="40" t="s">
        <v>148</v>
      </c>
      <c r="G57" s="38">
        <f>$Q$9</f>
        <v>2932</v>
      </c>
      <c r="H57" s="51">
        <v>92</v>
      </c>
      <c r="I57" s="53">
        <v>0</v>
      </c>
      <c r="J57" s="66">
        <f t="shared" si="14"/>
        <v>92</v>
      </c>
      <c r="K57" s="67">
        <f t="shared" si="15"/>
        <v>269744</v>
      </c>
      <c r="M57" s="45"/>
      <c r="N57" s="45"/>
      <c r="O57" s="45"/>
      <c r="P57" s="45"/>
      <c r="Q57" s="45"/>
      <c r="R57" s="45"/>
      <c r="S57" s="45"/>
      <c r="T57" s="45"/>
      <c r="U57" s="45"/>
      <c r="V57" s="45"/>
      <c r="W57" s="45"/>
      <c r="X57" s="45"/>
      <c r="Y57" s="45"/>
      <c r="Z57" s="56"/>
    </row>
    <row r="58" spans="1:26">
      <c r="A58" s="7" t="s">
        <v>301</v>
      </c>
      <c r="B58" s="40" t="s">
        <v>302</v>
      </c>
      <c r="C58" s="40" t="s">
        <v>216</v>
      </c>
      <c r="D58" s="40" t="s">
        <v>303</v>
      </c>
      <c r="E58" s="40" t="s">
        <v>231</v>
      </c>
      <c r="F58" s="40"/>
      <c r="G58" s="38"/>
      <c r="H58" s="51">
        <v>0</v>
      </c>
      <c r="I58" s="53">
        <v>0</v>
      </c>
      <c r="J58" s="66">
        <f t="shared" si="14"/>
        <v>0</v>
      </c>
      <c r="K58" s="67">
        <f t="shared" si="15"/>
        <v>0</v>
      </c>
      <c r="M58" s="45"/>
      <c r="N58" s="45"/>
      <c r="O58" s="45"/>
      <c r="P58" s="45"/>
      <c r="Q58" s="45"/>
      <c r="R58" s="45"/>
      <c r="S58" s="45"/>
      <c r="T58" s="45"/>
      <c r="U58" s="45"/>
      <c r="V58" s="45"/>
      <c r="W58" s="45"/>
      <c r="X58" s="45"/>
      <c r="Y58" s="45"/>
      <c r="Z58" s="56"/>
    </row>
    <row r="59" spans="1:26">
      <c r="A59" s="4" t="s">
        <v>305</v>
      </c>
      <c r="B59" s="151" t="s">
        <v>306</v>
      </c>
      <c r="C59" s="151"/>
      <c r="D59" s="151"/>
      <c r="E59" s="151"/>
      <c r="F59" s="151"/>
      <c r="G59" s="152"/>
      <c r="H59" s="153"/>
      <c r="I59" s="154"/>
      <c r="J59" s="153"/>
      <c r="K59" s="172"/>
      <c r="L59" s="70">
        <f>SUM(K60:K71)</f>
        <v>10684047.108472481</v>
      </c>
      <c r="M59" s="45"/>
      <c r="N59" s="45"/>
      <c r="O59" s="45"/>
      <c r="P59" s="45"/>
      <c r="Q59" s="45"/>
      <c r="R59" s="45"/>
      <c r="S59" s="45"/>
      <c r="T59" s="45"/>
      <c r="U59" s="45"/>
      <c r="V59" s="45"/>
      <c r="W59" s="45"/>
      <c r="X59" s="45"/>
      <c r="Y59" s="45"/>
      <c r="Z59" s="56"/>
    </row>
    <row r="60" spans="1:26">
      <c r="A60" s="6" t="s">
        <v>307</v>
      </c>
      <c r="B60" s="47" t="s">
        <v>308</v>
      </c>
      <c r="C60" s="47" t="s">
        <v>216</v>
      </c>
      <c r="D60" s="47" t="s">
        <v>309</v>
      </c>
      <c r="E60" s="47"/>
      <c r="F60" s="47"/>
      <c r="G60" s="42"/>
      <c r="H60" s="61">
        <v>79</v>
      </c>
      <c r="I60" s="63">
        <v>0</v>
      </c>
      <c r="J60" s="66">
        <f t="shared" ref="J60:J71" si="16">H60*(1+I60)</f>
        <v>79</v>
      </c>
      <c r="K60" s="67">
        <f t="shared" ref="K60:K71" si="17">J60*G60</f>
        <v>0</v>
      </c>
      <c r="M60" s="45"/>
      <c r="N60" s="45"/>
      <c r="O60" s="45"/>
      <c r="P60" s="45"/>
      <c r="Q60" s="45"/>
      <c r="R60" s="45"/>
      <c r="S60" s="45"/>
      <c r="T60" s="45"/>
      <c r="U60" s="45"/>
      <c r="V60" s="45"/>
      <c r="W60" s="45"/>
      <c r="X60" s="45"/>
      <c r="Y60" s="45"/>
      <c r="Z60" s="56"/>
    </row>
    <row r="61" spans="1:26">
      <c r="A61" s="7" t="s">
        <v>310</v>
      </c>
      <c r="B61" s="40" t="s">
        <v>311</v>
      </c>
      <c r="C61" s="40" t="s">
        <v>216</v>
      </c>
      <c r="D61" s="40" t="s">
        <v>228</v>
      </c>
      <c r="E61" s="40" t="s">
        <v>1092</v>
      </c>
      <c r="F61" s="40" t="s">
        <v>61</v>
      </c>
      <c r="G61" s="38">
        <f>B8</f>
        <v>426549</v>
      </c>
      <c r="H61" s="51">
        <v>20.96</v>
      </c>
      <c r="I61" s="53">
        <v>0</v>
      </c>
      <c r="J61" s="66">
        <f t="shared" si="16"/>
        <v>20.96</v>
      </c>
      <c r="K61" s="594">
        <f t="shared" si="17"/>
        <v>8940467.040000001</v>
      </c>
      <c r="M61" s="45" t="s">
        <v>1093</v>
      </c>
      <c r="N61" s="45"/>
      <c r="O61" s="45"/>
      <c r="P61" s="45"/>
      <c r="Q61" s="45"/>
      <c r="R61" s="45"/>
      <c r="S61" s="45"/>
      <c r="T61" s="45"/>
      <c r="U61" s="45"/>
      <c r="V61" s="45"/>
      <c r="W61" s="45"/>
      <c r="X61" s="45"/>
      <c r="Y61" s="45"/>
      <c r="Z61" s="56"/>
    </row>
    <row r="62" spans="1:26">
      <c r="A62" s="7" t="s">
        <v>314</v>
      </c>
      <c r="B62" s="40" t="s">
        <v>311</v>
      </c>
      <c r="C62" s="40" t="s">
        <v>216</v>
      </c>
      <c r="D62" s="40" t="s">
        <v>228</v>
      </c>
      <c r="E62" s="40" t="s">
        <v>231</v>
      </c>
      <c r="F62" s="40"/>
      <c r="G62" s="38"/>
      <c r="H62" s="51"/>
      <c r="I62" s="53">
        <v>0</v>
      </c>
      <c r="J62" s="66">
        <f t="shared" si="16"/>
        <v>0</v>
      </c>
      <c r="K62" s="67">
        <f t="shared" si="17"/>
        <v>0</v>
      </c>
      <c r="M62" s="45"/>
      <c r="N62" s="45"/>
      <c r="O62" s="45"/>
      <c r="P62" s="45"/>
      <c r="Q62" s="45"/>
      <c r="R62" s="45"/>
      <c r="S62" s="45"/>
      <c r="T62" s="45"/>
      <c r="U62" s="45"/>
      <c r="V62" s="45"/>
      <c r="W62" s="45"/>
      <c r="X62" s="45"/>
      <c r="Y62" s="45"/>
      <c r="Z62" s="56"/>
    </row>
    <row r="63" spans="1:26">
      <c r="A63" s="7" t="s">
        <v>315</v>
      </c>
      <c r="B63" s="40" t="s">
        <v>316</v>
      </c>
      <c r="C63" s="40" t="s">
        <v>216</v>
      </c>
      <c r="D63" s="40" t="s">
        <v>303</v>
      </c>
      <c r="E63" s="40" t="s">
        <v>231</v>
      </c>
      <c r="F63" s="40"/>
      <c r="G63" s="38"/>
      <c r="H63" s="51"/>
      <c r="I63" s="53">
        <v>0</v>
      </c>
      <c r="J63" s="66">
        <f t="shared" si="16"/>
        <v>0</v>
      </c>
      <c r="K63" s="67">
        <f t="shared" si="17"/>
        <v>0</v>
      </c>
      <c r="M63" s="45"/>
      <c r="N63" s="45"/>
      <c r="O63" s="45"/>
      <c r="P63" s="45"/>
      <c r="Q63" s="45"/>
      <c r="R63" s="45"/>
      <c r="S63" s="45"/>
      <c r="T63" s="45"/>
      <c r="U63" s="45"/>
      <c r="V63" s="45"/>
      <c r="W63" s="45"/>
      <c r="X63" s="45"/>
      <c r="Y63" s="45"/>
      <c r="Z63" s="56"/>
    </row>
    <row r="64" spans="1:26">
      <c r="A64" s="7" t="s">
        <v>317</v>
      </c>
      <c r="B64" s="40" t="s">
        <v>318</v>
      </c>
      <c r="C64" s="40" t="s">
        <v>216</v>
      </c>
      <c r="D64" s="40" t="s">
        <v>303</v>
      </c>
      <c r="E64" s="40" t="s">
        <v>73</v>
      </c>
      <c r="F64" s="40" t="s">
        <v>71</v>
      </c>
      <c r="G64" s="38">
        <f>$W$16</f>
        <v>4</v>
      </c>
      <c r="H64" s="51">
        <v>2500</v>
      </c>
      <c r="I64" s="53">
        <v>0</v>
      </c>
      <c r="J64" s="66">
        <f t="shared" si="16"/>
        <v>2500</v>
      </c>
      <c r="K64" s="67">
        <f t="shared" si="17"/>
        <v>10000</v>
      </c>
      <c r="M64" s="45"/>
      <c r="N64" s="45"/>
      <c r="O64" s="45"/>
      <c r="P64" s="45"/>
      <c r="Q64" s="45"/>
      <c r="R64" s="45"/>
      <c r="S64" s="45"/>
      <c r="T64" s="45"/>
      <c r="U64" s="45"/>
      <c r="V64" s="45"/>
      <c r="W64" s="45"/>
      <c r="X64" s="45"/>
      <c r="Y64" s="45"/>
      <c r="Z64" s="56"/>
    </row>
    <row r="65" spans="1:26">
      <c r="A65" s="7" t="s">
        <v>319</v>
      </c>
      <c r="B65" s="40" t="s">
        <v>320</v>
      </c>
      <c r="C65" s="40" t="s">
        <v>216</v>
      </c>
      <c r="D65" s="40" t="s">
        <v>303</v>
      </c>
      <c r="E65" s="40" t="s">
        <v>231</v>
      </c>
      <c r="F65" s="40"/>
      <c r="G65" s="38"/>
      <c r="H65" s="51"/>
      <c r="I65" s="53">
        <v>0</v>
      </c>
      <c r="J65" s="66">
        <f t="shared" si="16"/>
        <v>0</v>
      </c>
      <c r="K65" s="67">
        <f t="shared" si="17"/>
        <v>0</v>
      </c>
      <c r="M65" s="45"/>
      <c r="N65" s="45"/>
      <c r="O65" s="45"/>
      <c r="P65" s="45"/>
      <c r="Q65" s="45"/>
      <c r="R65" s="45"/>
      <c r="S65" s="45"/>
      <c r="T65" s="45"/>
      <c r="U65" s="45"/>
      <c r="V65" s="45"/>
      <c r="W65" s="45"/>
      <c r="X65" s="45"/>
      <c r="Y65" s="45"/>
      <c r="Z65" s="56"/>
    </row>
    <row r="66" spans="1:26">
      <c r="A66" s="7" t="s">
        <v>321</v>
      </c>
      <c r="B66" s="40" t="s">
        <v>322</v>
      </c>
      <c r="C66" s="40" t="s">
        <v>216</v>
      </c>
      <c r="D66" s="40" t="s">
        <v>228</v>
      </c>
      <c r="E66" s="40" t="s">
        <v>231</v>
      </c>
      <c r="F66" s="40"/>
      <c r="G66" s="38"/>
      <c r="H66" s="51"/>
      <c r="I66" s="53">
        <v>0</v>
      </c>
      <c r="J66" s="66">
        <f t="shared" si="16"/>
        <v>0</v>
      </c>
      <c r="K66" s="67">
        <f t="shared" si="17"/>
        <v>0</v>
      </c>
      <c r="M66" s="45"/>
      <c r="N66" s="45"/>
      <c r="O66" s="45"/>
      <c r="P66" s="45"/>
      <c r="Q66" s="45"/>
      <c r="R66" s="45"/>
      <c r="S66" s="45"/>
      <c r="T66" s="45"/>
      <c r="U66" s="45"/>
      <c r="V66" s="45"/>
      <c r="W66" s="45"/>
      <c r="X66" s="45"/>
      <c r="Y66" s="45"/>
      <c r="Z66" s="56"/>
    </row>
    <row r="67" spans="1:26">
      <c r="A67" s="7" t="s">
        <v>323</v>
      </c>
      <c r="B67" s="40" t="s">
        <v>322</v>
      </c>
      <c r="C67" s="40" t="s">
        <v>216</v>
      </c>
      <c r="D67" s="40" t="s">
        <v>250</v>
      </c>
      <c r="E67" s="40" t="s">
        <v>231</v>
      </c>
      <c r="F67" s="40"/>
      <c r="G67" s="38"/>
      <c r="H67" s="51"/>
      <c r="I67" s="53">
        <v>0</v>
      </c>
      <c r="J67" s="66">
        <f t="shared" si="16"/>
        <v>0</v>
      </c>
      <c r="K67" s="67">
        <f t="shared" si="17"/>
        <v>0</v>
      </c>
      <c r="M67" s="45"/>
      <c r="N67" s="45"/>
      <c r="O67" s="45"/>
      <c r="P67" s="45"/>
      <c r="Q67" s="45"/>
      <c r="R67" s="45"/>
      <c r="S67" s="45"/>
      <c r="T67" s="45"/>
      <c r="U67" s="45"/>
      <c r="V67" s="45"/>
      <c r="W67" s="45"/>
      <c r="X67" s="45"/>
      <c r="Y67" s="45"/>
      <c r="Z67" s="56"/>
    </row>
    <row r="68" spans="1:26">
      <c r="A68" s="52" t="s">
        <v>324</v>
      </c>
      <c r="B68" s="40" t="s">
        <v>325</v>
      </c>
      <c r="C68" s="40" t="s">
        <v>216</v>
      </c>
      <c r="D68" s="40" t="s">
        <v>228</v>
      </c>
      <c r="E68" s="40" t="s">
        <v>44</v>
      </c>
      <c r="F68" s="40" t="s">
        <v>1094</v>
      </c>
      <c r="G68" s="38">
        <f>Q12</f>
        <v>332276</v>
      </c>
      <c r="H68" s="51">
        <v>4.3044536538980118</v>
      </c>
      <c r="I68" s="353">
        <v>0</v>
      </c>
      <c r="J68" s="66">
        <f t="shared" si="16"/>
        <v>4.3044536538980118</v>
      </c>
      <c r="K68" s="67">
        <f t="shared" si="17"/>
        <v>1430266.6423026158</v>
      </c>
      <c r="M68" s="45"/>
      <c r="N68" s="45"/>
      <c r="O68" s="45"/>
      <c r="P68" s="45"/>
      <c r="Q68" s="45"/>
      <c r="R68" s="45"/>
      <c r="S68" s="45"/>
      <c r="T68" s="45"/>
      <c r="U68" s="45"/>
      <c r="V68" s="45"/>
      <c r="W68" s="45"/>
      <c r="X68" s="45"/>
      <c r="Y68" s="45"/>
      <c r="Z68" s="56"/>
    </row>
    <row r="69" spans="1:26">
      <c r="A69" s="7" t="s">
        <v>328</v>
      </c>
      <c r="B69" s="40" t="s">
        <v>325</v>
      </c>
      <c r="C69" s="40" t="s">
        <v>216</v>
      </c>
      <c r="D69" s="40" t="s">
        <v>303</v>
      </c>
      <c r="E69" s="40" t="s">
        <v>44</v>
      </c>
      <c r="F69" s="40" t="s">
        <v>329</v>
      </c>
      <c r="G69" s="38">
        <f>B8-Q12</f>
        <v>94273</v>
      </c>
      <c r="H69" s="51">
        <v>3.1664784845063356</v>
      </c>
      <c r="I69" s="53">
        <v>0</v>
      </c>
      <c r="J69" s="66">
        <f t="shared" si="16"/>
        <v>3.1664784845063356</v>
      </c>
      <c r="K69" s="67">
        <f t="shared" si="17"/>
        <v>298513.42616986576</v>
      </c>
      <c r="M69" s="45"/>
      <c r="N69" s="45"/>
      <c r="O69" s="45"/>
      <c r="P69" s="45"/>
      <c r="Q69" s="45"/>
      <c r="R69" s="45"/>
      <c r="S69" s="45"/>
      <c r="T69" s="45"/>
      <c r="U69" s="45"/>
      <c r="V69" s="45"/>
      <c r="W69" s="45"/>
      <c r="X69" s="45"/>
      <c r="Y69" s="45"/>
      <c r="Z69" s="56"/>
    </row>
    <row r="70" spans="1:26">
      <c r="A70" s="7" t="s">
        <v>331</v>
      </c>
      <c r="B70" s="40" t="s">
        <v>332</v>
      </c>
      <c r="C70" s="40" t="s">
        <v>216</v>
      </c>
      <c r="D70" s="40" t="s">
        <v>303</v>
      </c>
      <c r="E70" s="40" t="s">
        <v>73</v>
      </c>
      <c r="F70" s="40" t="s">
        <v>71</v>
      </c>
      <c r="G70" s="38">
        <f>$W$16</f>
        <v>4</v>
      </c>
      <c r="H70" s="51">
        <v>1200</v>
      </c>
      <c r="I70" s="53">
        <v>0</v>
      </c>
      <c r="J70" s="66">
        <f t="shared" si="16"/>
        <v>1200</v>
      </c>
      <c r="K70" s="67">
        <f t="shared" si="17"/>
        <v>4800</v>
      </c>
      <c r="M70" s="45"/>
      <c r="N70" s="45"/>
      <c r="O70" s="45"/>
      <c r="P70" s="45"/>
      <c r="Q70" s="45"/>
      <c r="R70" s="45"/>
      <c r="S70" s="45"/>
      <c r="T70" s="45"/>
      <c r="U70" s="45"/>
      <c r="V70" s="45"/>
      <c r="W70" s="45"/>
      <c r="X70" s="45"/>
      <c r="Y70" s="45"/>
      <c r="Z70" s="56"/>
    </row>
    <row r="71" spans="1:26">
      <c r="A71" s="7" t="s">
        <v>333</v>
      </c>
      <c r="B71" s="40" t="s">
        <v>334</v>
      </c>
      <c r="C71" s="40" t="s">
        <v>216</v>
      </c>
      <c r="D71" s="40" t="s">
        <v>228</v>
      </c>
      <c r="E71" s="40" t="s">
        <v>231</v>
      </c>
      <c r="F71" s="40"/>
      <c r="G71" s="38"/>
      <c r="H71" s="51"/>
      <c r="I71" s="53">
        <v>0</v>
      </c>
      <c r="J71" s="66">
        <f t="shared" si="16"/>
        <v>0</v>
      </c>
      <c r="K71" s="67">
        <f t="shared" si="17"/>
        <v>0</v>
      </c>
      <c r="M71" s="45"/>
      <c r="N71" s="45"/>
      <c r="O71" s="45"/>
      <c r="P71" s="45"/>
      <c r="Q71" s="45"/>
      <c r="R71" s="45"/>
      <c r="S71" s="45"/>
      <c r="T71" s="45"/>
      <c r="U71" s="45"/>
      <c r="V71" s="45"/>
      <c r="W71" s="45"/>
      <c r="X71" s="45"/>
      <c r="Y71" s="45"/>
      <c r="Z71" s="56"/>
    </row>
    <row r="72" spans="1:26">
      <c r="A72" s="4" t="s">
        <v>335</v>
      </c>
      <c r="B72" s="151" t="s">
        <v>336</v>
      </c>
      <c r="C72" s="151"/>
      <c r="D72" s="151"/>
      <c r="E72" s="151"/>
      <c r="F72" s="151"/>
      <c r="G72" s="152"/>
      <c r="H72" s="153"/>
      <c r="I72" s="154"/>
      <c r="J72" s="153"/>
      <c r="K72" s="172"/>
      <c r="L72" s="70">
        <f>SUM(K73:K83)</f>
        <v>2256526.4700000002</v>
      </c>
      <c r="M72" s="45"/>
      <c r="N72" s="45"/>
      <c r="O72" s="45"/>
      <c r="P72" s="45"/>
      <c r="Q72" s="45"/>
      <c r="R72" s="45"/>
      <c r="S72" s="45"/>
      <c r="T72" s="45"/>
      <c r="U72" s="45"/>
      <c r="V72" s="45"/>
      <c r="W72" s="45"/>
      <c r="X72" s="45"/>
      <c r="Y72" s="45"/>
      <c r="Z72" s="56"/>
    </row>
    <row r="73" spans="1:26">
      <c r="A73" s="6" t="s">
        <v>338</v>
      </c>
      <c r="B73" s="47" t="s">
        <v>339</v>
      </c>
      <c r="C73" s="47" t="s">
        <v>216</v>
      </c>
      <c r="D73" s="47" t="s">
        <v>228</v>
      </c>
      <c r="E73" s="47" t="s">
        <v>44</v>
      </c>
      <c r="F73" s="47" t="s">
        <v>61</v>
      </c>
      <c r="G73" s="42">
        <f>B8</f>
        <v>426549</v>
      </c>
      <c r="H73" s="61">
        <v>2.7</v>
      </c>
      <c r="I73" s="63">
        <v>0</v>
      </c>
      <c r="J73" s="66">
        <f t="shared" ref="J73:J83" si="18">H73*(1+I73)</f>
        <v>2.7</v>
      </c>
      <c r="K73" s="67">
        <f t="shared" ref="K73:K83" si="19">J73*G73</f>
        <v>1151682.3</v>
      </c>
      <c r="M73" s="45"/>
      <c r="N73" s="45"/>
      <c r="O73" s="45"/>
      <c r="P73" s="45"/>
      <c r="Q73" s="45"/>
      <c r="R73" s="45"/>
      <c r="S73" s="45"/>
      <c r="T73" s="45"/>
      <c r="U73" s="45"/>
      <c r="V73" s="45"/>
      <c r="W73" s="45"/>
      <c r="X73" s="45"/>
      <c r="Y73" s="45"/>
      <c r="Z73" s="56"/>
    </row>
    <row r="74" spans="1:26">
      <c r="A74" s="7" t="s">
        <v>154</v>
      </c>
      <c r="B74" s="40" t="s">
        <v>341</v>
      </c>
      <c r="C74" s="40" t="s">
        <v>216</v>
      </c>
      <c r="D74" s="40" t="s">
        <v>228</v>
      </c>
      <c r="E74" s="40" t="s">
        <v>44</v>
      </c>
      <c r="F74" s="40" t="s">
        <v>342</v>
      </c>
      <c r="G74" s="38">
        <f>Q10</f>
        <v>1497.6</v>
      </c>
      <c r="H74" s="51">
        <v>603</v>
      </c>
      <c r="I74" s="53">
        <v>0</v>
      </c>
      <c r="J74" s="51">
        <f t="shared" si="18"/>
        <v>603</v>
      </c>
      <c r="K74" s="54">
        <f t="shared" si="19"/>
        <v>903052.79999999993</v>
      </c>
      <c r="M74" s="45"/>
      <c r="N74" s="45"/>
      <c r="O74" s="45"/>
      <c r="P74" s="45"/>
      <c r="Q74" s="45"/>
      <c r="R74" s="45"/>
      <c r="S74" s="45"/>
      <c r="T74" s="45"/>
      <c r="U74" s="45"/>
      <c r="V74" s="45"/>
      <c r="W74" s="45"/>
      <c r="X74" s="45"/>
      <c r="Y74" s="45"/>
      <c r="Z74" s="56"/>
    </row>
    <row r="75" spans="1:26">
      <c r="A75" s="7" t="s">
        <v>344</v>
      </c>
      <c r="B75" s="40" t="s">
        <v>345</v>
      </c>
      <c r="C75" s="40" t="s">
        <v>216</v>
      </c>
      <c r="D75" s="40" t="s">
        <v>303</v>
      </c>
      <c r="E75" s="40" t="s">
        <v>231</v>
      </c>
      <c r="F75" s="40"/>
      <c r="G75" s="38"/>
      <c r="H75" s="51"/>
      <c r="I75" s="53">
        <v>0</v>
      </c>
      <c r="J75" s="51">
        <f t="shared" si="18"/>
        <v>0</v>
      </c>
      <c r="K75" s="54">
        <f t="shared" si="19"/>
        <v>0</v>
      </c>
      <c r="M75" s="45"/>
      <c r="N75" s="45"/>
      <c r="O75" s="45"/>
      <c r="P75" s="45"/>
      <c r="Q75" s="45"/>
      <c r="R75" s="45"/>
      <c r="S75" s="45"/>
      <c r="T75" s="45"/>
      <c r="U75" s="45"/>
      <c r="V75" s="45"/>
      <c r="W75" s="45"/>
      <c r="X75" s="45"/>
      <c r="Y75" s="45"/>
      <c r="Z75" s="56"/>
    </row>
    <row r="76" spans="1:26">
      <c r="A76" s="7" t="s">
        <v>346</v>
      </c>
      <c r="B76" s="40" t="s">
        <v>345</v>
      </c>
      <c r="C76" s="40" t="s">
        <v>216</v>
      </c>
      <c r="D76" s="40" t="s">
        <v>235</v>
      </c>
      <c r="E76" s="40" t="s">
        <v>73</v>
      </c>
      <c r="F76" s="40" t="s">
        <v>71</v>
      </c>
      <c r="G76" s="38">
        <v>1</v>
      </c>
      <c r="H76" s="51">
        <v>7500</v>
      </c>
      <c r="I76" s="53">
        <v>0</v>
      </c>
      <c r="J76" s="51">
        <f t="shared" si="18"/>
        <v>7500</v>
      </c>
      <c r="K76" s="54">
        <f t="shared" si="19"/>
        <v>7500</v>
      </c>
      <c r="M76" s="45"/>
      <c r="N76" s="45"/>
      <c r="O76" s="45"/>
      <c r="P76" s="45"/>
      <c r="Q76" s="45"/>
      <c r="R76" s="45"/>
      <c r="S76" s="45"/>
      <c r="T76" s="45"/>
      <c r="U76" s="45"/>
      <c r="V76" s="45"/>
      <c r="W76" s="45"/>
      <c r="X76" s="45"/>
      <c r="Y76" s="45"/>
      <c r="Z76" s="56"/>
    </row>
    <row r="77" spans="1:26">
      <c r="A77" s="7" t="s">
        <v>347</v>
      </c>
      <c r="B77" s="40" t="s">
        <v>348</v>
      </c>
      <c r="C77" s="40" t="s">
        <v>216</v>
      </c>
      <c r="D77" s="40" t="s">
        <v>250</v>
      </c>
      <c r="E77" s="40" t="s">
        <v>73</v>
      </c>
      <c r="F77" s="40" t="s">
        <v>71</v>
      </c>
      <c r="G77" s="38">
        <f>Q7</f>
        <v>1</v>
      </c>
      <c r="H77" s="51">
        <v>7500</v>
      </c>
      <c r="I77" s="53">
        <v>0.2</v>
      </c>
      <c r="J77" s="51">
        <f t="shared" si="18"/>
        <v>9000</v>
      </c>
      <c r="K77" s="54">
        <f t="shared" si="19"/>
        <v>9000</v>
      </c>
      <c r="M77" s="45" t="s">
        <v>1095</v>
      </c>
      <c r="N77" s="45"/>
      <c r="O77" s="45"/>
      <c r="P77" s="45"/>
      <c r="Q77" s="45"/>
      <c r="R77" s="45"/>
      <c r="S77" s="45"/>
      <c r="T77" s="45"/>
      <c r="U77" s="45"/>
      <c r="V77" s="45"/>
      <c r="W77" s="45"/>
      <c r="X77" s="45"/>
      <c r="Y77" s="45"/>
      <c r="Z77" s="56"/>
    </row>
    <row r="78" spans="1:26">
      <c r="A78" s="7" t="s">
        <v>349</v>
      </c>
      <c r="B78" s="40" t="s">
        <v>350</v>
      </c>
      <c r="C78" s="40" t="s">
        <v>216</v>
      </c>
      <c r="D78" s="40" t="s">
        <v>238</v>
      </c>
      <c r="E78" s="40" t="s">
        <v>543</v>
      </c>
      <c r="F78" s="40" t="s">
        <v>108</v>
      </c>
      <c r="G78" s="38">
        <f>$Q$5</f>
        <v>14</v>
      </c>
      <c r="H78" s="51">
        <v>5800</v>
      </c>
      <c r="I78" s="53">
        <v>0.2</v>
      </c>
      <c r="J78" s="51">
        <f t="shared" si="18"/>
        <v>6960</v>
      </c>
      <c r="K78" s="54">
        <f t="shared" si="19"/>
        <v>97440</v>
      </c>
      <c r="M78" s="45" t="s">
        <v>1095</v>
      </c>
      <c r="N78" s="45"/>
      <c r="O78" s="45"/>
      <c r="P78" s="45"/>
      <c r="Q78" s="45"/>
      <c r="R78" s="45"/>
      <c r="S78" s="45"/>
      <c r="T78" s="45"/>
      <c r="U78" s="45"/>
      <c r="V78" s="45"/>
      <c r="W78" s="45"/>
      <c r="X78" s="45"/>
      <c r="Y78" s="45"/>
      <c r="Z78" s="56"/>
    </row>
    <row r="79" spans="1:26">
      <c r="A79" s="7" t="s">
        <v>351</v>
      </c>
      <c r="B79" s="40" t="s">
        <v>352</v>
      </c>
      <c r="C79" s="40" t="s">
        <v>216</v>
      </c>
      <c r="D79" s="40" t="s">
        <v>228</v>
      </c>
      <c r="E79" s="40" t="s">
        <v>44</v>
      </c>
      <c r="F79" s="40" t="s">
        <v>61</v>
      </c>
      <c r="G79" s="38">
        <f>$B$8</f>
        <v>426549</v>
      </c>
      <c r="H79" s="51">
        <v>0.08</v>
      </c>
      <c r="I79" s="53">
        <v>0</v>
      </c>
      <c r="J79" s="51">
        <f t="shared" si="18"/>
        <v>0.08</v>
      </c>
      <c r="K79" s="54">
        <f t="shared" si="19"/>
        <v>34123.919999999998</v>
      </c>
      <c r="M79" s="45"/>
      <c r="N79" s="45"/>
      <c r="O79" s="45"/>
      <c r="P79" s="45"/>
      <c r="Q79" s="45"/>
      <c r="R79" s="45"/>
      <c r="S79" s="45"/>
      <c r="T79" s="45"/>
      <c r="U79" s="45"/>
      <c r="V79" s="45"/>
      <c r="W79" s="45"/>
      <c r="X79" s="45"/>
      <c r="Y79" s="45"/>
      <c r="Z79" s="56"/>
    </row>
    <row r="80" spans="1:26">
      <c r="A80" s="7" t="s">
        <v>353</v>
      </c>
      <c r="B80" s="40" t="s">
        <v>354</v>
      </c>
      <c r="C80" s="40" t="s">
        <v>216</v>
      </c>
      <c r="D80" s="40" t="s">
        <v>228</v>
      </c>
      <c r="E80" s="40" t="s">
        <v>44</v>
      </c>
      <c r="F80" s="40" t="s">
        <v>61</v>
      </c>
      <c r="G80" s="38">
        <f>$B$8</f>
        <v>426549</v>
      </c>
      <c r="H80" s="51">
        <v>0.05</v>
      </c>
      <c r="I80" s="53">
        <v>0</v>
      </c>
      <c r="J80" s="51">
        <f t="shared" si="18"/>
        <v>0.05</v>
      </c>
      <c r="K80" s="54">
        <f t="shared" si="19"/>
        <v>21327.45</v>
      </c>
      <c r="M80" s="45"/>
      <c r="N80" s="45"/>
      <c r="O80" s="45"/>
      <c r="P80" s="45"/>
      <c r="Q80" s="45"/>
      <c r="R80" s="45"/>
      <c r="S80" s="45"/>
      <c r="T80" s="45"/>
      <c r="U80" s="45"/>
      <c r="V80" s="45"/>
      <c r="W80" s="45"/>
      <c r="X80" s="45"/>
      <c r="Y80" s="45"/>
      <c r="Z80" s="56"/>
    </row>
    <row r="81" spans="1:26">
      <c r="A81" s="7" t="s">
        <v>355</v>
      </c>
      <c r="B81" s="40" t="s">
        <v>356</v>
      </c>
      <c r="C81" s="40" t="s">
        <v>216</v>
      </c>
      <c r="D81" s="40" t="s">
        <v>228</v>
      </c>
      <c r="E81" s="40" t="s">
        <v>44</v>
      </c>
      <c r="F81" s="40" t="s">
        <v>108</v>
      </c>
      <c r="G81" s="38">
        <f>2*$B$11</f>
        <v>8</v>
      </c>
      <c r="H81" s="51">
        <v>1550</v>
      </c>
      <c r="I81" s="53">
        <v>0</v>
      </c>
      <c r="J81" s="51">
        <f t="shared" si="18"/>
        <v>1550</v>
      </c>
      <c r="K81" s="54">
        <f t="shared" si="19"/>
        <v>12400</v>
      </c>
      <c r="M81" s="45" t="s">
        <v>357</v>
      </c>
      <c r="N81" s="45"/>
      <c r="O81" s="45"/>
      <c r="P81" s="45"/>
      <c r="Q81" s="45"/>
      <c r="R81" s="45"/>
      <c r="S81" s="45"/>
      <c r="T81" s="45"/>
      <c r="U81" s="45"/>
      <c r="V81" s="45"/>
      <c r="W81" s="45"/>
      <c r="X81" s="45"/>
      <c r="Y81" s="45"/>
      <c r="Z81" s="56"/>
    </row>
    <row r="82" spans="1:26">
      <c r="A82" s="7" t="s">
        <v>358</v>
      </c>
      <c r="B82" s="40" t="s">
        <v>359</v>
      </c>
      <c r="C82" s="40" t="s">
        <v>216</v>
      </c>
      <c r="D82" s="40" t="s">
        <v>228</v>
      </c>
      <c r="E82" s="40" t="s">
        <v>44</v>
      </c>
      <c r="F82" s="40" t="s">
        <v>108</v>
      </c>
      <c r="G82" s="38">
        <f>2*$B$11</f>
        <v>8</v>
      </c>
      <c r="H82" s="51">
        <v>2500</v>
      </c>
      <c r="I82" s="53">
        <v>0</v>
      </c>
      <c r="J82" s="51">
        <f t="shared" si="18"/>
        <v>2500</v>
      </c>
      <c r="K82" s="54">
        <f t="shared" si="19"/>
        <v>20000</v>
      </c>
      <c r="M82" s="45" t="s">
        <v>357</v>
      </c>
      <c r="N82" s="45"/>
      <c r="O82" s="45"/>
      <c r="P82" s="45"/>
      <c r="Q82" s="45"/>
      <c r="R82" s="45"/>
      <c r="S82" s="45"/>
      <c r="T82" s="45"/>
      <c r="U82" s="45"/>
      <c r="V82" s="45"/>
      <c r="W82" s="45"/>
      <c r="X82" s="45"/>
      <c r="Y82" s="45"/>
      <c r="Z82" s="56"/>
    </row>
    <row r="83" spans="1:26">
      <c r="A83" s="7" t="s">
        <v>360</v>
      </c>
      <c r="B83" s="40" t="s">
        <v>361</v>
      </c>
      <c r="C83" s="40" t="s">
        <v>216</v>
      </c>
      <c r="D83" s="40" t="s">
        <v>228</v>
      </c>
      <c r="E83" s="40" t="s">
        <v>231</v>
      </c>
      <c r="F83" s="40"/>
      <c r="G83" s="38"/>
      <c r="H83" s="51"/>
      <c r="I83" s="53">
        <v>0</v>
      </c>
      <c r="J83" s="51">
        <f t="shared" si="18"/>
        <v>0</v>
      </c>
      <c r="K83" s="54">
        <f t="shared" si="19"/>
        <v>0</v>
      </c>
      <c r="L83" s="14"/>
      <c r="M83" s="45"/>
      <c r="N83" s="45"/>
      <c r="O83" s="45"/>
      <c r="P83" s="45"/>
      <c r="Q83" s="45"/>
      <c r="R83" s="45"/>
      <c r="S83" s="45"/>
      <c r="T83" s="45"/>
      <c r="U83" s="45"/>
      <c r="V83" s="45"/>
      <c r="W83" s="45"/>
      <c r="X83" s="45"/>
      <c r="Y83" s="45"/>
      <c r="Z83" s="56"/>
    </row>
    <row r="84" spans="1:26">
      <c r="A84" s="4" t="s">
        <v>362</v>
      </c>
      <c r="B84" s="151" t="s">
        <v>363</v>
      </c>
      <c r="C84" s="151"/>
      <c r="D84" s="151"/>
      <c r="E84" s="151"/>
      <c r="F84" s="151"/>
      <c r="G84" s="152"/>
      <c r="H84" s="153"/>
      <c r="I84" s="154"/>
      <c r="J84" s="153"/>
      <c r="K84" s="172"/>
      <c r="L84" s="70">
        <f>SUM(K85:K99)</f>
        <v>639151.78947368404</v>
      </c>
      <c r="M84" s="45"/>
      <c r="N84" s="45"/>
      <c r="O84" s="45"/>
      <c r="P84" s="45"/>
      <c r="Q84" s="45"/>
      <c r="R84" s="45"/>
      <c r="S84" s="45"/>
      <c r="T84" s="45"/>
      <c r="U84" s="45"/>
      <c r="V84" s="45"/>
      <c r="W84" s="45"/>
      <c r="X84" s="45"/>
      <c r="Y84" s="45"/>
      <c r="Z84" s="56"/>
    </row>
    <row r="85" spans="1:26">
      <c r="A85" s="6" t="s">
        <v>307</v>
      </c>
      <c r="B85" s="47" t="s">
        <v>364</v>
      </c>
      <c r="C85" s="47" t="s">
        <v>216</v>
      </c>
      <c r="D85" s="47" t="s">
        <v>309</v>
      </c>
      <c r="E85" s="47"/>
      <c r="F85" s="47"/>
      <c r="G85" s="42"/>
      <c r="H85" s="61">
        <v>79</v>
      </c>
      <c r="I85" s="63">
        <v>0</v>
      </c>
      <c r="J85" s="66">
        <f t="shared" ref="J85:J99" si="20">H85*(1+I85)</f>
        <v>79</v>
      </c>
      <c r="K85" s="67">
        <f t="shared" ref="K85:K99" si="21">J85*G85</f>
        <v>0</v>
      </c>
      <c r="M85" s="45"/>
      <c r="N85" s="45"/>
      <c r="O85" s="45"/>
      <c r="P85" s="45"/>
      <c r="Q85" s="45"/>
      <c r="R85" s="45"/>
      <c r="S85" s="45"/>
      <c r="T85" s="45"/>
      <c r="U85" s="45"/>
      <c r="V85" s="45"/>
      <c r="W85" s="45"/>
      <c r="X85" s="45"/>
      <c r="Y85" s="45"/>
      <c r="Z85" s="56"/>
    </row>
    <row r="86" spans="1:26">
      <c r="A86" s="7" t="s">
        <v>365</v>
      </c>
      <c r="B86" s="40" t="s">
        <v>366</v>
      </c>
      <c r="C86" s="40" t="s">
        <v>216</v>
      </c>
      <c r="D86" s="40" t="s">
        <v>303</v>
      </c>
      <c r="E86" s="40" t="s">
        <v>231</v>
      </c>
      <c r="F86" s="40"/>
      <c r="G86" s="38"/>
      <c r="H86" s="51"/>
      <c r="I86" s="53">
        <v>0</v>
      </c>
      <c r="J86" s="51">
        <f t="shared" si="20"/>
        <v>0</v>
      </c>
      <c r="K86" s="54">
        <f t="shared" si="21"/>
        <v>0</v>
      </c>
      <c r="M86" s="45"/>
      <c r="N86" s="45"/>
      <c r="O86" s="45"/>
      <c r="P86" s="45"/>
      <c r="Q86" s="45"/>
      <c r="R86" s="45"/>
      <c r="S86" s="45"/>
      <c r="T86" s="45"/>
      <c r="U86" s="45"/>
      <c r="V86" s="45"/>
      <c r="W86" s="45"/>
      <c r="X86" s="45"/>
      <c r="Y86" s="45"/>
      <c r="Z86" s="56"/>
    </row>
    <row r="87" spans="1:26">
      <c r="A87" s="7" t="s">
        <v>367</v>
      </c>
      <c r="B87" s="40" t="s">
        <v>368</v>
      </c>
      <c r="C87" s="40" t="s">
        <v>216</v>
      </c>
      <c r="D87" s="40" t="s">
        <v>303</v>
      </c>
      <c r="E87" s="40" t="s">
        <v>369</v>
      </c>
      <c r="F87" s="40"/>
      <c r="G87" s="38"/>
      <c r="H87" s="51"/>
      <c r="I87" s="53">
        <v>0</v>
      </c>
      <c r="J87" s="51">
        <f t="shared" si="20"/>
        <v>0</v>
      </c>
      <c r="K87" s="54">
        <f t="shared" si="21"/>
        <v>0</v>
      </c>
      <c r="M87" s="45"/>
      <c r="N87" s="45"/>
      <c r="O87" s="45"/>
      <c r="P87" s="45"/>
      <c r="Q87" s="45"/>
      <c r="R87" s="45"/>
      <c r="S87" s="45"/>
      <c r="T87" s="45"/>
      <c r="U87" s="45"/>
      <c r="V87" s="45"/>
      <c r="W87" s="45"/>
      <c r="X87" s="45"/>
      <c r="Y87" s="45"/>
      <c r="Z87" s="56"/>
    </row>
    <row r="88" spans="1:26">
      <c r="A88" s="7" t="s">
        <v>370</v>
      </c>
      <c r="B88" s="40" t="s">
        <v>368</v>
      </c>
      <c r="C88" s="40" t="s">
        <v>216</v>
      </c>
      <c r="D88" s="40" t="s">
        <v>228</v>
      </c>
      <c r="E88" s="40" t="s">
        <v>231</v>
      </c>
      <c r="F88" s="40"/>
      <c r="G88" s="38"/>
      <c r="H88" s="51"/>
      <c r="I88" s="53">
        <v>0</v>
      </c>
      <c r="J88" s="51">
        <f t="shared" si="20"/>
        <v>0</v>
      </c>
      <c r="K88" s="54">
        <f t="shared" si="21"/>
        <v>0</v>
      </c>
      <c r="M88" s="45"/>
      <c r="N88" s="45"/>
      <c r="O88" s="45"/>
      <c r="P88" s="45"/>
      <c r="Q88" s="45"/>
      <c r="R88" s="45"/>
      <c r="S88" s="45"/>
      <c r="T88" s="45"/>
      <c r="U88" s="45"/>
      <c r="V88" s="45"/>
      <c r="W88" s="45"/>
      <c r="X88" s="45"/>
      <c r="Y88" s="45"/>
      <c r="Z88" s="56"/>
    </row>
    <row r="89" spans="1:26">
      <c r="A89" s="7" t="s">
        <v>371</v>
      </c>
      <c r="B89" s="40" t="s">
        <v>372</v>
      </c>
      <c r="C89" s="40" t="s">
        <v>216</v>
      </c>
      <c r="D89" s="40" t="s">
        <v>228</v>
      </c>
      <c r="E89" s="40" t="s">
        <v>231</v>
      </c>
      <c r="F89" s="40"/>
      <c r="G89" s="38"/>
      <c r="H89" s="51"/>
      <c r="I89" s="53">
        <v>0</v>
      </c>
      <c r="J89" s="51">
        <f t="shared" si="20"/>
        <v>0</v>
      </c>
      <c r="K89" s="54">
        <f t="shared" si="21"/>
        <v>0</v>
      </c>
      <c r="M89" s="45"/>
      <c r="N89" s="45"/>
      <c r="O89" s="45"/>
      <c r="P89" s="45"/>
      <c r="Q89" s="45"/>
      <c r="R89" s="45"/>
      <c r="S89" s="45"/>
      <c r="T89" s="45"/>
      <c r="U89" s="45"/>
      <c r="V89" s="45"/>
      <c r="W89" s="45"/>
      <c r="X89" s="45"/>
      <c r="Y89" s="45"/>
      <c r="Z89" s="56"/>
    </row>
    <row r="90" spans="1:26">
      <c r="A90" s="7" t="s">
        <v>373</v>
      </c>
      <c r="B90" s="40" t="s">
        <v>374</v>
      </c>
      <c r="C90" s="40" t="s">
        <v>216</v>
      </c>
      <c r="D90" s="40" t="s">
        <v>228</v>
      </c>
      <c r="E90" s="40" t="s">
        <v>44</v>
      </c>
      <c r="F90" s="40" t="s">
        <v>375</v>
      </c>
      <c r="G90" s="42">
        <f>$E$8</f>
        <v>390</v>
      </c>
      <c r="H90" s="51">
        <v>1157.8947368421052</v>
      </c>
      <c r="I90" s="53">
        <v>0.15</v>
      </c>
      <c r="J90" s="51">
        <f t="shared" si="20"/>
        <v>1331.5789473684208</v>
      </c>
      <c r="K90" s="54">
        <f>J90*G90</f>
        <v>519315.7894736841</v>
      </c>
      <c r="L90" s="112"/>
      <c r="M90" s="45" t="s">
        <v>1096</v>
      </c>
      <c r="N90" s="45"/>
      <c r="O90" s="45"/>
      <c r="P90" s="45"/>
      <c r="Q90" s="45"/>
      <c r="R90" s="45"/>
      <c r="S90" s="45"/>
      <c r="T90" s="45"/>
      <c r="U90" s="45"/>
      <c r="V90" s="45"/>
      <c r="W90" s="45"/>
      <c r="X90" s="45"/>
      <c r="Y90" s="45"/>
      <c r="Z90" s="56"/>
    </row>
    <row r="91" spans="1:26">
      <c r="A91" s="7" t="s">
        <v>377</v>
      </c>
      <c r="B91" s="40" t="s">
        <v>374</v>
      </c>
      <c r="C91" s="40" t="s">
        <v>233</v>
      </c>
      <c r="D91" s="40" t="s">
        <v>228</v>
      </c>
      <c r="E91" s="40" t="s">
        <v>73</v>
      </c>
      <c r="F91" s="40" t="s">
        <v>375</v>
      </c>
      <c r="G91" s="42">
        <f>$E$8</f>
        <v>390</v>
      </c>
      <c r="H91" s="51">
        <v>75</v>
      </c>
      <c r="I91" s="53">
        <v>0</v>
      </c>
      <c r="J91" s="51">
        <f t="shared" si="20"/>
        <v>75</v>
      </c>
      <c r="K91" s="54">
        <f>J91*G91</f>
        <v>29250</v>
      </c>
      <c r="M91" s="45"/>
      <c r="N91" s="45"/>
      <c r="O91" s="45"/>
      <c r="P91" s="45"/>
      <c r="Q91" s="45"/>
      <c r="R91" s="45"/>
      <c r="S91" s="45"/>
      <c r="T91" s="45"/>
      <c r="U91" s="45"/>
      <c r="V91" s="45"/>
      <c r="W91" s="45"/>
      <c r="X91" s="45"/>
      <c r="Y91" s="45"/>
      <c r="Z91" s="56"/>
    </row>
    <row r="92" spans="1:26">
      <c r="A92" s="7" t="s">
        <v>378</v>
      </c>
      <c r="B92" s="40" t="s">
        <v>379</v>
      </c>
      <c r="C92" s="40" t="s">
        <v>216</v>
      </c>
      <c r="D92" s="40" t="s">
        <v>250</v>
      </c>
      <c r="E92" s="40" t="s">
        <v>231</v>
      </c>
      <c r="F92" s="40"/>
      <c r="G92" s="38"/>
      <c r="H92" s="51"/>
      <c r="I92" s="53">
        <v>0</v>
      </c>
      <c r="J92" s="51">
        <f t="shared" si="20"/>
        <v>0</v>
      </c>
      <c r="K92" s="54">
        <f t="shared" si="21"/>
        <v>0</v>
      </c>
      <c r="M92" s="45"/>
      <c r="N92" s="45"/>
      <c r="O92" s="45"/>
      <c r="P92" s="45"/>
      <c r="Q92" s="45"/>
      <c r="R92" s="45"/>
      <c r="S92" s="45"/>
      <c r="T92" s="45"/>
      <c r="U92" s="45"/>
      <c r="V92" s="45"/>
      <c r="W92" s="45"/>
      <c r="X92" s="45"/>
      <c r="Y92" s="45"/>
      <c r="Z92" s="56"/>
    </row>
    <row r="93" spans="1:26">
      <c r="A93" s="7" t="s">
        <v>380</v>
      </c>
      <c r="B93" s="40" t="s">
        <v>381</v>
      </c>
      <c r="C93" s="40" t="s">
        <v>216</v>
      </c>
      <c r="D93" s="40" t="s">
        <v>242</v>
      </c>
      <c r="E93" s="40" t="s">
        <v>231</v>
      </c>
      <c r="F93" s="40"/>
      <c r="G93" s="38"/>
      <c r="H93" s="51"/>
      <c r="I93" s="53">
        <v>0</v>
      </c>
      <c r="J93" s="51">
        <f t="shared" si="20"/>
        <v>0</v>
      </c>
      <c r="K93" s="54">
        <f t="shared" si="21"/>
        <v>0</v>
      </c>
      <c r="M93" s="45"/>
      <c r="N93" s="45"/>
      <c r="O93" s="45"/>
      <c r="P93" s="45"/>
      <c r="Q93" s="45"/>
      <c r="R93" s="45"/>
      <c r="S93" s="45"/>
      <c r="T93" s="45"/>
      <c r="U93" s="45"/>
      <c r="V93" s="45"/>
      <c r="W93" s="45"/>
      <c r="X93" s="45"/>
      <c r="Y93" s="45"/>
      <c r="Z93" s="56"/>
    </row>
    <row r="94" spans="1:26">
      <c r="A94" s="7" t="s">
        <v>382</v>
      </c>
      <c r="B94" s="40" t="s">
        <v>383</v>
      </c>
      <c r="C94" s="40" t="s">
        <v>216</v>
      </c>
      <c r="D94" s="40" t="s">
        <v>228</v>
      </c>
      <c r="E94" s="40" t="s">
        <v>231</v>
      </c>
      <c r="F94" s="40"/>
      <c r="G94" s="38"/>
      <c r="H94" s="51"/>
      <c r="I94" s="53">
        <v>0</v>
      </c>
      <c r="J94" s="51">
        <f t="shared" si="20"/>
        <v>0</v>
      </c>
      <c r="K94" s="54">
        <f t="shared" si="21"/>
        <v>0</v>
      </c>
      <c r="M94" s="45"/>
      <c r="N94" s="45"/>
      <c r="O94" s="45"/>
      <c r="P94" s="45"/>
      <c r="Q94" s="45"/>
      <c r="R94" s="45"/>
      <c r="S94" s="45"/>
      <c r="T94" s="45"/>
      <c r="U94" s="45"/>
      <c r="V94" s="45"/>
      <c r="W94" s="45"/>
      <c r="X94" s="45"/>
      <c r="Y94" s="45"/>
      <c r="Z94" s="56"/>
    </row>
    <row r="95" spans="1:26">
      <c r="A95" s="7" t="s">
        <v>384</v>
      </c>
      <c r="B95" s="40" t="s">
        <v>385</v>
      </c>
      <c r="C95" s="40" t="s">
        <v>216</v>
      </c>
      <c r="D95" s="40" t="s">
        <v>228</v>
      </c>
      <c r="E95" s="40" t="s">
        <v>231</v>
      </c>
      <c r="F95" s="40"/>
      <c r="G95" s="38"/>
      <c r="H95" s="51"/>
      <c r="I95" s="53">
        <v>0</v>
      </c>
      <c r="J95" s="51">
        <f t="shared" si="20"/>
        <v>0</v>
      </c>
      <c r="K95" s="54">
        <f t="shared" si="21"/>
        <v>0</v>
      </c>
      <c r="M95" s="45"/>
      <c r="N95" s="45"/>
      <c r="O95" s="45"/>
      <c r="P95" s="45"/>
      <c r="Q95" s="45"/>
      <c r="R95" s="45"/>
      <c r="S95" s="45"/>
      <c r="T95" s="45"/>
      <c r="U95" s="45"/>
      <c r="V95" s="45"/>
      <c r="W95" s="45"/>
      <c r="X95" s="45"/>
      <c r="Y95" s="45"/>
      <c r="Z95" s="56"/>
    </row>
    <row r="96" spans="1:26">
      <c r="A96" s="7" t="s">
        <v>386</v>
      </c>
      <c r="B96" s="40" t="s">
        <v>387</v>
      </c>
      <c r="C96" s="40" t="s">
        <v>216</v>
      </c>
      <c r="D96" s="40" t="s">
        <v>228</v>
      </c>
      <c r="E96" s="40" t="s">
        <v>231</v>
      </c>
      <c r="F96" s="40"/>
      <c r="G96" s="38"/>
      <c r="H96" s="51"/>
      <c r="I96" s="53">
        <v>0</v>
      </c>
      <c r="J96" s="51">
        <f t="shared" si="20"/>
        <v>0</v>
      </c>
      <c r="K96" s="54">
        <f t="shared" si="21"/>
        <v>0</v>
      </c>
      <c r="M96" s="45"/>
      <c r="N96" s="45"/>
      <c r="O96" s="45"/>
      <c r="P96" s="45"/>
      <c r="Q96" s="45"/>
      <c r="R96" s="45"/>
      <c r="S96" s="45"/>
      <c r="T96" s="45"/>
      <c r="U96" s="45"/>
      <c r="V96" s="45"/>
      <c r="W96" s="45"/>
      <c r="X96" s="45"/>
      <c r="Y96" s="45"/>
      <c r="Z96" s="56"/>
    </row>
    <row r="97" spans="1:26">
      <c r="A97" s="7" t="s">
        <v>388</v>
      </c>
      <c r="B97" s="40" t="s">
        <v>385</v>
      </c>
      <c r="C97" s="40" t="s">
        <v>216</v>
      </c>
      <c r="D97" s="40" t="s">
        <v>228</v>
      </c>
      <c r="E97" s="40" t="s">
        <v>231</v>
      </c>
      <c r="F97" s="40"/>
      <c r="G97" s="38"/>
      <c r="H97" s="51"/>
      <c r="I97" s="53">
        <v>0</v>
      </c>
      <c r="J97" s="51">
        <f t="shared" si="20"/>
        <v>0</v>
      </c>
      <c r="K97" s="54">
        <f t="shared" si="21"/>
        <v>0</v>
      </c>
      <c r="M97" s="45"/>
      <c r="N97" s="45"/>
      <c r="O97" s="45"/>
      <c r="P97" s="45"/>
      <c r="Q97" s="45"/>
      <c r="R97" s="45"/>
      <c r="S97" s="45"/>
      <c r="T97" s="45"/>
      <c r="U97" s="45"/>
      <c r="V97" s="45"/>
      <c r="W97" s="45"/>
      <c r="X97" s="45"/>
      <c r="Y97" s="45"/>
      <c r="Z97" s="56"/>
    </row>
    <row r="98" spans="1:26">
      <c r="A98" s="7" t="s">
        <v>389</v>
      </c>
      <c r="B98" s="40" t="s">
        <v>385</v>
      </c>
      <c r="C98" s="40" t="s">
        <v>216</v>
      </c>
      <c r="D98" s="40" t="s">
        <v>228</v>
      </c>
      <c r="E98" s="40" t="s">
        <v>426</v>
      </c>
      <c r="F98" s="40" t="s">
        <v>403</v>
      </c>
      <c r="G98" s="42">
        <f>J8+M8+N8</f>
        <v>553</v>
      </c>
      <c r="H98" s="51">
        <v>162</v>
      </c>
      <c r="I98" s="53">
        <v>0</v>
      </c>
      <c r="J98" s="51">
        <f>H98*(1+I98)</f>
        <v>162</v>
      </c>
      <c r="K98" s="54">
        <f>J98*G98</f>
        <v>89586</v>
      </c>
      <c r="M98" s="45"/>
      <c r="N98" s="45"/>
      <c r="O98" s="45"/>
      <c r="P98" s="45"/>
      <c r="Q98" s="45"/>
      <c r="R98" s="45"/>
      <c r="S98" s="45"/>
      <c r="T98" s="45"/>
      <c r="U98" s="45"/>
      <c r="V98" s="45"/>
      <c r="W98" s="45"/>
      <c r="X98" s="45"/>
      <c r="Y98" s="45"/>
      <c r="Z98" s="56"/>
    </row>
    <row r="99" spans="1:26">
      <c r="A99" s="7" t="s">
        <v>390</v>
      </c>
      <c r="B99" s="40" t="s">
        <v>385</v>
      </c>
      <c r="C99" s="40" t="s">
        <v>216</v>
      </c>
      <c r="D99" s="40" t="s">
        <v>228</v>
      </c>
      <c r="E99" s="40" t="s">
        <v>73</v>
      </c>
      <c r="F99" s="40" t="s">
        <v>108</v>
      </c>
      <c r="G99" s="38">
        <v>4</v>
      </c>
      <c r="H99" s="51">
        <v>250</v>
      </c>
      <c r="I99" s="53">
        <v>0</v>
      </c>
      <c r="J99" s="51">
        <f t="shared" si="20"/>
        <v>250</v>
      </c>
      <c r="K99" s="54">
        <f t="shared" si="21"/>
        <v>1000</v>
      </c>
      <c r="M99" s="45"/>
      <c r="N99" s="45"/>
      <c r="O99" s="45"/>
      <c r="P99" s="45"/>
      <c r="Q99" s="45"/>
      <c r="R99" s="45"/>
      <c r="S99" s="45"/>
      <c r="T99" s="45"/>
      <c r="U99" s="45"/>
      <c r="V99" s="45"/>
      <c r="W99" s="45"/>
      <c r="X99" s="45"/>
      <c r="Y99" s="45"/>
      <c r="Z99" s="56"/>
    </row>
    <row r="100" spans="1:26">
      <c r="A100" s="4" t="s">
        <v>391</v>
      </c>
      <c r="B100" s="151" t="s">
        <v>392</v>
      </c>
      <c r="C100" s="151"/>
      <c r="D100" s="151"/>
      <c r="E100" s="151"/>
      <c r="F100" s="151"/>
      <c r="G100" s="152"/>
      <c r="H100" s="153"/>
      <c r="I100" s="154"/>
      <c r="J100" s="153"/>
      <c r="K100" s="172"/>
      <c r="L100" s="70">
        <f>SUM(K101:K136)</f>
        <v>6962391.7291822322</v>
      </c>
      <c r="M100" s="45"/>
      <c r="N100" s="45"/>
      <c r="O100" s="45"/>
      <c r="P100" s="45"/>
      <c r="Q100" s="45"/>
      <c r="R100" s="45"/>
      <c r="S100" s="45"/>
      <c r="T100" s="45"/>
      <c r="U100" s="45"/>
      <c r="V100" s="45"/>
      <c r="W100" s="45"/>
      <c r="X100" s="45"/>
      <c r="Y100" s="45"/>
      <c r="Z100" s="56"/>
    </row>
    <row r="101" spans="1:26">
      <c r="A101" s="6" t="s">
        <v>393</v>
      </c>
      <c r="B101" s="47" t="s">
        <v>394</v>
      </c>
      <c r="C101" s="47" t="s">
        <v>216</v>
      </c>
      <c r="D101" s="47" t="s">
        <v>228</v>
      </c>
      <c r="E101" s="47"/>
      <c r="F101" s="47"/>
      <c r="G101" s="42"/>
      <c r="H101" s="61">
        <v>0.05</v>
      </c>
      <c r="I101" s="63">
        <v>0</v>
      </c>
      <c r="J101" s="66">
        <f t="shared" ref="J101:J136" si="22">H101*(1+I101)</f>
        <v>0.05</v>
      </c>
      <c r="K101" s="67">
        <f t="shared" ref="K101:K136" si="23">J101*G101</f>
        <v>0</v>
      </c>
      <c r="M101" s="45"/>
      <c r="N101" s="45"/>
      <c r="O101" s="45"/>
      <c r="P101" s="45"/>
      <c r="Q101" s="45"/>
      <c r="R101" s="45"/>
      <c r="S101" s="45"/>
      <c r="T101" s="45"/>
      <c r="U101" s="45"/>
      <c r="V101" s="45"/>
      <c r="W101" s="45"/>
      <c r="X101" s="45"/>
      <c r="Y101" s="45"/>
      <c r="Z101" s="56"/>
    </row>
    <row r="102" spans="1:26">
      <c r="A102" s="7" t="s">
        <v>395</v>
      </c>
      <c r="B102" s="40" t="s">
        <v>396</v>
      </c>
      <c r="C102" s="40" t="s">
        <v>216</v>
      </c>
      <c r="D102" s="40" t="s">
        <v>228</v>
      </c>
      <c r="E102" s="40" t="s">
        <v>73</v>
      </c>
      <c r="F102" s="40" t="s">
        <v>71</v>
      </c>
      <c r="G102" s="38">
        <v>1</v>
      </c>
      <c r="H102" s="51">
        <v>25000</v>
      </c>
      <c r="I102" s="53">
        <v>0</v>
      </c>
      <c r="J102" s="51">
        <f t="shared" si="22"/>
        <v>25000</v>
      </c>
      <c r="K102" s="54">
        <f t="shared" si="23"/>
        <v>25000</v>
      </c>
      <c r="M102" s="45"/>
      <c r="N102" s="45"/>
      <c r="O102" s="45"/>
      <c r="P102" s="45"/>
      <c r="Q102" s="45"/>
      <c r="R102" s="45"/>
      <c r="S102" s="45"/>
      <c r="T102" s="45"/>
      <c r="U102" s="45"/>
      <c r="V102" s="45"/>
      <c r="W102" s="45"/>
      <c r="X102" s="45"/>
      <c r="Y102" s="45"/>
      <c r="Z102" s="56"/>
    </row>
    <row r="103" spans="1:26">
      <c r="A103" s="7" t="s">
        <v>397</v>
      </c>
      <c r="B103" s="40" t="s">
        <v>398</v>
      </c>
      <c r="C103" s="40" t="s">
        <v>216</v>
      </c>
      <c r="D103" s="40" t="s">
        <v>228</v>
      </c>
      <c r="E103" s="40" t="s">
        <v>44</v>
      </c>
      <c r="F103" s="40" t="s">
        <v>61</v>
      </c>
      <c r="G103" s="38">
        <f t="shared" ref="G103:G123" si="24">$B$8</f>
        <v>426549</v>
      </c>
      <c r="H103" s="51">
        <v>0.85</v>
      </c>
      <c r="I103" s="53">
        <v>0</v>
      </c>
      <c r="J103" s="51">
        <f t="shared" si="22"/>
        <v>0.85</v>
      </c>
      <c r="K103" s="54">
        <f t="shared" si="23"/>
        <v>362566.64999999997</v>
      </c>
      <c r="M103" s="45"/>
      <c r="N103" s="45"/>
      <c r="O103" s="45"/>
      <c r="P103" s="45"/>
      <c r="Q103" s="45"/>
      <c r="R103" s="45"/>
      <c r="S103" s="45"/>
      <c r="T103" s="45"/>
      <c r="U103" s="45"/>
      <c r="V103" s="45"/>
      <c r="W103" s="45"/>
      <c r="X103" s="45"/>
      <c r="Y103" s="45"/>
      <c r="Z103" s="56"/>
    </row>
    <row r="104" spans="1:26">
      <c r="A104" s="7" t="s">
        <v>399</v>
      </c>
      <c r="B104" s="40" t="s">
        <v>400</v>
      </c>
      <c r="C104" s="40" t="s">
        <v>216</v>
      </c>
      <c r="D104" s="40" t="s">
        <v>228</v>
      </c>
      <c r="E104" s="40" t="s">
        <v>73</v>
      </c>
      <c r="F104" s="40" t="s">
        <v>71</v>
      </c>
      <c r="G104" s="38">
        <v>1</v>
      </c>
      <c r="H104" s="51">
        <v>75000</v>
      </c>
      <c r="I104" s="53">
        <v>0</v>
      </c>
      <c r="J104" s="51">
        <f t="shared" si="22"/>
        <v>75000</v>
      </c>
      <c r="K104" s="54">
        <f t="shared" si="23"/>
        <v>75000</v>
      </c>
      <c r="M104" s="45"/>
      <c r="N104" s="45"/>
      <c r="O104" s="45"/>
      <c r="P104" s="45"/>
      <c r="Q104" s="45"/>
      <c r="R104" s="45"/>
      <c r="S104" s="45"/>
      <c r="T104" s="45"/>
      <c r="U104" s="45"/>
      <c r="V104" s="45"/>
      <c r="W104" s="45"/>
      <c r="X104" s="45"/>
      <c r="Y104" s="45"/>
      <c r="Z104" s="56"/>
    </row>
    <row r="105" spans="1:26">
      <c r="A105" s="7" t="s">
        <v>307</v>
      </c>
      <c r="B105" s="40" t="s">
        <v>401</v>
      </c>
      <c r="C105" s="40" t="s">
        <v>216</v>
      </c>
      <c r="D105" s="40" t="s">
        <v>309</v>
      </c>
      <c r="E105" s="40" t="s">
        <v>402</v>
      </c>
      <c r="F105" s="40" t="s">
        <v>403</v>
      </c>
      <c r="G105" s="42">
        <f>$E$8</f>
        <v>390</v>
      </c>
      <c r="H105" s="51">
        <v>79</v>
      </c>
      <c r="I105" s="53">
        <v>0</v>
      </c>
      <c r="J105" s="51">
        <f t="shared" si="22"/>
        <v>79</v>
      </c>
      <c r="K105" s="54">
        <f t="shared" si="23"/>
        <v>30810</v>
      </c>
      <c r="M105" s="45"/>
      <c r="N105" s="45"/>
      <c r="O105" s="45"/>
      <c r="P105" s="45"/>
      <c r="Q105" s="45"/>
      <c r="R105" s="45"/>
      <c r="S105" s="45"/>
      <c r="T105" s="45"/>
      <c r="U105" s="45"/>
      <c r="V105" s="45"/>
      <c r="W105" s="45"/>
      <c r="X105" s="45"/>
      <c r="Y105" s="45"/>
      <c r="Z105" s="56"/>
    </row>
    <row r="106" spans="1:26">
      <c r="A106" s="7" t="s">
        <v>404</v>
      </c>
      <c r="B106" s="40" t="s">
        <v>405</v>
      </c>
      <c r="C106" s="40" t="s">
        <v>216</v>
      </c>
      <c r="D106" s="40" t="s">
        <v>223</v>
      </c>
      <c r="E106" s="40" t="s">
        <v>73</v>
      </c>
      <c r="F106" s="40" t="s">
        <v>71</v>
      </c>
      <c r="G106" s="38">
        <v>1</v>
      </c>
      <c r="H106" s="51">
        <v>10000</v>
      </c>
      <c r="I106" s="53">
        <v>0</v>
      </c>
      <c r="J106" s="51">
        <f t="shared" si="22"/>
        <v>10000</v>
      </c>
      <c r="K106" s="54">
        <f t="shared" si="23"/>
        <v>10000</v>
      </c>
      <c r="M106" s="45"/>
      <c r="N106" s="45"/>
      <c r="O106" s="45"/>
      <c r="P106" s="45"/>
      <c r="Q106" s="45"/>
      <c r="R106" s="45"/>
      <c r="S106" s="45"/>
      <c r="T106" s="45"/>
      <c r="U106" s="45"/>
      <c r="V106" s="45"/>
      <c r="W106" s="45"/>
      <c r="X106" s="45"/>
      <c r="Y106" s="45"/>
      <c r="Z106" s="56"/>
    </row>
    <row r="107" spans="1:26">
      <c r="A107" s="7" t="s">
        <v>159</v>
      </c>
      <c r="B107" s="40" t="s">
        <v>406</v>
      </c>
      <c r="C107" s="40" t="s">
        <v>216</v>
      </c>
      <c r="D107" s="40" t="s">
        <v>228</v>
      </c>
      <c r="E107" s="40" t="s">
        <v>1092</v>
      </c>
      <c r="F107" s="40" t="s">
        <v>62</v>
      </c>
      <c r="G107" s="38">
        <f>Q11</f>
        <v>26012</v>
      </c>
      <c r="H107" s="51">
        <v>40.81</v>
      </c>
      <c r="I107" s="53">
        <v>0</v>
      </c>
      <c r="J107" s="51">
        <v>40.81</v>
      </c>
      <c r="K107" s="54">
        <f t="shared" si="23"/>
        <v>1061549.72</v>
      </c>
      <c r="M107" s="45" t="s">
        <v>1097</v>
      </c>
      <c r="N107" s="45"/>
      <c r="O107" s="45"/>
      <c r="P107" s="45"/>
      <c r="Q107" s="45"/>
      <c r="R107" s="45"/>
      <c r="S107" s="45"/>
      <c r="T107" s="45"/>
      <c r="U107" s="45"/>
      <c r="V107" s="45"/>
      <c r="W107" s="45"/>
      <c r="X107" s="45"/>
      <c r="Y107" s="45"/>
      <c r="Z107" s="56"/>
    </row>
    <row r="108" spans="1:26">
      <c r="A108" s="7" t="s">
        <v>407</v>
      </c>
      <c r="B108" s="40" t="s">
        <v>406</v>
      </c>
      <c r="C108" s="40" t="s">
        <v>283</v>
      </c>
      <c r="D108" s="40" t="s">
        <v>235</v>
      </c>
      <c r="E108" s="40" t="s">
        <v>73</v>
      </c>
      <c r="F108" s="40" t="s">
        <v>71</v>
      </c>
      <c r="G108" s="38">
        <f>Q15</f>
        <v>1</v>
      </c>
      <c r="H108" s="51">
        <v>6000</v>
      </c>
      <c r="I108" s="53">
        <v>0</v>
      </c>
      <c r="J108" s="51">
        <f t="shared" si="22"/>
        <v>6000</v>
      </c>
      <c r="K108" s="54">
        <f t="shared" si="23"/>
        <v>6000</v>
      </c>
      <c r="M108" s="45"/>
      <c r="N108" s="45"/>
      <c r="O108" s="45"/>
      <c r="P108" s="45"/>
      <c r="Q108" s="45"/>
      <c r="R108" s="45"/>
      <c r="S108" s="45"/>
      <c r="T108" s="45"/>
      <c r="U108" s="45"/>
      <c r="V108" s="45"/>
      <c r="W108" s="45"/>
      <c r="X108" s="45"/>
      <c r="Y108" s="45"/>
      <c r="Z108" s="56"/>
    </row>
    <row r="109" spans="1:26">
      <c r="A109" s="7" t="s">
        <v>408</v>
      </c>
      <c r="B109" s="40" t="s">
        <v>409</v>
      </c>
      <c r="C109" s="40" t="s">
        <v>216</v>
      </c>
      <c r="D109" s="40" t="s">
        <v>242</v>
      </c>
      <c r="E109" s="40" t="s">
        <v>231</v>
      </c>
      <c r="F109" s="40"/>
      <c r="G109" s="38"/>
      <c r="H109" s="51"/>
      <c r="I109" s="53">
        <v>0</v>
      </c>
      <c r="J109" s="51">
        <f t="shared" si="22"/>
        <v>0</v>
      </c>
      <c r="K109" s="54">
        <f t="shared" si="23"/>
        <v>0</v>
      </c>
      <c r="M109" s="45"/>
      <c r="N109" s="45"/>
      <c r="O109" s="45"/>
      <c r="P109" s="45"/>
      <c r="Q109" s="45"/>
      <c r="R109" s="45"/>
      <c r="S109" s="45"/>
      <c r="T109" s="45"/>
      <c r="U109" s="45"/>
      <c r="V109" s="45"/>
      <c r="W109" s="45"/>
      <c r="X109" s="45"/>
      <c r="Y109" s="45"/>
      <c r="Z109" s="56"/>
    </row>
    <row r="110" spans="1:26">
      <c r="A110" s="7" t="s">
        <v>410</v>
      </c>
      <c r="B110" s="40" t="s">
        <v>411</v>
      </c>
      <c r="C110" s="40" t="s">
        <v>283</v>
      </c>
      <c r="D110" s="40" t="s">
        <v>242</v>
      </c>
      <c r="E110" s="40" t="s">
        <v>73</v>
      </c>
      <c r="F110" s="40" t="s">
        <v>71</v>
      </c>
      <c r="G110" s="38">
        <f>$Q$7</f>
        <v>1</v>
      </c>
      <c r="H110" s="51">
        <v>2000</v>
      </c>
      <c r="I110" s="53">
        <v>0</v>
      </c>
      <c r="J110" s="51">
        <f t="shared" si="22"/>
        <v>2000</v>
      </c>
      <c r="K110" s="54">
        <f t="shared" si="23"/>
        <v>2000</v>
      </c>
      <c r="M110" s="45"/>
      <c r="N110" s="45"/>
      <c r="O110" s="45"/>
      <c r="P110" s="45"/>
      <c r="Q110" s="45"/>
      <c r="R110" s="45"/>
      <c r="S110" s="45"/>
      <c r="T110" s="45"/>
      <c r="U110" s="45"/>
      <c r="V110" s="45"/>
      <c r="W110" s="45"/>
      <c r="X110" s="45"/>
      <c r="Y110" s="45"/>
      <c r="Z110" s="56"/>
    </row>
    <row r="111" spans="1:26">
      <c r="A111" s="7" t="s">
        <v>412</v>
      </c>
      <c r="B111" s="40" t="s">
        <v>413</v>
      </c>
      <c r="C111" s="40" t="s">
        <v>216</v>
      </c>
      <c r="D111" s="40" t="s">
        <v>242</v>
      </c>
      <c r="E111" s="40" t="s">
        <v>231</v>
      </c>
      <c r="F111" s="40"/>
      <c r="G111" s="38"/>
      <c r="H111" s="51"/>
      <c r="I111" s="53">
        <v>0</v>
      </c>
      <c r="J111" s="51">
        <f t="shared" si="22"/>
        <v>0</v>
      </c>
      <c r="K111" s="54">
        <f t="shared" si="23"/>
        <v>0</v>
      </c>
      <c r="M111" s="45"/>
      <c r="N111" s="45"/>
      <c r="O111" s="45"/>
      <c r="P111" s="45"/>
      <c r="Q111" s="45"/>
      <c r="R111" s="45"/>
      <c r="S111" s="45"/>
      <c r="T111" s="45"/>
      <c r="U111" s="45"/>
      <c r="V111" s="45"/>
      <c r="W111" s="45"/>
      <c r="X111" s="45"/>
      <c r="Y111" s="45"/>
      <c r="Z111" s="56"/>
    </row>
    <row r="112" spans="1:26">
      <c r="A112" s="7" t="s">
        <v>414</v>
      </c>
      <c r="B112" s="40" t="s">
        <v>415</v>
      </c>
      <c r="C112" s="40" t="s">
        <v>216</v>
      </c>
      <c r="D112" s="40" t="s">
        <v>250</v>
      </c>
      <c r="E112" s="40" t="s">
        <v>231</v>
      </c>
      <c r="F112" s="40"/>
      <c r="G112" s="38"/>
      <c r="H112" s="51"/>
      <c r="I112" s="53">
        <v>0</v>
      </c>
      <c r="J112" s="51">
        <f t="shared" si="22"/>
        <v>0</v>
      </c>
      <c r="K112" s="54">
        <f t="shared" si="23"/>
        <v>0</v>
      </c>
      <c r="M112" s="45"/>
      <c r="N112" s="45"/>
      <c r="O112" s="45"/>
      <c r="P112" s="45"/>
      <c r="Q112" s="45"/>
      <c r="R112" s="45"/>
      <c r="S112" s="45"/>
      <c r="T112" s="45"/>
      <c r="U112" s="45"/>
      <c r="V112" s="45"/>
      <c r="W112" s="45"/>
      <c r="X112" s="45"/>
      <c r="Y112" s="45"/>
      <c r="Z112" s="56"/>
    </row>
    <row r="113" spans="1:26">
      <c r="A113" s="7" t="s">
        <v>416</v>
      </c>
      <c r="B113" s="201" t="s">
        <v>406</v>
      </c>
      <c r="C113" s="40" t="s">
        <v>283</v>
      </c>
      <c r="D113" s="40" t="s">
        <v>228</v>
      </c>
      <c r="E113" s="40" t="s">
        <v>73</v>
      </c>
      <c r="F113" s="40" t="s">
        <v>71</v>
      </c>
      <c r="G113" s="38">
        <v>1</v>
      </c>
      <c r="H113" s="51">
        <f>1500*3</f>
        <v>4500</v>
      </c>
      <c r="I113" s="53">
        <v>0</v>
      </c>
      <c r="J113" s="51">
        <f t="shared" si="22"/>
        <v>4500</v>
      </c>
      <c r="K113" s="54">
        <f t="shared" si="23"/>
        <v>4500</v>
      </c>
      <c r="M113" s="45"/>
      <c r="N113" s="45"/>
      <c r="O113" s="45"/>
      <c r="P113" s="45"/>
      <c r="Q113" s="45"/>
      <c r="R113" s="45"/>
      <c r="S113" s="45"/>
      <c r="T113" s="45"/>
      <c r="U113" s="45"/>
      <c r="V113" s="45"/>
      <c r="W113" s="45"/>
      <c r="X113" s="45"/>
      <c r="Y113" s="45"/>
      <c r="Z113" s="56"/>
    </row>
    <row r="114" spans="1:26">
      <c r="A114" s="7" t="s">
        <v>417</v>
      </c>
      <c r="B114" s="40" t="s">
        <v>418</v>
      </c>
      <c r="C114" s="40" t="s">
        <v>216</v>
      </c>
      <c r="D114" s="40" t="s">
        <v>228</v>
      </c>
      <c r="E114" s="40" t="s">
        <v>44</v>
      </c>
      <c r="F114" s="40" t="s">
        <v>61</v>
      </c>
      <c r="G114" s="38">
        <f t="shared" ref="G114" si="25">$B$8</f>
        <v>426549</v>
      </c>
      <c r="H114" s="51">
        <v>8.02</v>
      </c>
      <c r="I114" s="53">
        <v>0</v>
      </c>
      <c r="J114" s="51">
        <f t="shared" si="22"/>
        <v>8.02</v>
      </c>
      <c r="K114" s="54">
        <f t="shared" si="23"/>
        <v>3420922.98</v>
      </c>
      <c r="M114" s="45"/>
      <c r="N114" s="45"/>
      <c r="O114" s="45"/>
      <c r="P114" s="45"/>
      <c r="Q114" s="45"/>
      <c r="R114" s="45"/>
      <c r="S114" s="45"/>
      <c r="T114" s="45"/>
      <c r="U114" s="45"/>
      <c r="V114" s="45"/>
      <c r="W114" s="45"/>
      <c r="X114" s="45"/>
      <c r="Y114" s="45"/>
      <c r="Z114" s="56"/>
    </row>
    <row r="115" spans="1:26">
      <c r="A115" s="7" t="s">
        <v>421</v>
      </c>
      <c r="B115" s="201" t="s">
        <v>418</v>
      </c>
      <c r="C115" s="40" t="s">
        <v>283</v>
      </c>
      <c r="D115" s="40" t="s">
        <v>228</v>
      </c>
      <c r="E115" s="40" t="s">
        <v>73</v>
      </c>
      <c r="F115" s="40" t="s">
        <v>403</v>
      </c>
      <c r="G115" s="42">
        <f>$E$8</f>
        <v>390</v>
      </c>
      <c r="H115" s="51">
        <v>85</v>
      </c>
      <c r="I115" s="53">
        <v>0</v>
      </c>
      <c r="J115" s="51">
        <f t="shared" si="22"/>
        <v>85</v>
      </c>
      <c r="K115" s="54">
        <f t="shared" si="23"/>
        <v>33150</v>
      </c>
      <c r="M115" s="45"/>
      <c r="N115" s="45"/>
      <c r="O115" s="45"/>
      <c r="P115" s="45"/>
      <c r="Q115" s="45"/>
      <c r="R115" s="45"/>
      <c r="S115" s="45"/>
      <c r="T115" s="45"/>
      <c r="U115" s="45"/>
      <c r="V115" s="45"/>
      <c r="W115" s="45"/>
      <c r="X115" s="45"/>
      <c r="Y115" s="45"/>
      <c r="Z115" s="56"/>
    </row>
    <row r="116" spans="1:26">
      <c r="A116" s="7" t="s">
        <v>422</v>
      </c>
      <c r="B116" s="40" t="s">
        <v>423</v>
      </c>
      <c r="C116" s="40" t="s">
        <v>216</v>
      </c>
      <c r="D116" s="40" t="s">
        <v>228</v>
      </c>
      <c r="E116" s="40" t="s">
        <v>231</v>
      </c>
      <c r="F116" s="40"/>
      <c r="G116" s="38"/>
      <c r="H116" s="51"/>
      <c r="I116" s="53">
        <v>0</v>
      </c>
      <c r="J116" s="51">
        <f t="shared" si="22"/>
        <v>0</v>
      </c>
      <c r="K116" s="54">
        <f t="shared" si="23"/>
        <v>0</v>
      </c>
      <c r="M116" s="45"/>
      <c r="N116" s="45"/>
      <c r="O116" s="45"/>
      <c r="P116" s="45"/>
      <c r="Q116" s="45"/>
      <c r="R116" s="45"/>
      <c r="S116" s="45"/>
      <c r="T116" s="45"/>
      <c r="U116" s="45"/>
      <c r="V116" s="45"/>
      <c r="W116" s="45"/>
      <c r="X116" s="45"/>
      <c r="Y116" s="45"/>
      <c r="Z116" s="56"/>
    </row>
    <row r="117" spans="1:26">
      <c r="A117" s="7" t="s">
        <v>424</v>
      </c>
      <c r="B117" s="40" t="s">
        <v>425</v>
      </c>
      <c r="C117" s="40" t="s">
        <v>216</v>
      </c>
      <c r="D117" s="40" t="s">
        <v>303</v>
      </c>
      <c r="E117" s="40" t="s">
        <v>426</v>
      </c>
      <c r="F117" s="40" t="s">
        <v>71</v>
      </c>
      <c r="G117" s="38">
        <v>1</v>
      </c>
      <c r="H117" s="51">
        <v>67657</v>
      </c>
      <c r="I117" s="53">
        <v>0</v>
      </c>
      <c r="J117" s="51">
        <f t="shared" si="22"/>
        <v>67657</v>
      </c>
      <c r="K117" s="54">
        <f t="shared" si="23"/>
        <v>67657</v>
      </c>
      <c r="M117" s="45"/>
      <c r="N117" s="45"/>
      <c r="O117" s="45"/>
      <c r="P117" s="45"/>
      <c r="Q117" s="45"/>
      <c r="R117" s="45"/>
      <c r="S117" s="45"/>
      <c r="T117" s="45"/>
      <c r="U117" s="45"/>
      <c r="V117" s="45"/>
      <c r="W117" s="45"/>
      <c r="X117" s="45"/>
      <c r="Y117" s="45"/>
      <c r="Z117" s="56"/>
    </row>
    <row r="118" spans="1:26">
      <c r="A118" s="7" t="s">
        <v>427</v>
      </c>
      <c r="B118" s="40" t="s">
        <v>428</v>
      </c>
      <c r="C118" s="40" t="s">
        <v>216</v>
      </c>
      <c r="D118" s="40" t="s">
        <v>228</v>
      </c>
      <c r="E118" s="40" t="s">
        <v>231</v>
      </c>
      <c r="F118" s="40"/>
      <c r="G118" s="38"/>
      <c r="H118" s="51"/>
      <c r="I118" s="53">
        <v>0</v>
      </c>
      <c r="J118" s="51">
        <f t="shared" si="22"/>
        <v>0</v>
      </c>
      <c r="K118" s="54">
        <f t="shared" si="23"/>
        <v>0</v>
      </c>
      <c r="M118" s="45"/>
      <c r="N118" s="45"/>
      <c r="O118" s="45"/>
      <c r="P118" s="45"/>
      <c r="Q118" s="45"/>
      <c r="R118" s="45"/>
      <c r="S118" s="45"/>
      <c r="T118" s="45"/>
      <c r="U118" s="45"/>
      <c r="V118" s="45"/>
      <c r="W118" s="45"/>
      <c r="X118" s="45"/>
      <c r="Y118" s="45"/>
      <c r="Z118" s="56"/>
    </row>
    <row r="119" spans="1:26">
      <c r="A119" s="7" t="s">
        <v>429</v>
      </c>
      <c r="B119" s="40" t="s">
        <v>430</v>
      </c>
      <c r="C119" s="40" t="s">
        <v>216</v>
      </c>
      <c r="D119" s="40" t="s">
        <v>242</v>
      </c>
      <c r="E119" s="40" t="s">
        <v>231</v>
      </c>
      <c r="F119" s="40"/>
      <c r="G119" s="38"/>
      <c r="H119" s="51"/>
      <c r="I119" s="53">
        <v>0</v>
      </c>
      <c r="J119" s="51">
        <f t="shared" si="22"/>
        <v>0</v>
      </c>
      <c r="K119" s="54">
        <f t="shared" si="23"/>
        <v>0</v>
      </c>
      <c r="M119" s="45"/>
      <c r="N119" s="45"/>
      <c r="O119" s="45"/>
      <c r="P119" s="45"/>
      <c r="Q119" s="45"/>
      <c r="R119" s="45"/>
      <c r="S119" s="45"/>
      <c r="T119" s="45"/>
      <c r="U119" s="45"/>
      <c r="V119" s="45"/>
      <c r="W119" s="45"/>
      <c r="X119" s="45"/>
      <c r="Y119" s="45"/>
      <c r="Z119" s="56"/>
    </row>
    <row r="120" spans="1:26">
      <c r="A120" s="7" t="s">
        <v>431</v>
      </c>
      <c r="B120" s="40" t="s">
        <v>432</v>
      </c>
      <c r="C120" s="40" t="s">
        <v>216</v>
      </c>
      <c r="D120" s="40" t="s">
        <v>228</v>
      </c>
      <c r="E120" s="40" t="s">
        <v>543</v>
      </c>
      <c r="F120" s="40" t="s">
        <v>62</v>
      </c>
      <c r="G120" s="38">
        <f>Q12/9</f>
        <v>36919.555555555555</v>
      </c>
      <c r="H120" s="51">
        <v>18.754769220888928</v>
      </c>
      <c r="I120" s="53">
        <v>0</v>
      </c>
      <c r="J120" s="51">
        <f t="shared" si="22"/>
        <v>18.754769220888928</v>
      </c>
      <c r="K120" s="54">
        <f t="shared" si="23"/>
        <v>692417.74418223219</v>
      </c>
      <c r="M120" s="45" t="s">
        <v>1098</v>
      </c>
      <c r="N120" s="45"/>
      <c r="O120" s="45"/>
      <c r="P120" s="45"/>
      <c r="Q120" s="45"/>
      <c r="R120" s="45"/>
      <c r="S120" s="45"/>
      <c r="T120" s="45"/>
      <c r="U120" s="45"/>
      <c r="V120" s="45"/>
      <c r="W120" s="45"/>
      <c r="X120" s="45"/>
      <c r="Y120" s="45"/>
      <c r="Z120" s="56"/>
    </row>
    <row r="121" spans="1:26">
      <c r="A121" s="7" t="s">
        <v>435</v>
      </c>
      <c r="B121" s="40" t="s">
        <v>436</v>
      </c>
      <c r="C121" s="40" t="s">
        <v>216</v>
      </c>
      <c r="D121" s="40" t="s">
        <v>303</v>
      </c>
      <c r="E121" s="40"/>
      <c r="F121" s="40"/>
      <c r="G121" s="38">
        <v>0</v>
      </c>
      <c r="H121" s="51">
        <v>30184</v>
      </c>
      <c r="I121" s="53">
        <v>0</v>
      </c>
      <c r="J121" s="51">
        <f t="shared" si="22"/>
        <v>30184</v>
      </c>
      <c r="K121" s="54">
        <f t="shared" si="23"/>
        <v>0</v>
      </c>
      <c r="M121" s="45"/>
      <c r="N121" s="45"/>
      <c r="O121" s="45"/>
      <c r="P121" s="45"/>
      <c r="Q121" s="45"/>
      <c r="R121" s="45"/>
      <c r="S121" s="45"/>
      <c r="T121" s="45"/>
      <c r="U121" s="45"/>
      <c r="V121" s="45"/>
      <c r="W121" s="45"/>
      <c r="X121" s="45"/>
      <c r="Y121" s="45"/>
      <c r="Z121" s="56"/>
    </row>
    <row r="122" spans="1:26">
      <c r="A122" s="7" t="s">
        <v>437</v>
      </c>
      <c r="B122" s="40" t="s">
        <v>438</v>
      </c>
      <c r="C122" s="40" t="s">
        <v>216</v>
      </c>
      <c r="D122" s="40" t="s">
        <v>303</v>
      </c>
      <c r="E122" s="40"/>
      <c r="F122" s="40"/>
      <c r="G122" s="38">
        <v>0</v>
      </c>
      <c r="H122" s="51">
        <v>1994</v>
      </c>
      <c r="I122" s="53">
        <v>0</v>
      </c>
      <c r="J122" s="51">
        <f t="shared" si="22"/>
        <v>1994</v>
      </c>
      <c r="K122" s="54">
        <f t="shared" si="23"/>
        <v>0</v>
      </c>
      <c r="M122" s="45"/>
      <c r="N122" s="45"/>
      <c r="O122" s="45"/>
      <c r="P122" s="45"/>
      <c r="Q122" s="45"/>
      <c r="R122" s="45"/>
      <c r="S122" s="45"/>
      <c r="T122" s="45"/>
      <c r="U122" s="45"/>
      <c r="V122" s="45"/>
      <c r="W122" s="45"/>
      <c r="X122" s="45"/>
      <c r="Y122" s="45"/>
      <c r="Z122" s="56"/>
    </row>
    <row r="123" spans="1:26">
      <c r="A123" s="7" t="s">
        <v>439</v>
      </c>
      <c r="B123" s="40" t="s">
        <v>440</v>
      </c>
      <c r="C123" s="40" t="s">
        <v>216</v>
      </c>
      <c r="D123" s="40" t="s">
        <v>303</v>
      </c>
      <c r="E123" s="40" t="s">
        <v>426</v>
      </c>
      <c r="F123" s="40" t="s">
        <v>61</v>
      </c>
      <c r="G123" s="38">
        <f t="shared" si="24"/>
        <v>426549</v>
      </c>
      <c r="H123" s="51">
        <v>0.37</v>
      </c>
      <c r="I123" s="53">
        <v>0</v>
      </c>
      <c r="J123" s="51">
        <f t="shared" si="22"/>
        <v>0.37</v>
      </c>
      <c r="K123" s="54">
        <f t="shared" si="23"/>
        <v>157823.13</v>
      </c>
      <c r="M123" s="45"/>
      <c r="N123" s="45"/>
      <c r="O123" s="45"/>
      <c r="P123" s="45"/>
      <c r="Q123" s="45"/>
      <c r="R123" s="45"/>
      <c r="S123" s="45"/>
      <c r="T123" s="45"/>
      <c r="U123" s="45"/>
      <c r="V123" s="45"/>
      <c r="W123" s="45"/>
      <c r="X123" s="45"/>
      <c r="Y123" s="45"/>
      <c r="Z123" s="56"/>
    </row>
    <row r="124" spans="1:26">
      <c r="A124" s="7" t="s">
        <v>441</v>
      </c>
      <c r="B124" s="201" t="s">
        <v>440</v>
      </c>
      <c r="C124" s="40" t="s">
        <v>283</v>
      </c>
      <c r="D124" s="40" t="s">
        <v>303</v>
      </c>
      <c r="E124" s="40" t="s">
        <v>73</v>
      </c>
      <c r="F124" s="40" t="s">
        <v>108</v>
      </c>
      <c r="G124" s="38">
        <f>Q3</f>
        <v>4</v>
      </c>
      <c r="H124" s="51">
        <v>1000</v>
      </c>
      <c r="I124" s="53">
        <v>0</v>
      </c>
      <c r="J124" s="51">
        <f t="shared" si="22"/>
        <v>1000</v>
      </c>
      <c r="K124" s="54">
        <f t="shared" si="23"/>
        <v>4000</v>
      </c>
      <c r="M124" s="45"/>
      <c r="N124" s="45"/>
      <c r="O124" s="45"/>
      <c r="P124" s="45"/>
      <c r="Q124" s="45"/>
      <c r="R124" s="45"/>
      <c r="S124" s="45"/>
      <c r="T124" s="45"/>
      <c r="U124" s="45"/>
      <c r="V124" s="45"/>
      <c r="W124" s="45"/>
      <c r="X124" s="45"/>
      <c r="Y124" s="45"/>
      <c r="Z124" s="56"/>
    </row>
    <row r="125" spans="1:26">
      <c r="A125" s="7" t="s">
        <v>442</v>
      </c>
      <c r="B125" s="40" t="s">
        <v>443</v>
      </c>
      <c r="C125" s="40" t="s">
        <v>216</v>
      </c>
      <c r="D125" s="40" t="s">
        <v>303</v>
      </c>
      <c r="E125" s="40"/>
      <c r="F125" s="40" t="s">
        <v>61</v>
      </c>
      <c r="G125" s="38">
        <v>0</v>
      </c>
      <c r="H125" s="51">
        <v>9.0909000000000004E-2</v>
      </c>
      <c r="I125" s="53">
        <v>0</v>
      </c>
      <c r="J125" s="51">
        <f t="shared" si="22"/>
        <v>9.0909000000000004E-2</v>
      </c>
      <c r="K125" s="54">
        <f t="shared" si="23"/>
        <v>0</v>
      </c>
      <c r="M125" s="45"/>
      <c r="N125" s="45"/>
      <c r="O125" s="45"/>
      <c r="P125" s="45"/>
      <c r="Q125" s="45"/>
      <c r="R125" s="45"/>
      <c r="S125" s="45"/>
      <c r="T125" s="45"/>
      <c r="U125" s="45"/>
      <c r="V125" s="45"/>
      <c r="W125" s="45"/>
      <c r="X125" s="45"/>
      <c r="Y125" s="45"/>
      <c r="Z125" s="56"/>
    </row>
    <row r="126" spans="1:26">
      <c r="A126" s="7" t="s">
        <v>444</v>
      </c>
      <c r="B126" s="40" t="s">
        <v>445</v>
      </c>
      <c r="C126" s="40" t="s">
        <v>216</v>
      </c>
      <c r="D126" s="40" t="s">
        <v>303</v>
      </c>
      <c r="E126" s="40"/>
      <c r="F126" s="40" t="s">
        <v>61</v>
      </c>
      <c r="G126" s="38">
        <v>0</v>
      </c>
      <c r="H126" s="51">
        <v>0.182</v>
      </c>
      <c r="I126" s="53">
        <v>0</v>
      </c>
      <c r="J126" s="51">
        <f t="shared" si="22"/>
        <v>0.182</v>
      </c>
      <c r="K126" s="54">
        <f t="shared" si="23"/>
        <v>0</v>
      </c>
      <c r="M126" s="45"/>
      <c r="N126" s="45"/>
      <c r="O126" s="45"/>
      <c r="P126" s="45"/>
      <c r="Q126" s="45"/>
      <c r="R126" s="45"/>
      <c r="S126" s="45"/>
      <c r="T126" s="45"/>
      <c r="U126" s="45"/>
      <c r="V126" s="45"/>
      <c r="W126" s="45"/>
      <c r="X126" s="45"/>
      <c r="Y126" s="45"/>
      <c r="Z126" s="56"/>
    </row>
    <row r="127" spans="1:26">
      <c r="A127" s="7" t="s">
        <v>446</v>
      </c>
      <c r="B127" s="40" t="s">
        <v>447</v>
      </c>
      <c r="C127" s="40" t="s">
        <v>216</v>
      </c>
      <c r="D127" s="40" t="s">
        <v>303</v>
      </c>
      <c r="E127" s="40" t="s">
        <v>426</v>
      </c>
      <c r="F127" s="40" t="s">
        <v>61</v>
      </c>
      <c r="G127" s="38">
        <f>1140*2</f>
        <v>2280</v>
      </c>
      <c r="H127" s="51">
        <v>16.53</v>
      </c>
      <c r="I127" s="53">
        <v>0</v>
      </c>
      <c r="J127" s="51">
        <f t="shared" si="22"/>
        <v>16.53</v>
      </c>
      <c r="K127" s="54">
        <f t="shared" si="23"/>
        <v>37688.400000000001</v>
      </c>
      <c r="M127" s="45"/>
      <c r="N127" s="45"/>
      <c r="O127" s="45"/>
      <c r="P127" s="45"/>
      <c r="Q127" s="45"/>
      <c r="R127" s="45"/>
      <c r="S127" s="45"/>
      <c r="T127" s="45"/>
      <c r="U127" s="45"/>
      <c r="V127" s="45"/>
      <c r="W127" s="45"/>
      <c r="X127" s="45"/>
      <c r="Y127" s="45"/>
      <c r="Z127" s="56"/>
    </row>
    <row r="128" spans="1:26">
      <c r="A128" s="7" t="s">
        <v>448</v>
      </c>
      <c r="B128" s="40" t="s">
        <v>449</v>
      </c>
      <c r="C128" s="40" t="s">
        <v>216</v>
      </c>
      <c r="D128" s="40" t="s">
        <v>303</v>
      </c>
      <c r="E128" s="40" t="s">
        <v>426</v>
      </c>
      <c r="F128" s="40" t="s">
        <v>450</v>
      </c>
      <c r="G128" s="38">
        <f>4*2+6*3+4*3+7*2</f>
        <v>52</v>
      </c>
      <c r="H128" s="51">
        <f>1848.14/4</f>
        <v>462.03500000000003</v>
      </c>
      <c r="I128" s="53">
        <v>0</v>
      </c>
      <c r="J128" s="51">
        <f t="shared" si="22"/>
        <v>462.03500000000003</v>
      </c>
      <c r="K128" s="54">
        <f t="shared" si="23"/>
        <v>24025.82</v>
      </c>
      <c r="M128" s="45"/>
      <c r="N128" s="45"/>
      <c r="O128" s="45"/>
      <c r="P128" s="45"/>
      <c r="Q128" s="45"/>
      <c r="R128" s="45"/>
      <c r="S128" s="45"/>
      <c r="T128" s="45"/>
      <c r="U128" s="45"/>
      <c r="V128" s="45"/>
      <c r="W128" s="45"/>
      <c r="X128" s="45"/>
      <c r="Y128" s="45"/>
      <c r="Z128" s="56"/>
    </row>
    <row r="129" spans="1:26">
      <c r="A129" s="7" t="s">
        <v>451</v>
      </c>
      <c r="B129" s="40" t="s">
        <v>452</v>
      </c>
      <c r="C129" s="40" t="s">
        <v>216</v>
      </c>
      <c r="D129" s="40" t="s">
        <v>303</v>
      </c>
      <c r="E129" s="40" t="s">
        <v>426</v>
      </c>
      <c r="F129" s="40" t="s">
        <v>61</v>
      </c>
      <c r="G129" s="38">
        <f>SUM($W$11:$W$15)*0.25</f>
        <v>11241.75</v>
      </c>
      <c r="H129" s="51">
        <v>1.5</v>
      </c>
      <c r="I129" s="53">
        <v>0</v>
      </c>
      <c r="J129" s="51">
        <f t="shared" si="22"/>
        <v>1.5</v>
      </c>
      <c r="K129" s="54">
        <f t="shared" si="23"/>
        <v>16862.625</v>
      </c>
      <c r="M129" s="45" t="s">
        <v>1060</v>
      </c>
      <c r="N129" s="45"/>
      <c r="O129" s="45"/>
      <c r="P129" s="45"/>
      <c r="Q129" s="45"/>
      <c r="R129" s="45"/>
      <c r="S129" s="45"/>
      <c r="T129" s="45"/>
      <c r="U129" s="45"/>
      <c r="V129" s="45"/>
      <c r="W129" s="45"/>
      <c r="X129" s="45"/>
      <c r="Y129" s="45"/>
      <c r="Z129" s="56"/>
    </row>
    <row r="130" spans="1:26">
      <c r="A130" s="7" t="s">
        <v>453</v>
      </c>
      <c r="B130" s="40" t="s">
        <v>454</v>
      </c>
      <c r="C130" s="40" t="s">
        <v>216</v>
      </c>
      <c r="D130" s="40" t="s">
        <v>303</v>
      </c>
      <c r="E130" s="40" t="s">
        <v>426</v>
      </c>
      <c r="F130" s="40" t="s">
        <v>61</v>
      </c>
      <c r="G130" s="38">
        <f>SUM($W$11:$W$15)*0.25</f>
        <v>11241.75</v>
      </c>
      <c r="H130" s="51">
        <v>10</v>
      </c>
      <c r="I130" s="53">
        <v>0</v>
      </c>
      <c r="J130" s="51">
        <f t="shared" si="22"/>
        <v>10</v>
      </c>
      <c r="K130" s="54">
        <f t="shared" si="23"/>
        <v>112417.5</v>
      </c>
      <c r="M130" s="45" t="s">
        <v>1060</v>
      </c>
      <c r="N130" s="45"/>
      <c r="O130" s="45"/>
      <c r="P130" s="45"/>
      <c r="Q130" s="45"/>
      <c r="R130" s="45"/>
      <c r="S130" s="45"/>
      <c r="T130" s="45"/>
      <c r="U130" s="45"/>
      <c r="V130" s="45"/>
      <c r="W130" s="45"/>
      <c r="X130" s="45"/>
      <c r="Y130" s="45"/>
      <c r="Z130" s="56"/>
    </row>
    <row r="131" spans="1:26">
      <c r="A131" s="7" t="s">
        <v>455</v>
      </c>
      <c r="B131" s="201" t="s">
        <v>456</v>
      </c>
      <c r="C131" s="40" t="s">
        <v>283</v>
      </c>
      <c r="D131" s="40" t="s">
        <v>228</v>
      </c>
      <c r="E131" s="40" t="s">
        <v>73</v>
      </c>
      <c r="F131" s="40" t="s">
        <v>403</v>
      </c>
      <c r="G131" s="42">
        <f>$E$8</f>
        <v>390</v>
      </c>
      <c r="H131" s="51">
        <v>85</v>
      </c>
      <c r="I131" s="53">
        <v>0</v>
      </c>
      <c r="J131" s="51">
        <f t="shared" si="22"/>
        <v>85</v>
      </c>
      <c r="K131" s="54">
        <f t="shared" si="23"/>
        <v>33150</v>
      </c>
      <c r="M131" s="45"/>
      <c r="N131" s="45"/>
      <c r="O131" s="45"/>
      <c r="P131" s="45"/>
      <c r="Q131" s="45"/>
      <c r="R131" s="45"/>
      <c r="S131" s="45"/>
      <c r="T131" s="45"/>
      <c r="U131" s="45"/>
      <c r="V131" s="45"/>
      <c r="W131" s="45"/>
      <c r="X131" s="45"/>
      <c r="Y131" s="45"/>
      <c r="Z131" s="56"/>
    </row>
    <row r="132" spans="1:26">
      <c r="A132" s="7" t="s">
        <v>457</v>
      </c>
      <c r="B132" s="40" t="s">
        <v>456</v>
      </c>
      <c r="C132" s="40" t="s">
        <v>216</v>
      </c>
      <c r="D132" s="40" t="s">
        <v>228</v>
      </c>
      <c r="E132" s="40" t="s">
        <v>44</v>
      </c>
      <c r="F132" s="40" t="s">
        <v>61</v>
      </c>
      <c r="G132" s="38">
        <f t="shared" ref="G132" si="26">$B$8</f>
        <v>426549</v>
      </c>
      <c r="H132" s="51">
        <v>1.84</v>
      </c>
      <c r="I132" s="53">
        <v>0</v>
      </c>
      <c r="J132" s="51">
        <f t="shared" si="22"/>
        <v>1.84</v>
      </c>
      <c r="K132" s="54">
        <f t="shared" si="23"/>
        <v>784850.16</v>
      </c>
      <c r="M132" s="45"/>
      <c r="N132" s="45"/>
      <c r="O132" s="45"/>
      <c r="P132" s="45"/>
      <c r="Q132" s="45"/>
      <c r="R132" s="45"/>
      <c r="S132" s="45"/>
      <c r="T132" s="45"/>
      <c r="U132" s="45"/>
      <c r="V132" s="45"/>
      <c r="W132" s="45"/>
      <c r="X132" s="45"/>
      <c r="Y132" s="45"/>
      <c r="Z132" s="56"/>
    </row>
    <row r="133" spans="1:26">
      <c r="A133" s="7" t="s">
        <v>460</v>
      </c>
      <c r="B133" s="40" t="s">
        <v>461</v>
      </c>
      <c r="C133" s="40" t="s">
        <v>216</v>
      </c>
      <c r="D133" s="40" t="s">
        <v>228</v>
      </c>
      <c r="E133" s="40" t="s">
        <v>231</v>
      </c>
      <c r="F133" s="40"/>
      <c r="G133" s="38"/>
      <c r="H133" s="51"/>
      <c r="I133" s="53">
        <v>0</v>
      </c>
      <c r="J133" s="51">
        <f t="shared" si="22"/>
        <v>0</v>
      </c>
      <c r="K133" s="54">
        <f t="shared" si="23"/>
        <v>0</v>
      </c>
      <c r="M133" s="45"/>
      <c r="N133" s="45"/>
      <c r="O133" s="45"/>
      <c r="P133" s="45"/>
      <c r="Q133" s="45"/>
      <c r="R133" s="45"/>
      <c r="S133" s="45"/>
      <c r="T133" s="45"/>
      <c r="U133" s="45"/>
      <c r="V133" s="45"/>
      <c r="W133" s="45"/>
      <c r="X133" s="45"/>
      <c r="Y133" s="45"/>
      <c r="Z133" s="56"/>
    </row>
    <row r="134" spans="1:26">
      <c r="A134" s="7" t="s">
        <v>462</v>
      </c>
      <c r="B134" s="40" t="s">
        <v>463</v>
      </c>
      <c r="C134" s="40" t="s">
        <v>216</v>
      </c>
      <c r="D134" s="40" t="s">
        <v>242</v>
      </c>
      <c r="E134" s="40" t="s">
        <v>231</v>
      </c>
      <c r="F134" s="40"/>
      <c r="G134" s="38"/>
      <c r="H134" s="51"/>
      <c r="I134" s="53">
        <v>0</v>
      </c>
      <c r="J134" s="51">
        <f t="shared" si="22"/>
        <v>0</v>
      </c>
      <c r="K134" s="54">
        <f t="shared" si="23"/>
        <v>0</v>
      </c>
      <c r="M134" s="45"/>
      <c r="N134" s="45"/>
      <c r="O134" s="45"/>
      <c r="P134" s="45"/>
      <c r="Q134" s="45"/>
      <c r="R134" s="45"/>
      <c r="S134" s="45"/>
      <c r="T134" s="45"/>
      <c r="U134" s="45"/>
      <c r="V134" s="45"/>
      <c r="W134" s="45"/>
      <c r="X134" s="45"/>
      <c r="Y134" s="45"/>
      <c r="Z134" s="56"/>
    </row>
    <row r="135" spans="1:26">
      <c r="A135" s="7" t="s">
        <v>464</v>
      </c>
      <c r="B135" s="40"/>
      <c r="C135" s="40" t="s">
        <v>216</v>
      </c>
      <c r="D135" s="40" t="s">
        <v>303</v>
      </c>
      <c r="E135" s="40" t="s">
        <v>231</v>
      </c>
      <c r="F135" s="40"/>
      <c r="G135" s="38"/>
      <c r="H135" s="51"/>
      <c r="I135" s="53">
        <v>0</v>
      </c>
      <c r="J135" s="51">
        <f t="shared" si="22"/>
        <v>0</v>
      </c>
      <c r="K135" s="54">
        <f t="shared" si="23"/>
        <v>0</v>
      </c>
      <c r="M135" s="45"/>
      <c r="N135" s="45"/>
      <c r="O135" s="45"/>
      <c r="P135" s="45"/>
      <c r="Q135" s="45"/>
      <c r="R135" s="45"/>
      <c r="S135" s="45"/>
      <c r="T135" s="45"/>
      <c r="U135" s="45"/>
      <c r="V135" s="45"/>
      <c r="W135" s="45"/>
      <c r="X135" s="45"/>
      <c r="Y135" s="45"/>
      <c r="Z135" s="56"/>
    </row>
    <row r="136" spans="1:26">
      <c r="A136" s="7" t="s">
        <v>466</v>
      </c>
      <c r="B136" s="40" t="s">
        <v>465</v>
      </c>
      <c r="C136" s="40" t="s">
        <v>216</v>
      </c>
      <c r="D136" s="40" t="s">
        <v>303</v>
      </c>
      <c r="E136" s="40" t="s">
        <v>231</v>
      </c>
      <c r="F136" s="40"/>
      <c r="G136" s="38"/>
      <c r="H136" s="51"/>
      <c r="I136" s="53">
        <v>0</v>
      </c>
      <c r="J136" s="51">
        <f t="shared" si="22"/>
        <v>0</v>
      </c>
      <c r="K136" s="54">
        <f t="shared" si="23"/>
        <v>0</v>
      </c>
      <c r="M136" s="45"/>
      <c r="N136" s="45"/>
      <c r="O136" s="45"/>
      <c r="P136" s="45"/>
      <c r="Q136" s="45"/>
      <c r="R136" s="45"/>
      <c r="S136" s="45"/>
      <c r="T136" s="45"/>
      <c r="U136" s="45"/>
      <c r="V136" s="45"/>
      <c r="W136" s="45"/>
      <c r="X136" s="45"/>
      <c r="Y136" s="45"/>
      <c r="Z136" s="56"/>
    </row>
    <row r="137" spans="1:26">
      <c r="A137" s="4" t="s">
        <v>467</v>
      </c>
      <c r="B137" s="151" t="s">
        <v>468</v>
      </c>
      <c r="C137" s="151"/>
      <c r="D137" s="151"/>
      <c r="E137" s="151"/>
      <c r="F137" s="151"/>
      <c r="G137" s="152"/>
      <c r="H137" s="153"/>
      <c r="I137" s="154"/>
      <c r="J137" s="153"/>
      <c r="K137" s="172"/>
      <c r="L137" s="70">
        <f>SUM(K138:K153)</f>
        <v>530008</v>
      </c>
      <c r="M137" s="45"/>
      <c r="N137" s="45"/>
      <c r="O137" s="45"/>
      <c r="P137" s="45"/>
      <c r="Q137" s="45"/>
      <c r="R137" s="45"/>
      <c r="S137" s="45"/>
      <c r="T137" s="45"/>
      <c r="U137" s="45"/>
      <c r="V137" s="45"/>
      <c r="W137" s="45"/>
      <c r="X137" s="45"/>
      <c r="Y137" s="45"/>
      <c r="Z137" s="56"/>
    </row>
    <row r="138" spans="1:26">
      <c r="A138" s="6" t="s">
        <v>469</v>
      </c>
      <c r="B138" s="47" t="s">
        <v>470</v>
      </c>
      <c r="C138" s="47" t="s">
        <v>216</v>
      </c>
      <c r="D138" s="47" t="s">
        <v>223</v>
      </c>
      <c r="E138" s="47" t="s">
        <v>231</v>
      </c>
      <c r="F138" s="47"/>
      <c r="G138" s="42"/>
      <c r="H138" s="61"/>
      <c r="I138" s="63">
        <v>0</v>
      </c>
      <c r="J138" s="66">
        <f t="shared" ref="J138:J153" si="27">H138*(1+I138)</f>
        <v>0</v>
      </c>
      <c r="K138" s="67">
        <f t="shared" ref="K138:K153" si="28">J138*G138</f>
        <v>0</v>
      </c>
      <c r="M138" s="45"/>
      <c r="N138" s="45"/>
      <c r="O138" s="45"/>
      <c r="P138" s="45"/>
      <c r="Q138" s="45"/>
      <c r="R138" s="45"/>
      <c r="S138" s="45"/>
      <c r="T138" s="45"/>
      <c r="U138" s="45"/>
      <c r="V138" s="45"/>
      <c r="W138" s="45"/>
      <c r="X138" s="45"/>
      <c r="Y138" s="45"/>
      <c r="Z138" s="56"/>
    </row>
    <row r="139" spans="1:26">
      <c r="A139" s="7" t="s">
        <v>471</v>
      </c>
      <c r="B139" s="40" t="s">
        <v>472</v>
      </c>
      <c r="C139" s="40" t="s">
        <v>216</v>
      </c>
      <c r="D139" s="40" t="s">
        <v>473</v>
      </c>
      <c r="E139" s="40" t="s">
        <v>555</v>
      </c>
      <c r="F139" s="40" t="s">
        <v>88</v>
      </c>
      <c r="G139" s="42">
        <f>$E$8</f>
        <v>390</v>
      </c>
      <c r="H139" s="51">
        <v>155</v>
      </c>
      <c r="I139" s="53">
        <v>0</v>
      </c>
      <c r="J139" s="51">
        <f t="shared" si="27"/>
        <v>155</v>
      </c>
      <c r="K139" s="54">
        <f t="shared" si="28"/>
        <v>60450</v>
      </c>
      <c r="M139" s="45"/>
      <c r="N139" s="45"/>
      <c r="O139" s="45"/>
      <c r="P139" s="45"/>
      <c r="Q139" s="45"/>
      <c r="R139" s="45"/>
      <c r="S139" s="45"/>
      <c r="T139" s="45"/>
      <c r="U139" s="45"/>
      <c r="V139" s="45"/>
      <c r="W139" s="45"/>
      <c r="X139" s="45"/>
      <c r="Y139" s="45"/>
      <c r="Z139" s="56"/>
    </row>
    <row r="140" spans="1:26">
      <c r="A140" s="7" t="s">
        <v>474</v>
      </c>
      <c r="B140" s="40" t="s">
        <v>475</v>
      </c>
      <c r="C140" s="40" t="s">
        <v>216</v>
      </c>
      <c r="D140" s="40" t="s">
        <v>223</v>
      </c>
      <c r="E140" s="60" t="s">
        <v>73</v>
      </c>
      <c r="F140" s="40" t="s">
        <v>71</v>
      </c>
      <c r="G140" s="38">
        <v>1</v>
      </c>
      <c r="H140" s="51">
        <v>6000</v>
      </c>
      <c r="I140" s="53">
        <v>0</v>
      </c>
      <c r="J140" s="51">
        <f t="shared" si="27"/>
        <v>6000</v>
      </c>
      <c r="K140" s="54">
        <f t="shared" si="28"/>
        <v>6000</v>
      </c>
      <c r="M140" s="45"/>
      <c r="N140" s="45"/>
      <c r="O140" s="45"/>
      <c r="P140" s="45"/>
      <c r="Q140" s="45"/>
      <c r="R140" s="45"/>
      <c r="S140" s="45"/>
      <c r="T140" s="45"/>
      <c r="U140" s="45"/>
      <c r="V140" s="45"/>
      <c r="W140" s="45"/>
      <c r="X140" s="45"/>
      <c r="Y140" s="45"/>
      <c r="Z140" s="56"/>
    </row>
    <row r="141" spans="1:26">
      <c r="A141" s="7" t="s">
        <v>477</v>
      </c>
      <c r="B141" s="40" t="s">
        <v>478</v>
      </c>
      <c r="C141" s="40" t="s">
        <v>216</v>
      </c>
      <c r="D141" s="40" t="s">
        <v>223</v>
      </c>
      <c r="E141" s="40" t="s">
        <v>73</v>
      </c>
      <c r="F141" s="40" t="s">
        <v>71</v>
      </c>
      <c r="G141" s="38">
        <v>1</v>
      </c>
      <c r="H141" s="51">
        <v>5000</v>
      </c>
      <c r="I141" s="53">
        <v>0</v>
      </c>
      <c r="J141" s="51">
        <f t="shared" si="27"/>
        <v>5000</v>
      </c>
      <c r="K141" s="54">
        <f t="shared" si="28"/>
        <v>5000</v>
      </c>
      <c r="M141" s="45"/>
      <c r="N141" s="45"/>
      <c r="O141" s="45"/>
      <c r="P141" s="45"/>
      <c r="Q141" s="45"/>
      <c r="R141" s="45"/>
      <c r="S141" s="45"/>
      <c r="T141" s="45"/>
      <c r="U141" s="45"/>
      <c r="V141" s="45"/>
      <c r="W141" s="45"/>
      <c r="X141" s="45"/>
      <c r="Y141" s="45"/>
      <c r="Z141" s="56"/>
    </row>
    <row r="142" spans="1:26">
      <c r="A142" s="7" t="s">
        <v>479</v>
      </c>
      <c r="B142" s="40" t="s">
        <v>480</v>
      </c>
      <c r="C142" s="40" t="s">
        <v>216</v>
      </c>
      <c r="D142" s="40" t="s">
        <v>1005</v>
      </c>
      <c r="E142" s="40" t="s">
        <v>73</v>
      </c>
      <c r="F142" s="40" t="s">
        <v>71</v>
      </c>
      <c r="G142" s="38">
        <v>1</v>
      </c>
      <c r="H142" s="51">
        <v>7000</v>
      </c>
      <c r="I142" s="53">
        <v>0</v>
      </c>
      <c r="J142" s="51">
        <f t="shared" si="27"/>
        <v>7000</v>
      </c>
      <c r="K142" s="54">
        <f t="shared" si="28"/>
        <v>7000</v>
      </c>
      <c r="M142" s="45"/>
      <c r="N142" s="45"/>
      <c r="O142" s="45"/>
      <c r="P142" s="45"/>
      <c r="Q142" s="45"/>
      <c r="R142" s="45"/>
      <c r="S142" s="45"/>
      <c r="T142" s="45"/>
      <c r="U142" s="45"/>
      <c r="V142" s="45"/>
      <c r="W142" s="45"/>
      <c r="X142" s="45"/>
      <c r="Y142" s="45"/>
      <c r="Z142" s="56"/>
    </row>
    <row r="143" spans="1:26">
      <c r="A143" s="7" t="s">
        <v>482</v>
      </c>
      <c r="B143" s="40" t="s">
        <v>483</v>
      </c>
      <c r="C143" s="40" t="s">
        <v>216</v>
      </c>
      <c r="D143" s="40" t="s">
        <v>228</v>
      </c>
      <c r="E143" s="40" t="s">
        <v>555</v>
      </c>
      <c r="F143" s="40" t="s">
        <v>484</v>
      </c>
      <c r="G143" s="42">
        <f>$E$8+E6+E7</f>
        <v>553</v>
      </c>
      <c r="H143" s="51">
        <v>17</v>
      </c>
      <c r="I143" s="53">
        <v>0</v>
      </c>
      <c r="J143" s="51">
        <f t="shared" si="27"/>
        <v>17</v>
      </c>
      <c r="K143" s="54">
        <f t="shared" si="28"/>
        <v>9401</v>
      </c>
      <c r="M143" s="45"/>
      <c r="N143" s="45"/>
      <c r="O143" s="45"/>
      <c r="P143" s="45"/>
      <c r="Q143" s="45"/>
      <c r="R143" s="45"/>
      <c r="S143" s="45"/>
      <c r="T143" s="45"/>
      <c r="U143" s="45"/>
      <c r="V143" s="45"/>
      <c r="W143" s="45"/>
      <c r="X143" s="45"/>
      <c r="Y143" s="45"/>
      <c r="Z143" s="56"/>
    </row>
    <row r="144" spans="1:26">
      <c r="A144" s="7" t="s">
        <v>485</v>
      </c>
      <c r="B144" s="40" t="s">
        <v>486</v>
      </c>
      <c r="C144" s="40" t="s">
        <v>216</v>
      </c>
      <c r="D144" s="40" t="s">
        <v>228</v>
      </c>
      <c r="E144" s="40" t="s">
        <v>231</v>
      </c>
      <c r="F144" s="40"/>
      <c r="G144" s="38"/>
      <c r="H144" s="51"/>
      <c r="I144" s="53">
        <v>0</v>
      </c>
      <c r="J144" s="51">
        <f t="shared" si="27"/>
        <v>0</v>
      </c>
      <c r="K144" s="54">
        <f t="shared" si="28"/>
        <v>0</v>
      </c>
      <c r="M144" s="45"/>
      <c r="N144" s="45"/>
      <c r="O144" s="45"/>
      <c r="P144" s="45"/>
      <c r="Q144" s="45"/>
      <c r="R144" s="45"/>
      <c r="S144" s="45"/>
      <c r="T144" s="45"/>
      <c r="U144" s="45"/>
      <c r="V144" s="45"/>
      <c r="W144" s="45"/>
      <c r="X144" s="45"/>
      <c r="Y144" s="45"/>
      <c r="Z144" s="56"/>
    </row>
    <row r="145" spans="1:30">
      <c r="A145" s="7" t="s">
        <v>487</v>
      </c>
      <c r="B145" s="40" t="s">
        <v>488</v>
      </c>
      <c r="C145" s="40" t="s">
        <v>216</v>
      </c>
      <c r="D145" s="40" t="s">
        <v>228</v>
      </c>
      <c r="E145" s="40" t="s">
        <v>231</v>
      </c>
      <c r="F145" s="40"/>
      <c r="G145" s="38"/>
      <c r="H145" s="51"/>
      <c r="I145" s="53">
        <v>0</v>
      </c>
      <c r="J145" s="51">
        <f t="shared" si="27"/>
        <v>0</v>
      </c>
      <c r="K145" s="54">
        <f t="shared" si="28"/>
        <v>0</v>
      </c>
      <c r="M145" s="45"/>
      <c r="N145" s="45"/>
      <c r="O145" s="45"/>
      <c r="P145" s="45"/>
      <c r="Q145" s="45"/>
      <c r="R145" s="45"/>
      <c r="S145" s="45"/>
      <c r="T145" s="45"/>
      <c r="U145" s="45"/>
      <c r="V145" s="45"/>
      <c r="W145" s="45"/>
      <c r="X145" s="45"/>
      <c r="Y145" s="45"/>
      <c r="Z145" s="56"/>
    </row>
    <row r="146" spans="1:30">
      <c r="A146" s="7" t="s">
        <v>489</v>
      </c>
      <c r="B146" s="40" t="s">
        <v>490</v>
      </c>
      <c r="C146" s="40" t="s">
        <v>216</v>
      </c>
      <c r="D146" s="40" t="s">
        <v>242</v>
      </c>
      <c r="E146" s="40" t="s">
        <v>231</v>
      </c>
      <c r="F146" s="40"/>
      <c r="G146" s="38"/>
      <c r="H146" s="51"/>
      <c r="I146" s="53">
        <v>0</v>
      </c>
      <c r="J146" s="51">
        <f t="shared" si="27"/>
        <v>0</v>
      </c>
      <c r="K146" s="54">
        <f t="shared" si="28"/>
        <v>0</v>
      </c>
      <c r="M146" s="45"/>
      <c r="N146" s="45"/>
      <c r="O146" s="45"/>
      <c r="P146" s="45"/>
      <c r="Q146" s="45"/>
      <c r="R146" s="45"/>
      <c r="S146" s="45"/>
      <c r="T146" s="45"/>
      <c r="U146" s="45"/>
      <c r="V146" s="45"/>
      <c r="W146" s="45"/>
      <c r="X146" s="45"/>
      <c r="Y146" s="45"/>
      <c r="Z146" s="56"/>
    </row>
    <row r="147" spans="1:30">
      <c r="A147" s="7" t="s">
        <v>491</v>
      </c>
      <c r="B147" s="40" t="s">
        <v>492</v>
      </c>
      <c r="C147" s="40" t="s">
        <v>216</v>
      </c>
      <c r="D147" s="40" t="s">
        <v>242</v>
      </c>
      <c r="E147" s="40" t="s">
        <v>493</v>
      </c>
      <c r="F147" s="40" t="s">
        <v>71</v>
      </c>
      <c r="G147" s="38">
        <f>$W$16</f>
        <v>4</v>
      </c>
      <c r="H147" s="51">
        <v>3360</v>
      </c>
      <c r="I147" s="53">
        <v>0</v>
      </c>
      <c r="J147" s="51">
        <f t="shared" si="27"/>
        <v>3360</v>
      </c>
      <c r="K147" s="54">
        <f t="shared" si="28"/>
        <v>13440</v>
      </c>
      <c r="M147" s="45"/>
      <c r="N147" s="45"/>
      <c r="O147" s="45"/>
      <c r="P147" s="45"/>
      <c r="Q147" s="45"/>
      <c r="R147" s="45"/>
      <c r="S147" s="45"/>
      <c r="T147" s="45"/>
      <c r="U147" s="45"/>
      <c r="V147" s="45"/>
      <c r="W147" s="45"/>
      <c r="X147" s="45"/>
      <c r="Y147" s="45"/>
      <c r="Z147" s="56"/>
    </row>
    <row r="148" spans="1:30">
      <c r="A148" s="7" t="s">
        <v>191</v>
      </c>
      <c r="B148" s="40" t="s">
        <v>494</v>
      </c>
      <c r="C148" s="40" t="s">
        <v>216</v>
      </c>
      <c r="D148" s="40" t="s">
        <v>223</v>
      </c>
      <c r="E148" s="40" t="s">
        <v>73</v>
      </c>
      <c r="F148" s="40" t="s">
        <v>108</v>
      </c>
      <c r="G148" s="38">
        <f>$Q$16</f>
        <v>10</v>
      </c>
      <c r="H148" s="51">
        <v>600</v>
      </c>
      <c r="I148" s="53">
        <v>0</v>
      </c>
      <c r="J148" s="51">
        <f t="shared" si="27"/>
        <v>600</v>
      </c>
      <c r="K148" s="54">
        <f t="shared" si="28"/>
        <v>6000</v>
      </c>
      <c r="M148" s="45"/>
      <c r="N148" s="45"/>
      <c r="O148" s="45"/>
      <c r="P148" s="45"/>
      <c r="Q148" s="45"/>
      <c r="R148" s="45"/>
      <c r="S148" s="45"/>
      <c r="T148" s="45"/>
      <c r="U148" s="45"/>
      <c r="V148" s="45"/>
      <c r="W148" s="45"/>
      <c r="X148" s="45"/>
      <c r="Y148" s="45"/>
      <c r="Z148" s="56"/>
    </row>
    <row r="149" spans="1:30">
      <c r="A149" s="7" t="s">
        <v>495</v>
      </c>
      <c r="B149" s="40" t="s">
        <v>496</v>
      </c>
      <c r="C149" s="40" t="s">
        <v>216</v>
      </c>
      <c r="D149" s="40" t="s">
        <v>228</v>
      </c>
      <c r="E149" s="40" t="s">
        <v>73</v>
      </c>
      <c r="F149" s="40" t="s">
        <v>88</v>
      </c>
      <c r="G149" s="42">
        <f>$E$8</f>
        <v>390</v>
      </c>
      <c r="H149" s="51">
        <v>80</v>
      </c>
      <c r="I149" s="53">
        <v>0</v>
      </c>
      <c r="J149" s="51">
        <f t="shared" si="27"/>
        <v>80</v>
      </c>
      <c r="K149" s="54">
        <f t="shared" si="28"/>
        <v>31200</v>
      </c>
      <c r="M149" s="45"/>
      <c r="N149" s="45"/>
      <c r="O149" s="45"/>
      <c r="P149" s="45"/>
      <c r="Q149" s="45"/>
      <c r="R149" s="45"/>
      <c r="S149" s="45"/>
      <c r="T149" s="45"/>
      <c r="U149" s="45"/>
      <c r="V149" s="45"/>
      <c r="W149" s="45"/>
      <c r="X149" s="45"/>
      <c r="Y149" s="45"/>
      <c r="Z149" s="56"/>
    </row>
    <row r="150" spans="1:30">
      <c r="A150" s="7" t="s">
        <v>497</v>
      </c>
      <c r="B150" s="40" t="s">
        <v>498</v>
      </c>
      <c r="C150" s="40" t="s">
        <v>216</v>
      </c>
      <c r="D150" s="40" t="s">
        <v>228</v>
      </c>
      <c r="E150" s="40" t="s">
        <v>1061</v>
      </c>
      <c r="F150" s="40" t="s">
        <v>88</v>
      </c>
      <c r="G150" s="42">
        <f>$E$8</f>
        <v>390</v>
      </c>
      <c r="H150" s="51">
        <v>153</v>
      </c>
      <c r="I150" s="53">
        <v>0.1</v>
      </c>
      <c r="J150" s="51">
        <f t="shared" si="27"/>
        <v>168.3</v>
      </c>
      <c r="K150" s="54">
        <f t="shared" si="28"/>
        <v>65637</v>
      </c>
      <c r="M150" s="45" t="s">
        <v>1099</v>
      </c>
      <c r="N150" s="45"/>
      <c r="O150" s="45"/>
      <c r="P150" s="45"/>
      <c r="Q150" s="45"/>
      <c r="R150" s="45"/>
      <c r="S150" s="45"/>
      <c r="T150" s="45"/>
      <c r="U150" s="45"/>
      <c r="V150" s="45"/>
      <c r="W150" s="45"/>
      <c r="X150" s="45"/>
      <c r="Y150" s="45"/>
      <c r="Z150" s="56"/>
    </row>
    <row r="151" spans="1:30">
      <c r="A151" s="7" t="s">
        <v>499</v>
      </c>
      <c r="B151" s="40" t="s">
        <v>500</v>
      </c>
      <c r="C151" s="40" t="s">
        <v>216</v>
      </c>
      <c r="D151" s="40" t="s">
        <v>228</v>
      </c>
      <c r="E151" s="40" t="s">
        <v>44</v>
      </c>
      <c r="F151" s="40" t="s">
        <v>88</v>
      </c>
      <c r="G151" s="42">
        <f>$E$8</f>
        <v>390</v>
      </c>
      <c r="H151" s="51">
        <v>220</v>
      </c>
      <c r="I151" s="53">
        <v>0.1</v>
      </c>
      <c r="J151" s="51">
        <f t="shared" si="27"/>
        <v>242.00000000000003</v>
      </c>
      <c r="K151" s="54">
        <f t="shared" si="28"/>
        <v>94380.000000000015</v>
      </c>
      <c r="M151" s="45" t="s">
        <v>1063</v>
      </c>
      <c r="N151" s="45"/>
      <c r="O151" s="45"/>
      <c r="P151" s="45"/>
      <c r="Q151" s="45"/>
      <c r="R151" s="45"/>
      <c r="S151" s="45"/>
      <c r="T151" s="45"/>
      <c r="U151" s="45"/>
      <c r="V151" s="45"/>
      <c r="W151" s="45"/>
      <c r="X151" s="45"/>
      <c r="Y151" s="45"/>
      <c r="Z151" s="56"/>
    </row>
    <row r="152" spans="1:30">
      <c r="A152" s="7" t="s">
        <v>502</v>
      </c>
      <c r="B152" s="40" t="s">
        <v>503</v>
      </c>
      <c r="C152" s="40" t="s">
        <v>216</v>
      </c>
      <c r="D152" s="40" t="s">
        <v>228</v>
      </c>
      <c r="E152" s="40" t="s">
        <v>44</v>
      </c>
      <c r="F152" s="40" t="s">
        <v>148</v>
      </c>
      <c r="G152" s="38">
        <f>$Q$17</f>
        <v>58</v>
      </c>
      <c r="H152" s="51">
        <f>250*10</f>
        <v>2500</v>
      </c>
      <c r="I152" s="53">
        <v>0</v>
      </c>
      <c r="J152" s="51">
        <f t="shared" si="27"/>
        <v>2500</v>
      </c>
      <c r="K152" s="54">
        <f t="shared" si="28"/>
        <v>145000</v>
      </c>
      <c r="M152" s="45" t="s">
        <v>1064</v>
      </c>
      <c r="N152" s="45"/>
      <c r="O152" s="45"/>
      <c r="P152" s="45"/>
      <c r="Q152" s="45"/>
      <c r="R152" s="45"/>
      <c r="S152" s="45"/>
      <c r="T152" s="45"/>
      <c r="U152" s="45"/>
      <c r="V152" s="45"/>
      <c r="W152" s="45"/>
      <c r="X152" s="45"/>
      <c r="Y152" s="45"/>
      <c r="Z152" s="56"/>
      <c r="AB152" s="55">
        <f>2*3</f>
        <v>6</v>
      </c>
      <c r="AC152" s="55">
        <v>35546.666666666664</v>
      </c>
      <c r="AD152" s="55">
        <f>AC152*AB152</f>
        <v>213280</v>
      </c>
    </row>
    <row r="153" spans="1:30">
      <c r="A153" s="7" t="s">
        <v>504</v>
      </c>
      <c r="B153" s="40" t="s">
        <v>503</v>
      </c>
      <c r="C153" s="40" t="s">
        <v>216</v>
      </c>
      <c r="D153" s="40" t="s">
        <v>228</v>
      </c>
      <c r="E153" s="40" t="s">
        <v>44</v>
      </c>
      <c r="F153" s="40" t="s">
        <v>148</v>
      </c>
      <c r="G153" s="38">
        <f>$Q$18</f>
        <v>10</v>
      </c>
      <c r="H153" s="51">
        <v>8650</v>
      </c>
      <c r="I153" s="53">
        <v>0</v>
      </c>
      <c r="J153" s="51">
        <f t="shared" si="27"/>
        <v>8650</v>
      </c>
      <c r="K153" s="54">
        <f t="shared" si="28"/>
        <v>86500</v>
      </c>
      <c r="M153" s="45" t="s">
        <v>1064</v>
      </c>
      <c r="N153" s="45"/>
      <c r="O153" s="45"/>
      <c r="P153" s="45"/>
      <c r="Q153" s="45"/>
      <c r="R153" s="45"/>
      <c r="S153" s="45"/>
      <c r="T153" s="45"/>
      <c r="U153" s="45"/>
      <c r="V153" s="45"/>
      <c r="W153" s="45"/>
      <c r="X153" s="45"/>
      <c r="Y153" s="45"/>
      <c r="Z153" s="56"/>
      <c r="AB153" s="55">
        <f>2*3</f>
        <v>6</v>
      </c>
      <c r="AC153" s="55">
        <v>35546.666666666664</v>
      </c>
      <c r="AD153" s="55">
        <f t="shared" ref="AD153:AD154" si="29">AC153*AB153</f>
        <v>213280</v>
      </c>
    </row>
    <row r="154" spans="1:30">
      <c r="A154" s="4" t="s">
        <v>505</v>
      </c>
      <c r="B154" s="151" t="s">
        <v>506</v>
      </c>
      <c r="C154" s="151"/>
      <c r="D154" s="151"/>
      <c r="E154" s="151"/>
      <c r="F154" s="151"/>
      <c r="G154" s="152"/>
      <c r="H154" s="153"/>
      <c r="I154" s="154"/>
      <c r="J154" s="153"/>
      <c r="K154" s="172"/>
      <c r="L154" s="70">
        <f>SUM(K155:K156)</f>
        <v>1248584</v>
      </c>
      <c r="M154" s="45"/>
      <c r="N154" s="45"/>
      <c r="O154" s="45"/>
      <c r="P154" s="45"/>
      <c r="Q154" s="45"/>
      <c r="R154" s="45"/>
      <c r="S154" s="45"/>
      <c r="T154" s="45"/>
      <c r="U154" s="45"/>
      <c r="V154" s="45"/>
      <c r="W154" s="45"/>
      <c r="X154" s="45"/>
      <c r="Y154" s="45"/>
      <c r="Z154" s="56"/>
      <c r="AB154" s="55">
        <f>2*2</f>
        <v>4</v>
      </c>
      <c r="AC154" s="55">
        <v>35546.666666666664</v>
      </c>
      <c r="AD154" s="55">
        <f t="shared" si="29"/>
        <v>142186.66666666666</v>
      </c>
    </row>
    <row r="155" spans="1:30">
      <c r="A155" s="7" t="s">
        <v>507</v>
      </c>
      <c r="B155" s="40" t="s">
        <v>508</v>
      </c>
      <c r="C155" s="40" t="s">
        <v>216</v>
      </c>
      <c r="D155" s="40" t="s">
        <v>228</v>
      </c>
      <c r="E155" s="40" t="s">
        <v>426</v>
      </c>
      <c r="F155" s="40" t="s">
        <v>88</v>
      </c>
      <c r="G155" s="38">
        <f>$E$8</f>
        <v>390</v>
      </c>
      <c r="H155" s="51">
        <v>3201.4974358974359</v>
      </c>
      <c r="I155" s="53">
        <v>0</v>
      </c>
      <c r="J155" s="51">
        <f>H155*(1+I155)</f>
        <v>3201.4974358974359</v>
      </c>
      <c r="K155" s="54">
        <f>J155*G155</f>
        <v>1248584</v>
      </c>
      <c r="M155" s="45"/>
      <c r="N155" s="45"/>
      <c r="O155" s="45"/>
      <c r="P155" s="45"/>
      <c r="Q155" s="45"/>
      <c r="R155" s="45"/>
      <c r="S155" s="45"/>
      <c r="T155" s="45"/>
      <c r="U155" s="45"/>
      <c r="V155" s="45"/>
      <c r="W155" s="45"/>
      <c r="X155" s="45"/>
      <c r="Y155" s="45"/>
      <c r="Z155" s="56"/>
      <c r="AD155" s="55">
        <f>SUM(AD152:AD154)</f>
        <v>568746.66666666663</v>
      </c>
    </row>
    <row r="156" spans="1:30">
      <c r="A156" s="7" t="s">
        <v>509</v>
      </c>
      <c r="B156" s="40" t="s">
        <v>508</v>
      </c>
      <c r="C156" s="40" t="s">
        <v>216</v>
      </c>
      <c r="D156" s="40" t="s">
        <v>228</v>
      </c>
      <c r="E156" s="40"/>
      <c r="F156" s="40"/>
      <c r="G156" s="38"/>
      <c r="H156" s="51"/>
      <c r="I156" s="53">
        <v>0</v>
      </c>
      <c r="J156" s="51">
        <f>H156*(1+I156)</f>
        <v>0</v>
      </c>
      <c r="K156" s="54">
        <f>J156*G156</f>
        <v>0</v>
      </c>
      <c r="M156" s="45"/>
      <c r="N156" s="45"/>
      <c r="O156" s="45"/>
      <c r="P156" s="45"/>
      <c r="Q156" s="45"/>
      <c r="R156" s="45"/>
      <c r="S156" s="45"/>
      <c r="T156" s="45"/>
      <c r="U156" s="45"/>
      <c r="V156" s="45"/>
      <c r="W156" s="45"/>
      <c r="X156" s="45"/>
      <c r="Y156" s="45"/>
      <c r="Z156" s="56"/>
    </row>
    <row r="157" spans="1:30">
      <c r="A157" s="4" t="s">
        <v>510</v>
      </c>
      <c r="B157" s="151" t="s">
        <v>511</v>
      </c>
      <c r="C157" s="151"/>
      <c r="D157" s="151"/>
      <c r="E157" s="151"/>
      <c r="F157" s="151"/>
      <c r="G157" s="152"/>
      <c r="H157" s="153"/>
      <c r="I157" s="154"/>
      <c r="J157" s="153"/>
      <c r="K157" s="172"/>
      <c r="L157" s="70">
        <f>SUM(K158:K165)</f>
        <v>2373780.1008403362</v>
      </c>
      <c r="M157" s="45"/>
      <c r="N157" s="45"/>
      <c r="O157" s="45"/>
      <c r="P157" s="45"/>
      <c r="Q157" s="45"/>
      <c r="R157" s="45"/>
      <c r="S157" s="45"/>
      <c r="T157" s="45"/>
      <c r="U157" s="45"/>
      <c r="V157" s="45"/>
      <c r="W157" s="45"/>
      <c r="X157" s="45"/>
      <c r="Y157" s="45"/>
      <c r="Z157" s="56"/>
      <c r="AD157" s="55">
        <f>AD155/16</f>
        <v>35546.666666666664</v>
      </c>
    </row>
    <row r="158" spans="1:30">
      <c r="A158" s="6" t="s">
        <v>307</v>
      </c>
      <c r="B158" s="47" t="s">
        <v>512</v>
      </c>
      <c r="C158" s="47" t="s">
        <v>216</v>
      </c>
      <c r="D158" s="47" t="s">
        <v>309</v>
      </c>
      <c r="E158" s="47"/>
      <c r="F158" s="47" t="s">
        <v>88</v>
      </c>
      <c r="G158" s="42">
        <v>0</v>
      </c>
      <c r="H158" s="61">
        <v>79</v>
      </c>
      <c r="I158" s="63">
        <v>0</v>
      </c>
      <c r="J158" s="66">
        <f t="shared" ref="J158:J165" si="30">H158*(1+I158)</f>
        <v>79</v>
      </c>
      <c r="K158" s="67">
        <f t="shared" ref="K158:K165" si="31">J158*G158</f>
        <v>0</v>
      </c>
      <c r="M158" s="45"/>
      <c r="N158" s="45"/>
      <c r="O158" s="45"/>
      <c r="P158" s="45"/>
      <c r="Q158" s="45"/>
      <c r="R158" s="45"/>
      <c r="S158" s="45"/>
      <c r="T158" s="45"/>
      <c r="U158" s="45"/>
      <c r="V158" s="45"/>
      <c r="W158" s="45"/>
      <c r="X158" s="45"/>
      <c r="Y158" s="45"/>
      <c r="Z158" s="56"/>
    </row>
    <row r="159" spans="1:30">
      <c r="A159" s="7" t="s">
        <v>513</v>
      </c>
      <c r="B159" s="40" t="s">
        <v>514</v>
      </c>
      <c r="C159" s="40" t="s">
        <v>216</v>
      </c>
      <c r="D159" s="40" t="s">
        <v>228</v>
      </c>
      <c r="E159" s="40" t="s">
        <v>543</v>
      </c>
      <c r="F159" s="40" t="s">
        <v>375</v>
      </c>
      <c r="G159" s="38">
        <f>$E$8</f>
        <v>390</v>
      </c>
      <c r="H159" s="51">
        <v>377.77731092436977</v>
      </c>
      <c r="I159" s="53">
        <v>0.15</v>
      </c>
      <c r="J159" s="51">
        <f t="shared" si="30"/>
        <v>434.44390756302522</v>
      </c>
      <c r="K159" s="54">
        <f t="shared" si="31"/>
        <v>169433.12394957984</v>
      </c>
      <c r="M159" s="45" t="s">
        <v>1066</v>
      </c>
      <c r="N159" s="45"/>
      <c r="O159" s="45"/>
      <c r="P159" s="45"/>
      <c r="Q159" s="45"/>
      <c r="R159" s="45"/>
      <c r="S159" s="45"/>
      <c r="T159" s="45"/>
      <c r="U159" s="45"/>
      <c r="V159" s="45"/>
      <c r="W159" s="45"/>
      <c r="X159" s="45"/>
      <c r="Y159" s="45"/>
      <c r="Z159" s="56"/>
    </row>
    <row r="160" spans="1:30">
      <c r="A160" s="7" t="s">
        <v>516</v>
      </c>
      <c r="B160" s="40" t="s">
        <v>517</v>
      </c>
      <c r="C160" s="40" t="s">
        <v>216</v>
      </c>
      <c r="D160" s="40" t="s">
        <v>228</v>
      </c>
      <c r="E160" s="40" t="s">
        <v>543</v>
      </c>
      <c r="F160" s="40" t="s">
        <v>88</v>
      </c>
      <c r="G160" s="42">
        <f>$E$8</f>
        <v>390</v>
      </c>
      <c r="H160" s="51">
        <v>3148</v>
      </c>
      <c r="I160" s="53">
        <v>0.15</v>
      </c>
      <c r="J160" s="51">
        <f>H160*(1+I160)</f>
        <v>3620.2</v>
      </c>
      <c r="K160" s="54">
        <f>J160*G160</f>
        <v>1411878</v>
      </c>
      <c r="M160" s="45" t="s">
        <v>1067</v>
      </c>
      <c r="N160" s="45"/>
      <c r="O160" s="45"/>
      <c r="P160" s="45"/>
      <c r="Q160" s="45"/>
      <c r="R160" s="45"/>
      <c r="S160" s="45"/>
      <c r="T160" s="45"/>
      <c r="U160" s="45"/>
      <c r="V160" s="45"/>
      <c r="W160" s="45"/>
      <c r="X160" s="45"/>
      <c r="Y160" s="45"/>
      <c r="Z160" s="56"/>
    </row>
    <row r="161" spans="1:26">
      <c r="A161" s="7" t="s">
        <v>520</v>
      </c>
      <c r="B161" s="40" t="s">
        <v>521</v>
      </c>
      <c r="C161" s="40" t="s">
        <v>216</v>
      </c>
      <c r="D161" s="40" t="s">
        <v>228</v>
      </c>
      <c r="E161" s="40" t="s">
        <v>426</v>
      </c>
      <c r="F161" s="40" t="s">
        <v>71</v>
      </c>
      <c r="G161" s="38">
        <v>2</v>
      </c>
      <c r="H161" s="51">
        <v>15700</v>
      </c>
      <c r="I161" s="53">
        <v>0</v>
      </c>
      <c r="J161" s="51">
        <f t="shared" si="30"/>
        <v>15700</v>
      </c>
      <c r="K161" s="54">
        <f t="shared" si="31"/>
        <v>31400</v>
      </c>
      <c r="M161" s="45" t="s">
        <v>1100</v>
      </c>
      <c r="N161" s="45"/>
      <c r="O161" s="45"/>
      <c r="P161" s="45"/>
      <c r="Q161" s="45"/>
      <c r="R161" s="45"/>
      <c r="S161" s="45"/>
      <c r="T161" s="45"/>
      <c r="U161" s="45"/>
      <c r="V161" s="45"/>
      <c r="W161" s="45"/>
      <c r="X161" s="45"/>
      <c r="Y161" s="45"/>
      <c r="Z161" s="56"/>
    </row>
    <row r="162" spans="1:26">
      <c r="A162" s="7" t="s">
        <v>523</v>
      </c>
      <c r="B162" s="40" t="s">
        <v>524</v>
      </c>
      <c r="C162" s="40" t="s">
        <v>216</v>
      </c>
      <c r="D162" s="40" t="s">
        <v>228</v>
      </c>
      <c r="E162" s="40" t="s">
        <v>543</v>
      </c>
      <c r="F162" s="40" t="s">
        <v>88</v>
      </c>
      <c r="G162" s="42">
        <f>$E$8</f>
        <v>390</v>
      </c>
      <c r="H162" s="51">
        <v>1567.6008403361345</v>
      </c>
      <c r="I162" s="53">
        <v>0.15</v>
      </c>
      <c r="J162" s="51">
        <f t="shared" si="30"/>
        <v>1802.7409663865546</v>
      </c>
      <c r="K162" s="54">
        <f t="shared" si="31"/>
        <v>703068.97689075628</v>
      </c>
      <c r="M162" s="45" t="s">
        <v>1068</v>
      </c>
      <c r="N162" s="45"/>
      <c r="O162" s="45"/>
      <c r="P162" s="45"/>
      <c r="Q162" s="45"/>
      <c r="R162" s="45"/>
      <c r="S162" s="45"/>
      <c r="T162" s="45"/>
      <c r="U162" s="45"/>
      <c r="V162" s="45"/>
      <c r="W162" s="45"/>
      <c r="X162" s="45"/>
      <c r="Y162" s="45"/>
      <c r="Z162" s="56"/>
    </row>
    <row r="163" spans="1:26">
      <c r="A163" s="7" t="s">
        <v>526</v>
      </c>
      <c r="B163" s="40" t="s">
        <v>527</v>
      </c>
      <c r="C163" s="40" t="s">
        <v>283</v>
      </c>
      <c r="D163" s="40" t="s">
        <v>228</v>
      </c>
      <c r="E163" s="40" t="s">
        <v>73</v>
      </c>
      <c r="F163" s="40" t="s">
        <v>71</v>
      </c>
      <c r="G163" s="38">
        <v>2</v>
      </c>
      <c r="H163" s="51">
        <v>20000</v>
      </c>
      <c r="I163" s="53">
        <v>0</v>
      </c>
      <c r="J163" s="51">
        <f t="shared" si="30"/>
        <v>20000</v>
      </c>
      <c r="K163" s="54">
        <f t="shared" si="31"/>
        <v>40000</v>
      </c>
      <c r="M163" s="45" t="s">
        <v>1101</v>
      </c>
      <c r="N163" s="45"/>
      <c r="O163" s="45"/>
      <c r="P163" s="45"/>
      <c r="Q163" s="45"/>
      <c r="R163" s="45"/>
      <c r="S163" s="45"/>
      <c r="T163" s="45"/>
      <c r="U163" s="45"/>
      <c r="V163" s="45"/>
      <c r="W163" s="45"/>
      <c r="X163" s="45"/>
      <c r="Y163" s="45"/>
      <c r="Z163" s="56"/>
    </row>
    <row r="164" spans="1:26">
      <c r="A164" s="7" t="s">
        <v>529</v>
      </c>
      <c r="B164" s="40" t="s">
        <v>530</v>
      </c>
      <c r="C164" s="40" t="s">
        <v>216</v>
      </c>
      <c r="D164" s="40" t="s">
        <v>242</v>
      </c>
      <c r="E164" s="40" t="s">
        <v>231</v>
      </c>
      <c r="F164" s="40"/>
      <c r="G164" s="38"/>
      <c r="H164" s="51"/>
      <c r="I164" s="53">
        <v>0</v>
      </c>
      <c r="J164" s="51">
        <f t="shared" si="30"/>
        <v>0</v>
      </c>
      <c r="K164" s="54">
        <f t="shared" si="31"/>
        <v>0</v>
      </c>
      <c r="M164" s="45"/>
      <c r="N164" s="45"/>
      <c r="O164" s="45"/>
      <c r="P164" s="45"/>
      <c r="Q164" s="45"/>
      <c r="R164" s="45"/>
      <c r="S164" s="45"/>
      <c r="T164" s="45"/>
      <c r="U164" s="45"/>
      <c r="V164" s="45"/>
      <c r="W164" s="45"/>
      <c r="X164" s="45"/>
      <c r="Y164" s="45"/>
      <c r="Z164" s="56"/>
    </row>
    <row r="165" spans="1:26">
      <c r="A165" s="7" t="s">
        <v>531</v>
      </c>
      <c r="B165" s="40" t="s">
        <v>532</v>
      </c>
      <c r="C165" s="40" t="s">
        <v>216</v>
      </c>
      <c r="D165" s="40" t="s">
        <v>242</v>
      </c>
      <c r="E165" s="40" t="s">
        <v>73</v>
      </c>
      <c r="F165" s="40" t="s">
        <v>71</v>
      </c>
      <c r="G165" s="38">
        <v>3</v>
      </c>
      <c r="H165" s="51">
        <v>6000</v>
      </c>
      <c r="I165" s="53">
        <v>0</v>
      </c>
      <c r="J165" s="51">
        <f t="shared" si="30"/>
        <v>6000</v>
      </c>
      <c r="K165" s="54">
        <f t="shared" si="31"/>
        <v>18000</v>
      </c>
      <c r="M165" s="45" t="s">
        <v>533</v>
      </c>
      <c r="N165" s="45"/>
      <c r="O165" s="45"/>
      <c r="P165" s="45"/>
      <c r="Q165" s="45"/>
      <c r="R165" s="45"/>
      <c r="S165" s="45"/>
      <c r="T165" s="45"/>
      <c r="U165" s="45"/>
      <c r="V165" s="45"/>
      <c r="W165" s="45"/>
      <c r="X165" s="45"/>
      <c r="Y165" s="45"/>
      <c r="Z165" s="56"/>
    </row>
    <row r="166" spans="1:26">
      <c r="A166" s="4" t="s">
        <v>534</v>
      </c>
      <c r="B166" s="151" t="s">
        <v>535</v>
      </c>
      <c r="C166" s="151"/>
      <c r="D166" s="151"/>
      <c r="E166" s="151"/>
      <c r="F166" s="151"/>
      <c r="G166" s="152"/>
      <c r="H166" s="153"/>
      <c r="I166" s="154"/>
      <c r="J166" s="153"/>
      <c r="K166" s="172"/>
      <c r="L166" s="70">
        <f>SUM(K167:K169)</f>
        <v>1538212.8068965515</v>
      </c>
      <c r="M166" s="45"/>
      <c r="N166" s="45"/>
      <c r="O166" s="45"/>
      <c r="P166" s="45"/>
      <c r="Q166" s="45"/>
      <c r="R166" s="45"/>
      <c r="S166" s="45"/>
      <c r="T166" s="45"/>
      <c r="U166" s="45"/>
      <c r="V166" s="45"/>
      <c r="W166" s="45"/>
      <c r="X166" s="45"/>
      <c r="Y166" s="45"/>
      <c r="Z166" s="56"/>
    </row>
    <row r="167" spans="1:26">
      <c r="A167" s="6" t="s">
        <v>536</v>
      </c>
      <c r="B167" s="47" t="s">
        <v>537</v>
      </c>
      <c r="C167" s="47" t="s">
        <v>216</v>
      </c>
      <c r="D167" s="47" t="s">
        <v>242</v>
      </c>
      <c r="E167" s="47" t="s">
        <v>44</v>
      </c>
      <c r="F167" s="47" t="s">
        <v>71</v>
      </c>
      <c r="G167" s="42">
        <f>$Q$7</f>
        <v>1</v>
      </c>
      <c r="H167" s="61">
        <v>245000</v>
      </c>
      <c r="I167" s="63">
        <v>0</v>
      </c>
      <c r="J167" s="66">
        <f t="shared" ref="J167:J169" si="32">H167*(1+I167)</f>
        <v>245000</v>
      </c>
      <c r="K167" s="67">
        <f t="shared" ref="K167:K169" si="33">J167*G167</f>
        <v>245000</v>
      </c>
      <c r="M167" s="45"/>
      <c r="N167" s="45"/>
      <c r="O167" s="45"/>
      <c r="P167" s="45"/>
      <c r="Q167" s="45"/>
      <c r="R167" s="45"/>
      <c r="S167" s="45"/>
      <c r="T167" s="45"/>
      <c r="U167" s="45"/>
      <c r="V167" s="45"/>
      <c r="W167" s="45"/>
      <c r="X167" s="45"/>
      <c r="Y167" s="45"/>
      <c r="Z167" s="56"/>
    </row>
    <row r="168" spans="1:26">
      <c r="A168" s="7" t="s">
        <v>172</v>
      </c>
      <c r="B168" s="40" t="s">
        <v>539</v>
      </c>
      <c r="C168" s="40" t="s">
        <v>216</v>
      </c>
      <c r="D168" s="40" t="s">
        <v>473</v>
      </c>
      <c r="E168" s="40" t="s">
        <v>426</v>
      </c>
      <c r="F168" s="40" t="s">
        <v>108</v>
      </c>
      <c r="G168" s="38">
        <f>Q13</f>
        <v>388</v>
      </c>
      <c r="H168" s="51">
        <v>2762.3793103448274</v>
      </c>
      <c r="I168" s="53">
        <v>0.2</v>
      </c>
      <c r="J168" s="51">
        <f t="shared" si="32"/>
        <v>3314.8551724137928</v>
      </c>
      <c r="K168" s="54">
        <f t="shared" si="33"/>
        <v>1286163.8068965515</v>
      </c>
      <c r="M168" s="45" t="s">
        <v>1102</v>
      </c>
      <c r="N168" s="45"/>
      <c r="O168" s="45"/>
      <c r="P168" s="45"/>
      <c r="Q168" s="45"/>
      <c r="R168" s="45"/>
      <c r="S168" s="45"/>
      <c r="T168" s="45"/>
      <c r="U168" s="45"/>
      <c r="V168" s="45"/>
      <c r="W168" s="45"/>
      <c r="X168" s="45"/>
      <c r="Y168" s="45"/>
      <c r="Z168" s="56"/>
    </row>
    <row r="169" spans="1:26">
      <c r="A169" s="7" t="s">
        <v>541</v>
      </c>
      <c r="B169" s="40" t="s">
        <v>542</v>
      </c>
      <c r="C169" s="40" t="s">
        <v>216</v>
      </c>
      <c r="D169" s="40" t="s">
        <v>250</v>
      </c>
      <c r="E169" s="40" t="s">
        <v>543</v>
      </c>
      <c r="F169" s="40" t="s">
        <v>108</v>
      </c>
      <c r="G169" s="38">
        <f>$Q$7</f>
        <v>1</v>
      </c>
      <c r="H169" s="51">
        <v>7049</v>
      </c>
      <c r="I169" s="53">
        <v>0</v>
      </c>
      <c r="J169" s="51">
        <f t="shared" si="32"/>
        <v>7049</v>
      </c>
      <c r="K169" s="54">
        <f t="shared" si="33"/>
        <v>7049</v>
      </c>
      <c r="M169" s="45"/>
      <c r="N169" s="45"/>
      <c r="O169" s="45"/>
      <c r="P169" s="45"/>
      <c r="Q169" s="45"/>
      <c r="R169" s="45"/>
      <c r="S169" s="45"/>
      <c r="T169" s="45"/>
      <c r="U169" s="45"/>
      <c r="V169" s="45"/>
      <c r="W169" s="45"/>
      <c r="X169" s="45"/>
      <c r="Y169" s="45"/>
      <c r="Z169" s="56"/>
    </row>
    <row r="170" spans="1:26">
      <c r="A170" s="4" t="s">
        <v>544</v>
      </c>
      <c r="B170" s="151" t="s">
        <v>545</v>
      </c>
      <c r="C170" s="151"/>
      <c r="D170" s="151"/>
      <c r="E170" s="151"/>
      <c r="F170" s="151"/>
      <c r="G170" s="152"/>
      <c r="H170" s="153"/>
      <c r="I170" s="154"/>
      <c r="J170" s="153"/>
      <c r="K170" s="172"/>
      <c r="L170" s="70">
        <f>SUM(K171)</f>
        <v>0</v>
      </c>
      <c r="M170" s="45"/>
      <c r="N170" s="45"/>
      <c r="O170" s="45"/>
      <c r="P170" s="45"/>
      <c r="Q170" s="45"/>
      <c r="R170" s="45"/>
      <c r="S170" s="45"/>
      <c r="T170" s="45"/>
      <c r="U170" s="45"/>
      <c r="V170" s="45"/>
      <c r="W170" s="45"/>
      <c r="X170" s="45"/>
      <c r="Y170" s="45"/>
      <c r="Z170" s="56"/>
    </row>
    <row r="171" spans="1:26">
      <c r="A171" s="5" t="s">
        <v>546</v>
      </c>
      <c r="B171" s="65" t="s">
        <v>545</v>
      </c>
      <c r="C171" s="65" t="s">
        <v>216</v>
      </c>
      <c r="D171" s="65" t="s">
        <v>228</v>
      </c>
      <c r="E171" s="65" t="s">
        <v>231</v>
      </c>
      <c r="F171" s="65"/>
      <c r="G171" s="43"/>
      <c r="H171" s="64"/>
      <c r="I171" s="157">
        <v>0</v>
      </c>
      <c r="J171" s="158">
        <f>H171*(1+I171)</f>
        <v>0</v>
      </c>
      <c r="K171" s="159">
        <f>J171*G171</f>
        <v>0</v>
      </c>
      <c r="M171" s="45"/>
      <c r="N171" s="45"/>
      <c r="O171" s="45"/>
      <c r="P171" s="45"/>
      <c r="Q171" s="45"/>
      <c r="R171" s="45"/>
      <c r="S171" s="45"/>
      <c r="T171" s="45"/>
      <c r="U171" s="45"/>
      <c r="V171" s="45"/>
      <c r="W171" s="45"/>
      <c r="X171" s="45"/>
      <c r="Y171" s="45"/>
      <c r="Z171" s="56"/>
    </row>
    <row r="172" spans="1:26">
      <c r="A172" s="4" t="s">
        <v>547</v>
      </c>
      <c r="B172" s="151" t="s">
        <v>548</v>
      </c>
      <c r="C172" s="151"/>
      <c r="D172" s="151"/>
      <c r="E172" s="151"/>
      <c r="F172" s="151"/>
      <c r="G172" s="152"/>
      <c r="H172" s="153"/>
      <c r="I172" s="154"/>
      <c r="J172" s="153"/>
      <c r="K172" s="172"/>
      <c r="L172" s="70">
        <f>SUM(K173:K174)</f>
        <v>439560</v>
      </c>
      <c r="M172" s="45"/>
      <c r="N172" s="45"/>
      <c r="O172" s="45"/>
      <c r="P172" s="45"/>
      <c r="Q172" s="45"/>
      <c r="R172" s="45"/>
      <c r="S172" s="45"/>
      <c r="T172" s="45"/>
      <c r="U172" s="45"/>
      <c r="V172" s="45"/>
      <c r="W172" s="45"/>
      <c r="X172" s="45"/>
      <c r="Y172" s="45"/>
      <c r="Z172" s="56"/>
    </row>
    <row r="173" spans="1:26">
      <c r="A173" s="6" t="s">
        <v>549</v>
      </c>
      <c r="B173" s="47" t="s">
        <v>550</v>
      </c>
      <c r="C173" s="47" t="s">
        <v>216</v>
      </c>
      <c r="D173" s="47" t="s">
        <v>228</v>
      </c>
      <c r="E173" s="47" t="s">
        <v>543</v>
      </c>
      <c r="F173" s="47" t="s">
        <v>551</v>
      </c>
      <c r="G173" s="42">
        <f>Q4</f>
        <v>12</v>
      </c>
      <c r="H173" s="61">
        <v>35546.666666666664</v>
      </c>
      <c r="I173" s="63">
        <v>0</v>
      </c>
      <c r="J173" s="66">
        <f t="shared" ref="J173:J174" si="34">H173*(1+I173)</f>
        <v>35546.666666666664</v>
      </c>
      <c r="K173" s="67">
        <f t="shared" ref="K173:K174" si="35">J173*G173</f>
        <v>426560</v>
      </c>
      <c r="M173" s="45" t="s">
        <v>1069</v>
      </c>
      <c r="N173" s="45"/>
      <c r="O173" s="45"/>
      <c r="P173" s="45"/>
      <c r="Q173" s="45"/>
      <c r="R173" s="45"/>
      <c r="S173" s="45"/>
      <c r="T173" s="45"/>
      <c r="U173" s="45"/>
      <c r="V173" s="45"/>
      <c r="W173" s="45"/>
      <c r="X173" s="45"/>
      <c r="Y173" s="45"/>
      <c r="Z173" s="56"/>
    </row>
    <row r="174" spans="1:26">
      <c r="A174" s="7" t="s">
        <v>553</v>
      </c>
      <c r="B174" s="40" t="s">
        <v>554</v>
      </c>
      <c r="C174" s="40" t="s">
        <v>216</v>
      </c>
      <c r="D174" s="40" t="s">
        <v>242</v>
      </c>
      <c r="E174" s="40" t="s">
        <v>555</v>
      </c>
      <c r="F174" s="40" t="s">
        <v>108</v>
      </c>
      <c r="G174" s="38">
        <f>$Q$7*2</f>
        <v>2</v>
      </c>
      <c r="H174" s="51">
        <v>6500</v>
      </c>
      <c r="I174" s="53">
        <v>0</v>
      </c>
      <c r="J174" s="51">
        <f t="shared" si="34"/>
        <v>6500</v>
      </c>
      <c r="K174" s="54">
        <f t="shared" si="35"/>
        <v>13000</v>
      </c>
      <c r="M174" s="45"/>
      <c r="N174" s="45"/>
      <c r="O174" s="45"/>
      <c r="P174" s="45"/>
      <c r="Q174" s="45"/>
      <c r="R174" s="45"/>
      <c r="S174" s="45"/>
      <c r="T174" s="45"/>
      <c r="U174" s="45"/>
      <c r="V174" s="45"/>
      <c r="W174" s="45"/>
      <c r="X174" s="45"/>
      <c r="Y174" s="45"/>
      <c r="Z174" s="56"/>
    </row>
    <row r="175" spans="1:26">
      <c r="A175" s="4" t="s">
        <v>556</v>
      </c>
      <c r="B175" s="151" t="s">
        <v>557</v>
      </c>
      <c r="C175" s="151"/>
      <c r="D175" s="151"/>
      <c r="E175" s="151"/>
      <c r="F175" s="151"/>
      <c r="G175" s="152"/>
      <c r="H175" s="153"/>
      <c r="I175" s="154"/>
      <c r="J175" s="153"/>
      <c r="K175" s="172"/>
      <c r="L175" s="70">
        <f>SUM(K176:K178)</f>
        <v>1203637.99</v>
      </c>
      <c r="M175" s="45"/>
      <c r="N175" s="45"/>
      <c r="O175" s="45"/>
      <c r="P175" s="45"/>
      <c r="Q175" s="45"/>
      <c r="R175" s="45"/>
      <c r="S175" s="45"/>
      <c r="T175" s="45"/>
      <c r="U175" s="45"/>
      <c r="V175" s="45"/>
      <c r="W175" s="45"/>
      <c r="X175" s="45"/>
      <c r="Y175" s="45"/>
      <c r="Z175" s="56"/>
    </row>
    <row r="176" spans="1:26">
      <c r="A176" s="6" t="s">
        <v>558</v>
      </c>
      <c r="B176" s="47" t="s">
        <v>559</v>
      </c>
      <c r="C176" s="47" t="s">
        <v>216</v>
      </c>
      <c r="D176" s="47" t="s">
        <v>228</v>
      </c>
      <c r="E176" s="47" t="s">
        <v>73</v>
      </c>
      <c r="F176" s="47" t="s">
        <v>61</v>
      </c>
      <c r="G176" s="42">
        <f t="shared" ref="G176:G188" si="36">$B$8</f>
        <v>426549</v>
      </c>
      <c r="H176" s="61">
        <v>0.06</v>
      </c>
      <c r="I176" s="63">
        <v>0</v>
      </c>
      <c r="J176" s="66">
        <f t="shared" ref="J176:J178" si="37">H176*(1+I176)</f>
        <v>0.06</v>
      </c>
      <c r="K176" s="67">
        <f t="shared" ref="K176:K178" si="38">J176*G176</f>
        <v>25592.94</v>
      </c>
      <c r="M176" s="45"/>
      <c r="N176" s="45"/>
      <c r="O176" s="45"/>
      <c r="P176" s="45"/>
      <c r="Q176" s="45"/>
      <c r="R176" s="45"/>
      <c r="S176" s="45"/>
      <c r="T176" s="45"/>
      <c r="U176" s="45"/>
      <c r="V176" s="45"/>
      <c r="W176" s="45"/>
      <c r="X176" s="45"/>
      <c r="Y176" s="45"/>
      <c r="Z176" s="56"/>
    </row>
    <row r="177" spans="1:30">
      <c r="A177" s="7" t="s">
        <v>560</v>
      </c>
      <c r="B177" s="40" t="s">
        <v>561</v>
      </c>
      <c r="C177" s="40" t="s">
        <v>216</v>
      </c>
      <c r="D177" s="40" t="s">
        <v>228</v>
      </c>
      <c r="E177" s="40" t="s">
        <v>44</v>
      </c>
      <c r="F177" s="40" t="s">
        <v>61</v>
      </c>
      <c r="G177" s="38">
        <f t="shared" si="36"/>
        <v>426549</v>
      </c>
      <c r="H177" s="51">
        <v>2.4500000000000002</v>
      </c>
      <c r="I177" s="53">
        <v>0</v>
      </c>
      <c r="J177" s="51">
        <f t="shared" si="37"/>
        <v>2.4500000000000002</v>
      </c>
      <c r="K177" s="54">
        <f t="shared" si="38"/>
        <v>1045045.05</v>
      </c>
      <c r="M177" s="45"/>
      <c r="N177" s="45"/>
      <c r="O177" s="45"/>
      <c r="P177" s="45"/>
      <c r="Q177" s="45"/>
      <c r="R177" s="45"/>
      <c r="S177" s="45"/>
      <c r="T177" s="45"/>
      <c r="U177" s="45"/>
      <c r="V177" s="45"/>
      <c r="W177" s="45"/>
      <c r="X177" s="45"/>
      <c r="Y177" s="45"/>
      <c r="Z177" s="56"/>
    </row>
    <row r="178" spans="1:30">
      <c r="A178" s="7" t="s">
        <v>562</v>
      </c>
      <c r="B178" s="40" t="s">
        <v>563</v>
      </c>
      <c r="C178" s="40" t="s">
        <v>216</v>
      </c>
      <c r="D178" s="40" t="s">
        <v>235</v>
      </c>
      <c r="E178" s="40" t="s">
        <v>44</v>
      </c>
      <c r="F178" s="40" t="s">
        <v>108</v>
      </c>
      <c r="G178" s="38">
        <f>$W$17</f>
        <v>1</v>
      </c>
      <c r="H178" s="51">
        <v>133000</v>
      </c>
      <c r="I178" s="53">
        <v>0</v>
      </c>
      <c r="J178" s="51">
        <f t="shared" si="37"/>
        <v>133000</v>
      </c>
      <c r="K178" s="54">
        <f t="shared" si="38"/>
        <v>133000</v>
      </c>
      <c r="M178" s="45"/>
      <c r="N178" s="45"/>
      <c r="O178" s="45"/>
      <c r="P178" s="45"/>
      <c r="Q178" s="45"/>
      <c r="R178" s="45"/>
      <c r="S178" s="45"/>
      <c r="T178" s="45"/>
      <c r="U178" s="45"/>
      <c r="V178" s="45"/>
      <c r="W178" s="45"/>
      <c r="X178" s="45"/>
      <c r="Y178" s="45"/>
      <c r="Z178" s="56"/>
    </row>
    <row r="179" spans="1:30">
      <c r="A179" s="4" t="s">
        <v>564</v>
      </c>
      <c r="B179" s="151" t="s">
        <v>565</v>
      </c>
      <c r="C179" s="151"/>
      <c r="D179" s="151"/>
      <c r="E179" s="151"/>
      <c r="F179" s="151"/>
      <c r="G179" s="152"/>
      <c r="H179" s="153"/>
      <c r="I179" s="154"/>
      <c r="J179" s="153"/>
      <c r="K179" s="172"/>
      <c r="L179" s="70">
        <f>SUM(K180:K184)</f>
        <v>4655307.161353467</v>
      </c>
      <c r="M179" s="45"/>
      <c r="N179" s="45"/>
      <c r="O179" s="45"/>
      <c r="P179" s="45"/>
      <c r="Q179" s="45"/>
      <c r="R179" s="45"/>
      <c r="S179" s="45"/>
      <c r="T179" s="45"/>
      <c r="U179" s="45"/>
      <c r="V179" s="45"/>
      <c r="W179" s="45"/>
      <c r="X179" s="45"/>
      <c r="Y179" s="45"/>
      <c r="Z179" s="56"/>
    </row>
    <row r="180" spans="1:30">
      <c r="A180" s="6" t="s">
        <v>566</v>
      </c>
      <c r="B180" s="47" t="s">
        <v>567</v>
      </c>
      <c r="C180" s="47" t="s">
        <v>216</v>
      </c>
      <c r="D180" s="47" t="s">
        <v>228</v>
      </c>
      <c r="E180" s="47" t="s">
        <v>44</v>
      </c>
      <c r="F180" s="47" t="s">
        <v>108</v>
      </c>
      <c r="G180" s="42">
        <f>SUM(E3:E5)</f>
        <v>227</v>
      </c>
      <c r="H180" s="61">
        <v>10526</v>
      </c>
      <c r="I180" s="63">
        <v>0</v>
      </c>
      <c r="J180" s="66">
        <f t="shared" ref="J180:J184" si="39">H180*(1+I180)</f>
        <v>10526</v>
      </c>
      <c r="K180" s="67">
        <f t="shared" ref="K180:K184" si="40">J180*G180</f>
        <v>2389402</v>
      </c>
      <c r="M180" s="45" t="s">
        <v>1103</v>
      </c>
      <c r="N180" s="45"/>
      <c r="O180" s="45"/>
      <c r="P180" s="45"/>
      <c r="Q180" s="45"/>
      <c r="R180" s="45"/>
      <c r="S180" s="45"/>
      <c r="T180" s="45"/>
      <c r="U180" s="45"/>
      <c r="V180" s="45"/>
      <c r="W180" s="45"/>
      <c r="X180" s="45"/>
      <c r="Y180" s="45"/>
      <c r="Z180" s="56"/>
    </row>
    <row r="181" spans="1:30">
      <c r="A181" s="7" t="s">
        <v>569</v>
      </c>
      <c r="B181" s="40" t="s">
        <v>567</v>
      </c>
      <c r="C181" s="40" t="s">
        <v>216</v>
      </c>
      <c r="D181" s="40" t="s">
        <v>228</v>
      </c>
      <c r="E181" s="47" t="s">
        <v>742</v>
      </c>
      <c r="F181" s="40" t="s">
        <v>108</v>
      </c>
      <c r="G181" s="38">
        <f>SUM(E6:E7)</f>
        <v>163</v>
      </c>
      <c r="H181" s="51">
        <v>13713.454977628635</v>
      </c>
      <c r="I181" s="53">
        <v>0</v>
      </c>
      <c r="J181" s="51">
        <f t="shared" si="39"/>
        <v>13713.454977628635</v>
      </c>
      <c r="K181" s="54">
        <f t="shared" si="40"/>
        <v>2235293.1613534675</v>
      </c>
      <c r="M181" s="45"/>
      <c r="N181" s="45"/>
      <c r="O181" s="45"/>
      <c r="P181" s="45"/>
      <c r="Q181" s="45"/>
      <c r="R181" s="45"/>
      <c r="S181" s="45"/>
      <c r="T181" s="45"/>
      <c r="U181" s="45"/>
      <c r="V181" s="45"/>
      <c r="W181" s="45"/>
      <c r="X181" s="45"/>
      <c r="Y181" s="45"/>
      <c r="Z181" s="56"/>
    </row>
    <row r="182" spans="1:30">
      <c r="A182" s="7" t="s">
        <v>1104</v>
      </c>
      <c r="B182" s="40"/>
      <c r="C182" s="40" t="s">
        <v>216</v>
      </c>
      <c r="D182" s="40" t="s">
        <v>228</v>
      </c>
      <c r="E182" s="40" t="s">
        <v>231</v>
      </c>
      <c r="F182" s="40"/>
      <c r="G182" s="38"/>
      <c r="H182" s="51"/>
      <c r="I182" s="53">
        <v>0</v>
      </c>
      <c r="J182" s="51">
        <f t="shared" si="39"/>
        <v>0</v>
      </c>
      <c r="K182" s="54">
        <f t="shared" si="40"/>
        <v>0</v>
      </c>
      <c r="M182" s="45"/>
      <c r="N182" s="45"/>
      <c r="O182" s="45"/>
      <c r="P182" s="45"/>
      <c r="Q182" s="45"/>
      <c r="R182" s="45"/>
      <c r="S182" s="45"/>
      <c r="T182" s="45"/>
      <c r="U182" s="45"/>
      <c r="V182" s="45"/>
      <c r="W182" s="45"/>
      <c r="X182" s="45"/>
      <c r="Y182" s="45"/>
      <c r="Z182" s="56"/>
    </row>
    <row r="183" spans="1:30">
      <c r="A183" s="7" t="s">
        <v>572</v>
      </c>
      <c r="B183" s="40" t="s">
        <v>573</v>
      </c>
      <c r="C183" s="40" t="s">
        <v>216</v>
      </c>
      <c r="D183" s="40" t="s">
        <v>242</v>
      </c>
      <c r="E183" s="40" t="s">
        <v>44</v>
      </c>
      <c r="F183" s="40" t="s">
        <v>71</v>
      </c>
      <c r="G183" s="38">
        <v>1</v>
      </c>
      <c r="H183" s="51">
        <v>24612</v>
      </c>
      <c r="I183" s="53">
        <v>0</v>
      </c>
      <c r="J183" s="51">
        <f t="shared" si="39"/>
        <v>24612</v>
      </c>
      <c r="K183" s="54">
        <f t="shared" si="40"/>
        <v>24612</v>
      </c>
      <c r="M183" s="45" t="s">
        <v>574</v>
      </c>
      <c r="N183" s="45"/>
      <c r="O183" s="45"/>
      <c r="P183" s="45"/>
      <c r="Q183" s="45"/>
      <c r="R183" s="45"/>
      <c r="S183" s="45"/>
      <c r="T183" s="45"/>
      <c r="U183" s="45"/>
      <c r="V183" s="45"/>
      <c r="W183" s="45"/>
      <c r="X183" s="45"/>
      <c r="Y183" s="45"/>
      <c r="Z183" s="56"/>
    </row>
    <row r="184" spans="1:30" ht="15" thickBot="1">
      <c r="A184" s="7" t="s">
        <v>575</v>
      </c>
      <c r="B184" s="40" t="s">
        <v>576</v>
      </c>
      <c r="C184" s="40" t="s">
        <v>216</v>
      </c>
      <c r="D184" s="40" t="s">
        <v>250</v>
      </c>
      <c r="E184" s="40" t="s">
        <v>73</v>
      </c>
      <c r="F184" s="40" t="s">
        <v>71</v>
      </c>
      <c r="G184" s="38">
        <f>$Q$7</f>
        <v>1</v>
      </c>
      <c r="H184" s="51">
        <v>6000</v>
      </c>
      <c r="I184" s="53">
        <v>0</v>
      </c>
      <c r="J184" s="51">
        <f t="shared" si="39"/>
        <v>6000</v>
      </c>
      <c r="K184" s="54">
        <f t="shared" si="40"/>
        <v>6000</v>
      </c>
      <c r="M184" s="45" t="s">
        <v>574</v>
      </c>
      <c r="N184" s="45"/>
      <c r="O184" s="45"/>
      <c r="P184" s="45"/>
      <c r="Q184" s="45"/>
      <c r="R184" s="45"/>
      <c r="S184" s="45"/>
      <c r="T184" s="45"/>
      <c r="U184" s="45"/>
      <c r="V184" s="45"/>
      <c r="W184" s="45"/>
      <c r="X184" s="45"/>
      <c r="Y184" s="45"/>
      <c r="Z184" s="56"/>
    </row>
    <row r="185" spans="1:30">
      <c r="A185" s="4" t="s">
        <v>577</v>
      </c>
      <c r="B185" s="151" t="s">
        <v>578</v>
      </c>
      <c r="C185" s="151"/>
      <c r="D185" s="151"/>
      <c r="E185" s="151"/>
      <c r="F185" s="151"/>
      <c r="G185" s="152"/>
      <c r="H185" s="153"/>
      <c r="I185" s="154"/>
      <c r="J185" s="153"/>
      <c r="K185" s="172"/>
      <c r="L185" s="70">
        <f>SUM(K186)</f>
        <v>4216723.68</v>
      </c>
      <c r="M185" s="45"/>
      <c r="N185" s="45"/>
      <c r="O185" s="45"/>
      <c r="P185" s="45"/>
      <c r="Q185" s="45"/>
      <c r="R185" s="45"/>
      <c r="S185" s="45"/>
      <c r="T185" s="45"/>
      <c r="U185" s="45"/>
      <c r="V185" s="45"/>
      <c r="W185" s="45"/>
      <c r="X185" s="45"/>
      <c r="Y185" s="45"/>
      <c r="Z185" s="56"/>
      <c r="AA185" s="173" t="s">
        <v>579</v>
      </c>
      <c r="AB185" s="163" t="s">
        <v>580</v>
      </c>
      <c r="AC185" s="163" t="s">
        <v>209</v>
      </c>
      <c r="AD185" s="174" t="s">
        <v>581</v>
      </c>
    </row>
    <row r="186" spans="1:30" ht="15.6">
      <c r="A186" s="5" t="s">
        <v>582</v>
      </c>
      <c r="B186" s="65" t="s">
        <v>583</v>
      </c>
      <c r="C186" s="65" t="s">
        <v>216</v>
      </c>
      <c r="D186" s="65" t="s">
        <v>228</v>
      </c>
      <c r="E186" s="65" t="s">
        <v>1105</v>
      </c>
      <c r="F186" s="65" t="s">
        <v>88</v>
      </c>
      <c r="G186" s="43">
        <f>$E$8</f>
        <v>390</v>
      </c>
      <c r="H186" s="64">
        <v>10812.111999999999</v>
      </c>
      <c r="I186" s="157">
        <v>0</v>
      </c>
      <c r="J186" s="158">
        <f>H186*(1+I186)</f>
        <v>10812.111999999999</v>
      </c>
      <c r="K186" s="159">
        <f>J186*G186</f>
        <v>4216723.68</v>
      </c>
      <c r="M186" s="45" t="s">
        <v>1106</v>
      </c>
      <c r="N186" s="45"/>
      <c r="O186" s="45"/>
      <c r="P186" s="45"/>
      <c r="Q186" s="45"/>
      <c r="R186" s="45"/>
      <c r="S186" s="45"/>
      <c r="T186" s="45"/>
      <c r="U186" s="45"/>
      <c r="V186" s="45"/>
      <c r="W186" s="45"/>
      <c r="X186" s="45"/>
      <c r="Y186" s="45"/>
      <c r="Z186" s="56"/>
      <c r="AA186" s="175" t="s">
        <v>585</v>
      </c>
      <c r="AB186" s="176">
        <v>52</v>
      </c>
      <c r="AC186" s="176">
        <v>250</v>
      </c>
      <c r="AD186" s="177">
        <f>AB186*AC186</f>
        <v>13000</v>
      </c>
    </row>
    <row r="187" spans="1:30" ht="15.6">
      <c r="A187" s="4" t="s">
        <v>587</v>
      </c>
      <c r="B187" s="151" t="s">
        <v>588</v>
      </c>
      <c r="C187" s="151"/>
      <c r="D187" s="151"/>
      <c r="E187" s="151"/>
      <c r="F187" s="151"/>
      <c r="G187" s="152"/>
      <c r="H187" s="153"/>
      <c r="I187" s="154"/>
      <c r="J187" s="153"/>
      <c r="K187" s="172"/>
      <c r="L187" s="70">
        <f>SUM(K188:K204)</f>
        <v>5022821.6914999997</v>
      </c>
      <c r="M187" s="45"/>
      <c r="N187" s="45"/>
      <c r="O187" s="45"/>
      <c r="P187" s="45"/>
      <c r="Q187" s="45"/>
      <c r="R187" s="45"/>
      <c r="S187" s="45"/>
      <c r="T187" s="45"/>
      <c r="U187" s="45"/>
      <c r="V187" s="45"/>
      <c r="W187" s="45"/>
      <c r="X187" s="45"/>
      <c r="Y187" s="45"/>
      <c r="Z187" s="56"/>
      <c r="AA187" s="175" t="s">
        <v>589</v>
      </c>
      <c r="AB187" s="176">
        <v>118</v>
      </c>
      <c r="AC187" s="176">
        <v>500</v>
      </c>
      <c r="AD187" s="177">
        <f t="shared" ref="AD187:AD188" si="41">AB187*AC187</f>
        <v>59000</v>
      </c>
    </row>
    <row r="188" spans="1:30" ht="15.6">
      <c r="A188" s="6" t="s">
        <v>590</v>
      </c>
      <c r="B188" s="47" t="s">
        <v>591</v>
      </c>
      <c r="C188" s="47" t="s">
        <v>216</v>
      </c>
      <c r="D188" s="47" t="s">
        <v>228</v>
      </c>
      <c r="E188" s="47" t="s">
        <v>44</v>
      </c>
      <c r="F188" s="47" t="s">
        <v>61</v>
      </c>
      <c r="G188" s="42">
        <f t="shared" si="36"/>
        <v>426549</v>
      </c>
      <c r="H188" s="61">
        <v>9.27</v>
      </c>
      <c r="I188" s="63">
        <v>0.05</v>
      </c>
      <c r="J188" s="66">
        <f t="shared" ref="J188:J204" si="42">H188*(1+I188)</f>
        <v>9.7334999999999994</v>
      </c>
      <c r="K188" s="67">
        <f t="shared" ref="K188:K204" si="43">J188*G188</f>
        <v>4151814.6914999997</v>
      </c>
      <c r="M188" s="45" t="s">
        <v>1107</v>
      </c>
      <c r="N188" s="178"/>
      <c r="O188" s="178"/>
      <c r="P188" s="45"/>
      <c r="Q188" s="45"/>
      <c r="R188" s="45"/>
      <c r="S188" s="45"/>
      <c r="T188" s="45"/>
      <c r="U188" s="45"/>
      <c r="V188" s="45"/>
      <c r="W188" s="45"/>
      <c r="X188" s="45"/>
      <c r="Y188" s="45"/>
      <c r="Z188" s="56"/>
      <c r="AA188" s="175" t="s">
        <v>592</v>
      </c>
      <c r="AB188" s="176">
        <v>50</v>
      </c>
      <c r="AC188" s="176">
        <v>750</v>
      </c>
      <c r="AD188" s="177">
        <f t="shared" si="41"/>
        <v>37500</v>
      </c>
    </row>
    <row r="189" spans="1:30" ht="15.6">
      <c r="A189" s="7" t="s">
        <v>594</v>
      </c>
      <c r="B189" s="40" t="s">
        <v>595</v>
      </c>
      <c r="C189" s="40" t="s">
        <v>216</v>
      </c>
      <c r="D189" s="40" t="s">
        <v>228</v>
      </c>
      <c r="E189" s="40" t="s">
        <v>426</v>
      </c>
      <c r="F189" s="40" t="s">
        <v>88</v>
      </c>
      <c r="G189" s="38">
        <f>$E$8</f>
        <v>390</v>
      </c>
      <c r="H189" s="51">
        <v>594</v>
      </c>
      <c r="I189" s="53">
        <v>0.15</v>
      </c>
      <c r="J189" s="51">
        <f t="shared" si="42"/>
        <v>683.09999999999991</v>
      </c>
      <c r="K189" s="54">
        <f t="shared" si="43"/>
        <v>266408.99999999994</v>
      </c>
      <c r="M189" s="45" t="s">
        <v>596</v>
      </c>
      <c r="N189" s="45"/>
      <c r="O189" s="45"/>
      <c r="P189" s="45"/>
      <c r="Q189" s="45"/>
      <c r="R189" s="45"/>
      <c r="S189" s="45"/>
      <c r="T189" s="45"/>
      <c r="U189" s="45"/>
      <c r="V189" s="45"/>
      <c r="W189" s="45"/>
      <c r="X189" s="45"/>
      <c r="Y189" s="45"/>
      <c r="Z189" s="56"/>
      <c r="AA189" s="179"/>
      <c r="AB189" s="176"/>
      <c r="AC189" s="176"/>
      <c r="AD189" s="177">
        <f>SUM(AD186:AD188)</f>
        <v>109500</v>
      </c>
    </row>
    <row r="190" spans="1:30" ht="16.149999999999999" thickBot="1">
      <c r="A190" s="7" t="s">
        <v>597</v>
      </c>
      <c r="B190" s="40" t="s">
        <v>598</v>
      </c>
      <c r="C190" s="40" t="s">
        <v>216</v>
      </c>
      <c r="D190" s="40" t="s">
        <v>228</v>
      </c>
      <c r="E190" s="40" t="s">
        <v>555</v>
      </c>
      <c r="F190" s="40" t="s">
        <v>88</v>
      </c>
      <c r="G190" s="38">
        <f>$E$8</f>
        <v>390</v>
      </c>
      <c r="H190" s="51">
        <v>119</v>
      </c>
      <c r="I190" s="53">
        <v>0</v>
      </c>
      <c r="J190" s="51">
        <f t="shared" si="42"/>
        <v>119</v>
      </c>
      <c r="K190" s="54">
        <f t="shared" si="43"/>
        <v>46410</v>
      </c>
      <c r="L190" s="190"/>
      <c r="M190" s="45"/>
      <c r="N190" s="45"/>
      <c r="O190" s="45"/>
      <c r="P190" s="45"/>
      <c r="Q190" s="45"/>
      <c r="R190" s="45"/>
      <c r="S190" s="45"/>
      <c r="T190" s="45"/>
      <c r="U190" s="45"/>
      <c r="V190" s="45"/>
      <c r="W190" s="45"/>
      <c r="X190" s="45"/>
      <c r="Y190" s="45"/>
      <c r="Z190" s="56"/>
      <c r="AA190" s="180"/>
      <c r="AB190" s="181"/>
      <c r="AC190" s="181"/>
      <c r="AD190" s="182">
        <f>AD189/391</f>
        <v>280.05115089514067</v>
      </c>
    </row>
    <row r="191" spans="1:30" ht="15" thickBot="1">
      <c r="A191" s="7" t="s">
        <v>599</v>
      </c>
      <c r="B191" s="40" t="s">
        <v>600</v>
      </c>
      <c r="C191" s="40" t="s">
        <v>216</v>
      </c>
      <c r="D191" s="40" t="s">
        <v>228</v>
      </c>
      <c r="E191" s="40" t="s">
        <v>555</v>
      </c>
      <c r="F191" s="40" t="s">
        <v>88</v>
      </c>
      <c r="G191" s="38">
        <f>$E$8</f>
        <v>390</v>
      </c>
      <c r="H191" s="51">
        <v>112</v>
      </c>
      <c r="I191" s="53">
        <v>0</v>
      </c>
      <c r="J191" s="51">
        <f t="shared" si="42"/>
        <v>112</v>
      </c>
      <c r="K191" s="54">
        <f t="shared" si="43"/>
        <v>43680</v>
      </c>
      <c r="L191" s="112"/>
      <c r="M191" s="45"/>
      <c r="N191" s="45"/>
      <c r="O191" s="45"/>
      <c r="P191" s="45"/>
      <c r="Q191" s="45"/>
      <c r="R191" s="45"/>
      <c r="S191" s="45"/>
      <c r="T191" s="45"/>
      <c r="U191" s="45"/>
      <c r="V191" s="45"/>
      <c r="W191" s="45"/>
      <c r="X191" s="45"/>
      <c r="Y191" s="45"/>
      <c r="Z191" s="56"/>
    </row>
    <row r="192" spans="1:30">
      <c r="A192" s="7" t="s">
        <v>601</v>
      </c>
      <c r="B192" s="40" t="s">
        <v>591</v>
      </c>
      <c r="C192" s="40" t="s">
        <v>216</v>
      </c>
      <c r="D192" s="40" t="s">
        <v>473</v>
      </c>
      <c r="E192" s="40" t="s">
        <v>555</v>
      </c>
      <c r="F192" s="40" t="s">
        <v>602</v>
      </c>
      <c r="G192" s="38">
        <f>$Q$13</f>
        <v>388</v>
      </c>
      <c r="H192" s="51">
        <v>138</v>
      </c>
      <c r="I192" s="53">
        <v>0</v>
      </c>
      <c r="J192" s="51">
        <f t="shared" si="42"/>
        <v>138</v>
      </c>
      <c r="K192" s="54">
        <f t="shared" si="43"/>
        <v>53544</v>
      </c>
      <c r="M192" s="45"/>
      <c r="N192" s="45"/>
      <c r="O192" s="45"/>
      <c r="P192" s="45"/>
      <c r="Q192" s="45"/>
      <c r="R192" s="45"/>
      <c r="S192" s="45"/>
      <c r="T192" s="45"/>
      <c r="U192" s="45"/>
      <c r="V192" s="45"/>
      <c r="W192" s="45"/>
      <c r="X192" s="45"/>
      <c r="Y192" s="45"/>
      <c r="Z192" s="56"/>
      <c r="AA192" s="173" t="s">
        <v>603</v>
      </c>
      <c r="AB192" s="163" t="s">
        <v>580</v>
      </c>
      <c r="AC192" s="163" t="s">
        <v>209</v>
      </c>
      <c r="AD192" s="174" t="s">
        <v>581</v>
      </c>
    </row>
    <row r="193" spans="1:30" ht="15.6">
      <c r="A193" s="7" t="s">
        <v>604</v>
      </c>
      <c r="B193" s="40" t="s">
        <v>595</v>
      </c>
      <c r="C193" s="40" t="s">
        <v>216</v>
      </c>
      <c r="D193" s="40" t="s">
        <v>473</v>
      </c>
      <c r="E193" s="40" t="s">
        <v>555</v>
      </c>
      <c r="F193" s="40" t="s">
        <v>602</v>
      </c>
      <c r="G193" s="38">
        <f>$Q$13</f>
        <v>388</v>
      </c>
      <c r="H193" s="51">
        <v>24</v>
      </c>
      <c r="I193" s="53">
        <v>0</v>
      </c>
      <c r="J193" s="51">
        <f t="shared" si="42"/>
        <v>24</v>
      </c>
      <c r="K193" s="54">
        <f t="shared" si="43"/>
        <v>9312</v>
      </c>
      <c r="M193" s="45"/>
      <c r="N193" s="45"/>
      <c r="O193" s="45"/>
      <c r="P193" s="45"/>
      <c r="Q193" s="45"/>
      <c r="R193" s="45"/>
      <c r="S193" s="45"/>
      <c r="T193" s="45"/>
      <c r="U193" s="45"/>
      <c r="V193" s="45"/>
      <c r="W193" s="45"/>
      <c r="X193" s="45"/>
      <c r="Y193" s="45"/>
      <c r="Z193" s="56"/>
      <c r="AA193" s="175" t="s">
        <v>585</v>
      </c>
      <c r="AB193" s="176">
        <v>52</v>
      </c>
      <c r="AC193" s="176">
        <f>25*2</f>
        <v>50</v>
      </c>
      <c r="AD193" s="177">
        <f>AB193*AC193</f>
        <v>2600</v>
      </c>
    </row>
    <row r="194" spans="1:30" ht="15.6">
      <c r="A194" s="7" t="s">
        <v>605</v>
      </c>
      <c r="B194" s="40" t="s">
        <v>591</v>
      </c>
      <c r="C194" s="40" t="s">
        <v>216</v>
      </c>
      <c r="D194" s="40" t="s">
        <v>242</v>
      </c>
      <c r="E194" s="40" t="s">
        <v>231</v>
      </c>
      <c r="F194" s="40"/>
      <c r="G194" s="38"/>
      <c r="H194" s="51"/>
      <c r="I194" s="53">
        <v>0</v>
      </c>
      <c r="J194" s="51">
        <f t="shared" si="42"/>
        <v>0</v>
      </c>
      <c r="K194" s="54">
        <f t="shared" si="43"/>
        <v>0</v>
      </c>
      <c r="M194" s="45"/>
      <c r="N194" s="45"/>
      <c r="O194" s="45"/>
      <c r="P194" s="45"/>
      <c r="Q194" s="45"/>
      <c r="R194" s="45"/>
      <c r="S194" s="45"/>
      <c r="T194" s="45"/>
      <c r="U194" s="45"/>
      <c r="V194" s="45"/>
      <c r="W194" s="45"/>
      <c r="X194" s="45"/>
      <c r="Y194" s="45"/>
      <c r="Z194" s="56"/>
      <c r="AA194" s="175" t="s">
        <v>589</v>
      </c>
      <c r="AB194" s="176">
        <v>118</v>
      </c>
      <c r="AC194" s="176">
        <f>150+25*2</f>
        <v>200</v>
      </c>
      <c r="AD194" s="177">
        <f t="shared" ref="AD194:AD195" si="44">AB194*AC194</f>
        <v>23600</v>
      </c>
    </row>
    <row r="195" spans="1:30" ht="15.6">
      <c r="A195" s="7" t="s">
        <v>606</v>
      </c>
      <c r="B195" s="40" t="s">
        <v>607</v>
      </c>
      <c r="C195" s="40" t="s">
        <v>216</v>
      </c>
      <c r="D195" s="40" t="s">
        <v>242</v>
      </c>
      <c r="E195" s="40" t="s">
        <v>231</v>
      </c>
      <c r="F195" s="40"/>
      <c r="G195" s="38"/>
      <c r="H195" s="51"/>
      <c r="I195" s="53">
        <v>0</v>
      </c>
      <c r="J195" s="51">
        <f t="shared" si="42"/>
        <v>0</v>
      </c>
      <c r="K195" s="54">
        <f t="shared" si="43"/>
        <v>0</v>
      </c>
      <c r="M195" s="45"/>
      <c r="N195" s="45"/>
      <c r="O195" s="45"/>
      <c r="P195" s="45"/>
      <c r="Q195" s="45"/>
      <c r="R195" s="45"/>
      <c r="S195" s="45"/>
      <c r="T195" s="45"/>
      <c r="U195" s="45"/>
      <c r="V195" s="45"/>
      <c r="W195" s="45"/>
      <c r="X195" s="45"/>
      <c r="Y195" s="45"/>
      <c r="Z195" s="56"/>
      <c r="AA195" s="175" t="s">
        <v>592</v>
      </c>
      <c r="AB195" s="176">
        <v>50</v>
      </c>
      <c r="AC195" s="176">
        <f>150+150+25*2</f>
        <v>350</v>
      </c>
      <c r="AD195" s="177">
        <f t="shared" si="44"/>
        <v>17500</v>
      </c>
    </row>
    <row r="196" spans="1:30" ht="15.6">
      <c r="A196" s="7" t="s">
        <v>608</v>
      </c>
      <c r="B196" s="40" t="s">
        <v>609</v>
      </c>
      <c r="C196" s="40" t="s">
        <v>216</v>
      </c>
      <c r="D196" s="40" t="s">
        <v>1005</v>
      </c>
      <c r="E196" s="40" t="s">
        <v>71</v>
      </c>
      <c r="F196" s="40" t="s">
        <v>71</v>
      </c>
      <c r="G196" s="38">
        <v>1</v>
      </c>
      <c r="H196" s="51">
        <f>275000</f>
        <v>275000</v>
      </c>
      <c r="I196" s="53">
        <v>0</v>
      </c>
      <c r="J196" s="51">
        <f>H196*(1+I196)</f>
        <v>275000</v>
      </c>
      <c r="K196" s="54">
        <f>J196*G196</f>
        <v>275000</v>
      </c>
      <c r="M196" s="45" t="s">
        <v>1072</v>
      </c>
      <c r="N196" s="45"/>
      <c r="O196" s="45"/>
      <c r="P196" s="45"/>
      <c r="Q196" s="45"/>
      <c r="R196" s="45"/>
      <c r="S196" s="45"/>
      <c r="T196" s="45"/>
      <c r="U196" s="45"/>
      <c r="V196" s="45"/>
      <c r="W196" s="45"/>
      <c r="X196" s="45"/>
      <c r="Y196" s="45"/>
      <c r="Z196" s="56"/>
      <c r="AA196" s="179" t="s">
        <v>611</v>
      </c>
      <c r="AB196" s="176"/>
      <c r="AC196" s="176"/>
      <c r="AD196" s="177">
        <f>SUM(AD193:AD195)</f>
        <v>43700</v>
      </c>
    </row>
    <row r="197" spans="1:30" ht="15.6">
      <c r="A197" s="7" t="s">
        <v>612</v>
      </c>
      <c r="B197" s="40" t="s">
        <v>609</v>
      </c>
      <c r="C197" s="40" t="s">
        <v>216</v>
      </c>
      <c r="D197" s="40" t="s">
        <v>1005</v>
      </c>
      <c r="E197" s="40" t="s">
        <v>71</v>
      </c>
      <c r="F197" s="40" t="s">
        <v>71</v>
      </c>
      <c r="G197" s="38">
        <v>1</v>
      </c>
      <c r="H197" s="51">
        <v>100000</v>
      </c>
      <c r="I197" s="53">
        <v>0</v>
      </c>
      <c r="J197" s="51">
        <f>H197*(1+I197)</f>
        <v>100000</v>
      </c>
      <c r="K197" s="54">
        <f>J197*G197</f>
        <v>100000</v>
      </c>
      <c r="M197" s="45" t="s">
        <v>1073</v>
      </c>
      <c r="N197" s="45"/>
      <c r="O197" s="45"/>
      <c r="P197" s="45"/>
      <c r="Q197" s="45"/>
      <c r="R197" s="45"/>
      <c r="S197" s="45"/>
      <c r="T197" s="45"/>
      <c r="U197" s="45"/>
      <c r="V197" s="45"/>
      <c r="W197" s="45"/>
      <c r="X197" s="45"/>
      <c r="Y197" s="45"/>
      <c r="Z197" s="56"/>
      <c r="AA197" s="179"/>
      <c r="AB197" s="176"/>
      <c r="AC197" s="176"/>
      <c r="AD197" s="177"/>
    </row>
    <row r="198" spans="1:30" ht="16.149999999999999" thickBot="1">
      <c r="A198" s="7" t="s">
        <v>613</v>
      </c>
      <c r="B198" s="40" t="s">
        <v>614</v>
      </c>
      <c r="C198" s="40" t="s">
        <v>216</v>
      </c>
      <c r="D198" s="40" t="s">
        <v>223</v>
      </c>
      <c r="E198" s="40" t="s">
        <v>555</v>
      </c>
      <c r="F198" s="40" t="s">
        <v>615</v>
      </c>
      <c r="G198" s="183">
        <f>$B$9</f>
        <v>15.826000000000001</v>
      </c>
      <c r="H198" s="51">
        <v>1000</v>
      </c>
      <c r="I198" s="53">
        <v>0</v>
      </c>
      <c r="J198" s="51">
        <f t="shared" si="42"/>
        <v>1000</v>
      </c>
      <c r="K198" s="54">
        <f t="shared" si="43"/>
        <v>15826</v>
      </c>
      <c r="M198" s="45"/>
      <c r="N198" s="45"/>
      <c r="O198" s="45"/>
      <c r="P198" s="45"/>
      <c r="Q198" s="45"/>
      <c r="R198" s="45"/>
      <c r="S198" s="45"/>
      <c r="T198" s="45"/>
      <c r="U198" s="45"/>
      <c r="V198" s="45"/>
      <c r="W198" s="45"/>
      <c r="X198" s="45"/>
      <c r="Y198" s="45"/>
      <c r="Z198" s="56"/>
      <c r="AA198" s="180" t="s">
        <v>616</v>
      </c>
      <c r="AB198" s="181"/>
      <c r="AC198" s="181"/>
      <c r="AD198" s="184">
        <f>AD196/391</f>
        <v>111.76470588235294</v>
      </c>
    </row>
    <row r="199" spans="1:30">
      <c r="A199" s="7" t="s">
        <v>617</v>
      </c>
      <c r="B199" s="40" t="s">
        <v>618</v>
      </c>
      <c r="C199" s="40" t="s">
        <v>216</v>
      </c>
      <c r="D199" s="40" t="s">
        <v>223</v>
      </c>
      <c r="E199" s="40" t="s">
        <v>555</v>
      </c>
      <c r="F199" s="40" t="s">
        <v>615</v>
      </c>
      <c r="G199" s="183">
        <f>$B$9</f>
        <v>15.826000000000001</v>
      </c>
      <c r="H199" s="51">
        <v>1000</v>
      </c>
      <c r="I199" s="53">
        <v>0</v>
      </c>
      <c r="J199" s="51">
        <f t="shared" si="42"/>
        <v>1000</v>
      </c>
      <c r="K199" s="54">
        <f t="shared" si="43"/>
        <v>15826</v>
      </c>
      <c r="M199" s="45"/>
      <c r="N199" s="45"/>
      <c r="O199" s="45"/>
      <c r="P199" s="45"/>
      <c r="Q199" s="45"/>
      <c r="R199" s="45"/>
      <c r="S199" s="45"/>
      <c r="T199" s="45"/>
      <c r="U199" s="45"/>
      <c r="V199" s="45"/>
      <c r="W199" s="45"/>
      <c r="X199" s="45"/>
      <c r="Y199" s="45"/>
      <c r="Z199" s="56"/>
    </row>
    <row r="200" spans="1:30">
      <c r="A200" s="7" t="s">
        <v>619</v>
      </c>
      <c r="B200" s="40" t="s">
        <v>620</v>
      </c>
      <c r="C200" s="40" t="s">
        <v>216</v>
      </c>
      <c r="D200" s="40" t="s">
        <v>242</v>
      </c>
      <c r="E200" s="40" t="s">
        <v>555</v>
      </c>
      <c r="F200" s="40" t="s">
        <v>71</v>
      </c>
      <c r="G200" s="38">
        <f>$Q$7</f>
        <v>1</v>
      </c>
      <c r="H200" s="51">
        <v>17000</v>
      </c>
      <c r="I200" s="53">
        <v>0</v>
      </c>
      <c r="J200" s="51">
        <f t="shared" si="42"/>
        <v>17000</v>
      </c>
      <c r="K200" s="54">
        <f t="shared" si="43"/>
        <v>17000</v>
      </c>
      <c r="M200" s="45"/>
      <c r="N200" s="45"/>
      <c r="O200" s="45"/>
      <c r="P200" s="45"/>
      <c r="Q200" s="45"/>
      <c r="R200" s="45"/>
      <c r="S200" s="45"/>
      <c r="T200" s="45"/>
      <c r="U200" s="45"/>
      <c r="V200" s="45"/>
      <c r="W200" s="45"/>
      <c r="X200" s="45"/>
      <c r="Y200" s="45"/>
      <c r="Z200" s="56"/>
    </row>
    <row r="201" spans="1:30">
      <c r="A201" s="7" t="s">
        <v>621</v>
      </c>
      <c r="B201" s="40" t="s">
        <v>622</v>
      </c>
      <c r="C201" s="40" t="s">
        <v>216</v>
      </c>
      <c r="D201" s="40" t="s">
        <v>242</v>
      </c>
      <c r="E201" s="40" t="s">
        <v>555</v>
      </c>
      <c r="F201" s="40" t="s">
        <v>71</v>
      </c>
      <c r="G201" s="38">
        <f>$Q$7</f>
        <v>1</v>
      </c>
      <c r="H201" s="51">
        <v>11000</v>
      </c>
      <c r="I201" s="53">
        <v>0</v>
      </c>
      <c r="J201" s="51">
        <f t="shared" si="42"/>
        <v>11000</v>
      </c>
      <c r="K201" s="54">
        <f t="shared" si="43"/>
        <v>11000</v>
      </c>
      <c r="M201" s="45"/>
      <c r="N201" s="45"/>
      <c r="O201" s="45"/>
      <c r="P201" s="45"/>
      <c r="Q201" s="45"/>
      <c r="R201" s="45"/>
      <c r="S201" s="45"/>
      <c r="T201" s="45"/>
      <c r="U201" s="45"/>
      <c r="V201" s="45"/>
      <c r="W201" s="45"/>
      <c r="X201" s="45"/>
      <c r="Y201" s="45"/>
      <c r="Z201" s="56"/>
    </row>
    <row r="202" spans="1:30">
      <c r="A202" s="7" t="s">
        <v>623</v>
      </c>
      <c r="B202" s="40" t="s">
        <v>624</v>
      </c>
      <c r="C202" s="40" t="s">
        <v>216</v>
      </c>
      <c r="D202" s="40" t="s">
        <v>250</v>
      </c>
      <c r="E202" s="40" t="s">
        <v>555</v>
      </c>
      <c r="F202" s="40" t="s">
        <v>71</v>
      </c>
      <c r="G202" s="38">
        <f>$Q$7</f>
        <v>1</v>
      </c>
      <c r="H202" s="51">
        <v>2000</v>
      </c>
      <c r="I202" s="53">
        <v>0</v>
      </c>
      <c r="J202" s="51">
        <f t="shared" si="42"/>
        <v>2000</v>
      </c>
      <c r="K202" s="54">
        <f t="shared" si="43"/>
        <v>2000</v>
      </c>
      <c r="M202" s="45"/>
      <c r="N202" s="45"/>
      <c r="O202" s="45"/>
      <c r="P202" s="45"/>
      <c r="Q202" s="45"/>
      <c r="R202" s="45"/>
      <c r="S202" s="45"/>
      <c r="T202" s="45"/>
      <c r="U202" s="45"/>
      <c r="V202" s="45"/>
      <c r="W202" s="45"/>
      <c r="X202" s="45"/>
      <c r="Y202" s="45"/>
      <c r="Z202" s="56"/>
    </row>
    <row r="203" spans="1:30">
      <c r="A203" s="7" t="s">
        <v>625</v>
      </c>
      <c r="B203" s="40" t="s">
        <v>591</v>
      </c>
      <c r="C203" s="40" t="s">
        <v>216</v>
      </c>
      <c r="D203" s="40" t="s">
        <v>235</v>
      </c>
      <c r="E203" s="40" t="s">
        <v>555</v>
      </c>
      <c r="F203" s="40" t="s">
        <v>71</v>
      </c>
      <c r="G203" s="38">
        <f>$W$17</f>
        <v>1</v>
      </c>
      <c r="H203" s="51">
        <v>14250</v>
      </c>
      <c r="I203" s="53">
        <v>0</v>
      </c>
      <c r="J203" s="51">
        <f t="shared" si="42"/>
        <v>14250</v>
      </c>
      <c r="K203" s="54">
        <f t="shared" si="43"/>
        <v>14250</v>
      </c>
      <c r="M203" s="45"/>
      <c r="N203" s="45"/>
      <c r="O203" s="45"/>
      <c r="P203" s="45"/>
      <c r="Q203" s="45"/>
      <c r="R203" s="45"/>
      <c r="S203" s="45"/>
      <c r="T203" s="45"/>
      <c r="U203" s="45"/>
      <c r="V203" s="45"/>
      <c r="W203" s="45"/>
      <c r="X203" s="45"/>
      <c r="Y203" s="45"/>
      <c r="Z203" s="56"/>
    </row>
    <row r="204" spans="1:30">
      <c r="A204" s="7" t="s">
        <v>626</v>
      </c>
      <c r="B204" s="40" t="s">
        <v>595</v>
      </c>
      <c r="C204" s="40" t="s">
        <v>216</v>
      </c>
      <c r="D204" s="40" t="s">
        <v>235</v>
      </c>
      <c r="E204" s="40" t="s">
        <v>555</v>
      </c>
      <c r="F204" s="40" t="s">
        <v>71</v>
      </c>
      <c r="G204" s="38">
        <f>$W$17</f>
        <v>1</v>
      </c>
      <c r="H204" s="51">
        <v>750</v>
      </c>
      <c r="I204" s="53">
        <v>0</v>
      </c>
      <c r="J204" s="51">
        <f t="shared" si="42"/>
        <v>750</v>
      </c>
      <c r="K204" s="54">
        <f t="shared" si="43"/>
        <v>750</v>
      </c>
      <c r="M204" s="45"/>
      <c r="N204" s="45"/>
      <c r="O204" s="45"/>
      <c r="P204" s="45"/>
      <c r="Q204" s="45"/>
      <c r="R204" s="45"/>
      <c r="S204" s="45"/>
      <c r="T204" s="45"/>
      <c r="U204" s="45"/>
      <c r="V204" s="45"/>
      <c r="W204" s="45"/>
      <c r="X204" s="45"/>
      <c r="Y204" s="45"/>
      <c r="Z204" s="56"/>
    </row>
    <row r="205" spans="1:30">
      <c r="A205" s="4" t="s">
        <v>627</v>
      </c>
      <c r="B205" s="151" t="s">
        <v>628</v>
      </c>
      <c r="C205" s="151"/>
      <c r="D205" s="151"/>
      <c r="E205" s="151"/>
      <c r="F205" s="151"/>
      <c r="G205" s="152"/>
      <c r="H205" s="153"/>
      <c r="I205" s="154"/>
      <c r="J205" s="153"/>
      <c r="K205" s="172"/>
      <c r="L205" s="70">
        <f>SUM(K206:K208)</f>
        <v>256063.90999999997</v>
      </c>
      <c r="M205" s="45"/>
      <c r="N205" s="45"/>
      <c r="O205" s="45"/>
      <c r="P205" s="45"/>
      <c r="Q205" s="45"/>
      <c r="R205" s="45"/>
      <c r="S205" s="45"/>
      <c r="T205" s="45"/>
      <c r="U205" s="45"/>
      <c r="V205" s="45"/>
      <c r="W205" s="45"/>
      <c r="X205" s="45"/>
      <c r="Y205" s="45"/>
      <c r="Z205" s="56"/>
    </row>
    <row r="206" spans="1:30">
      <c r="A206" s="6" t="s">
        <v>629</v>
      </c>
      <c r="B206" s="47" t="s">
        <v>630</v>
      </c>
      <c r="C206" s="47" t="s">
        <v>283</v>
      </c>
      <c r="D206" s="47" t="s">
        <v>228</v>
      </c>
      <c r="E206" s="47" t="s">
        <v>73</v>
      </c>
      <c r="F206" s="47" t="s">
        <v>71</v>
      </c>
      <c r="G206" s="42">
        <f>$B$11</f>
        <v>4</v>
      </c>
      <c r="H206" s="61">
        <v>900</v>
      </c>
      <c r="I206" s="63">
        <v>0</v>
      </c>
      <c r="J206" s="66">
        <f t="shared" ref="J206:J208" si="45">H206*(1+I206)</f>
        <v>900</v>
      </c>
      <c r="K206" s="67">
        <f t="shared" ref="K206:K208" si="46">J206*G206</f>
        <v>3600</v>
      </c>
      <c r="M206" s="45" t="s">
        <v>631</v>
      </c>
      <c r="N206" s="45"/>
      <c r="O206" s="45"/>
      <c r="P206" s="45"/>
      <c r="Q206" s="45"/>
      <c r="R206" s="45"/>
      <c r="S206" s="45"/>
      <c r="T206" s="45"/>
      <c r="U206" s="45"/>
      <c r="V206" s="45"/>
      <c r="W206" s="45"/>
      <c r="X206" s="45"/>
      <c r="Y206" s="45"/>
      <c r="Z206" s="56"/>
    </row>
    <row r="207" spans="1:30">
      <c r="A207" s="7" t="s">
        <v>632</v>
      </c>
      <c r="B207" s="40" t="s">
        <v>633</v>
      </c>
      <c r="C207" s="40" t="s">
        <v>216</v>
      </c>
      <c r="D207" s="40" t="s">
        <v>228</v>
      </c>
      <c r="E207" s="40" t="s">
        <v>426</v>
      </c>
      <c r="F207" s="40" t="s">
        <v>61</v>
      </c>
      <c r="G207" s="38">
        <f t="shared" ref="G207" si="47">$B$8</f>
        <v>426549</v>
      </c>
      <c r="H207" s="51">
        <v>0.59</v>
      </c>
      <c r="I207" s="53">
        <v>0</v>
      </c>
      <c r="J207" s="51">
        <f t="shared" si="45"/>
        <v>0.59</v>
      </c>
      <c r="K207" s="54">
        <f t="shared" si="46"/>
        <v>251663.90999999997</v>
      </c>
      <c r="M207" s="45"/>
      <c r="N207" s="45"/>
      <c r="O207" s="45"/>
      <c r="P207" s="45"/>
      <c r="Q207" s="45"/>
      <c r="R207" s="45"/>
      <c r="S207" s="45"/>
      <c r="T207" s="45"/>
      <c r="U207" s="45"/>
      <c r="V207" s="45"/>
      <c r="W207" s="45"/>
      <c r="X207" s="45"/>
      <c r="Y207" s="45"/>
      <c r="Z207" s="56"/>
    </row>
    <row r="208" spans="1:30">
      <c r="A208" s="7" t="s">
        <v>634</v>
      </c>
      <c r="B208" s="40" t="s">
        <v>635</v>
      </c>
      <c r="C208" s="40" t="s">
        <v>216</v>
      </c>
      <c r="D208" s="40" t="s">
        <v>242</v>
      </c>
      <c r="E208" s="40" t="s">
        <v>231</v>
      </c>
      <c r="F208" s="40" t="s">
        <v>71</v>
      </c>
      <c r="G208" s="38">
        <f>$Q$7</f>
        <v>1</v>
      </c>
      <c r="H208" s="51">
        <v>800</v>
      </c>
      <c r="I208" s="53">
        <v>0</v>
      </c>
      <c r="J208" s="51">
        <f t="shared" si="45"/>
        <v>800</v>
      </c>
      <c r="K208" s="54">
        <f t="shared" si="46"/>
        <v>800</v>
      </c>
      <c r="M208" s="45" t="s">
        <v>1074</v>
      </c>
      <c r="N208" s="45"/>
      <c r="O208" s="45"/>
      <c r="P208" s="45"/>
      <c r="Q208" s="45"/>
      <c r="R208" s="45"/>
      <c r="S208" s="45"/>
      <c r="T208" s="45"/>
      <c r="U208" s="45"/>
      <c r="V208" s="45"/>
      <c r="W208" s="45"/>
      <c r="X208" s="45"/>
      <c r="Y208" s="45"/>
      <c r="Z208" s="56"/>
    </row>
    <row r="209" spans="1:26">
      <c r="A209" s="4" t="s">
        <v>636</v>
      </c>
      <c r="B209" s="151" t="s">
        <v>637</v>
      </c>
      <c r="C209" s="151"/>
      <c r="D209" s="151"/>
      <c r="E209" s="151"/>
      <c r="F209" s="151"/>
      <c r="G209" s="152"/>
      <c r="H209" s="153"/>
      <c r="I209" s="154"/>
      <c r="J209" s="153"/>
      <c r="K209" s="172"/>
      <c r="L209" s="70">
        <f>SUM(K210:K212)</f>
        <v>1225627.1168501596</v>
      </c>
      <c r="M209" s="45"/>
      <c r="N209" s="45"/>
      <c r="O209" s="45"/>
      <c r="P209" s="45"/>
      <c r="Q209" s="45"/>
      <c r="R209" s="45"/>
      <c r="S209" s="45"/>
      <c r="T209" s="45"/>
      <c r="U209" s="45"/>
      <c r="V209" s="45"/>
      <c r="W209" s="45"/>
      <c r="X209" s="45"/>
      <c r="Y209" s="45"/>
      <c r="Z209" s="56"/>
    </row>
    <row r="210" spans="1:26">
      <c r="A210" s="41" t="s">
        <v>638</v>
      </c>
      <c r="B210" s="47" t="s">
        <v>639</v>
      </c>
      <c r="C210" s="47" t="s">
        <v>216</v>
      </c>
      <c r="D210" s="47" t="s">
        <v>228</v>
      </c>
      <c r="E210" s="47" t="s">
        <v>543</v>
      </c>
      <c r="F210" s="47" t="s">
        <v>88</v>
      </c>
      <c r="G210" s="42">
        <f>$E$8</f>
        <v>390</v>
      </c>
      <c r="H210" s="61">
        <v>581</v>
      </c>
      <c r="I210" s="63">
        <v>0</v>
      </c>
      <c r="J210" s="66">
        <f t="shared" ref="J210:J212" si="48">H210*(1+I210)</f>
        <v>581</v>
      </c>
      <c r="K210" s="67">
        <f t="shared" ref="K210:K212" si="49">J210*G210</f>
        <v>226590</v>
      </c>
      <c r="M210" s="45"/>
      <c r="N210" s="45"/>
      <c r="O210" s="45"/>
      <c r="P210" s="45"/>
      <c r="Q210" s="45"/>
      <c r="R210" s="45"/>
      <c r="S210" s="45"/>
      <c r="T210" s="45"/>
      <c r="U210" s="45"/>
      <c r="V210" s="45"/>
      <c r="W210" s="45"/>
      <c r="X210" s="45"/>
      <c r="Y210" s="45"/>
      <c r="Z210" s="56"/>
    </row>
    <row r="211" spans="1:26">
      <c r="A211" s="7" t="s">
        <v>640</v>
      </c>
      <c r="B211" s="40" t="s">
        <v>641</v>
      </c>
      <c r="C211" s="40" t="s">
        <v>216</v>
      </c>
      <c r="D211" s="40" t="s">
        <v>223</v>
      </c>
      <c r="E211" s="40" t="s">
        <v>426</v>
      </c>
      <c r="F211" s="40" t="s">
        <v>88</v>
      </c>
      <c r="G211" s="38">
        <f>$E$8</f>
        <v>390</v>
      </c>
      <c r="H211" s="51">
        <v>442</v>
      </c>
      <c r="I211" s="53">
        <v>0</v>
      </c>
      <c r="J211" s="51">
        <f t="shared" si="48"/>
        <v>442</v>
      </c>
      <c r="K211" s="54">
        <f t="shared" si="49"/>
        <v>172380</v>
      </c>
      <c r="M211" s="45"/>
      <c r="N211" s="45"/>
      <c r="O211" s="45"/>
      <c r="P211" s="45"/>
      <c r="Q211" s="45"/>
      <c r="R211" s="45"/>
      <c r="S211" s="45"/>
      <c r="T211" s="45"/>
      <c r="U211" s="45"/>
      <c r="V211" s="45"/>
      <c r="W211" s="45"/>
      <c r="X211" s="45"/>
      <c r="Y211" s="45"/>
      <c r="Z211" s="56"/>
    </row>
    <row r="212" spans="1:26">
      <c r="A212" s="7" t="s">
        <v>642</v>
      </c>
      <c r="B212" s="40" t="s">
        <v>643</v>
      </c>
      <c r="C212" s="40" t="s">
        <v>216</v>
      </c>
      <c r="D212" s="40" t="s">
        <v>228</v>
      </c>
      <c r="E212" s="40" t="s">
        <v>543</v>
      </c>
      <c r="F212" s="40" t="s">
        <v>61</v>
      </c>
      <c r="G212" s="38">
        <f>$B$8</f>
        <v>426549</v>
      </c>
      <c r="H212" s="51">
        <v>1.9380120850128819</v>
      </c>
      <c r="I212" s="53">
        <v>0</v>
      </c>
      <c r="J212" s="51">
        <f t="shared" si="48"/>
        <v>1.9380120850128819</v>
      </c>
      <c r="K212" s="54">
        <f t="shared" si="49"/>
        <v>826657.11685015971</v>
      </c>
      <c r="M212" s="45" t="s">
        <v>1075</v>
      </c>
      <c r="N212" s="45"/>
      <c r="O212" s="45"/>
      <c r="P212" s="45"/>
      <c r="Q212" s="45"/>
      <c r="R212" s="45"/>
      <c r="S212" s="45"/>
      <c r="T212" s="45"/>
      <c r="U212" s="45"/>
      <c r="V212" s="45"/>
      <c r="W212" s="45"/>
      <c r="X212" s="45"/>
      <c r="Y212" s="45"/>
      <c r="Z212" s="56"/>
    </row>
    <row r="213" spans="1:26">
      <c r="A213" s="4" t="s">
        <v>644</v>
      </c>
      <c r="B213" s="151" t="s">
        <v>645</v>
      </c>
      <c r="C213" s="151"/>
      <c r="D213" s="151"/>
      <c r="E213" s="151"/>
      <c r="F213" s="151"/>
      <c r="G213" s="152"/>
      <c r="H213" s="153"/>
      <c r="I213" s="154"/>
      <c r="J213" s="153"/>
      <c r="K213" s="172"/>
      <c r="L213" s="70">
        <f>SUM(K214:K222)</f>
        <v>2009333.5559</v>
      </c>
      <c r="M213" s="45"/>
      <c r="N213" s="45"/>
      <c r="O213" s="45"/>
      <c r="P213" s="45"/>
      <c r="Q213" s="45"/>
      <c r="R213" s="45"/>
      <c r="S213" s="45"/>
      <c r="T213" s="45"/>
      <c r="U213" s="45"/>
      <c r="V213" s="45"/>
      <c r="W213" s="45"/>
      <c r="X213" s="45"/>
      <c r="Y213" s="45"/>
      <c r="Z213" s="56"/>
    </row>
    <row r="214" spans="1:26">
      <c r="A214" s="6" t="s">
        <v>646</v>
      </c>
      <c r="B214" s="47" t="s">
        <v>647</v>
      </c>
      <c r="C214" s="47" t="s">
        <v>216</v>
      </c>
      <c r="D214" s="47" t="s">
        <v>223</v>
      </c>
      <c r="E214" s="47" t="s">
        <v>782</v>
      </c>
      <c r="F214" s="47" t="s">
        <v>615</v>
      </c>
      <c r="G214" s="185">
        <f>$B$9</f>
        <v>15.826000000000001</v>
      </c>
      <c r="H214" s="61">
        <v>6331.5499999999993</v>
      </c>
      <c r="I214" s="63">
        <v>0</v>
      </c>
      <c r="J214" s="66">
        <f t="shared" ref="J214:J222" si="50">H214*(1+I214)</f>
        <v>6331.5499999999993</v>
      </c>
      <c r="K214" s="67">
        <f t="shared" ref="K214:K222" si="51">J214*G214</f>
        <v>100203.11029999999</v>
      </c>
      <c r="M214" s="45"/>
      <c r="N214" s="45"/>
      <c r="O214" s="45"/>
      <c r="P214" s="45"/>
      <c r="Q214" s="45"/>
      <c r="R214" s="45"/>
      <c r="S214" s="45"/>
      <c r="T214" s="45"/>
      <c r="U214" s="45"/>
      <c r="V214" s="45"/>
      <c r="W214" s="45"/>
      <c r="X214" s="45"/>
      <c r="Y214" s="45"/>
      <c r="Z214" s="56"/>
    </row>
    <row r="215" spans="1:26">
      <c r="A215" s="7" t="s">
        <v>648</v>
      </c>
      <c r="B215" s="40" t="s">
        <v>649</v>
      </c>
      <c r="C215" s="40" t="s">
        <v>216</v>
      </c>
      <c r="D215" s="40" t="s">
        <v>223</v>
      </c>
      <c r="E215" s="40" t="s">
        <v>782</v>
      </c>
      <c r="F215" s="40" t="s">
        <v>615</v>
      </c>
      <c r="G215" s="183">
        <f>$B$9</f>
        <v>15.826000000000001</v>
      </c>
      <c r="H215" s="51">
        <v>3485.6</v>
      </c>
      <c r="I215" s="53">
        <v>0</v>
      </c>
      <c r="J215" s="51">
        <f t="shared" si="50"/>
        <v>3485.6</v>
      </c>
      <c r="K215" s="54">
        <f t="shared" si="51"/>
        <v>55163.105600000003</v>
      </c>
      <c r="M215" s="45"/>
      <c r="N215" s="45"/>
      <c r="O215" s="45"/>
      <c r="P215" s="45"/>
      <c r="Q215" s="45"/>
      <c r="R215" s="45"/>
      <c r="S215" s="45"/>
      <c r="T215" s="45"/>
      <c r="U215" s="45"/>
      <c r="V215" s="45"/>
      <c r="W215" s="45"/>
      <c r="X215" s="45"/>
      <c r="Y215" s="45"/>
      <c r="Z215" s="56"/>
    </row>
    <row r="216" spans="1:26">
      <c r="A216" s="7" t="s">
        <v>650</v>
      </c>
      <c r="B216" s="40" t="s">
        <v>651</v>
      </c>
      <c r="C216" s="40" t="s">
        <v>216</v>
      </c>
      <c r="D216" s="40" t="s">
        <v>223</v>
      </c>
      <c r="E216" s="40" t="s">
        <v>231</v>
      </c>
      <c r="F216" s="40"/>
      <c r="G216" s="38"/>
      <c r="H216" s="51">
        <v>0</v>
      </c>
      <c r="I216" s="53">
        <v>0</v>
      </c>
      <c r="J216" s="51">
        <f t="shared" si="50"/>
        <v>0</v>
      </c>
      <c r="K216" s="54">
        <f t="shared" si="51"/>
        <v>0</v>
      </c>
      <c r="M216" s="45"/>
      <c r="N216" s="45"/>
      <c r="O216" s="45"/>
      <c r="P216" s="45"/>
      <c r="Q216" s="45"/>
      <c r="R216" s="45"/>
      <c r="S216" s="45"/>
      <c r="T216" s="45"/>
      <c r="U216" s="45"/>
      <c r="V216" s="45"/>
      <c r="W216" s="45"/>
      <c r="X216" s="45"/>
      <c r="Y216" s="45"/>
      <c r="Z216" s="56"/>
    </row>
    <row r="217" spans="1:26">
      <c r="A217" s="7" t="s">
        <v>652</v>
      </c>
      <c r="B217" s="40" t="s">
        <v>653</v>
      </c>
      <c r="C217" s="40" t="s">
        <v>216</v>
      </c>
      <c r="D217" s="40" t="s">
        <v>223</v>
      </c>
      <c r="E217" s="40" t="s">
        <v>6</v>
      </c>
      <c r="F217" s="40" t="s">
        <v>71</v>
      </c>
      <c r="G217" s="38">
        <v>1</v>
      </c>
      <c r="H217" s="51">
        <v>100000</v>
      </c>
      <c r="I217" s="53">
        <v>0</v>
      </c>
      <c r="J217" s="51">
        <f t="shared" si="50"/>
        <v>100000</v>
      </c>
      <c r="K217" s="54">
        <f t="shared" si="51"/>
        <v>100000</v>
      </c>
      <c r="M217" s="45" t="s">
        <v>654</v>
      </c>
      <c r="N217" s="45"/>
      <c r="O217" s="45"/>
      <c r="P217" s="45"/>
      <c r="Q217" s="45"/>
      <c r="R217" s="45"/>
      <c r="S217" s="45"/>
      <c r="T217" s="45"/>
      <c r="U217" s="45"/>
      <c r="V217" s="45"/>
      <c r="W217" s="45"/>
      <c r="X217" s="45"/>
      <c r="Y217" s="45"/>
      <c r="Z217" s="56"/>
    </row>
    <row r="218" spans="1:26">
      <c r="A218" s="7" t="s">
        <v>655</v>
      </c>
      <c r="B218" s="40" t="s">
        <v>656</v>
      </c>
      <c r="C218" s="40" t="s">
        <v>216</v>
      </c>
      <c r="D218" s="40" t="s">
        <v>223</v>
      </c>
      <c r="E218" s="40" t="s">
        <v>6</v>
      </c>
      <c r="F218" s="40" t="s">
        <v>71</v>
      </c>
      <c r="G218" s="38">
        <v>1</v>
      </c>
      <c r="H218" s="51">
        <v>1319548</v>
      </c>
      <c r="I218" s="53">
        <v>0</v>
      </c>
      <c r="J218" s="51">
        <f t="shared" si="50"/>
        <v>1319548</v>
      </c>
      <c r="K218" s="54">
        <f t="shared" si="51"/>
        <v>1319548</v>
      </c>
      <c r="M218" s="45" t="s">
        <v>1076</v>
      </c>
      <c r="N218" s="45"/>
      <c r="O218" s="45"/>
      <c r="P218" s="45"/>
      <c r="Q218" s="45"/>
      <c r="R218" s="45"/>
      <c r="S218" s="45"/>
      <c r="T218" s="45"/>
      <c r="U218" s="45"/>
      <c r="V218" s="45"/>
      <c r="W218" s="45"/>
      <c r="X218" s="45"/>
      <c r="Y218" s="45"/>
      <c r="Z218" s="56"/>
    </row>
    <row r="219" spans="1:26">
      <c r="A219" s="7" t="s">
        <v>658</v>
      </c>
      <c r="B219" s="40" t="s">
        <v>659</v>
      </c>
      <c r="C219" s="40" t="s">
        <v>216</v>
      </c>
      <c r="D219" s="40" t="s">
        <v>223</v>
      </c>
      <c r="E219" s="40" t="s">
        <v>6</v>
      </c>
      <c r="F219" s="40" t="s">
        <v>71</v>
      </c>
      <c r="G219" s="38">
        <v>1</v>
      </c>
      <c r="H219" s="51">
        <v>43430</v>
      </c>
      <c r="I219" s="53">
        <v>0</v>
      </c>
      <c r="J219" s="51">
        <f t="shared" si="50"/>
        <v>43430</v>
      </c>
      <c r="K219" s="54">
        <f t="shared" si="51"/>
        <v>43430</v>
      </c>
      <c r="M219" s="45" t="s">
        <v>654</v>
      </c>
      <c r="N219" s="45"/>
      <c r="O219" s="45"/>
      <c r="P219" s="45"/>
      <c r="Q219" s="45"/>
      <c r="R219" s="45"/>
      <c r="S219" s="45"/>
      <c r="T219" s="45"/>
      <c r="U219" s="45"/>
      <c r="V219" s="45"/>
      <c r="W219" s="45"/>
      <c r="X219" s="45"/>
      <c r="Y219" s="45"/>
      <c r="Z219" s="56"/>
    </row>
    <row r="220" spans="1:26">
      <c r="A220" s="7" t="s">
        <v>660</v>
      </c>
      <c r="B220" s="40" t="s">
        <v>661</v>
      </c>
      <c r="C220" s="40" t="s">
        <v>216</v>
      </c>
      <c r="D220" s="40" t="s">
        <v>223</v>
      </c>
      <c r="E220" s="40" t="s">
        <v>6</v>
      </c>
      <c r="F220" s="40" t="s">
        <v>71</v>
      </c>
      <c r="G220" s="38">
        <v>1</v>
      </c>
      <c r="H220" s="51">
        <v>350000</v>
      </c>
      <c r="I220" s="53">
        <v>0</v>
      </c>
      <c r="J220" s="51">
        <f t="shared" si="50"/>
        <v>350000</v>
      </c>
      <c r="K220" s="54">
        <f t="shared" si="51"/>
        <v>350000</v>
      </c>
      <c r="M220" s="45" t="s">
        <v>1077</v>
      </c>
      <c r="N220" s="45"/>
      <c r="O220" s="45"/>
      <c r="P220" s="45"/>
      <c r="Q220" s="45"/>
      <c r="R220" s="45"/>
      <c r="S220" s="45"/>
      <c r="T220" s="45"/>
      <c r="U220" s="45"/>
      <c r="V220" s="45"/>
      <c r="W220" s="45"/>
      <c r="X220" s="45"/>
      <c r="Y220" s="45"/>
      <c r="Z220" s="56"/>
    </row>
    <row r="221" spans="1:26">
      <c r="A221" s="7" t="s">
        <v>662</v>
      </c>
      <c r="B221" s="40" t="s">
        <v>663</v>
      </c>
      <c r="C221" s="40" t="s">
        <v>216</v>
      </c>
      <c r="D221" s="40" t="s">
        <v>223</v>
      </c>
      <c r="E221" s="40" t="s">
        <v>231</v>
      </c>
      <c r="F221" s="40"/>
      <c r="G221" s="38"/>
      <c r="H221" s="51">
        <v>0</v>
      </c>
      <c r="I221" s="53">
        <v>0</v>
      </c>
      <c r="J221" s="51">
        <f t="shared" si="50"/>
        <v>0</v>
      </c>
      <c r="K221" s="54">
        <f t="shared" si="51"/>
        <v>0</v>
      </c>
      <c r="M221" s="45"/>
      <c r="N221" s="45"/>
      <c r="O221" s="45"/>
      <c r="P221" s="45"/>
      <c r="Q221" s="45"/>
      <c r="R221" s="45"/>
      <c r="S221" s="45"/>
      <c r="T221" s="45"/>
      <c r="U221" s="45"/>
      <c r="V221" s="45"/>
      <c r="W221" s="45"/>
      <c r="X221" s="45"/>
      <c r="Y221" s="45"/>
      <c r="Z221" s="56"/>
    </row>
    <row r="222" spans="1:26">
      <c r="A222" s="7" t="s">
        <v>664</v>
      </c>
      <c r="B222" s="40" t="s">
        <v>665</v>
      </c>
      <c r="C222" s="40" t="s">
        <v>216</v>
      </c>
      <c r="D222" s="40" t="s">
        <v>223</v>
      </c>
      <c r="E222" s="40" t="s">
        <v>782</v>
      </c>
      <c r="F222" s="40" t="s">
        <v>615</v>
      </c>
      <c r="G222" s="183">
        <f>$B$9</f>
        <v>15.826000000000001</v>
      </c>
      <c r="H222" s="51">
        <v>2590</v>
      </c>
      <c r="I222" s="53">
        <v>0</v>
      </c>
      <c r="J222" s="51">
        <f t="shared" si="50"/>
        <v>2590</v>
      </c>
      <c r="K222" s="54">
        <f t="shared" si="51"/>
        <v>40989.340000000004</v>
      </c>
      <c r="M222" s="45"/>
      <c r="N222" s="45"/>
      <c r="O222" s="45"/>
      <c r="P222" s="45"/>
      <c r="Q222" s="45"/>
      <c r="R222" s="45"/>
      <c r="S222" s="45"/>
      <c r="T222" s="45"/>
      <c r="U222" s="45"/>
      <c r="V222" s="45"/>
      <c r="W222" s="45"/>
      <c r="X222" s="45"/>
      <c r="Y222" s="45"/>
      <c r="Z222" s="56"/>
    </row>
    <row r="223" spans="1:26">
      <c r="A223" s="4" t="s">
        <v>666</v>
      </c>
      <c r="B223" s="151" t="s">
        <v>667</v>
      </c>
      <c r="C223" s="151"/>
      <c r="D223" s="151"/>
      <c r="E223" s="151"/>
      <c r="F223" s="151"/>
      <c r="G223" s="152"/>
      <c r="H223" s="153"/>
      <c r="I223" s="154"/>
      <c r="J223" s="153"/>
      <c r="K223" s="172"/>
      <c r="L223" s="70">
        <f>SUM(K224:K259)</f>
        <v>7690380.5860000001</v>
      </c>
      <c r="M223" s="45"/>
      <c r="N223" s="45"/>
      <c r="O223" s="45"/>
      <c r="P223" s="45"/>
      <c r="Q223" s="45"/>
      <c r="R223" s="45"/>
      <c r="S223" s="45"/>
      <c r="T223" s="45"/>
      <c r="U223" s="45"/>
      <c r="V223" s="45"/>
      <c r="W223" s="45"/>
      <c r="X223" s="45"/>
      <c r="Y223" s="45"/>
      <c r="Z223" s="56"/>
    </row>
    <row r="224" spans="1:26">
      <c r="A224" s="6" t="s">
        <v>668</v>
      </c>
      <c r="B224" s="47" t="s">
        <v>669</v>
      </c>
      <c r="C224" s="47" t="s">
        <v>233</v>
      </c>
      <c r="D224" s="47" t="s">
        <v>223</v>
      </c>
      <c r="E224" s="47" t="s">
        <v>555</v>
      </c>
      <c r="F224" s="47" t="s">
        <v>71</v>
      </c>
      <c r="G224" s="42">
        <v>1</v>
      </c>
      <c r="H224" s="61">
        <v>5000</v>
      </c>
      <c r="I224" s="63">
        <v>0</v>
      </c>
      <c r="J224" s="66">
        <f t="shared" ref="J224:J259" si="52">H224*(1+I224)</f>
        <v>5000</v>
      </c>
      <c r="K224" s="67">
        <f t="shared" ref="K224:K259" si="53">J224*G224</f>
        <v>5000</v>
      </c>
      <c r="L224" s="194"/>
      <c r="M224" s="45"/>
      <c r="N224" s="45"/>
      <c r="O224" s="45"/>
      <c r="P224" s="45"/>
      <c r="Q224" s="45"/>
      <c r="R224" s="45"/>
      <c r="S224" s="45"/>
      <c r="T224" s="45"/>
      <c r="U224" s="45"/>
      <c r="V224" s="45"/>
      <c r="W224" s="45"/>
      <c r="X224" s="45"/>
      <c r="Y224" s="45"/>
      <c r="Z224" s="56"/>
    </row>
    <row r="225" spans="1:26">
      <c r="A225" s="7" t="s">
        <v>670</v>
      </c>
      <c r="B225" s="40" t="s">
        <v>671</v>
      </c>
      <c r="C225" s="40" t="s">
        <v>216</v>
      </c>
      <c r="D225" s="40" t="s">
        <v>238</v>
      </c>
      <c r="E225" s="40" t="s">
        <v>555</v>
      </c>
      <c r="F225" s="40" t="s">
        <v>71</v>
      </c>
      <c r="G225" s="38">
        <v>1</v>
      </c>
      <c r="H225" s="51">
        <v>7500</v>
      </c>
      <c r="I225" s="53">
        <v>0</v>
      </c>
      <c r="J225" s="51">
        <f t="shared" si="52"/>
        <v>7500</v>
      </c>
      <c r="K225" s="54">
        <f t="shared" si="53"/>
        <v>7500</v>
      </c>
      <c r="L225" s="194"/>
      <c r="M225" s="45"/>
      <c r="N225" s="45"/>
      <c r="O225" s="45"/>
      <c r="P225" s="45"/>
      <c r="Q225" s="45"/>
      <c r="R225" s="45"/>
      <c r="S225" s="45"/>
      <c r="T225" s="45"/>
      <c r="U225" s="45"/>
      <c r="V225" s="45"/>
      <c r="W225" s="45"/>
      <c r="X225" s="45"/>
      <c r="Y225" s="45"/>
      <c r="Z225" s="56"/>
    </row>
    <row r="226" spans="1:26">
      <c r="A226" s="7" t="s">
        <v>672</v>
      </c>
      <c r="B226" s="40" t="s">
        <v>673</v>
      </c>
      <c r="C226" s="40" t="s">
        <v>216</v>
      </c>
      <c r="D226" s="40" t="s">
        <v>223</v>
      </c>
      <c r="E226" s="40" t="s">
        <v>6</v>
      </c>
      <c r="F226" s="40" t="s">
        <v>71</v>
      </c>
      <c r="G226" s="38">
        <v>1</v>
      </c>
      <c r="H226" s="51">
        <v>15000</v>
      </c>
      <c r="I226" s="53">
        <v>0</v>
      </c>
      <c r="J226" s="51">
        <f t="shared" si="52"/>
        <v>15000</v>
      </c>
      <c r="K226" s="54">
        <f t="shared" si="53"/>
        <v>15000</v>
      </c>
      <c r="L226" s="194"/>
      <c r="M226" s="45" t="s">
        <v>654</v>
      </c>
      <c r="N226" s="45"/>
      <c r="O226" s="45"/>
      <c r="P226" s="45"/>
      <c r="Q226" s="45"/>
      <c r="R226" s="45"/>
      <c r="S226" s="45"/>
      <c r="T226" s="45"/>
      <c r="U226" s="45"/>
      <c r="V226" s="45"/>
      <c r="W226" s="45"/>
      <c r="X226" s="45"/>
      <c r="Y226" s="45"/>
      <c r="Z226" s="56"/>
    </row>
    <row r="227" spans="1:26">
      <c r="A227" s="7" t="s">
        <v>674</v>
      </c>
      <c r="B227" s="40" t="s">
        <v>675</v>
      </c>
      <c r="C227" s="40" t="s">
        <v>216</v>
      </c>
      <c r="D227" s="40" t="s">
        <v>223</v>
      </c>
      <c r="E227" s="40" t="s">
        <v>6</v>
      </c>
      <c r="F227" s="40" t="s">
        <v>71</v>
      </c>
      <c r="G227" s="38">
        <v>1</v>
      </c>
      <c r="H227" s="51">
        <v>708863.2</v>
      </c>
      <c r="I227" s="53">
        <v>0</v>
      </c>
      <c r="J227" s="51">
        <f t="shared" si="52"/>
        <v>708863.2</v>
      </c>
      <c r="K227" s="54">
        <f t="shared" si="53"/>
        <v>708863.2</v>
      </c>
      <c r="L227" s="194"/>
      <c r="M227" s="45" t="s">
        <v>654</v>
      </c>
      <c r="N227" s="45"/>
      <c r="O227" s="45"/>
      <c r="P227" s="45"/>
      <c r="Q227" s="45"/>
      <c r="R227" s="45"/>
      <c r="S227" s="45"/>
      <c r="T227" s="45"/>
      <c r="U227" s="45"/>
      <c r="V227" s="45"/>
      <c r="W227" s="45"/>
      <c r="X227" s="45"/>
      <c r="Y227" s="45"/>
      <c r="Z227" s="56"/>
    </row>
    <row r="228" spans="1:26">
      <c r="A228" s="7" t="s">
        <v>676</v>
      </c>
      <c r="B228" s="40" t="s">
        <v>677</v>
      </c>
      <c r="C228" s="40" t="s">
        <v>216</v>
      </c>
      <c r="D228" s="40" t="s">
        <v>223</v>
      </c>
      <c r="E228" s="40" t="s">
        <v>555</v>
      </c>
      <c r="F228" s="40" t="s">
        <v>61</v>
      </c>
      <c r="G228" s="38">
        <v>272443</v>
      </c>
      <c r="H228" s="51">
        <v>0.15</v>
      </c>
      <c r="I228" s="53">
        <v>0</v>
      </c>
      <c r="J228" s="51">
        <f t="shared" si="52"/>
        <v>0.15</v>
      </c>
      <c r="K228" s="54">
        <f t="shared" si="53"/>
        <v>40866.449999999997</v>
      </c>
      <c r="L228" s="194"/>
      <c r="M228" s="45"/>
      <c r="N228" s="45"/>
      <c r="O228" s="45"/>
      <c r="P228" s="45"/>
      <c r="Q228" s="45"/>
      <c r="R228" s="45"/>
      <c r="S228" s="45"/>
      <c r="T228" s="45"/>
      <c r="U228" s="45"/>
      <c r="V228" s="45"/>
      <c r="W228" s="45"/>
      <c r="X228" s="45"/>
      <c r="Y228" s="45"/>
      <c r="Z228" s="56"/>
    </row>
    <row r="229" spans="1:26">
      <c r="A229" s="7" t="s">
        <v>149</v>
      </c>
      <c r="B229" s="40" t="s">
        <v>678</v>
      </c>
      <c r="C229" s="40" t="s">
        <v>216</v>
      </c>
      <c r="D229" s="40" t="s">
        <v>238</v>
      </c>
      <c r="E229" s="40" t="s">
        <v>555</v>
      </c>
      <c r="F229" s="40" t="s">
        <v>148</v>
      </c>
      <c r="G229" s="38">
        <f>T9</f>
        <v>900</v>
      </c>
      <c r="H229" s="51">
        <v>7.5</v>
      </c>
      <c r="I229" s="53">
        <v>0</v>
      </c>
      <c r="J229" s="51">
        <f t="shared" si="52"/>
        <v>7.5</v>
      </c>
      <c r="K229" s="54">
        <f t="shared" si="53"/>
        <v>6750</v>
      </c>
      <c r="L229" s="194"/>
      <c r="M229" s="45"/>
      <c r="N229" s="45"/>
      <c r="O229" s="45"/>
      <c r="P229" s="45"/>
      <c r="Q229" s="45"/>
      <c r="R229" s="45"/>
      <c r="S229" s="45"/>
      <c r="T229" s="45"/>
      <c r="U229" s="45"/>
      <c r="V229" s="45"/>
      <c r="W229" s="45"/>
      <c r="X229" s="45"/>
      <c r="Y229" s="45"/>
      <c r="Z229" s="56"/>
    </row>
    <row r="230" spans="1:26">
      <c r="A230" s="7" t="s">
        <v>679</v>
      </c>
      <c r="B230" s="40" t="s">
        <v>680</v>
      </c>
      <c r="C230" s="40" t="s">
        <v>216</v>
      </c>
      <c r="D230" s="40" t="s">
        <v>242</v>
      </c>
      <c r="E230" s="40" t="s">
        <v>555</v>
      </c>
      <c r="F230" s="40" t="s">
        <v>61</v>
      </c>
      <c r="G230" s="38">
        <f>T10</f>
        <v>7964</v>
      </c>
      <c r="H230" s="51">
        <v>7.5</v>
      </c>
      <c r="I230" s="53">
        <v>0</v>
      </c>
      <c r="J230" s="51">
        <f t="shared" si="52"/>
        <v>7.5</v>
      </c>
      <c r="K230" s="54">
        <f t="shared" si="53"/>
        <v>59730</v>
      </c>
      <c r="L230" s="194"/>
      <c r="M230" s="45"/>
      <c r="N230" s="45"/>
      <c r="O230" s="45"/>
      <c r="P230" s="45"/>
      <c r="Q230" s="45"/>
      <c r="R230" s="45"/>
      <c r="S230" s="45"/>
      <c r="T230" s="45"/>
      <c r="U230" s="45"/>
      <c r="V230" s="45"/>
      <c r="W230" s="45"/>
      <c r="X230" s="45"/>
      <c r="Y230" s="45"/>
      <c r="Z230" s="56"/>
    </row>
    <row r="231" spans="1:26">
      <c r="A231" s="7" t="s">
        <v>681</v>
      </c>
      <c r="B231" s="40" t="s">
        <v>682</v>
      </c>
      <c r="C231" s="40" t="s">
        <v>216</v>
      </c>
      <c r="D231" s="40" t="s">
        <v>223</v>
      </c>
      <c r="E231" s="40" t="s">
        <v>6</v>
      </c>
      <c r="F231" s="40" t="s">
        <v>71</v>
      </c>
      <c r="G231" s="38">
        <v>1</v>
      </c>
      <c r="H231" s="51">
        <f>94530+78000</f>
        <v>172530</v>
      </c>
      <c r="I231" s="53">
        <v>0</v>
      </c>
      <c r="J231" s="51">
        <f t="shared" si="52"/>
        <v>172530</v>
      </c>
      <c r="K231" s="54">
        <f t="shared" si="53"/>
        <v>172530</v>
      </c>
      <c r="L231" s="194"/>
      <c r="M231" s="45" t="s">
        <v>654</v>
      </c>
      <c r="N231" s="45"/>
      <c r="O231" s="45"/>
      <c r="P231" s="45"/>
      <c r="Q231" s="45"/>
      <c r="R231" s="45"/>
      <c r="S231" s="45"/>
      <c r="T231" s="45"/>
      <c r="U231" s="45"/>
      <c r="V231" s="45"/>
      <c r="W231" s="45"/>
      <c r="X231" s="45"/>
      <c r="Y231" s="45"/>
      <c r="Z231" s="56"/>
    </row>
    <row r="232" spans="1:26">
      <c r="A232" s="7" t="s">
        <v>683</v>
      </c>
      <c r="B232" s="40" t="s">
        <v>684</v>
      </c>
      <c r="C232" s="40" t="s">
        <v>216</v>
      </c>
      <c r="D232" s="40" t="s">
        <v>223</v>
      </c>
      <c r="E232" s="40" t="s">
        <v>6</v>
      </c>
      <c r="F232" s="40" t="s">
        <v>71</v>
      </c>
      <c r="G232" s="38">
        <v>1</v>
      </c>
      <c r="H232" s="51">
        <f>206646</f>
        <v>206646</v>
      </c>
      <c r="I232" s="53">
        <v>0</v>
      </c>
      <c r="J232" s="51">
        <f t="shared" si="52"/>
        <v>206646</v>
      </c>
      <c r="K232" s="54">
        <f t="shared" si="53"/>
        <v>206646</v>
      </c>
      <c r="L232" s="194"/>
      <c r="M232" s="45" t="s">
        <v>654</v>
      </c>
      <c r="N232" s="45"/>
      <c r="O232" s="45"/>
      <c r="P232" s="45"/>
      <c r="Q232" s="45"/>
      <c r="R232" s="45"/>
      <c r="S232" s="45"/>
      <c r="T232" s="45"/>
      <c r="U232" s="45"/>
      <c r="V232" s="45"/>
      <c r="W232" s="45"/>
      <c r="X232" s="45"/>
      <c r="Y232" s="45"/>
      <c r="Z232" s="56"/>
    </row>
    <row r="233" spans="1:26">
      <c r="A233" s="52" t="s">
        <v>685</v>
      </c>
      <c r="B233" s="40" t="s">
        <v>686</v>
      </c>
      <c r="C233" s="40" t="s">
        <v>216</v>
      </c>
      <c r="D233" s="40" t="s">
        <v>223</v>
      </c>
      <c r="E233" s="40" t="s">
        <v>6</v>
      </c>
      <c r="F233" s="40" t="s">
        <v>71</v>
      </c>
      <c r="G233" s="38">
        <v>1</v>
      </c>
      <c r="H233" s="51">
        <f>735412-H231-H232-35000-10000-2000</f>
        <v>309236</v>
      </c>
      <c r="I233" s="53">
        <v>0</v>
      </c>
      <c r="J233" s="51">
        <f t="shared" si="52"/>
        <v>309236</v>
      </c>
      <c r="K233" s="54">
        <f t="shared" si="53"/>
        <v>309236</v>
      </c>
      <c r="L233" s="194"/>
      <c r="M233" s="45" t="s">
        <v>654</v>
      </c>
      <c r="N233" s="45"/>
      <c r="O233" s="45"/>
      <c r="P233" s="45"/>
      <c r="Q233" s="45"/>
      <c r="R233" s="45"/>
      <c r="S233" s="45"/>
      <c r="T233" s="45"/>
      <c r="U233" s="45"/>
      <c r="V233" s="45"/>
      <c r="W233" s="45"/>
      <c r="X233" s="45"/>
      <c r="Y233" s="45"/>
      <c r="Z233" s="56"/>
    </row>
    <row r="234" spans="1:26">
      <c r="A234" s="7" t="s">
        <v>687</v>
      </c>
      <c r="B234" s="40" t="s">
        <v>688</v>
      </c>
      <c r="C234" s="40" t="s">
        <v>216</v>
      </c>
      <c r="D234" s="40" t="s">
        <v>238</v>
      </c>
      <c r="E234" s="40" t="s">
        <v>231</v>
      </c>
      <c r="F234" s="40"/>
      <c r="G234" s="38"/>
      <c r="H234" s="51"/>
      <c r="I234" s="53">
        <v>0</v>
      </c>
      <c r="J234" s="51">
        <f t="shared" si="52"/>
        <v>0</v>
      </c>
      <c r="K234" s="54">
        <f t="shared" si="53"/>
        <v>0</v>
      </c>
      <c r="L234" s="194"/>
      <c r="M234" s="45"/>
      <c r="N234" s="45"/>
      <c r="O234" s="45"/>
      <c r="P234" s="45"/>
      <c r="Q234" s="45"/>
      <c r="R234" s="45"/>
      <c r="S234" s="45"/>
      <c r="T234" s="45"/>
      <c r="U234" s="45"/>
      <c r="V234" s="45"/>
      <c r="W234" s="45"/>
      <c r="X234" s="45"/>
      <c r="Y234" s="45"/>
      <c r="Z234" s="56"/>
    </row>
    <row r="235" spans="1:26" ht="14.25" customHeight="1">
      <c r="A235" s="7" t="s">
        <v>689</v>
      </c>
      <c r="B235" s="40" t="s">
        <v>690</v>
      </c>
      <c r="C235" s="40" t="s">
        <v>216</v>
      </c>
      <c r="D235" s="40" t="s">
        <v>242</v>
      </c>
      <c r="E235" s="40" t="s">
        <v>555</v>
      </c>
      <c r="F235" s="40" t="s">
        <v>71</v>
      </c>
      <c r="G235" s="38">
        <f>$Q$7</f>
        <v>1</v>
      </c>
      <c r="H235" s="51">
        <v>9660</v>
      </c>
      <c r="I235" s="53">
        <v>0</v>
      </c>
      <c r="J235" s="51">
        <f t="shared" si="52"/>
        <v>9660</v>
      </c>
      <c r="K235" s="54">
        <f t="shared" si="53"/>
        <v>9660</v>
      </c>
      <c r="L235" s="194"/>
      <c r="M235" s="45"/>
      <c r="N235" s="45"/>
      <c r="O235" s="45"/>
      <c r="P235" s="45"/>
      <c r="Q235" s="45"/>
      <c r="R235" s="45"/>
      <c r="S235" s="45"/>
      <c r="T235" s="45"/>
      <c r="U235" s="45"/>
      <c r="V235" s="45"/>
      <c r="W235" s="45"/>
      <c r="X235" s="45"/>
      <c r="Y235" s="45"/>
      <c r="Z235" s="56"/>
    </row>
    <row r="236" spans="1:26">
      <c r="A236" s="7" t="s">
        <v>691</v>
      </c>
      <c r="B236" s="40" t="s">
        <v>692</v>
      </c>
      <c r="C236" s="40" t="s">
        <v>216</v>
      </c>
      <c r="D236" s="40" t="s">
        <v>223</v>
      </c>
      <c r="E236" s="40" t="s">
        <v>555</v>
      </c>
      <c r="F236" s="40" t="s">
        <v>615</v>
      </c>
      <c r="G236" s="183">
        <f>$B$9</f>
        <v>15.826000000000001</v>
      </c>
      <c r="H236" s="51">
        <v>2476</v>
      </c>
      <c r="I236" s="53">
        <v>0</v>
      </c>
      <c r="J236" s="51">
        <f t="shared" si="52"/>
        <v>2476</v>
      </c>
      <c r="K236" s="54">
        <f t="shared" si="53"/>
        <v>39185.175999999999</v>
      </c>
      <c r="L236" s="194"/>
      <c r="M236" s="45"/>
      <c r="N236" s="45"/>
      <c r="O236" s="45"/>
      <c r="P236" s="45"/>
      <c r="Q236" s="45"/>
      <c r="R236" s="45"/>
      <c r="S236" s="45"/>
      <c r="T236" s="45"/>
      <c r="U236" s="45"/>
      <c r="V236" s="45"/>
      <c r="W236" s="45"/>
      <c r="X236" s="45"/>
      <c r="Y236" s="45"/>
      <c r="Z236" s="56"/>
    </row>
    <row r="237" spans="1:26">
      <c r="A237" s="7" t="s">
        <v>693</v>
      </c>
      <c r="B237" s="40" t="s">
        <v>694</v>
      </c>
      <c r="C237" s="40" t="s">
        <v>216</v>
      </c>
      <c r="D237" s="40" t="s">
        <v>223</v>
      </c>
      <c r="E237" s="40" t="s">
        <v>6</v>
      </c>
      <c r="F237" s="40" t="s">
        <v>71</v>
      </c>
      <c r="G237" s="38">
        <v>1</v>
      </c>
      <c r="H237" s="51">
        <f>283022-11482-3300-37100-30000-7050-9800-17840-2800</f>
        <v>163650</v>
      </c>
      <c r="I237" s="53">
        <v>0</v>
      </c>
      <c r="J237" s="51">
        <f t="shared" si="52"/>
        <v>163650</v>
      </c>
      <c r="K237" s="54">
        <f t="shared" si="53"/>
        <v>163650</v>
      </c>
      <c r="L237" s="194"/>
      <c r="M237" s="45" t="s">
        <v>695</v>
      </c>
      <c r="N237" s="45"/>
      <c r="O237" s="45"/>
      <c r="P237" s="45"/>
      <c r="Q237" s="45"/>
      <c r="R237" s="45"/>
      <c r="S237" s="45"/>
      <c r="T237" s="45"/>
      <c r="U237" s="45"/>
      <c r="V237" s="45"/>
      <c r="W237" s="45"/>
      <c r="X237" s="45"/>
      <c r="Y237" s="45"/>
      <c r="Z237" s="56"/>
    </row>
    <row r="238" spans="1:26">
      <c r="A238" s="7" t="s">
        <v>696</v>
      </c>
      <c r="B238" s="40" t="s">
        <v>697</v>
      </c>
      <c r="C238" s="40" t="s">
        <v>216</v>
      </c>
      <c r="D238" s="40" t="s">
        <v>238</v>
      </c>
      <c r="E238" s="40" t="s">
        <v>6</v>
      </c>
      <c r="F238" s="40" t="s">
        <v>108</v>
      </c>
      <c r="G238" s="38">
        <f>$Q$5</f>
        <v>14</v>
      </c>
      <c r="H238" s="51">
        <v>2485</v>
      </c>
      <c r="I238" s="53">
        <v>0</v>
      </c>
      <c r="J238" s="51">
        <f t="shared" si="52"/>
        <v>2485</v>
      </c>
      <c r="K238" s="54">
        <f t="shared" si="53"/>
        <v>34790</v>
      </c>
      <c r="L238" s="194"/>
      <c r="M238" s="45"/>
      <c r="N238" s="45"/>
      <c r="O238" s="45"/>
      <c r="P238" s="45"/>
      <c r="Q238" s="45"/>
      <c r="R238" s="45"/>
      <c r="S238" s="45"/>
      <c r="T238" s="45"/>
      <c r="U238" s="45"/>
      <c r="V238" s="45"/>
      <c r="W238" s="45"/>
      <c r="X238" s="45"/>
      <c r="Y238" s="45"/>
      <c r="Z238" s="56"/>
    </row>
    <row r="239" spans="1:26">
      <c r="A239" s="7" t="s">
        <v>698</v>
      </c>
      <c r="B239" s="40" t="s">
        <v>699</v>
      </c>
      <c r="C239" s="40" t="s">
        <v>283</v>
      </c>
      <c r="D239" s="40" t="s">
        <v>238</v>
      </c>
      <c r="E239" s="40" t="s">
        <v>73</v>
      </c>
      <c r="F239" s="40" t="s">
        <v>71</v>
      </c>
      <c r="G239" s="38">
        <v>1</v>
      </c>
      <c r="H239" s="51">
        <v>15000</v>
      </c>
      <c r="I239" s="53">
        <v>0</v>
      </c>
      <c r="J239" s="51">
        <f t="shared" si="52"/>
        <v>15000</v>
      </c>
      <c r="K239" s="54">
        <f t="shared" si="53"/>
        <v>15000</v>
      </c>
      <c r="L239" s="194"/>
      <c r="M239" s="45"/>
      <c r="N239" s="45"/>
      <c r="O239" s="45"/>
      <c r="P239" s="45"/>
      <c r="Q239" s="45"/>
      <c r="R239" s="45"/>
      <c r="S239" s="45"/>
      <c r="T239" s="45"/>
      <c r="U239" s="45"/>
      <c r="V239" s="45"/>
      <c r="W239" s="45"/>
      <c r="X239" s="45"/>
      <c r="Y239" s="45"/>
      <c r="Z239" s="56"/>
    </row>
    <row r="240" spans="1:26">
      <c r="A240" s="7" t="s">
        <v>700</v>
      </c>
      <c r="B240" s="40" t="s">
        <v>701</v>
      </c>
      <c r="C240" s="40" t="s">
        <v>216</v>
      </c>
      <c r="D240" s="40" t="s">
        <v>223</v>
      </c>
      <c r="E240" s="40" t="s">
        <v>44</v>
      </c>
      <c r="F240" s="40" t="s">
        <v>148</v>
      </c>
      <c r="G240" s="38">
        <f>T12</f>
        <v>400</v>
      </c>
      <c r="H240" s="51">
        <v>70</v>
      </c>
      <c r="I240" s="53">
        <v>0</v>
      </c>
      <c r="J240" s="51">
        <f t="shared" si="52"/>
        <v>70</v>
      </c>
      <c r="K240" s="54">
        <f t="shared" si="53"/>
        <v>28000</v>
      </c>
      <c r="L240" s="194"/>
      <c r="M240" s="45" t="s">
        <v>702</v>
      </c>
      <c r="N240" s="45"/>
      <c r="O240" s="45"/>
      <c r="P240" s="45"/>
      <c r="Q240" s="45"/>
      <c r="R240" s="45"/>
      <c r="S240" s="45"/>
      <c r="T240" s="45"/>
      <c r="U240" s="45"/>
      <c r="V240" s="45"/>
      <c r="W240" s="45"/>
      <c r="X240" s="45"/>
      <c r="Y240" s="45"/>
      <c r="Z240" s="56"/>
    </row>
    <row r="241" spans="1:26">
      <c r="A241" s="7" t="s">
        <v>161</v>
      </c>
      <c r="B241" s="40" t="s">
        <v>703</v>
      </c>
      <c r="C241" s="40" t="s">
        <v>216</v>
      </c>
      <c r="D241" s="40" t="s">
        <v>242</v>
      </c>
      <c r="E241" s="40" t="s">
        <v>6</v>
      </c>
      <c r="F241" s="40" t="s">
        <v>148</v>
      </c>
      <c r="G241" s="38">
        <f>Q7*T11</f>
        <v>437</v>
      </c>
      <c r="H241" s="51">
        <v>75</v>
      </c>
      <c r="I241" s="53">
        <v>0</v>
      </c>
      <c r="J241" s="51">
        <f t="shared" si="52"/>
        <v>75</v>
      </c>
      <c r="K241" s="54">
        <f t="shared" si="53"/>
        <v>32775</v>
      </c>
      <c r="L241" s="194"/>
      <c r="M241" s="45"/>
      <c r="N241" s="45"/>
      <c r="O241" s="45"/>
      <c r="P241" s="45"/>
      <c r="Q241" s="45"/>
      <c r="R241" s="45"/>
      <c r="S241" s="45"/>
      <c r="T241" s="45"/>
      <c r="U241" s="45"/>
      <c r="V241" s="45"/>
      <c r="W241" s="45"/>
      <c r="X241" s="45"/>
      <c r="Y241" s="45"/>
      <c r="Z241" s="56"/>
    </row>
    <row r="242" spans="1:26">
      <c r="A242" s="7" t="s">
        <v>704</v>
      </c>
      <c r="B242" s="40" t="s">
        <v>703</v>
      </c>
      <c r="C242" s="40" t="s">
        <v>216</v>
      </c>
      <c r="D242" s="40" t="s">
        <v>242</v>
      </c>
      <c r="E242" s="40" t="s">
        <v>6</v>
      </c>
      <c r="F242" s="40" t="s">
        <v>108</v>
      </c>
      <c r="G242" s="38">
        <f>$Q$7*2</f>
        <v>2</v>
      </c>
      <c r="H242" s="51">
        <v>1950</v>
      </c>
      <c r="I242" s="53">
        <v>0</v>
      </c>
      <c r="J242" s="51">
        <f t="shared" si="52"/>
        <v>1950</v>
      </c>
      <c r="K242" s="54">
        <f t="shared" si="53"/>
        <v>3900</v>
      </c>
      <c r="L242" s="194"/>
      <c r="M242" s="45"/>
      <c r="N242" s="45"/>
      <c r="O242" s="45"/>
      <c r="P242" s="45"/>
      <c r="Q242" s="45"/>
      <c r="R242" s="45"/>
      <c r="S242" s="45"/>
      <c r="T242" s="45"/>
      <c r="U242" s="45"/>
      <c r="V242" s="45"/>
      <c r="W242" s="45"/>
      <c r="X242" s="45"/>
      <c r="Y242" s="45"/>
      <c r="Z242" s="56"/>
    </row>
    <row r="243" spans="1:26">
      <c r="A243" s="7" t="s">
        <v>705</v>
      </c>
      <c r="B243" s="40" t="s">
        <v>706</v>
      </c>
      <c r="C243" s="40" t="s">
        <v>216</v>
      </c>
      <c r="D243" s="40" t="s">
        <v>223</v>
      </c>
      <c r="E243" s="40" t="s">
        <v>71</v>
      </c>
      <c r="F243" s="40" t="s">
        <v>108</v>
      </c>
      <c r="G243" s="38">
        <v>2</v>
      </c>
      <c r="H243" s="51">
        <v>96000</v>
      </c>
      <c r="I243" s="53">
        <v>0</v>
      </c>
      <c r="J243" s="51">
        <f t="shared" si="52"/>
        <v>96000</v>
      </c>
      <c r="K243" s="54">
        <f t="shared" si="53"/>
        <v>192000</v>
      </c>
      <c r="L243" s="194"/>
      <c r="M243" s="45" t="s">
        <v>1078</v>
      </c>
      <c r="N243" s="45"/>
      <c r="O243" s="45"/>
      <c r="P243" s="45"/>
      <c r="Q243" s="45"/>
      <c r="R243" s="45"/>
      <c r="S243" s="45"/>
      <c r="T243" s="45"/>
      <c r="U243" s="45"/>
      <c r="V243" s="45"/>
      <c r="W243" s="45"/>
      <c r="X243" s="45"/>
      <c r="Y243" s="45"/>
      <c r="Z243" s="56"/>
    </row>
    <row r="244" spans="1:26">
      <c r="A244" s="7" t="s">
        <v>707</v>
      </c>
      <c r="B244" s="40" t="s">
        <v>708</v>
      </c>
      <c r="C244" s="40" t="s">
        <v>216</v>
      </c>
      <c r="D244" s="40" t="s">
        <v>223</v>
      </c>
      <c r="E244" s="40" t="s">
        <v>71</v>
      </c>
      <c r="F244" s="40" t="s">
        <v>108</v>
      </c>
      <c r="G244" s="38">
        <v>2</v>
      </c>
      <c r="H244" s="51">
        <v>3555</v>
      </c>
      <c r="I244" s="53">
        <v>0</v>
      </c>
      <c r="J244" s="51">
        <f t="shared" si="52"/>
        <v>3555</v>
      </c>
      <c r="K244" s="54">
        <f t="shared" si="53"/>
        <v>7110</v>
      </c>
      <c r="L244" s="194"/>
      <c r="M244" s="45" t="s">
        <v>1078</v>
      </c>
      <c r="N244" s="45"/>
      <c r="O244" s="45"/>
      <c r="P244" s="45"/>
      <c r="Q244" s="45"/>
      <c r="R244" s="45"/>
      <c r="S244" s="45"/>
      <c r="T244" s="45"/>
      <c r="U244" s="45"/>
      <c r="V244" s="45"/>
      <c r="W244" s="45"/>
      <c r="X244" s="45"/>
      <c r="Y244" s="45"/>
      <c r="Z244" s="56"/>
    </row>
    <row r="245" spans="1:26">
      <c r="A245" s="7" t="s">
        <v>709</v>
      </c>
      <c r="B245" s="40" t="s">
        <v>710</v>
      </c>
      <c r="C245" s="40" t="s">
        <v>216</v>
      </c>
      <c r="D245" s="40" t="s">
        <v>223</v>
      </c>
      <c r="E245" s="40" t="s">
        <v>231</v>
      </c>
      <c r="F245" s="40"/>
      <c r="G245" s="38"/>
      <c r="H245" s="51">
        <v>44</v>
      </c>
      <c r="I245" s="53">
        <v>0</v>
      </c>
      <c r="J245" s="51">
        <f t="shared" si="52"/>
        <v>44</v>
      </c>
      <c r="K245" s="54">
        <f t="shared" si="53"/>
        <v>0</v>
      </c>
      <c r="L245" s="194"/>
      <c r="M245" s="45"/>
      <c r="N245" s="45"/>
      <c r="O245" s="45"/>
      <c r="P245" s="45"/>
      <c r="Q245" s="45"/>
      <c r="R245" s="45"/>
      <c r="S245" s="45"/>
      <c r="T245" s="45"/>
      <c r="U245" s="45"/>
      <c r="V245" s="45"/>
      <c r="W245" s="45"/>
      <c r="X245" s="45"/>
      <c r="Y245" s="45"/>
      <c r="Z245" s="56"/>
    </row>
    <row r="246" spans="1:26">
      <c r="A246" s="7" t="s">
        <v>711</v>
      </c>
      <c r="B246" s="40" t="s">
        <v>712</v>
      </c>
      <c r="C246" s="40" t="s">
        <v>216</v>
      </c>
      <c r="D246" s="40" t="s">
        <v>223</v>
      </c>
      <c r="E246" s="40" t="s">
        <v>231</v>
      </c>
      <c r="F246" s="40"/>
      <c r="G246" s="38"/>
      <c r="H246" s="51">
        <v>1950</v>
      </c>
      <c r="I246" s="53">
        <v>0</v>
      </c>
      <c r="J246" s="51">
        <f t="shared" si="52"/>
        <v>1950</v>
      </c>
      <c r="K246" s="54">
        <f t="shared" si="53"/>
        <v>0</v>
      </c>
      <c r="L246" s="194"/>
      <c r="M246" s="45"/>
      <c r="N246" s="45"/>
      <c r="O246" s="45"/>
      <c r="P246" s="45"/>
      <c r="Q246" s="45"/>
      <c r="R246" s="45"/>
      <c r="S246" s="45"/>
      <c r="T246" s="45"/>
      <c r="U246" s="45"/>
      <c r="V246" s="45"/>
      <c r="W246" s="45"/>
      <c r="X246" s="45"/>
      <c r="Y246" s="45"/>
      <c r="Z246" s="56"/>
    </row>
    <row r="247" spans="1:26">
      <c r="A247" s="7" t="s">
        <v>713</v>
      </c>
      <c r="B247" s="40" t="s">
        <v>714</v>
      </c>
      <c r="C247" s="40" t="s">
        <v>216</v>
      </c>
      <c r="D247" s="40" t="s">
        <v>223</v>
      </c>
      <c r="E247" s="40" t="s">
        <v>555</v>
      </c>
      <c r="F247" s="40" t="s">
        <v>615</v>
      </c>
      <c r="G247" s="183">
        <f>$B$9</f>
        <v>15.826000000000001</v>
      </c>
      <c r="H247" s="51">
        <v>2500</v>
      </c>
      <c r="I247" s="53">
        <v>0</v>
      </c>
      <c r="J247" s="51">
        <f t="shared" si="52"/>
        <v>2500</v>
      </c>
      <c r="K247" s="54">
        <f t="shared" si="53"/>
        <v>39565</v>
      </c>
      <c r="L247" s="194"/>
      <c r="M247" s="45"/>
      <c r="N247" s="45"/>
      <c r="O247" s="45"/>
      <c r="P247" s="45"/>
      <c r="Q247" s="45"/>
      <c r="R247" s="45"/>
      <c r="S247" s="45"/>
      <c r="T247" s="45"/>
      <c r="U247" s="45"/>
      <c r="V247" s="45"/>
      <c r="W247" s="45"/>
      <c r="X247" s="45"/>
      <c r="Y247" s="45"/>
      <c r="Z247" s="56"/>
    </row>
    <row r="248" spans="1:26">
      <c r="A248" s="7" t="s">
        <v>715</v>
      </c>
      <c r="B248" s="40" t="s">
        <v>716</v>
      </c>
      <c r="C248" s="40" t="s">
        <v>216</v>
      </c>
      <c r="D248" s="40" t="s">
        <v>223</v>
      </c>
      <c r="E248" s="40" t="s">
        <v>6</v>
      </c>
      <c r="F248" s="40" t="s">
        <v>71</v>
      </c>
      <c r="G248" s="38">
        <v>1</v>
      </c>
      <c r="H248" s="51">
        <f>495312.68+50000</f>
        <v>545312.67999999993</v>
      </c>
      <c r="I248" s="53">
        <v>0</v>
      </c>
      <c r="J248" s="51">
        <f t="shared" si="52"/>
        <v>545312.67999999993</v>
      </c>
      <c r="K248" s="54">
        <f t="shared" si="53"/>
        <v>545312.67999999993</v>
      </c>
      <c r="L248" s="194"/>
      <c r="M248" s="45" t="s">
        <v>717</v>
      </c>
      <c r="N248" s="45"/>
      <c r="O248" s="45"/>
      <c r="P248" s="45"/>
      <c r="Q248" s="45"/>
      <c r="R248" s="45"/>
      <c r="S248" s="45"/>
      <c r="T248" s="45"/>
      <c r="U248" s="45"/>
      <c r="V248" s="45"/>
      <c r="W248" s="45"/>
      <c r="X248" s="45"/>
      <c r="Y248" s="45"/>
      <c r="Z248" s="56"/>
    </row>
    <row r="249" spans="1:26">
      <c r="A249" s="7" t="s">
        <v>718</v>
      </c>
      <c r="B249" s="40" t="s">
        <v>719</v>
      </c>
      <c r="C249" s="40" t="s">
        <v>216</v>
      </c>
      <c r="D249" s="40" t="s">
        <v>223</v>
      </c>
      <c r="E249" s="40" t="s">
        <v>369</v>
      </c>
      <c r="F249" s="40" t="s">
        <v>71</v>
      </c>
      <c r="G249" s="38">
        <v>1</v>
      </c>
      <c r="H249" s="51">
        <v>0</v>
      </c>
      <c r="I249" s="53">
        <v>0</v>
      </c>
      <c r="J249" s="51">
        <f t="shared" si="52"/>
        <v>0</v>
      </c>
      <c r="K249" s="54">
        <f t="shared" si="53"/>
        <v>0</v>
      </c>
      <c r="L249" s="194"/>
      <c r="M249" s="45" t="s">
        <v>654</v>
      </c>
      <c r="N249" s="45"/>
      <c r="O249" s="45"/>
      <c r="P249" s="45"/>
      <c r="Q249" s="45"/>
      <c r="R249" s="45"/>
      <c r="S249" s="45"/>
      <c r="T249" s="45"/>
      <c r="U249" s="45"/>
      <c r="V249" s="45"/>
      <c r="W249" s="45"/>
      <c r="X249" s="45"/>
      <c r="Y249" s="45"/>
      <c r="Z249" s="56"/>
    </row>
    <row r="250" spans="1:26">
      <c r="A250" s="7" t="s">
        <v>720</v>
      </c>
      <c r="B250" s="40" t="s">
        <v>721</v>
      </c>
      <c r="C250" s="40" t="s">
        <v>216</v>
      </c>
      <c r="D250" s="40" t="s">
        <v>223</v>
      </c>
      <c r="E250" s="40" t="s">
        <v>73</v>
      </c>
      <c r="F250" s="40" t="s">
        <v>71</v>
      </c>
      <c r="G250" s="38">
        <v>1</v>
      </c>
      <c r="H250" s="51">
        <v>125000</v>
      </c>
      <c r="I250" s="53">
        <v>0</v>
      </c>
      <c r="J250" s="51">
        <f t="shared" si="52"/>
        <v>125000</v>
      </c>
      <c r="K250" s="54">
        <f t="shared" si="53"/>
        <v>125000</v>
      </c>
      <c r="L250" s="194"/>
      <c r="M250" s="45" t="s">
        <v>1079</v>
      </c>
      <c r="N250" s="45"/>
      <c r="O250" s="45"/>
      <c r="P250" s="45"/>
      <c r="Q250" s="45"/>
      <c r="R250" s="45"/>
      <c r="S250" s="45"/>
      <c r="T250" s="45"/>
      <c r="U250" s="45"/>
      <c r="V250" s="45"/>
      <c r="W250" s="45"/>
      <c r="X250" s="45"/>
      <c r="Y250" s="45"/>
      <c r="Z250" s="56"/>
    </row>
    <row r="251" spans="1:26">
      <c r="A251" s="7" t="s">
        <v>722</v>
      </c>
      <c r="B251" s="40" t="s">
        <v>723</v>
      </c>
      <c r="C251" s="40" t="s">
        <v>283</v>
      </c>
      <c r="D251" s="40" t="s">
        <v>242</v>
      </c>
      <c r="E251" s="40" t="s">
        <v>73</v>
      </c>
      <c r="F251" s="40" t="s">
        <v>71</v>
      </c>
      <c r="G251" s="38">
        <v>1</v>
      </c>
      <c r="H251" s="51">
        <v>11000</v>
      </c>
      <c r="I251" s="53">
        <v>0</v>
      </c>
      <c r="J251" s="51">
        <f t="shared" si="52"/>
        <v>11000</v>
      </c>
      <c r="K251" s="54">
        <f t="shared" si="53"/>
        <v>11000</v>
      </c>
      <c r="L251" s="194"/>
      <c r="M251" s="45"/>
      <c r="N251" s="45"/>
      <c r="O251" s="45"/>
      <c r="P251" s="45"/>
      <c r="Q251" s="45"/>
      <c r="R251" s="45"/>
      <c r="S251" s="45"/>
      <c r="T251" s="45"/>
      <c r="U251" s="45"/>
      <c r="V251" s="45"/>
      <c r="W251" s="45"/>
      <c r="X251" s="45"/>
      <c r="Y251" s="45"/>
      <c r="Z251" s="56"/>
    </row>
    <row r="252" spans="1:26">
      <c r="A252" s="7" t="s">
        <v>724</v>
      </c>
      <c r="B252" s="40" t="s">
        <v>725</v>
      </c>
      <c r="C252" s="40" t="s">
        <v>283</v>
      </c>
      <c r="D252" s="40" t="s">
        <v>228</v>
      </c>
      <c r="E252" s="40" t="s">
        <v>73</v>
      </c>
      <c r="F252" s="40" t="s">
        <v>71</v>
      </c>
      <c r="G252" s="38">
        <v>1</v>
      </c>
      <c r="H252" s="51">
        <v>7000</v>
      </c>
      <c r="I252" s="53">
        <v>0</v>
      </c>
      <c r="J252" s="51">
        <f t="shared" si="52"/>
        <v>7000</v>
      </c>
      <c r="K252" s="54">
        <f t="shared" si="53"/>
        <v>7000</v>
      </c>
      <c r="L252" s="194"/>
      <c r="M252" s="45"/>
      <c r="N252" s="45"/>
      <c r="O252" s="45"/>
      <c r="P252" s="45"/>
      <c r="Q252" s="45"/>
      <c r="R252" s="45"/>
      <c r="S252" s="45"/>
      <c r="T252" s="45"/>
      <c r="U252" s="45"/>
      <c r="V252" s="45"/>
      <c r="W252" s="45"/>
      <c r="X252" s="45"/>
      <c r="Y252" s="45"/>
      <c r="Z252" s="56"/>
    </row>
    <row r="253" spans="1:26">
      <c r="A253" s="7" t="s">
        <v>726</v>
      </c>
      <c r="B253" s="40" t="s">
        <v>727</v>
      </c>
      <c r="C253" s="40" t="s">
        <v>216</v>
      </c>
      <c r="D253" s="40" t="s">
        <v>223</v>
      </c>
      <c r="E253" s="40" t="s">
        <v>44</v>
      </c>
      <c r="F253" s="40" t="s">
        <v>61</v>
      </c>
      <c r="G253" s="38">
        <f>187517-15000</f>
        <v>172517</v>
      </c>
      <c r="H253" s="51">
        <v>16.34</v>
      </c>
      <c r="I253" s="53">
        <v>0</v>
      </c>
      <c r="J253" s="51">
        <f t="shared" si="52"/>
        <v>16.34</v>
      </c>
      <c r="K253" s="54">
        <f t="shared" si="53"/>
        <v>2818927.78</v>
      </c>
      <c r="L253" s="194"/>
      <c r="M253" s="45" t="s">
        <v>1108</v>
      </c>
      <c r="N253" s="45"/>
      <c r="O253" s="45"/>
      <c r="P253" s="45"/>
      <c r="Q253" s="45"/>
      <c r="R253" s="45"/>
      <c r="S253" s="45"/>
      <c r="T253" s="45"/>
      <c r="U253" s="45"/>
      <c r="V253" s="45"/>
      <c r="W253" s="45"/>
      <c r="X253" s="45"/>
      <c r="Y253" s="45"/>
      <c r="Z253" s="56"/>
    </row>
    <row r="254" spans="1:26">
      <c r="A254" s="7" t="s">
        <v>729</v>
      </c>
      <c r="B254" s="40" t="s">
        <v>727</v>
      </c>
      <c r="C254" s="40" t="s">
        <v>216</v>
      </c>
      <c r="D254" s="40" t="s">
        <v>223</v>
      </c>
      <c r="E254" s="40" t="s">
        <v>231</v>
      </c>
      <c r="F254" s="40"/>
      <c r="G254" s="38"/>
      <c r="H254" s="51"/>
      <c r="I254" s="53">
        <v>0</v>
      </c>
      <c r="J254" s="51">
        <f t="shared" si="52"/>
        <v>0</v>
      </c>
      <c r="K254" s="54">
        <f t="shared" si="53"/>
        <v>0</v>
      </c>
      <c r="L254" s="194"/>
      <c r="M254" s="45"/>
      <c r="N254" s="45"/>
      <c r="O254" s="45"/>
      <c r="P254" s="45"/>
      <c r="Q254" s="45"/>
      <c r="R254" s="45"/>
      <c r="S254" s="45"/>
      <c r="T254" s="45"/>
      <c r="U254" s="45"/>
      <c r="V254" s="45"/>
      <c r="W254" s="45"/>
      <c r="X254" s="45"/>
      <c r="Y254" s="45"/>
      <c r="Z254" s="56"/>
    </row>
    <row r="255" spans="1:26">
      <c r="A255" s="7" t="s">
        <v>730</v>
      </c>
      <c r="B255" s="40" t="s">
        <v>731</v>
      </c>
      <c r="C255" s="40" t="s">
        <v>216</v>
      </c>
      <c r="D255" s="40" t="s">
        <v>223</v>
      </c>
      <c r="E255" s="40" t="s">
        <v>231</v>
      </c>
      <c r="F255" s="40"/>
      <c r="G255" s="38"/>
      <c r="H255" s="51"/>
      <c r="I255" s="53">
        <v>0</v>
      </c>
      <c r="J255" s="51">
        <f t="shared" si="52"/>
        <v>0</v>
      </c>
      <c r="K255" s="54">
        <f t="shared" si="53"/>
        <v>0</v>
      </c>
      <c r="L255" s="194"/>
      <c r="M255" s="45"/>
      <c r="N255" s="45"/>
      <c r="O255" s="45"/>
      <c r="P255" s="45"/>
      <c r="Q255" s="45"/>
      <c r="R255" s="45"/>
      <c r="S255" s="45"/>
      <c r="T255" s="45"/>
      <c r="U255" s="45"/>
      <c r="V255" s="45"/>
      <c r="W255" s="45"/>
      <c r="X255" s="45"/>
      <c r="Y255" s="45"/>
      <c r="Z255" s="56"/>
    </row>
    <row r="256" spans="1:26">
      <c r="A256" s="7" t="s">
        <v>732</v>
      </c>
      <c r="B256" s="40" t="s">
        <v>673</v>
      </c>
      <c r="C256" s="40" t="s">
        <v>216</v>
      </c>
      <c r="D256" s="40" t="s">
        <v>1005</v>
      </c>
      <c r="E256" s="40" t="s">
        <v>733</v>
      </c>
      <c r="F256" s="40" t="s">
        <v>71</v>
      </c>
      <c r="G256" s="38">
        <v>1</v>
      </c>
      <c r="H256" s="51">
        <v>25000</v>
      </c>
      <c r="I256" s="53">
        <v>0</v>
      </c>
      <c r="J256" s="51">
        <f t="shared" si="52"/>
        <v>25000</v>
      </c>
      <c r="K256" s="54">
        <f t="shared" si="53"/>
        <v>25000</v>
      </c>
      <c r="L256" s="194"/>
      <c r="M256" s="45"/>
      <c r="N256" s="45"/>
      <c r="O256" s="45"/>
      <c r="P256" s="45"/>
      <c r="Q256" s="45"/>
      <c r="R256" s="45"/>
      <c r="S256" s="45"/>
      <c r="T256" s="45"/>
      <c r="U256" s="45"/>
      <c r="V256" s="45"/>
      <c r="W256" s="45"/>
      <c r="X256" s="45"/>
      <c r="Y256" s="45"/>
      <c r="Z256" s="56"/>
    </row>
    <row r="257" spans="1:26">
      <c r="A257" s="7" t="s">
        <v>734</v>
      </c>
      <c r="B257" s="40" t="s">
        <v>675</v>
      </c>
      <c r="C257" s="40" t="s">
        <v>216</v>
      </c>
      <c r="D257" s="40" t="s">
        <v>1005</v>
      </c>
      <c r="E257" s="40" t="s">
        <v>6</v>
      </c>
      <c r="F257" s="40" t="s">
        <v>71</v>
      </c>
      <c r="G257" s="38">
        <v>1</v>
      </c>
      <c r="H257" s="51">
        <v>1843875.2999999998</v>
      </c>
      <c r="I257" s="53">
        <v>0</v>
      </c>
      <c r="J257" s="51">
        <f t="shared" si="52"/>
        <v>1843875.2999999998</v>
      </c>
      <c r="K257" s="54">
        <f t="shared" si="53"/>
        <v>1843875.2999999998</v>
      </c>
      <c r="M257" s="45" t="s">
        <v>1109</v>
      </c>
      <c r="N257" s="45"/>
      <c r="O257" s="45"/>
      <c r="P257" s="45"/>
      <c r="Q257" s="45"/>
      <c r="R257" s="45"/>
      <c r="S257" s="45"/>
      <c r="T257" s="45"/>
      <c r="U257" s="45"/>
      <c r="V257" s="45"/>
      <c r="W257" s="45"/>
      <c r="X257" s="45"/>
      <c r="Y257" s="45"/>
      <c r="Z257" s="56"/>
    </row>
    <row r="258" spans="1:26">
      <c r="A258" s="7" t="s">
        <v>736</v>
      </c>
      <c r="B258" s="40" t="s">
        <v>682</v>
      </c>
      <c r="C258" s="40" t="s">
        <v>216</v>
      </c>
      <c r="D258" s="40" t="s">
        <v>1005</v>
      </c>
      <c r="E258" s="40" t="s">
        <v>6</v>
      </c>
      <c r="F258" s="40" t="s">
        <v>71</v>
      </c>
      <c r="G258" s="38">
        <v>1</v>
      </c>
      <c r="H258" s="51">
        <v>124911</v>
      </c>
      <c r="I258" s="53">
        <v>0</v>
      </c>
      <c r="J258" s="51">
        <f t="shared" si="52"/>
        <v>124911</v>
      </c>
      <c r="K258" s="54">
        <f t="shared" si="53"/>
        <v>124911</v>
      </c>
      <c r="M258" s="45" t="s">
        <v>1110</v>
      </c>
      <c r="N258" s="45"/>
      <c r="O258" s="45"/>
      <c r="P258" s="45"/>
      <c r="Q258" s="45"/>
      <c r="R258" s="45"/>
      <c r="S258" s="45"/>
      <c r="T258" s="45"/>
      <c r="U258" s="45"/>
      <c r="V258" s="45"/>
      <c r="W258" s="45"/>
      <c r="X258" s="45"/>
      <c r="Y258" s="45"/>
      <c r="Z258" s="56"/>
    </row>
    <row r="259" spans="1:26">
      <c r="A259" s="7" t="s">
        <v>737</v>
      </c>
      <c r="B259" s="40" t="s">
        <v>686</v>
      </c>
      <c r="C259" s="40" t="s">
        <v>216</v>
      </c>
      <c r="D259" s="40" t="s">
        <v>1005</v>
      </c>
      <c r="E259" s="40" t="s">
        <v>6</v>
      </c>
      <c r="F259" s="40" t="s">
        <v>71</v>
      </c>
      <c r="G259" s="38">
        <v>1</v>
      </c>
      <c r="H259" s="51">
        <v>91597</v>
      </c>
      <c r="I259" s="53">
        <v>0</v>
      </c>
      <c r="J259" s="51">
        <f t="shared" si="52"/>
        <v>91597</v>
      </c>
      <c r="K259" s="54">
        <f t="shared" si="53"/>
        <v>91597</v>
      </c>
      <c r="M259" s="45"/>
      <c r="N259" s="45"/>
      <c r="O259" s="45"/>
      <c r="P259" s="45"/>
      <c r="Q259" s="45"/>
      <c r="R259" s="45"/>
      <c r="S259" s="45"/>
      <c r="T259" s="45"/>
      <c r="U259" s="45"/>
      <c r="V259" s="45"/>
      <c r="W259" s="45"/>
      <c r="X259" s="45"/>
      <c r="Y259" s="45"/>
      <c r="Z259" s="56"/>
    </row>
    <row r="260" spans="1:26">
      <c r="A260" s="4" t="s">
        <v>738</v>
      </c>
      <c r="B260" s="151" t="s">
        <v>739</v>
      </c>
      <c r="C260" s="151"/>
      <c r="D260" s="151"/>
      <c r="E260" s="151"/>
      <c r="F260" s="151"/>
      <c r="G260" s="152"/>
      <c r="H260" s="153"/>
      <c r="I260" s="154"/>
      <c r="J260" s="153"/>
      <c r="K260" s="172"/>
      <c r="L260" s="70">
        <f>SUM(K261:K276)</f>
        <v>7586858.175714286</v>
      </c>
      <c r="M260" s="45"/>
      <c r="N260" s="45"/>
      <c r="O260" s="45"/>
      <c r="P260" s="45"/>
      <c r="Q260" s="45"/>
      <c r="R260" s="45"/>
      <c r="S260" s="45"/>
      <c r="T260" s="45"/>
      <c r="U260" s="45"/>
      <c r="V260" s="178"/>
      <c r="W260" s="45"/>
      <c r="X260" s="45"/>
      <c r="Y260" s="45"/>
      <c r="Z260" s="56"/>
    </row>
    <row r="261" spans="1:26">
      <c r="A261" s="6" t="s">
        <v>740</v>
      </c>
      <c r="B261" s="47" t="s">
        <v>741</v>
      </c>
      <c r="C261" s="47" t="s">
        <v>283</v>
      </c>
      <c r="D261" s="47"/>
      <c r="E261" s="47" t="s">
        <v>742</v>
      </c>
      <c r="F261" s="47" t="s">
        <v>88</v>
      </c>
      <c r="G261" s="42">
        <f>$E$8</f>
        <v>390</v>
      </c>
      <c r="H261" s="61">
        <f>112356/312</f>
        <v>360.11538461538464</v>
      </c>
      <c r="I261" s="63">
        <v>0</v>
      </c>
      <c r="J261" s="66">
        <f t="shared" ref="J261:J276" si="54">H261*(1+I261)</f>
        <v>360.11538461538464</v>
      </c>
      <c r="K261" s="67">
        <f t="shared" ref="K261:K276" si="55">J261*G261</f>
        <v>140445</v>
      </c>
      <c r="M261" s="45" t="s">
        <v>743</v>
      </c>
      <c r="N261" s="45"/>
      <c r="O261" s="45"/>
      <c r="P261" s="45"/>
      <c r="Q261" s="45"/>
      <c r="R261" s="45"/>
      <c r="S261" s="45"/>
      <c r="T261" s="45"/>
      <c r="U261" s="45"/>
      <c r="V261" s="199"/>
      <c r="W261" s="45"/>
      <c r="X261" s="45"/>
      <c r="Y261" s="45"/>
      <c r="Z261" s="56"/>
    </row>
    <row r="262" spans="1:26">
      <c r="A262" s="7" t="s">
        <v>744</v>
      </c>
      <c r="B262" s="40" t="s">
        <v>745</v>
      </c>
      <c r="C262" s="40" t="s">
        <v>283</v>
      </c>
      <c r="D262" s="40" t="s">
        <v>1005</v>
      </c>
      <c r="E262" s="40" t="s">
        <v>231</v>
      </c>
      <c r="F262" s="40"/>
      <c r="G262" s="38"/>
      <c r="H262" s="51"/>
      <c r="I262" s="53">
        <v>0</v>
      </c>
      <c r="J262" s="51">
        <f t="shared" si="54"/>
        <v>0</v>
      </c>
      <c r="K262" s="54">
        <f t="shared" si="55"/>
        <v>0</v>
      </c>
      <c r="M262" s="45"/>
      <c r="N262" s="45"/>
      <c r="O262" s="45"/>
      <c r="P262" s="45"/>
      <c r="Q262" s="45"/>
      <c r="R262" s="45"/>
      <c r="S262" s="45"/>
      <c r="T262" s="45"/>
      <c r="U262" s="45"/>
      <c r="V262" s="45"/>
      <c r="W262" s="45"/>
      <c r="X262" s="45"/>
      <c r="Y262" s="45"/>
      <c r="Z262" s="56"/>
    </row>
    <row r="263" spans="1:26">
      <c r="A263" s="44" t="s">
        <v>746</v>
      </c>
      <c r="B263" s="40" t="s">
        <v>745</v>
      </c>
      <c r="C263" s="40" t="s">
        <v>216</v>
      </c>
      <c r="D263" s="206" t="s">
        <v>223</v>
      </c>
      <c r="E263" s="206" t="s">
        <v>6</v>
      </c>
      <c r="F263" s="206" t="s">
        <v>71</v>
      </c>
      <c r="G263" s="207">
        <v>1</v>
      </c>
      <c r="H263" s="208">
        <v>832918.12</v>
      </c>
      <c r="I263" s="209">
        <v>0</v>
      </c>
      <c r="J263" s="208">
        <f t="shared" si="54"/>
        <v>832918.12</v>
      </c>
      <c r="K263" s="210">
        <f t="shared" si="55"/>
        <v>832918.12</v>
      </c>
      <c r="M263" s="45" t="s">
        <v>1082</v>
      </c>
      <c r="N263" s="45"/>
      <c r="O263" s="45"/>
      <c r="P263" s="45"/>
      <c r="Q263" s="45"/>
      <c r="R263" s="45"/>
      <c r="S263" s="45"/>
      <c r="T263" s="45"/>
      <c r="U263" s="45"/>
      <c r="V263" s="45"/>
      <c r="W263" s="45"/>
      <c r="X263" s="45"/>
      <c r="Y263" s="45"/>
      <c r="Z263" s="56"/>
    </row>
    <row r="264" spans="1:26">
      <c r="A264" s="52" t="s">
        <v>748</v>
      </c>
      <c r="B264" s="40" t="s">
        <v>749</v>
      </c>
      <c r="C264" s="40" t="s">
        <v>216</v>
      </c>
      <c r="D264" s="206" t="s">
        <v>223</v>
      </c>
      <c r="E264" s="206" t="s">
        <v>6</v>
      </c>
      <c r="F264" s="206" t="s">
        <v>71</v>
      </c>
      <c r="G264" s="207">
        <v>1</v>
      </c>
      <c r="H264" s="208">
        <v>394942</v>
      </c>
      <c r="I264" s="209">
        <v>0</v>
      </c>
      <c r="J264" s="208">
        <f t="shared" si="54"/>
        <v>394942</v>
      </c>
      <c r="K264" s="210">
        <f t="shared" si="55"/>
        <v>394942</v>
      </c>
      <c r="M264" s="45" t="s">
        <v>1083</v>
      </c>
      <c r="N264" s="45"/>
      <c r="O264" s="45"/>
      <c r="P264" s="45"/>
      <c r="Q264" s="45"/>
      <c r="R264" s="45"/>
      <c r="S264" s="45"/>
      <c r="T264" s="45"/>
      <c r="U264" s="45"/>
      <c r="V264" s="45"/>
      <c r="W264" s="45"/>
      <c r="X264" s="45"/>
      <c r="Y264" s="45"/>
      <c r="Z264" s="56"/>
    </row>
    <row r="265" spans="1:26">
      <c r="A265" s="44" t="s">
        <v>751</v>
      </c>
      <c r="B265" s="40" t="s">
        <v>752</v>
      </c>
      <c r="C265" s="40" t="s">
        <v>216</v>
      </c>
      <c r="D265" s="40"/>
      <c r="E265" s="40" t="s">
        <v>231</v>
      </c>
      <c r="F265" s="40"/>
      <c r="G265" s="38"/>
      <c r="H265" s="51"/>
      <c r="I265" s="53">
        <v>0</v>
      </c>
      <c r="J265" s="51">
        <f t="shared" si="54"/>
        <v>0</v>
      </c>
      <c r="K265" s="54">
        <f t="shared" si="55"/>
        <v>0</v>
      </c>
      <c r="M265" s="45"/>
      <c r="N265" s="45"/>
      <c r="O265" s="45"/>
      <c r="P265" s="45"/>
      <c r="Q265" s="45"/>
      <c r="R265" s="45"/>
      <c r="S265" s="45"/>
      <c r="T265" s="45"/>
      <c r="U265" s="45"/>
      <c r="V265" s="45"/>
      <c r="W265" s="45"/>
      <c r="X265" s="45"/>
      <c r="Y265" s="45"/>
      <c r="Z265" s="56"/>
    </row>
    <row r="266" spans="1:26">
      <c r="A266" s="7" t="s">
        <v>753</v>
      </c>
      <c r="B266" s="40" t="s">
        <v>754</v>
      </c>
      <c r="C266" s="40" t="s">
        <v>283</v>
      </c>
      <c r="D266" s="40"/>
      <c r="E266" s="40" t="s">
        <v>73</v>
      </c>
      <c r="F266" s="40" t="s">
        <v>71</v>
      </c>
      <c r="G266" s="38">
        <v>1</v>
      </c>
      <c r="H266" s="51">
        <f>5000*3</f>
        <v>15000</v>
      </c>
      <c r="I266" s="53">
        <v>0</v>
      </c>
      <c r="J266" s="51">
        <f t="shared" si="54"/>
        <v>15000</v>
      </c>
      <c r="K266" s="54">
        <f t="shared" si="55"/>
        <v>15000</v>
      </c>
      <c r="M266" s="45"/>
      <c r="N266" s="45"/>
      <c r="O266" s="45"/>
      <c r="P266" s="45"/>
      <c r="Q266" s="45"/>
      <c r="R266" s="45"/>
      <c r="S266" s="45"/>
      <c r="T266" s="45"/>
      <c r="U266" s="45"/>
      <c r="V266" s="45"/>
      <c r="W266" s="45"/>
      <c r="X266" s="45"/>
      <c r="Y266" s="45"/>
      <c r="Z266" s="56"/>
    </row>
    <row r="267" spans="1:26">
      <c r="A267" s="7" t="s">
        <v>755</v>
      </c>
      <c r="B267" s="40" t="s">
        <v>756</v>
      </c>
      <c r="C267" s="40" t="s">
        <v>216</v>
      </c>
      <c r="D267" s="40" t="s">
        <v>1005</v>
      </c>
      <c r="E267" s="40" t="s">
        <v>6</v>
      </c>
      <c r="F267" s="40" t="s">
        <v>71</v>
      </c>
      <c r="G267" s="38">
        <v>1</v>
      </c>
      <c r="H267" s="51">
        <v>112000</v>
      </c>
      <c r="I267" s="53">
        <v>0</v>
      </c>
      <c r="J267" s="51">
        <f t="shared" si="54"/>
        <v>112000</v>
      </c>
      <c r="K267" s="54">
        <f t="shared" si="55"/>
        <v>112000</v>
      </c>
      <c r="M267" s="45" t="s">
        <v>1084</v>
      </c>
      <c r="N267" s="45"/>
      <c r="O267" s="45"/>
      <c r="P267" s="45"/>
      <c r="Q267" s="45"/>
      <c r="R267" s="45"/>
      <c r="S267" s="45"/>
      <c r="T267" s="45"/>
      <c r="U267" s="45"/>
      <c r="V267" s="45"/>
      <c r="W267" s="45"/>
      <c r="X267" s="45"/>
      <c r="Y267" s="45"/>
      <c r="Z267" s="56"/>
    </row>
    <row r="268" spans="1:26">
      <c r="A268" s="7" t="s">
        <v>759</v>
      </c>
      <c r="B268" s="40" t="s">
        <v>760</v>
      </c>
      <c r="C268" s="40" t="s">
        <v>216</v>
      </c>
      <c r="D268" s="206" t="s">
        <v>223</v>
      </c>
      <c r="E268" s="206" t="s">
        <v>6</v>
      </c>
      <c r="F268" s="206" t="s">
        <v>71</v>
      </c>
      <c r="G268" s="207">
        <v>1</v>
      </c>
      <c r="H268" s="208">
        <v>432813</v>
      </c>
      <c r="I268" s="209">
        <v>0</v>
      </c>
      <c r="J268" s="208">
        <f t="shared" si="54"/>
        <v>432813</v>
      </c>
      <c r="K268" s="210">
        <f t="shared" si="55"/>
        <v>432813</v>
      </c>
      <c r="M268" s="45" t="s">
        <v>1111</v>
      </c>
      <c r="N268" s="45"/>
      <c r="O268" s="45"/>
      <c r="P268" s="45"/>
      <c r="Q268" s="45"/>
      <c r="R268" s="45"/>
      <c r="S268" s="45"/>
      <c r="T268" s="45"/>
      <c r="U268" s="45"/>
      <c r="V268" s="45"/>
      <c r="W268" s="45"/>
      <c r="X268" s="45"/>
      <c r="Y268" s="45"/>
      <c r="Z268" s="56"/>
    </row>
    <row r="269" spans="1:26">
      <c r="A269" s="7" t="s">
        <v>762</v>
      </c>
      <c r="B269" s="40" t="s">
        <v>763</v>
      </c>
      <c r="C269" s="40" t="s">
        <v>283</v>
      </c>
      <c r="D269" s="40"/>
      <c r="E269" s="40" t="s">
        <v>73</v>
      </c>
      <c r="F269" s="40" t="s">
        <v>71</v>
      </c>
      <c r="G269" s="38">
        <v>1</v>
      </c>
      <c r="H269" s="51">
        <f>5000*5</f>
        <v>25000</v>
      </c>
      <c r="I269" s="53">
        <v>0</v>
      </c>
      <c r="J269" s="51">
        <f t="shared" si="54"/>
        <v>25000</v>
      </c>
      <c r="K269" s="54">
        <f t="shared" si="55"/>
        <v>25000</v>
      </c>
      <c r="M269" s="45"/>
      <c r="N269" s="45"/>
      <c r="O269" s="45"/>
      <c r="P269" s="45"/>
      <c r="Q269" s="45"/>
      <c r="R269" s="45"/>
      <c r="S269" s="45"/>
      <c r="T269" s="45"/>
      <c r="U269" s="45"/>
      <c r="V269" s="45"/>
      <c r="W269" s="45"/>
      <c r="X269" s="45"/>
      <c r="Y269" s="45"/>
      <c r="Z269" s="56"/>
    </row>
    <row r="270" spans="1:26">
      <c r="A270" s="7" t="s">
        <v>764</v>
      </c>
      <c r="B270" s="40" t="s">
        <v>765</v>
      </c>
      <c r="C270" s="40" t="s">
        <v>216</v>
      </c>
      <c r="D270" s="40"/>
      <c r="E270" s="40" t="s">
        <v>231</v>
      </c>
      <c r="F270" s="40"/>
      <c r="G270" s="38"/>
      <c r="H270" s="51"/>
      <c r="I270" s="53">
        <v>0</v>
      </c>
      <c r="J270" s="51">
        <f t="shared" si="54"/>
        <v>0</v>
      </c>
      <c r="K270" s="54">
        <f t="shared" si="55"/>
        <v>0</v>
      </c>
      <c r="M270" s="45"/>
      <c r="N270" s="45"/>
      <c r="O270" s="45"/>
      <c r="P270" s="45"/>
      <c r="Q270" s="45"/>
      <c r="R270" s="45"/>
      <c r="S270" s="45"/>
      <c r="T270" s="45"/>
      <c r="U270" s="45"/>
      <c r="V270" s="45"/>
      <c r="W270" s="45"/>
      <c r="X270" s="45"/>
      <c r="Y270" s="45"/>
      <c r="Z270" s="56"/>
    </row>
    <row r="271" spans="1:26">
      <c r="A271" s="7" t="s">
        <v>766</v>
      </c>
      <c r="B271" s="40" t="s">
        <v>767</v>
      </c>
      <c r="C271" s="40" t="s">
        <v>216</v>
      </c>
      <c r="D271" s="40"/>
      <c r="E271" s="40" t="s">
        <v>231</v>
      </c>
      <c r="F271" s="40"/>
      <c r="G271" s="38"/>
      <c r="H271" s="51"/>
      <c r="I271" s="53">
        <v>0</v>
      </c>
      <c r="J271" s="51">
        <f t="shared" si="54"/>
        <v>0</v>
      </c>
      <c r="K271" s="54">
        <f t="shared" si="55"/>
        <v>0</v>
      </c>
      <c r="M271" s="45"/>
      <c r="N271" s="45"/>
      <c r="O271" s="45"/>
      <c r="P271" s="45"/>
      <c r="Q271" s="45"/>
      <c r="R271" s="45"/>
      <c r="S271" s="45"/>
      <c r="T271" s="45"/>
      <c r="U271" s="45"/>
      <c r="V271" s="45"/>
      <c r="W271" s="45"/>
      <c r="X271" s="45"/>
      <c r="Y271" s="45"/>
      <c r="Z271" s="56"/>
    </row>
    <row r="272" spans="1:26">
      <c r="A272" s="7" t="s">
        <v>768</v>
      </c>
      <c r="B272" s="40" t="s">
        <v>769</v>
      </c>
      <c r="C272" s="40" t="s">
        <v>216</v>
      </c>
      <c r="D272" s="40"/>
      <c r="E272" s="40" t="s">
        <v>231</v>
      </c>
      <c r="F272" s="40"/>
      <c r="G272" s="38"/>
      <c r="H272" s="51"/>
      <c r="I272" s="53">
        <v>0</v>
      </c>
      <c r="J272" s="51">
        <f t="shared" si="54"/>
        <v>0</v>
      </c>
      <c r="K272" s="54">
        <f t="shared" si="55"/>
        <v>0</v>
      </c>
      <c r="M272" s="45"/>
      <c r="N272" s="45"/>
      <c r="O272" s="45"/>
      <c r="P272" s="45"/>
      <c r="Q272" s="45"/>
      <c r="R272" s="45"/>
      <c r="S272" s="45"/>
      <c r="T272" s="45"/>
      <c r="U272" s="45"/>
      <c r="V272" s="45"/>
      <c r="W272" s="45"/>
      <c r="X272" s="45"/>
      <c r="Y272" s="45"/>
      <c r="Z272" s="56"/>
    </row>
    <row r="273" spans="1:26">
      <c r="A273" s="7" t="s">
        <v>770</v>
      </c>
      <c r="B273" s="40" t="s">
        <v>745</v>
      </c>
      <c r="C273" s="40" t="s">
        <v>216</v>
      </c>
      <c r="D273" s="206" t="s">
        <v>1005</v>
      </c>
      <c r="E273" s="206" t="s">
        <v>6</v>
      </c>
      <c r="F273" s="206" t="s">
        <v>71</v>
      </c>
      <c r="G273" s="207">
        <v>1</v>
      </c>
      <c r="H273" s="208">
        <v>2200067.3966666665</v>
      </c>
      <c r="I273" s="209">
        <v>0</v>
      </c>
      <c r="J273" s="208">
        <f t="shared" si="54"/>
        <v>2200067.3966666665</v>
      </c>
      <c r="K273" s="210">
        <f t="shared" si="55"/>
        <v>2200067.3966666665</v>
      </c>
      <c r="M273" s="45" t="s">
        <v>1112</v>
      </c>
      <c r="N273" s="45"/>
      <c r="O273" s="45"/>
      <c r="P273" s="45"/>
      <c r="Q273" s="45"/>
      <c r="R273" s="45"/>
      <c r="S273" s="45"/>
      <c r="T273" s="45"/>
      <c r="U273" s="45"/>
      <c r="V273" s="45"/>
      <c r="W273" s="45"/>
      <c r="X273" s="45"/>
      <c r="Y273" s="45"/>
      <c r="Z273" s="56"/>
    </row>
    <row r="274" spans="1:26">
      <c r="A274" s="7" t="s">
        <v>771</v>
      </c>
      <c r="B274" s="40" t="s">
        <v>749</v>
      </c>
      <c r="C274" s="40" t="s">
        <v>216</v>
      </c>
      <c r="D274" s="206" t="s">
        <v>1005</v>
      </c>
      <c r="E274" s="206" t="s">
        <v>6</v>
      </c>
      <c r="F274" s="206" t="s">
        <v>71</v>
      </c>
      <c r="G274" s="207">
        <v>1</v>
      </c>
      <c r="H274" s="208">
        <v>1474233.6057142857</v>
      </c>
      <c r="I274" s="209">
        <v>0</v>
      </c>
      <c r="J274" s="208">
        <f t="shared" si="54"/>
        <v>1474233.6057142857</v>
      </c>
      <c r="K274" s="210">
        <f t="shared" si="55"/>
        <v>1474233.6057142857</v>
      </c>
      <c r="M274" s="45" t="s">
        <v>1112</v>
      </c>
      <c r="N274" s="45"/>
      <c r="O274" s="45"/>
      <c r="P274" s="45"/>
      <c r="Q274" s="45"/>
      <c r="R274" s="45"/>
      <c r="S274" s="45"/>
      <c r="T274" s="45"/>
      <c r="U274" s="45"/>
      <c r="V274" s="45"/>
      <c r="W274" s="45"/>
      <c r="X274" s="45"/>
      <c r="Y274" s="45"/>
      <c r="Z274" s="56"/>
    </row>
    <row r="275" spans="1:26">
      <c r="A275" s="7" t="s">
        <v>772</v>
      </c>
      <c r="B275" s="40" t="s">
        <v>752</v>
      </c>
      <c r="C275" s="40" t="s">
        <v>216</v>
      </c>
      <c r="D275" s="206" t="s">
        <v>1005</v>
      </c>
      <c r="E275" s="206" t="s">
        <v>6</v>
      </c>
      <c r="F275" s="206" t="s">
        <v>71</v>
      </c>
      <c r="G275" s="207">
        <v>1</v>
      </c>
      <c r="H275" s="208">
        <v>649389</v>
      </c>
      <c r="I275" s="209">
        <v>0</v>
      </c>
      <c r="J275" s="208">
        <f t="shared" si="54"/>
        <v>649389</v>
      </c>
      <c r="K275" s="210">
        <f t="shared" si="55"/>
        <v>649389</v>
      </c>
      <c r="M275" s="45" t="s">
        <v>1113</v>
      </c>
      <c r="N275" s="45"/>
      <c r="O275" s="45"/>
      <c r="P275" s="45"/>
      <c r="Q275" s="45"/>
      <c r="R275" s="45"/>
      <c r="S275" s="45"/>
      <c r="T275" s="45"/>
      <c r="U275" s="45"/>
      <c r="V275" s="45"/>
      <c r="W275" s="45"/>
      <c r="X275" s="45"/>
      <c r="Y275" s="45"/>
      <c r="Z275" s="56"/>
    </row>
    <row r="276" spans="1:26">
      <c r="A276" s="7" t="s">
        <v>773</v>
      </c>
      <c r="B276" s="40" t="s">
        <v>760</v>
      </c>
      <c r="C276" s="40" t="s">
        <v>216</v>
      </c>
      <c r="D276" s="206" t="s">
        <v>1005</v>
      </c>
      <c r="E276" s="206" t="s">
        <v>6</v>
      </c>
      <c r="F276" s="206" t="s">
        <v>71</v>
      </c>
      <c r="G276" s="207">
        <v>1</v>
      </c>
      <c r="H276" s="208">
        <v>1310050.0533333332</v>
      </c>
      <c r="I276" s="209">
        <v>0</v>
      </c>
      <c r="J276" s="208">
        <f t="shared" si="54"/>
        <v>1310050.0533333332</v>
      </c>
      <c r="K276" s="210">
        <f t="shared" si="55"/>
        <v>1310050.0533333332</v>
      </c>
      <c r="M276" s="346" t="s">
        <v>1114</v>
      </c>
      <c r="N276" s="45"/>
      <c r="O276" s="45"/>
      <c r="P276" s="45"/>
      <c r="Q276" s="45"/>
      <c r="R276" s="45"/>
      <c r="S276" s="45"/>
      <c r="T276" s="45"/>
      <c r="U276" s="45"/>
      <c r="V276" s="45"/>
      <c r="W276" s="45"/>
      <c r="X276" s="45"/>
      <c r="Y276" s="45"/>
      <c r="Z276" s="56"/>
    </row>
    <row r="277" spans="1:26">
      <c r="A277" s="4" t="s">
        <v>774</v>
      </c>
      <c r="B277" s="151" t="s">
        <v>775</v>
      </c>
      <c r="C277" s="151"/>
      <c r="D277" s="151"/>
      <c r="E277" s="151"/>
      <c r="F277" s="151"/>
      <c r="G277" s="152"/>
      <c r="H277" s="153"/>
      <c r="I277" s="154"/>
      <c r="J277" s="153"/>
      <c r="K277" s="172"/>
      <c r="L277" s="70">
        <f>SUM(K278)</f>
        <v>15000</v>
      </c>
      <c r="M277" s="45"/>
      <c r="N277" s="45"/>
      <c r="O277" s="45"/>
      <c r="P277" s="45"/>
      <c r="Q277" s="45"/>
      <c r="R277" s="45"/>
      <c r="S277" s="45"/>
      <c r="T277" s="45"/>
      <c r="U277" s="45"/>
      <c r="V277" s="45"/>
      <c r="W277" s="45"/>
      <c r="X277" s="45"/>
      <c r="Y277" s="45"/>
      <c r="Z277" s="56"/>
    </row>
    <row r="278" spans="1:26">
      <c r="A278" s="5" t="s">
        <v>776</v>
      </c>
      <c r="B278" s="65" t="s">
        <v>777</v>
      </c>
      <c r="C278" s="65" t="s">
        <v>283</v>
      </c>
      <c r="D278" s="65" t="s">
        <v>1005</v>
      </c>
      <c r="E278" s="65" t="s">
        <v>73</v>
      </c>
      <c r="F278" s="65" t="s">
        <v>71</v>
      </c>
      <c r="G278" s="43">
        <v>1</v>
      </c>
      <c r="H278" s="64">
        <v>15000</v>
      </c>
      <c r="I278" s="157">
        <v>0</v>
      </c>
      <c r="J278" s="158">
        <f>H278*(1+I278)</f>
        <v>15000</v>
      </c>
      <c r="K278" s="159">
        <f>J278*G278</f>
        <v>15000</v>
      </c>
      <c r="M278" s="45"/>
      <c r="N278" s="45"/>
      <c r="O278" s="45"/>
      <c r="P278" s="45"/>
      <c r="Q278" s="45"/>
      <c r="R278" s="45"/>
      <c r="S278" s="45"/>
      <c r="T278" s="45"/>
      <c r="U278" s="45"/>
      <c r="V278" s="45"/>
      <c r="W278" s="45"/>
      <c r="X278" s="45"/>
      <c r="Y278" s="45"/>
      <c r="Z278" s="56"/>
    </row>
    <row r="279" spans="1:26">
      <c r="A279" s="4" t="s">
        <v>778</v>
      </c>
      <c r="B279" s="151" t="s">
        <v>779</v>
      </c>
      <c r="C279" s="151"/>
      <c r="D279" s="151"/>
      <c r="E279" s="151"/>
      <c r="F279" s="151"/>
      <c r="G279" s="152"/>
      <c r="H279" s="153"/>
      <c r="I279" s="154"/>
      <c r="J279" s="153"/>
      <c r="K279" s="172"/>
      <c r="L279" s="70">
        <f>SUM(K280:K282)</f>
        <v>469750</v>
      </c>
      <c r="M279" s="45"/>
      <c r="N279" s="45"/>
      <c r="O279" s="45"/>
      <c r="P279" s="45"/>
      <c r="Q279" s="45"/>
      <c r="R279" s="45"/>
      <c r="S279" s="45"/>
      <c r="T279" s="45"/>
      <c r="U279" s="45"/>
      <c r="V279" s="45"/>
      <c r="W279" s="45"/>
      <c r="X279" s="45"/>
      <c r="Y279" s="45"/>
      <c r="Z279" s="56"/>
    </row>
    <row r="280" spans="1:26">
      <c r="A280" s="374" t="s">
        <v>780</v>
      </c>
      <c r="B280" s="375" t="s">
        <v>781</v>
      </c>
      <c r="C280" s="375" t="s">
        <v>216</v>
      </c>
      <c r="D280" s="375"/>
      <c r="E280" s="375" t="s">
        <v>782</v>
      </c>
      <c r="F280" s="375" t="s">
        <v>88</v>
      </c>
      <c r="G280" s="376">
        <f>$E$8</f>
        <v>390</v>
      </c>
      <c r="H280" s="377">
        <v>1025</v>
      </c>
      <c r="I280" s="378">
        <v>0</v>
      </c>
      <c r="J280" s="379">
        <f t="shared" ref="J280:J282" si="56">H280*(1+I280)</f>
        <v>1025</v>
      </c>
      <c r="K280" s="380">
        <f t="shared" ref="K280:K282" si="57">J280*G280</f>
        <v>399750</v>
      </c>
      <c r="M280" s="45"/>
      <c r="N280" s="45"/>
      <c r="O280" s="45"/>
      <c r="P280" s="45"/>
      <c r="Q280" s="45"/>
      <c r="R280" s="45"/>
      <c r="S280" s="45"/>
      <c r="T280" s="45"/>
      <c r="U280" s="45"/>
      <c r="V280" s="45"/>
      <c r="W280" s="45"/>
      <c r="X280" s="45"/>
      <c r="Y280" s="45"/>
      <c r="Z280" s="56"/>
    </row>
    <row r="281" spans="1:26">
      <c r="A281" s="7" t="s">
        <v>783</v>
      </c>
      <c r="B281" s="40" t="s">
        <v>784</v>
      </c>
      <c r="C281" s="40" t="s">
        <v>283</v>
      </c>
      <c r="D281" s="40"/>
      <c r="E281" s="40" t="s">
        <v>73</v>
      </c>
      <c r="F281" s="40" t="s">
        <v>71</v>
      </c>
      <c r="G281" s="38">
        <v>1</v>
      </c>
      <c r="H281" s="51">
        <v>50000</v>
      </c>
      <c r="I281" s="53">
        <v>0</v>
      </c>
      <c r="J281" s="51">
        <f t="shared" si="56"/>
        <v>50000</v>
      </c>
      <c r="K281" s="54">
        <f t="shared" si="57"/>
        <v>50000</v>
      </c>
      <c r="M281" s="45" t="s">
        <v>785</v>
      </c>
      <c r="N281" s="45"/>
      <c r="O281" s="45"/>
      <c r="P281" s="45"/>
      <c r="Q281" s="45"/>
      <c r="R281" s="45"/>
      <c r="S281" s="45"/>
      <c r="T281" s="45"/>
      <c r="U281" s="45"/>
      <c r="V281" s="45"/>
      <c r="W281" s="45"/>
      <c r="X281" s="45"/>
      <c r="Y281" s="45"/>
      <c r="Z281" s="56"/>
    </row>
    <row r="282" spans="1:26">
      <c r="A282" s="7" t="s">
        <v>786</v>
      </c>
      <c r="B282" s="40" t="s">
        <v>787</v>
      </c>
      <c r="C282" s="40" t="s">
        <v>283</v>
      </c>
      <c r="D282" s="40"/>
      <c r="E282" s="40" t="s">
        <v>73</v>
      </c>
      <c r="F282" s="40" t="s">
        <v>71</v>
      </c>
      <c r="G282" s="38">
        <v>1</v>
      </c>
      <c r="H282" s="51">
        <v>20000</v>
      </c>
      <c r="I282" s="53">
        <v>0</v>
      </c>
      <c r="J282" s="51">
        <f t="shared" si="56"/>
        <v>20000</v>
      </c>
      <c r="K282" s="54">
        <f t="shared" si="57"/>
        <v>20000</v>
      </c>
      <c r="M282" s="45"/>
      <c r="N282" s="45"/>
      <c r="O282" s="45"/>
      <c r="P282" s="45"/>
      <c r="Q282" s="45"/>
      <c r="R282" s="45"/>
      <c r="S282" s="45"/>
      <c r="T282" s="45"/>
      <c r="U282" s="45"/>
      <c r="V282" s="45"/>
      <c r="W282" s="45"/>
      <c r="X282" s="45"/>
      <c r="Y282" s="45"/>
      <c r="Z282" s="56"/>
    </row>
    <row r="283" spans="1:26">
      <c r="A283" s="4" t="s">
        <v>788</v>
      </c>
      <c r="B283" s="151" t="s">
        <v>789</v>
      </c>
      <c r="C283" s="151"/>
      <c r="D283" s="151"/>
      <c r="E283" s="151"/>
      <c r="F283" s="151"/>
      <c r="G283" s="152"/>
      <c r="H283" s="153"/>
      <c r="I283" s="154"/>
      <c r="J283" s="153"/>
      <c r="K283" s="172"/>
      <c r="L283" s="70">
        <f>SUM(K284:K292)</f>
        <v>427358.97360000003</v>
      </c>
      <c r="M283" s="45"/>
      <c r="N283" s="45"/>
      <c r="O283" s="45"/>
      <c r="P283" s="45"/>
      <c r="Q283" s="45"/>
      <c r="R283" s="45"/>
      <c r="S283" s="45"/>
      <c r="T283" s="45"/>
      <c r="U283" s="45"/>
      <c r="V283" s="45"/>
      <c r="W283" s="45"/>
      <c r="X283" s="45"/>
      <c r="Y283" s="45"/>
      <c r="Z283" s="56"/>
    </row>
    <row r="284" spans="1:26">
      <c r="A284" s="6" t="s">
        <v>790</v>
      </c>
      <c r="B284" s="47" t="s">
        <v>791</v>
      </c>
      <c r="C284" s="47" t="s">
        <v>216</v>
      </c>
      <c r="D284" s="47"/>
      <c r="E284" s="47" t="s">
        <v>782</v>
      </c>
      <c r="F284" s="47" t="s">
        <v>71</v>
      </c>
      <c r="G284" s="185">
        <f>$B$9</f>
        <v>15.826000000000001</v>
      </c>
      <c r="H284" s="61">
        <v>2914</v>
      </c>
      <c r="I284" s="63">
        <v>0</v>
      </c>
      <c r="J284" s="66">
        <f t="shared" ref="J284:J292" si="58">H284*(1+I284)</f>
        <v>2914</v>
      </c>
      <c r="K284" s="67">
        <f t="shared" ref="K284:K292" si="59">J284*G284</f>
        <v>46116.964</v>
      </c>
      <c r="M284" s="45"/>
      <c r="N284" s="45"/>
      <c r="O284" s="45"/>
      <c r="P284" s="45"/>
      <c r="Q284" s="45"/>
      <c r="R284" s="45"/>
      <c r="S284" s="45"/>
      <c r="T284" s="45"/>
      <c r="U284" s="45"/>
      <c r="V284" s="45"/>
      <c r="W284" s="45"/>
      <c r="X284" s="45"/>
      <c r="Y284" s="45"/>
      <c r="Z284" s="56"/>
    </row>
    <row r="285" spans="1:26">
      <c r="A285" s="7" t="s">
        <v>792</v>
      </c>
      <c r="B285" s="40" t="s">
        <v>793</v>
      </c>
      <c r="C285" s="40" t="s">
        <v>216</v>
      </c>
      <c r="D285" s="40"/>
      <c r="E285" s="40" t="s">
        <v>782</v>
      </c>
      <c r="F285" s="40" t="s">
        <v>71</v>
      </c>
      <c r="G285" s="183">
        <f t="shared" ref="G285:G292" si="60">$B$9</f>
        <v>15.826000000000001</v>
      </c>
      <c r="H285" s="51">
        <v>1542</v>
      </c>
      <c r="I285" s="53">
        <v>0</v>
      </c>
      <c r="J285" s="51">
        <f t="shared" si="58"/>
        <v>1542</v>
      </c>
      <c r="K285" s="54">
        <f t="shared" si="59"/>
        <v>24403.691999999999</v>
      </c>
      <c r="M285" s="45"/>
      <c r="N285" s="45"/>
      <c r="O285" s="45"/>
      <c r="P285" s="45"/>
      <c r="Q285" s="45"/>
      <c r="R285" s="45"/>
      <c r="S285" s="45"/>
      <c r="T285" s="45"/>
      <c r="U285" s="45"/>
      <c r="V285" s="45"/>
      <c r="W285" s="45"/>
      <c r="X285" s="45"/>
      <c r="Y285" s="45"/>
      <c r="Z285" s="56"/>
    </row>
    <row r="286" spans="1:26">
      <c r="A286" s="7" t="s">
        <v>795</v>
      </c>
      <c r="B286" s="40" t="s">
        <v>796</v>
      </c>
      <c r="C286" s="40" t="s">
        <v>216</v>
      </c>
      <c r="D286" s="40"/>
      <c r="E286" s="40" t="s">
        <v>782</v>
      </c>
      <c r="F286" s="40" t="s">
        <v>71</v>
      </c>
      <c r="G286" s="183">
        <f t="shared" si="60"/>
        <v>15.826000000000001</v>
      </c>
      <c r="H286" s="51">
        <v>1870</v>
      </c>
      <c r="I286" s="53">
        <v>0</v>
      </c>
      <c r="J286" s="51">
        <f t="shared" si="58"/>
        <v>1870</v>
      </c>
      <c r="K286" s="54">
        <f t="shared" si="59"/>
        <v>29594.620000000003</v>
      </c>
      <c r="M286" s="45"/>
      <c r="N286" s="45"/>
      <c r="O286" s="45"/>
      <c r="P286" s="45"/>
      <c r="Q286" s="45"/>
      <c r="R286" s="45"/>
      <c r="S286" s="45"/>
      <c r="T286" s="45"/>
      <c r="U286" s="45"/>
      <c r="V286" s="45"/>
      <c r="W286" s="45"/>
      <c r="X286" s="45"/>
      <c r="Y286" s="45"/>
      <c r="Z286" s="56"/>
    </row>
    <row r="287" spans="1:26">
      <c r="A287" s="7" t="s">
        <v>797</v>
      </c>
      <c r="B287" s="40" t="s">
        <v>798</v>
      </c>
      <c r="C287" s="40" t="s">
        <v>216</v>
      </c>
      <c r="D287" s="40"/>
      <c r="E287" s="40" t="s">
        <v>782</v>
      </c>
      <c r="F287" s="40" t="s">
        <v>71</v>
      </c>
      <c r="G287" s="183">
        <f t="shared" si="60"/>
        <v>15.826000000000001</v>
      </c>
      <c r="H287" s="51">
        <v>6618.4</v>
      </c>
      <c r="I287" s="53">
        <v>0</v>
      </c>
      <c r="J287" s="51">
        <f t="shared" si="58"/>
        <v>6618.4</v>
      </c>
      <c r="K287" s="54">
        <f t="shared" si="59"/>
        <v>104742.7984</v>
      </c>
      <c r="M287" s="45"/>
      <c r="N287" s="45"/>
      <c r="O287" s="45"/>
      <c r="P287" s="45"/>
      <c r="Q287" s="45"/>
      <c r="R287" s="45"/>
      <c r="S287" s="45"/>
      <c r="T287" s="45"/>
      <c r="U287" s="45"/>
      <c r="V287" s="45"/>
      <c r="W287" s="45"/>
      <c r="X287" s="45"/>
      <c r="Y287" s="45"/>
      <c r="Z287" s="56"/>
    </row>
    <row r="288" spans="1:26">
      <c r="A288" s="7" t="s">
        <v>799</v>
      </c>
      <c r="B288" s="40" t="s">
        <v>800</v>
      </c>
      <c r="C288" s="40" t="s">
        <v>216</v>
      </c>
      <c r="D288" s="40"/>
      <c r="E288" s="40" t="s">
        <v>782</v>
      </c>
      <c r="F288" s="40" t="s">
        <v>71</v>
      </c>
      <c r="G288" s="183">
        <f t="shared" si="60"/>
        <v>15.826000000000001</v>
      </c>
      <c r="H288" s="51">
        <v>4006</v>
      </c>
      <c r="I288" s="53">
        <v>0</v>
      </c>
      <c r="J288" s="51">
        <f t="shared" si="58"/>
        <v>4006</v>
      </c>
      <c r="K288" s="54">
        <f t="shared" si="59"/>
        <v>63398.956000000006</v>
      </c>
      <c r="M288" s="45"/>
      <c r="N288" s="45"/>
      <c r="O288" s="45"/>
      <c r="P288" s="45"/>
      <c r="Q288" s="45"/>
      <c r="R288" s="45"/>
      <c r="S288" s="45"/>
      <c r="T288" s="45"/>
      <c r="U288" s="45"/>
      <c r="V288" s="45"/>
      <c r="W288" s="45"/>
      <c r="X288" s="45"/>
      <c r="Y288" s="45"/>
      <c r="Z288" s="56"/>
    </row>
    <row r="289" spans="1:26">
      <c r="A289" s="7" t="s">
        <v>801</v>
      </c>
      <c r="B289" s="40" t="s">
        <v>802</v>
      </c>
      <c r="C289" s="40" t="s">
        <v>216</v>
      </c>
      <c r="D289" s="40"/>
      <c r="E289" s="40" t="s">
        <v>782</v>
      </c>
      <c r="F289" s="40" t="s">
        <v>71</v>
      </c>
      <c r="G289" s="183">
        <f t="shared" si="60"/>
        <v>15.826000000000001</v>
      </c>
      <c r="H289" s="51">
        <v>3544.2</v>
      </c>
      <c r="I289" s="53">
        <v>0</v>
      </c>
      <c r="J289" s="51">
        <f t="shared" si="58"/>
        <v>3544.2</v>
      </c>
      <c r="K289" s="54">
        <f t="shared" si="59"/>
        <v>56090.5092</v>
      </c>
      <c r="M289" s="45"/>
      <c r="N289" s="45"/>
      <c r="O289" s="45"/>
      <c r="P289" s="45"/>
      <c r="Q289" s="45"/>
      <c r="R289" s="45"/>
      <c r="S289" s="45"/>
      <c r="T289" s="45"/>
      <c r="U289" s="45"/>
      <c r="V289" s="45"/>
      <c r="W289" s="45"/>
      <c r="X289" s="45"/>
      <c r="Y289" s="45"/>
      <c r="Z289" s="56"/>
    </row>
    <row r="290" spans="1:26">
      <c r="A290" s="7" t="s">
        <v>803</v>
      </c>
      <c r="B290" s="40" t="s">
        <v>804</v>
      </c>
      <c r="C290" s="40" t="s">
        <v>216</v>
      </c>
      <c r="D290" s="40"/>
      <c r="E290" s="40" t="s">
        <v>782</v>
      </c>
      <c r="F290" s="40" t="s">
        <v>71</v>
      </c>
      <c r="G290" s="183">
        <f t="shared" si="60"/>
        <v>15.826000000000001</v>
      </c>
      <c r="H290" s="51">
        <v>816</v>
      </c>
      <c r="I290" s="53">
        <v>0</v>
      </c>
      <c r="J290" s="51">
        <f t="shared" si="58"/>
        <v>816</v>
      </c>
      <c r="K290" s="54">
        <f t="shared" si="59"/>
        <v>12914.016</v>
      </c>
      <c r="M290" s="45"/>
      <c r="N290" s="45"/>
      <c r="O290" s="45"/>
      <c r="P290" s="45"/>
      <c r="Q290" s="45"/>
      <c r="R290" s="45"/>
      <c r="S290" s="45"/>
      <c r="T290" s="45"/>
      <c r="U290" s="45"/>
      <c r="V290" s="45"/>
      <c r="W290" s="45"/>
      <c r="X290" s="45"/>
      <c r="Y290" s="45"/>
      <c r="Z290" s="56"/>
    </row>
    <row r="291" spans="1:26">
      <c r="A291" s="7" t="s">
        <v>805</v>
      </c>
      <c r="B291" s="40" t="s">
        <v>806</v>
      </c>
      <c r="C291" s="40" t="s">
        <v>216</v>
      </c>
      <c r="D291" s="40"/>
      <c r="E291" s="40" t="s">
        <v>782</v>
      </c>
      <c r="F291" s="40" t="s">
        <v>71</v>
      </c>
      <c r="G291" s="183">
        <f t="shared" si="60"/>
        <v>15.826000000000001</v>
      </c>
      <c r="H291" s="51">
        <v>716.4</v>
      </c>
      <c r="I291" s="53">
        <v>0</v>
      </c>
      <c r="J291" s="51">
        <f t="shared" si="58"/>
        <v>716.4</v>
      </c>
      <c r="K291" s="54">
        <f t="shared" si="59"/>
        <v>11337.7464</v>
      </c>
      <c r="M291" s="45"/>
      <c r="N291" s="45"/>
      <c r="O291" s="45"/>
      <c r="P291" s="45"/>
      <c r="Q291" s="45"/>
      <c r="R291" s="45"/>
      <c r="S291" s="45"/>
      <c r="T291" s="45"/>
      <c r="U291" s="45"/>
      <c r="V291" s="45"/>
      <c r="W291" s="45"/>
      <c r="X291" s="45"/>
      <c r="Y291" s="45"/>
      <c r="Z291" s="56"/>
    </row>
    <row r="292" spans="1:26">
      <c r="A292" s="7" t="s">
        <v>807</v>
      </c>
      <c r="B292" s="40" t="s">
        <v>808</v>
      </c>
      <c r="C292" s="40" t="s">
        <v>216</v>
      </c>
      <c r="D292" s="40"/>
      <c r="E292" s="40" t="s">
        <v>782</v>
      </c>
      <c r="F292" s="40" t="s">
        <v>71</v>
      </c>
      <c r="G292" s="183">
        <f t="shared" si="60"/>
        <v>15.826000000000001</v>
      </c>
      <c r="H292" s="51">
        <v>4976.6000000000004</v>
      </c>
      <c r="I292" s="53">
        <v>0</v>
      </c>
      <c r="J292" s="51">
        <f t="shared" si="58"/>
        <v>4976.6000000000004</v>
      </c>
      <c r="K292" s="54">
        <f t="shared" si="59"/>
        <v>78759.671600000001</v>
      </c>
      <c r="M292" s="45"/>
      <c r="N292" s="45"/>
      <c r="O292" s="45"/>
      <c r="P292" s="45"/>
      <c r="Q292" s="45"/>
      <c r="R292" s="45"/>
      <c r="S292" s="45"/>
      <c r="T292" s="45"/>
      <c r="U292" s="45"/>
      <c r="V292" s="45"/>
      <c r="W292" s="45"/>
      <c r="X292" s="45"/>
      <c r="Y292" s="45"/>
      <c r="Z292" s="56"/>
    </row>
    <row r="293" spans="1:26">
      <c r="A293" s="4" t="s">
        <v>809</v>
      </c>
      <c r="B293" s="151"/>
      <c r="C293" s="151"/>
      <c r="D293" s="151"/>
      <c r="E293" s="151"/>
      <c r="F293" s="151"/>
      <c r="G293" s="152"/>
      <c r="H293" s="153"/>
      <c r="I293" s="154"/>
      <c r="J293" s="153"/>
      <c r="K293" s="172"/>
      <c r="L293" s="70">
        <f>SUM(K294:K301)</f>
        <v>0</v>
      </c>
      <c r="M293" s="45"/>
      <c r="N293" s="45"/>
      <c r="O293" s="45"/>
      <c r="P293" s="45"/>
      <c r="Q293" s="45"/>
      <c r="R293" s="45"/>
      <c r="S293" s="45"/>
      <c r="T293" s="45"/>
      <c r="U293" s="45"/>
      <c r="V293" s="45"/>
      <c r="W293" s="45"/>
      <c r="X293" s="45"/>
      <c r="Y293" s="45"/>
      <c r="Z293" s="56"/>
    </row>
    <row r="294" spans="1:26">
      <c r="A294" s="6" t="s">
        <v>809</v>
      </c>
      <c r="B294" s="47"/>
      <c r="C294" s="47"/>
      <c r="D294" s="47"/>
      <c r="E294" s="47" t="s">
        <v>231</v>
      </c>
      <c r="F294" s="47"/>
      <c r="G294" s="42"/>
      <c r="H294" s="61"/>
      <c r="I294" s="63">
        <v>0</v>
      </c>
      <c r="J294" s="66">
        <f t="shared" ref="J294:J301" si="61">H294*(1+I294)</f>
        <v>0</v>
      </c>
      <c r="K294" s="67">
        <f t="shared" ref="K294:K301" si="62">J294*G294</f>
        <v>0</v>
      </c>
      <c r="M294" s="45"/>
      <c r="N294" s="45"/>
      <c r="O294" s="45"/>
      <c r="P294" s="45"/>
      <c r="Q294" s="45"/>
      <c r="R294" s="45"/>
      <c r="S294" s="45"/>
      <c r="T294" s="45"/>
      <c r="U294" s="45"/>
      <c r="V294" s="45"/>
      <c r="W294" s="45"/>
      <c r="X294" s="45"/>
      <c r="Y294" s="45"/>
      <c r="Z294" s="56"/>
    </row>
    <row r="295" spans="1:26">
      <c r="A295" s="7" t="s">
        <v>810</v>
      </c>
      <c r="B295" s="40"/>
      <c r="C295" s="40"/>
      <c r="D295" s="40"/>
      <c r="E295" s="40" t="s">
        <v>231</v>
      </c>
      <c r="F295" s="40"/>
      <c r="G295" s="38"/>
      <c r="H295" s="51"/>
      <c r="I295" s="53">
        <v>0</v>
      </c>
      <c r="J295" s="51">
        <f t="shared" si="61"/>
        <v>0</v>
      </c>
      <c r="K295" s="54">
        <f t="shared" si="62"/>
        <v>0</v>
      </c>
      <c r="M295" s="45"/>
      <c r="N295" s="45"/>
      <c r="O295" s="45"/>
      <c r="P295" s="45"/>
      <c r="Q295" s="45"/>
      <c r="R295" s="45"/>
      <c r="S295" s="45"/>
      <c r="T295" s="45"/>
      <c r="U295" s="45"/>
      <c r="V295" s="45"/>
      <c r="W295" s="45"/>
      <c r="X295" s="45"/>
      <c r="Y295" s="45"/>
      <c r="Z295" s="56"/>
    </row>
    <row r="296" spans="1:26">
      <c r="A296" s="7" t="s">
        <v>811</v>
      </c>
      <c r="B296" s="40"/>
      <c r="C296" s="40"/>
      <c r="D296" s="40"/>
      <c r="E296" s="40" t="s">
        <v>231</v>
      </c>
      <c r="F296" s="40"/>
      <c r="G296" s="38"/>
      <c r="H296" s="51"/>
      <c r="I296" s="53">
        <v>0</v>
      </c>
      <c r="J296" s="51">
        <f t="shared" si="61"/>
        <v>0</v>
      </c>
      <c r="K296" s="54">
        <f t="shared" si="62"/>
        <v>0</v>
      </c>
      <c r="M296" s="45"/>
      <c r="N296" s="45"/>
      <c r="O296" s="45"/>
      <c r="P296" s="45"/>
      <c r="Q296" s="45"/>
      <c r="R296" s="45"/>
      <c r="S296" s="45"/>
      <c r="T296" s="45"/>
      <c r="U296" s="45"/>
      <c r="V296" s="45"/>
      <c r="W296" s="45"/>
      <c r="X296" s="45"/>
      <c r="Y296" s="45"/>
      <c r="Z296" s="56"/>
    </row>
    <row r="297" spans="1:26">
      <c r="A297" s="7" t="s">
        <v>812</v>
      </c>
      <c r="B297" s="40"/>
      <c r="C297" s="40"/>
      <c r="D297" s="40"/>
      <c r="E297" s="40" t="s">
        <v>231</v>
      </c>
      <c r="F297" s="40"/>
      <c r="G297" s="38"/>
      <c r="H297" s="51"/>
      <c r="I297" s="53">
        <v>0</v>
      </c>
      <c r="J297" s="51">
        <f t="shared" si="61"/>
        <v>0</v>
      </c>
      <c r="K297" s="54">
        <f t="shared" si="62"/>
        <v>0</v>
      </c>
      <c r="M297" s="45"/>
      <c r="N297" s="45"/>
      <c r="O297" s="45"/>
      <c r="P297" s="45"/>
      <c r="Q297" s="45"/>
      <c r="R297" s="45"/>
      <c r="S297" s="45"/>
      <c r="T297" s="45"/>
      <c r="U297" s="45"/>
      <c r="V297" s="45"/>
      <c r="W297" s="45"/>
      <c r="X297" s="45"/>
      <c r="Y297" s="45"/>
      <c r="Z297" s="56"/>
    </row>
    <row r="298" spans="1:26">
      <c r="A298" s="7" t="s">
        <v>813</v>
      </c>
      <c r="B298" s="40"/>
      <c r="C298" s="40"/>
      <c r="D298" s="40"/>
      <c r="E298" s="40" t="s">
        <v>231</v>
      </c>
      <c r="F298" s="40"/>
      <c r="G298" s="38"/>
      <c r="H298" s="51"/>
      <c r="I298" s="53">
        <v>0</v>
      </c>
      <c r="J298" s="51">
        <f t="shared" si="61"/>
        <v>0</v>
      </c>
      <c r="K298" s="54">
        <f t="shared" si="62"/>
        <v>0</v>
      </c>
      <c r="M298" s="45"/>
      <c r="N298" s="45"/>
      <c r="O298" s="45"/>
      <c r="P298" s="45"/>
      <c r="Q298" s="45"/>
      <c r="R298" s="45"/>
      <c r="S298" s="45"/>
      <c r="T298" s="45"/>
      <c r="U298" s="45"/>
      <c r="V298" s="45"/>
      <c r="W298" s="45"/>
      <c r="X298" s="45"/>
      <c r="Y298" s="45"/>
      <c r="Z298" s="56"/>
    </row>
    <row r="299" spans="1:26">
      <c r="A299" s="7" t="s">
        <v>814</v>
      </c>
      <c r="B299" s="40"/>
      <c r="C299" s="40"/>
      <c r="D299" s="40"/>
      <c r="E299" s="40" t="s">
        <v>231</v>
      </c>
      <c r="F299" s="40"/>
      <c r="G299" s="38"/>
      <c r="H299" s="51"/>
      <c r="I299" s="53">
        <v>0</v>
      </c>
      <c r="J299" s="51">
        <f t="shared" si="61"/>
        <v>0</v>
      </c>
      <c r="K299" s="54">
        <f t="shared" si="62"/>
        <v>0</v>
      </c>
      <c r="M299" s="45"/>
      <c r="N299" s="45"/>
      <c r="O299" s="45"/>
      <c r="P299" s="45"/>
      <c r="Q299" s="45"/>
      <c r="R299" s="45"/>
      <c r="S299" s="45"/>
      <c r="T299" s="45"/>
      <c r="U299" s="45"/>
      <c r="V299" s="45"/>
      <c r="W299" s="45"/>
      <c r="X299" s="45"/>
      <c r="Y299" s="45"/>
      <c r="Z299" s="56"/>
    </row>
    <row r="300" spans="1:26">
      <c r="A300" s="7" t="s">
        <v>815</v>
      </c>
      <c r="B300" s="40"/>
      <c r="C300" s="40"/>
      <c r="D300" s="40"/>
      <c r="E300" s="40" t="s">
        <v>231</v>
      </c>
      <c r="F300" s="40"/>
      <c r="G300" s="38"/>
      <c r="H300" s="51"/>
      <c r="I300" s="53">
        <v>0</v>
      </c>
      <c r="J300" s="51">
        <f t="shared" si="61"/>
        <v>0</v>
      </c>
      <c r="K300" s="54">
        <f t="shared" si="62"/>
        <v>0</v>
      </c>
      <c r="M300" s="45"/>
      <c r="N300" s="45"/>
      <c r="O300" s="45"/>
      <c r="P300" s="45"/>
      <c r="Q300" s="45"/>
      <c r="R300" s="45"/>
      <c r="S300" s="45"/>
      <c r="T300" s="45"/>
      <c r="U300" s="45"/>
      <c r="V300" s="45"/>
      <c r="W300" s="45"/>
      <c r="X300" s="45"/>
      <c r="Y300" s="45"/>
      <c r="Z300" s="56"/>
    </row>
    <row r="301" spans="1:26">
      <c r="A301" s="7" t="s">
        <v>816</v>
      </c>
      <c r="B301" s="40"/>
      <c r="C301" s="40"/>
      <c r="D301" s="40"/>
      <c r="E301" s="40" t="s">
        <v>231</v>
      </c>
      <c r="F301" s="40"/>
      <c r="G301" s="38"/>
      <c r="H301" s="51"/>
      <c r="I301" s="53">
        <v>0</v>
      </c>
      <c r="J301" s="51">
        <f t="shared" si="61"/>
        <v>0</v>
      </c>
      <c r="K301" s="54">
        <f t="shared" si="62"/>
        <v>0</v>
      </c>
      <c r="M301" s="45"/>
      <c r="N301" s="45"/>
      <c r="O301" s="45"/>
      <c r="P301" s="45"/>
      <c r="Q301" s="45"/>
      <c r="R301" s="45"/>
      <c r="S301" s="45"/>
      <c r="T301" s="45"/>
      <c r="U301" s="45"/>
      <c r="V301" s="45"/>
      <c r="W301" s="45"/>
      <c r="X301" s="45"/>
      <c r="Y301" s="45"/>
      <c r="Z301" s="56"/>
    </row>
    <row r="302" spans="1:26">
      <c r="A302" s="4" t="s">
        <v>817</v>
      </c>
      <c r="B302" s="151" t="s">
        <v>817</v>
      </c>
      <c r="C302" s="151"/>
      <c r="D302" s="151"/>
      <c r="E302" s="151"/>
      <c r="F302" s="151"/>
      <c r="G302" s="152"/>
      <c r="H302" s="153"/>
      <c r="I302" s="154"/>
      <c r="J302" s="153"/>
      <c r="K302" s="172"/>
      <c r="L302" s="70">
        <f>SUM(K303:K304)</f>
        <v>1297092.255315664</v>
      </c>
      <c r="M302" s="45"/>
      <c r="N302" s="45"/>
      <c r="O302" s="45"/>
      <c r="P302" s="45"/>
      <c r="Q302" s="45"/>
      <c r="R302" s="45"/>
      <c r="S302" s="45"/>
      <c r="T302" s="45"/>
      <c r="U302" s="45"/>
      <c r="V302" s="45"/>
      <c r="W302" s="45"/>
      <c r="X302" s="45"/>
      <c r="Y302" s="45"/>
      <c r="Z302" s="56"/>
    </row>
    <row r="303" spans="1:26">
      <c r="A303" s="6" t="s">
        <v>818</v>
      </c>
      <c r="B303" s="47"/>
      <c r="C303" s="47"/>
      <c r="D303" s="47"/>
      <c r="E303" s="47"/>
      <c r="F303" s="47"/>
      <c r="G303" s="198">
        <v>0</v>
      </c>
      <c r="H303" s="61"/>
      <c r="I303" s="63"/>
      <c r="J303" s="66"/>
      <c r="K303" s="67">
        <f>G303*SUM(K22:K301)</f>
        <v>0</v>
      </c>
      <c r="M303" s="45"/>
      <c r="N303" s="45"/>
      <c r="O303" s="45"/>
      <c r="P303" s="45"/>
      <c r="Q303" s="45"/>
      <c r="R303" s="45"/>
      <c r="S303" s="45"/>
      <c r="T303" s="45"/>
      <c r="U303" s="45"/>
      <c r="V303" s="45"/>
      <c r="W303" s="45"/>
      <c r="X303" s="45"/>
      <c r="Y303" s="45"/>
      <c r="Z303" s="56"/>
    </row>
    <row r="304" spans="1:26">
      <c r="A304" s="5" t="s">
        <v>817</v>
      </c>
      <c r="B304" s="65"/>
      <c r="C304" s="65"/>
      <c r="D304" s="65"/>
      <c r="E304" s="65"/>
      <c r="F304" s="65"/>
      <c r="G304" s="186">
        <v>0.02</v>
      </c>
      <c r="H304" s="64"/>
      <c r="I304" s="157"/>
      <c r="J304" s="158"/>
      <c r="K304" s="159">
        <f>G304*SUM(K23:K302)</f>
        <v>1297092.255315664</v>
      </c>
      <c r="M304" s="45" t="s">
        <v>819</v>
      </c>
      <c r="N304" s="45"/>
      <c r="O304" s="45"/>
      <c r="P304" s="45"/>
      <c r="Q304" s="45"/>
      <c r="R304" s="45"/>
      <c r="S304" s="45"/>
      <c r="T304" s="45"/>
      <c r="U304" s="45"/>
      <c r="V304" s="45"/>
      <c r="W304" s="45"/>
      <c r="X304" s="45"/>
      <c r="Y304" s="45"/>
      <c r="Z304" s="56"/>
    </row>
    <row r="305" spans="1:26">
      <c r="A305" s="4" t="s">
        <v>820</v>
      </c>
      <c r="B305" s="151" t="s">
        <v>821</v>
      </c>
      <c r="C305" s="151"/>
      <c r="D305" s="151"/>
      <c r="E305" s="151"/>
      <c r="F305" s="151"/>
      <c r="G305" s="152"/>
      <c r="H305" s="153"/>
      <c r="I305" s="154"/>
      <c r="J305" s="153"/>
      <c r="K305" s="172"/>
      <c r="L305" s="70">
        <f>SUM(K306:K319)</f>
        <v>1375126.8</v>
      </c>
      <c r="M305" s="45"/>
      <c r="N305" s="45"/>
      <c r="O305" s="45"/>
      <c r="P305" s="45"/>
      <c r="Q305" s="45"/>
      <c r="R305" s="45"/>
      <c r="S305" s="45"/>
      <c r="T305" s="45"/>
      <c r="U305" s="45"/>
      <c r="V305" s="45"/>
      <c r="W305" s="45"/>
      <c r="X305" s="45"/>
      <c r="Y305" s="45"/>
      <c r="Z305" s="56"/>
    </row>
    <row r="306" spans="1:26">
      <c r="A306" s="6" t="s">
        <v>822</v>
      </c>
      <c r="B306" s="47" t="s">
        <v>823</v>
      </c>
      <c r="C306" s="47" t="s">
        <v>216</v>
      </c>
      <c r="D306" s="47"/>
      <c r="E306" s="47" t="s">
        <v>824</v>
      </c>
      <c r="F306" s="47" t="s">
        <v>71</v>
      </c>
      <c r="G306" s="42">
        <v>1</v>
      </c>
      <c r="H306" s="61">
        <v>10000</v>
      </c>
      <c r="I306" s="63">
        <v>0</v>
      </c>
      <c r="J306" s="66">
        <f t="shared" ref="J306:J319" si="63">H306*(1+I306)</f>
        <v>10000</v>
      </c>
      <c r="K306" s="67">
        <f t="shared" ref="K306:K319" si="64">J306*G306</f>
        <v>10000</v>
      </c>
      <c r="M306" s="45"/>
      <c r="N306" s="45"/>
      <c r="O306" s="45"/>
      <c r="P306" s="45"/>
      <c r="Q306" s="45"/>
      <c r="R306" s="45"/>
      <c r="S306" s="45"/>
      <c r="T306" s="45"/>
      <c r="U306" s="45"/>
      <c r="V306" s="45"/>
      <c r="W306" s="45"/>
      <c r="X306" s="45"/>
      <c r="Y306" s="45"/>
      <c r="Z306" s="56"/>
    </row>
    <row r="307" spans="1:26">
      <c r="A307" s="7" t="s">
        <v>825</v>
      </c>
      <c r="B307" s="40" t="s">
        <v>826</v>
      </c>
      <c r="C307" s="40" t="s">
        <v>216</v>
      </c>
      <c r="D307" s="40"/>
      <c r="E307" s="40" t="s">
        <v>231</v>
      </c>
      <c r="F307" s="40"/>
      <c r="G307" s="38"/>
      <c r="H307" s="51"/>
      <c r="I307" s="53">
        <v>0</v>
      </c>
      <c r="J307" s="51">
        <f t="shared" si="63"/>
        <v>0</v>
      </c>
      <c r="K307" s="54">
        <f t="shared" si="64"/>
        <v>0</v>
      </c>
      <c r="M307" s="45"/>
      <c r="N307" s="45"/>
      <c r="O307" s="45"/>
      <c r="P307" s="45"/>
      <c r="Q307" s="45"/>
      <c r="R307" s="45"/>
      <c r="S307" s="45"/>
      <c r="T307" s="45"/>
      <c r="U307" s="45"/>
      <c r="V307" s="45"/>
      <c r="W307" s="45"/>
      <c r="X307" s="45"/>
      <c r="Y307" s="45"/>
      <c r="Z307" s="56"/>
    </row>
    <row r="308" spans="1:26">
      <c r="A308" s="7" t="s">
        <v>827</v>
      </c>
      <c r="B308" s="40" t="s">
        <v>828</v>
      </c>
      <c r="C308" s="40" t="s">
        <v>216</v>
      </c>
      <c r="D308" s="40"/>
      <c r="E308" s="40" t="s">
        <v>824</v>
      </c>
      <c r="F308" s="40" t="s">
        <v>71</v>
      </c>
      <c r="G308" s="38">
        <v>1</v>
      </c>
      <c r="H308" s="51">
        <v>21000</v>
      </c>
      <c r="I308" s="53">
        <v>0</v>
      </c>
      <c r="J308" s="51">
        <f t="shared" si="63"/>
        <v>21000</v>
      </c>
      <c r="K308" s="54">
        <f t="shared" si="64"/>
        <v>21000</v>
      </c>
      <c r="M308" s="45"/>
      <c r="N308" s="45"/>
      <c r="O308" s="45"/>
      <c r="P308" s="45"/>
      <c r="Q308" s="45"/>
      <c r="R308" s="45"/>
      <c r="S308" s="45"/>
      <c r="T308" s="45"/>
      <c r="U308" s="45"/>
      <c r="V308" s="45"/>
      <c r="W308" s="45"/>
      <c r="X308" s="45"/>
      <c r="Y308" s="45"/>
      <c r="Z308" s="56"/>
    </row>
    <row r="309" spans="1:26">
      <c r="A309" s="7" t="s">
        <v>829</v>
      </c>
      <c r="B309" s="40" t="s">
        <v>830</v>
      </c>
      <c r="C309" s="40" t="s">
        <v>216</v>
      </c>
      <c r="D309" s="40"/>
      <c r="E309" s="40" t="s">
        <v>555</v>
      </c>
      <c r="F309" s="40" t="s">
        <v>71</v>
      </c>
      <c r="G309" s="38">
        <v>1</v>
      </c>
      <c r="H309" s="51">
        <v>21900</v>
      </c>
      <c r="I309" s="53">
        <v>0</v>
      </c>
      <c r="J309" s="51">
        <f t="shared" si="63"/>
        <v>21900</v>
      </c>
      <c r="K309" s="54">
        <f t="shared" si="64"/>
        <v>21900</v>
      </c>
      <c r="M309" s="45"/>
      <c r="N309" s="45"/>
      <c r="O309" s="45"/>
      <c r="P309" s="45"/>
      <c r="Q309" s="45"/>
      <c r="R309" s="45"/>
      <c r="S309" s="45"/>
      <c r="T309" s="45"/>
      <c r="U309" s="45"/>
      <c r="V309" s="45"/>
      <c r="W309" s="45"/>
      <c r="X309" s="45"/>
      <c r="Y309" s="45"/>
      <c r="Z309" s="56"/>
    </row>
    <row r="310" spans="1:26">
      <c r="A310" s="9" t="s">
        <v>831</v>
      </c>
      <c r="B310" s="40" t="s">
        <v>832</v>
      </c>
      <c r="C310" s="40" t="s">
        <v>216</v>
      </c>
      <c r="D310" s="40"/>
      <c r="E310" s="40" t="s">
        <v>555</v>
      </c>
      <c r="F310" s="40" t="s">
        <v>1088</v>
      </c>
      <c r="G310" s="38">
        <f>1140*2</f>
        <v>2280</v>
      </c>
      <c r="H310" s="50">
        <v>56.81</v>
      </c>
      <c r="I310" s="53">
        <v>0</v>
      </c>
      <c r="J310" s="51">
        <f t="shared" si="63"/>
        <v>56.81</v>
      </c>
      <c r="K310" s="54">
        <f t="shared" si="64"/>
        <v>129526.8</v>
      </c>
      <c r="M310" s="45"/>
      <c r="N310" s="45"/>
      <c r="O310" s="45"/>
      <c r="P310" s="45"/>
      <c r="Q310" s="45"/>
      <c r="R310" s="45"/>
      <c r="S310" s="45"/>
      <c r="T310" s="45"/>
      <c r="U310" s="45"/>
      <c r="V310" s="45"/>
      <c r="W310" s="45"/>
      <c r="X310" s="45"/>
      <c r="Y310" s="45"/>
      <c r="Z310" s="56"/>
    </row>
    <row r="311" spans="1:26">
      <c r="A311" s="9" t="s">
        <v>939</v>
      </c>
      <c r="B311" s="40" t="s">
        <v>834</v>
      </c>
      <c r="C311" s="40" t="s">
        <v>216</v>
      </c>
      <c r="D311" s="40"/>
      <c r="E311" s="40" t="s">
        <v>231</v>
      </c>
      <c r="F311" s="40"/>
      <c r="G311" s="38"/>
      <c r="H311" s="51"/>
      <c r="I311" s="53">
        <v>0</v>
      </c>
      <c r="J311" s="51">
        <f t="shared" si="63"/>
        <v>0</v>
      </c>
      <c r="K311" s="54">
        <f t="shared" si="64"/>
        <v>0</v>
      </c>
      <c r="M311" s="45"/>
      <c r="N311" s="45"/>
      <c r="O311" s="45"/>
      <c r="P311" s="45"/>
      <c r="Q311" s="45"/>
      <c r="R311" s="45"/>
      <c r="S311" s="45"/>
      <c r="T311" s="45"/>
      <c r="U311" s="45"/>
      <c r="V311" s="45"/>
      <c r="W311" s="45"/>
      <c r="X311" s="45"/>
      <c r="Y311" s="45"/>
      <c r="Z311" s="56"/>
    </row>
    <row r="312" spans="1:26">
      <c r="A312" s="9" t="s">
        <v>835</v>
      </c>
      <c r="B312" s="40" t="s">
        <v>836</v>
      </c>
      <c r="C312" s="40" t="s">
        <v>216</v>
      </c>
      <c r="D312" s="40"/>
      <c r="E312" s="40" t="s">
        <v>555</v>
      </c>
      <c r="F312" s="40" t="s">
        <v>71</v>
      </c>
      <c r="G312" s="38">
        <v>1</v>
      </c>
      <c r="H312" s="51">
        <v>15000</v>
      </c>
      <c r="I312" s="53">
        <v>0</v>
      </c>
      <c r="J312" s="51">
        <f t="shared" si="63"/>
        <v>15000</v>
      </c>
      <c r="K312" s="54">
        <f t="shared" si="64"/>
        <v>15000</v>
      </c>
      <c r="M312" s="45"/>
      <c r="N312" s="45"/>
      <c r="O312" s="45"/>
      <c r="P312" s="45"/>
      <c r="Q312" s="45"/>
      <c r="R312" s="45"/>
      <c r="S312" s="45"/>
      <c r="T312" s="45"/>
      <c r="U312" s="45"/>
      <c r="V312" s="45"/>
      <c r="W312" s="45"/>
      <c r="X312" s="45"/>
      <c r="Y312" s="45"/>
      <c r="Z312" s="56"/>
    </row>
    <row r="313" spans="1:26">
      <c r="A313" s="9" t="s">
        <v>837</v>
      </c>
      <c r="B313" s="40" t="s">
        <v>838</v>
      </c>
      <c r="C313" s="40" t="s">
        <v>216</v>
      </c>
      <c r="D313" s="40"/>
      <c r="E313" s="40" t="s">
        <v>555</v>
      </c>
      <c r="F313" s="40" t="s">
        <v>71</v>
      </c>
      <c r="G313" s="38">
        <v>1</v>
      </c>
      <c r="H313" s="51">
        <v>5000</v>
      </c>
      <c r="I313" s="53">
        <v>0</v>
      </c>
      <c r="J313" s="51">
        <f t="shared" si="63"/>
        <v>5000</v>
      </c>
      <c r="K313" s="54">
        <f t="shared" si="64"/>
        <v>5000</v>
      </c>
      <c r="M313" s="45"/>
      <c r="N313" s="45"/>
      <c r="O313" s="45"/>
      <c r="P313" s="45"/>
      <c r="Q313" s="45"/>
      <c r="R313" s="45"/>
      <c r="S313" s="45"/>
      <c r="T313" s="45"/>
      <c r="U313" s="45"/>
      <c r="V313" s="45"/>
      <c r="W313" s="45"/>
      <c r="X313" s="45"/>
      <c r="Y313" s="45"/>
      <c r="Z313" s="56"/>
    </row>
    <row r="314" spans="1:26">
      <c r="A314" s="9" t="s">
        <v>839</v>
      </c>
      <c r="B314" s="40" t="s">
        <v>840</v>
      </c>
      <c r="C314" s="40" t="s">
        <v>216</v>
      </c>
      <c r="D314" s="40"/>
      <c r="E314" s="40" t="s">
        <v>231</v>
      </c>
      <c r="F314" s="40"/>
      <c r="G314" s="38"/>
      <c r="H314" s="51"/>
      <c r="I314" s="53">
        <v>0</v>
      </c>
      <c r="J314" s="51">
        <f t="shared" si="63"/>
        <v>0</v>
      </c>
      <c r="K314" s="54">
        <f t="shared" si="64"/>
        <v>0</v>
      </c>
      <c r="M314" s="45"/>
      <c r="N314" s="45"/>
      <c r="O314" s="45"/>
      <c r="P314" s="45"/>
      <c r="Q314" s="45"/>
      <c r="R314" s="45"/>
      <c r="S314" s="45"/>
      <c r="T314" s="45"/>
      <c r="U314" s="45"/>
      <c r="V314" s="45"/>
      <c r="W314" s="45"/>
      <c r="X314" s="45"/>
      <c r="Y314" s="45"/>
      <c r="Z314" s="56"/>
    </row>
    <row r="315" spans="1:26">
      <c r="A315" s="7" t="s">
        <v>841</v>
      </c>
      <c r="B315" s="40" t="s">
        <v>842</v>
      </c>
      <c r="C315" s="40" t="s">
        <v>216</v>
      </c>
      <c r="D315" s="40"/>
      <c r="E315" s="40" t="s">
        <v>73</v>
      </c>
      <c r="F315" s="40" t="s">
        <v>71</v>
      </c>
      <c r="G315" s="38">
        <v>1</v>
      </c>
      <c r="H315" s="51">
        <v>1000000</v>
      </c>
      <c r="I315" s="53">
        <v>0</v>
      </c>
      <c r="J315" s="51">
        <f t="shared" si="63"/>
        <v>1000000</v>
      </c>
      <c r="K315" s="54">
        <f t="shared" si="64"/>
        <v>1000000</v>
      </c>
      <c r="M315" s="45"/>
      <c r="N315" s="45"/>
      <c r="O315" s="45"/>
      <c r="P315" s="45"/>
      <c r="Q315" s="45"/>
      <c r="R315" s="45"/>
      <c r="S315" s="45"/>
      <c r="T315" s="45"/>
      <c r="U315" s="45"/>
      <c r="V315" s="45"/>
      <c r="W315" s="45"/>
      <c r="X315" s="45"/>
      <c r="Y315" s="45"/>
      <c r="Z315" s="56"/>
    </row>
    <row r="316" spans="1:26">
      <c r="A316" s="7" t="s">
        <v>843</v>
      </c>
      <c r="B316" s="40" t="s">
        <v>844</v>
      </c>
      <c r="C316" s="40" t="s">
        <v>216</v>
      </c>
      <c r="D316" s="40"/>
      <c r="E316" s="40" t="s">
        <v>733</v>
      </c>
      <c r="F316" s="40" t="s">
        <v>71</v>
      </c>
      <c r="G316" s="38">
        <v>1</v>
      </c>
      <c r="H316" s="51">
        <v>150000</v>
      </c>
      <c r="I316" s="53">
        <v>0</v>
      </c>
      <c r="J316" s="51">
        <f t="shared" si="63"/>
        <v>150000</v>
      </c>
      <c r="K316" s="54">
        <f t="shared" si="64"/>
        <v>150000</v>
      </c>
      <c r="M316" s="45" t="s">
        <v>845</v>
      </c>
      <c r="N316" s="45"/>
      <c r="O316" s="45"/>
      <c r="P316" s="45"/>
      <c r="Q316" s="45"/>
      <c r="R316" s="45"/>
      <c r="S316" s="45"/>
      <c r="T316" s="45"/>
      <c r="U316" s="45"/>
      <c r="V316" s="45"/>
      <c r="W316" s="45"/>
      <c r="X316" s="45"/>
      <c r="Y316" s="45"/>
      <c r="Z316" s="56"/>
    </row>
    <row r="317" spans="1:26">
      <c r="A317" s="9" t="s">
        <v>846</v>
      </c>
      <c r="B317" s="40" t="s">
        <v>630</v>
      </c>
      <c r="C317" s="40" t="s">
        <v>216</v>
      </c>
      <c r="D317" s="40"/>
      <c r="E317" s="40" t="s">
        <v>555</v>
      </c>
      <c r="F317" s="40" t="s">
        <v>71</v>
      </c>
      <c r="G317" s="38">
        <v>1</v>
      </c>
      <c r="H317" s="51">
        <v>19500</v>
      </c>
      <c r="I317" s="53">
        <v>0</v>
      </c>
      <c r="J317" s="51">
        <f t="shared" si="63"/>
        <v>19500</v>
      </c>
      <c r="K317" s="54">
        <f t="shared" si="64"/>
        <v>19500</v>
      </c>
      <c r="M317" s="45"/>
      <c r="N317" s="45"/>
      <c r="O317" s="45"/>
      <c r="P317" s="45"/>
      <c r="Q317" s="45"/>
      <c r="R317" s="45"/>
      <c r="S317" s="45"/>
      <c r="T317" s="45"/>
      <c r="U317" s="45"/>
      <c r="V317" s="45"/>
      <c r="W317" s="45"/>
      <c r="X317" s="45"/>
      <c r="Y317" s="45"/>
      <c r="Z317" s="56"/>
    </row>
    <row r="318" spans="1:26">
      <c r="A318" s="9" t="s">
        <v>847</v>
      </c>
      <c r="B318" s="40" t="s">
        <v>848</v>
      </c>
      <c r="C318" s="40" t="s">
        <v>216</v>
      </c>
      <c r="D318" s="40"/>
      <c r="E318" s="40" t="s">
        <v>555</v>
      </c>
      <c r="F318" s="40" t="s">
        <v>71</v>
      </c>
      <c r="G318" s="38">
        <v>1</v>
      </c>
      <c r="H318" s="51">
        <v>2000</v>
      </c>
      <c r="I318" s="53">
        <v>0</v>
      </c>
      <c r="J318" s="51">
        <f t="shared" si="63"/>
        <v>2000</v>
      </c>
      <c r="K318" s="54">
        <f t="shared" si="64"/>
        <v>2000</v>
      </c>
      <c r="M318" s="45"/>
      <c r="N318" s="45"/>
      <c r="O318" s="45"/>
      <c r="P318" s="45"/>
      <c r="Q318" s="45"/>
      <c r="R318" s="45"/>
      <c r="S318" s="45"/>
      <c r="T318" s="45"/>
      <c r="U318" s="45"/>
      <c r="V318" s="45"/>
      <c r="W318" s="45"/>
      <c r="X318" s="45"/>
      <c r="Y318" s="45"/>
      <c r="Z318" s="56"/>
    </row>
    <row r="319" spans="1:26">
      <c r="A319" s="9" t="s">
        <v>849</v>
      </c>
      <c r="B319" s="40" t="s">
        <v>850</v>
      </c>
      <c r="C319" s="40" t="s">
        <v>216</v>
      </c>
      <c r="D319" s="40"/>
      <c r="E319" s="40" t="s">
        <v>555</v>
      </c>
      <c r="F319" s="40" t="s">
        <v>71</v>
      </c>
      <c r="G319" s="38">
        <v>1</v>
      </c>
      <c r="H319" s="51">
        <v>1200</v>
      </c>
      <c r="I319" s="53">
        <v>0</v>
      </c>
      <c r="J319" s="51">
        <f t="shared" si="63"/>
        <v>1200</v>
      </c>
      <c r="K319" s="54">
        <f t="shared" si="64"/>
        <v>1200</v>
      </c>
      <c r="M319" s="45"/>
      <c r="N319" s="45"/>
      <c r="O319" s="45"/>
      <c r="P319" s="45"/>
      <c r="Q319" s="45"/>
      <c r="R319" s="45"/>
      <c r="S319" s="45"/>
      <c r="T319" s="45"/>
      <c r="U319" s="45"/>
      <c r="V319" s="45"/>
      <c r="W319" s="45"/>
      <c r="X319" s="45"/>
      <c r="Y319" s="45"/>
      <c r="Z319" s="56"/>
    </row>
    <row r="320" spans="1:26">
      <c r="A320" s="4" t="s">
        <v>851</v>
      </c>
      <c r="B320" s="151" t="s">
        <v>852</v>
      </c>
      <c r="C320" s="151"/>
      <c r="D320" s="151"/>
      <c r="E320" s="151"/>
      <c r="F320" s="151"/>
      <c r="G320" s="152"/>
      <c r="H320" s="153"/>
      <c r="I320" s="154"/>
      <c r="J320" s="153"/>
      <c r="K320" s="172"/>
      <c r="L320" s="70">
        <f>SUM(K321)</f>
        <v>3915000</v>
      </c>
      <c r="M320" s="45"/>
      <c r="N320" s="45"/>
      <c r="O320" s="45"/>
      <c r="P320" s="45"/>
      <c r="Q320" s="45"/>
      <c r="R320" s="45"/>
      <c r="S320" s="45"/>
      <c r="T320" s="45"/>
      <c r="U320" s="45"/>
      <c r="V320" s="45"/>
      <c r="W320" s="45"/>
      <c r="X320" s="45"/>
      <c r="Y320" s="45"/>
      <c r="Z320" s="56"/>
    </row>
    <row r="321" spans="1:26">
      <c r="A321" s="5" t="s">
        <v>851</v>
      </c>
      <c r="B321" s="65" t="s">
        <v>853</v>
      </c>
      <c r="C321" s="65"/>
      <c r="D321" s="65"/>
      <c r="E321" s="65"/>
      <c r="F321" s="65"/>
      <c r="G321" s="186">
        <v>0.05</v>
      </c>
      <c r="H321" s="64"/>
      <c r="I321" s="157"/>
      <c r="J321" s="158"/>
      <c r="K321" s="159">
        <f>78300000*G321</f>
        <v>3915000</v>
      </c>
      <c r="M321" s="45" t="s">
        <v>854</v>
      </c>
      <c r="N321" s="45"/>
      <c r="O321" s="45"/>
      <c r="P321" s="45"/>
      <c r="Q321" s="45"/>
      <c r="R321" s="45"/>
      <c r="S321" s="45"/>
      <c r="T321" s="45"/>
      <c r="U321" s="45"/>
      <c r="V321" s="45"/>
      <c r="W321" s="45"/>
      <c r="X321" s="45"/>
      <c r="Y321" s="45"/>
      <c r="Z321" s="56"/>
    </row>
    <row r="322" spans="1:26">
      <c r="A322" s="4" t="s">
        <v>855</v>
      </c>
      <c r="B322" s="151" t="s">
        <v>856</v>
      </c>
      <c r="C322" s="151"/>
      <c r="D322" s="151"/>
      <c r="E322" s="151"/>
      <c r="F322" s="151"/>
      <c r="G322" s="152"/>
      <c r="H322" s="153"/>
      <c r="I322" s="154"/>
      <c r="J322" s="153"/>
      <c r="K322" s="172"/>
      <c r="L322" s="70">
        <f>SUM(K323)</f>
        <v>800000</v>
      </c>
      <c r="M322" s="45"/>
      <c r="N322" s="45"/>
      <c r="O322" s="45"/>
      <c r="P322" s="45"/>
      <c r="Q322" s="45"/>
      <c r="R322" s="45"/>
      <c r="S322" s="45"/>
      <c r="T322" s="45"/>
      <c r="U322" s="45"/>
      <c r="V322" s="45"/>
      <c r="W322" s="45"/>
      <c r="X322" s="45"/>
      <c r="Y322" s="45"/>
      <c r="Z322" s="56"/>
    </row>
    <row r="323" spans="1:26">
      <c r="A323" s="5" t="s">
        <v>855</v>
      </c>
      <c r="B323" s="65" t="s">
        <v>857</v>
      </c>
      <c r="C323" s="65" t="s">
        <v>858</v>
      </c>
      <c r="D323" s="65"/>
      <c r="E323" s="65"/>
      <c r="F323" s="65"/>
      <c r="G323" s="186">
        <v>1.2999999999999999E-2</v>
      </c>
      <c r="H323" s="64"/>
      <c r="I323" s="157"/>
      <c r="J323" s="158"/>
      <c r="K323" s="159">
        <v>800000</v>
      </c>
      <c r="M323" s="45" t="s">
        <v>854</v>
      </c>
      <c r="N323" s="45"/>
      <c r="O323" s="45"/>
      <c r="P323" s="45"/>
      <c r="Q323" s="45"/>
      <c r="R323" s="45"/>
      <c r="S323" s="45"/>
      <c r="T323" s="45"/>
      <c r="U323" s="45"/>
      <c r="V323" s="45"/>
      <c r="W323" s="45"/>
      <c r="X323" s="45"/>
      <c r="Y323" s="45"/>
      <c r="Z323" s="56"/>
    </row>
    <row r="324" spans="1:26">
      <c r="A324" s="4" t="s">
        <v>859</v>
      </c>
      <c r="B324" s="151" t="s">
        <v>856</v>
      </c>
      <c r="C324" s="151"/>
      <c r="D324" s="151"/>
      <c r="E324" s="151"/>
      <c r="F324" s="151"/>
      <c r="G324" s="152"/>
      <c r="H324" s="153"/>
      <c r="I324" s="154"/>
      <c r="J324" s="153"/>
      <c r="K324" s="172"/>
      <c r="L324" s="70">
        <f>SUM(K325:K327)</f>
        <v>707000</v>
      </c>
      <c r="M324" s="45"/>
      <c r="N324" s="45"/>
      <c r="O324" s="45"/>
      <c r="P324" s="45"/>
      <c r="Q324" s="45"/>
      <c r="R324" s="45"/>
      <c r="S324" s="45"/>
      <c r="T324" s="45"/>
      <c r="U324" s="45"/>
      <c r="V324" s="45"/>
      <c r="W324" s="45"/>
      <c r="X324" s="45"/>
      <c r="Y324" s="45"/>
      <c r="Z324" s="56"/>
    </row>
    <row r="325" spans="1:26">
      <c r="A325" s="6" t="s">
        <v>860</v>
      </c>
      <c r="B325" s="47" t="s">
        <v>861</v>
      </c>
      <c r="C325" s="47"/>
      <c r="D325" s="47"/>
      <c r="E325" s="47"/>
      <c r="F325" s="47" t="s">
        <v>862</v>
      </c>
      <c r="G325" s="187">
        <v>3.03</v>
      </c>
      <c r="H325" s="61"/>
      <c r="I325" s="63"/>
      <c r="J325" s="66"/>
      <c r="K325" s="67">
        <v>365000</v>
      </c>
      <c r="M325" s="45" t="s">
        <v>854</v>
      </c>
      <c r="N325" s="45"/>
      <c r="O325" s="45"/>
      <c r="P325" s="45"/>
      <c r="Q325" s="45"/>
      <c r="R325" s="45"/>
      <c r="S325" s="45"/>
      <c r="T325" s="45"/>
      <c r="U325" s="45"/>
      <c r="V325" s="45"/>
      <c r="W325" s="45"/>
      <c r="X325" s="45"/>
      <c r="Y325" s="45"/>
      <c r="Z325" s="56"/>
    </row>
    <row r="326" spans="1:26">
      <c r="A326" s="9" t="s">
        <v>863</v>
      </c>
      <c r="B326" s="40" t="s">
        <v>861</v>
      </c>
      <c r="C326" s="40"/>
      <c r="D326" s="40"/>
      <c r="E326" s="40"/>
      <c r="F326" s="40" t="s">
        <v>864</v>
      </c>
      <c r="G326" s="53">
        <v>0.05</v>
      </c>
      <c r="H326" s="51"/>
      <c r="I326" s="53"/>
      <c r="J326" s="51"/>
      <c r="K326" s="54">
        <v>17000</v>
      </c>
      <c r="M326" s="45" t="s">
        <v>854</v>
      </c>
      <c r="N326" s="45"/>
      <c r="O326" s="45"/>
      <c r="P326" s="45"/>
      <c r="Q326" s="45"/>
      <c r="R326" s="45"/>
      <c r="S326" s="45"/>
      <c r="T326" s="45"/>
      <c r="U326" s="45"/>
      <c r="V326" s="45"/>
      <c r="W326" s="45"/>
      <c r="X326" s="45"/>
      <c r="Y326" s="45"/>
      <c r="Z326" s="56"/>
    </row>
    <row r="327" spans="1:26">
      <c r="A327" s="9" t="s">
        <v>865</v>
      </c>
      <c r="B327" s="40" t="s">
        <v>861</v>
      </c>
      <c r="C327" s="40"/>
      <c r="D327" s="40"/>
      <c r="E327" s="40"/>
      <c r="F327" s="40" t="s">
        <v>866</v>
      </c>
      <c r="G327" s="53">
        <v>0.95</v>
      </c>
      <c r="H327" s="51"/>
      <c r="I327" s="53"/>
      <c r="J327" s="51"/>
      <c r="K327" s="54">
        <v>325000</v>
      </c>
      <c r="M327" s="45" t="s">
        <v>854</v>
      </c>
      <c r="N327" s="45"/>
      <c r="O327" s="45"/>
      <c r="P327" s="45"/>
      <c r="Q327" s="45"/>
      <c r="R327" s="45"/>
      <c r="S327" s="45"/>
      <c r="T327" s="45"/>
      <c r="U327" s="45"/>
      <c r="V327" s="45"/>
      <c r="W327" s="45"/>
      <c r="X327" s="45"/>
      <c r="Y327" s="45"/>
      <c r="Z327" s="56"/>
    </row>
    <row r="328" spans="1:26">
      <c r="A328" s="4" t="s">
        <v>867</v>
      </c>
      <c r="B328" s="151" t="s">
        <v>868</v>
      </c>
      <c r="C328" s="151"/>
      <c r="D328" s="151"/>
      <c r="E328" s="151"/>
      <c r="F328" s="151"/>
      <c r="G328" s="152"/>
      <c r="H328" s="153"/>
      <c r="I328" s="154"/>
      <c r="J328" s="153"/>
      <c r="K328" s="172"/>
      <c r="L328" s="70">
        <f>SUM(K329:K330)</f>
        <v>5522706.5456879092</v>
      </c>
      <c r="M328" s="45"/>
      <c r="N328" s="45"/>
      <c r="O328" s="45"/>
      <c r="P328" s="45"/>
      <c r="Q328" s="45"/>
      <c r="R328" s="45"/>
      <c r="S328" s="45"/>
      <c r="T328" s="45"/>
      <c r="U328" s="45"/>
      <c r="V328" s="45"/>
      <c r="W328" s="45"/>
      <c r="X328" s="45"/>
      <c r="Y328" s="45"/>
      <c r="Z328" s="56"/>
    </row>
    <row r="329" spans="1:26">
      <c r="A329" s="3" t="s">
        <v>869</v>
      </c>
      <c r="B329" s="60" t="s">
        <v>868</v>
      </c>
      <c r="C329" s="60"/>
      <c r="D329" s="60"/>
      <c r="E329" s="60"/>
      <c r="F329" s="60"/>
      <c r="G329" s="188">
        <v>0.02</v>
      </c>
      <c r="H329" s="147"/>
      <c r="I329" s="148"/>
      <c r="J329" s="149"/>
      <c r="K329" s="150">
        <f>SUM(K23:K319,K323:K327)*G329</f>
        <v>1380676.6364219773</v>
      </c>
      <c r="M329" s="45"/>
      <c r="N329" s="45"/>
      <c r="O329" s="45"/>
      <c r="P329" s="45"/>
      <c r="Q329" s="45"/>
      <c r="R329" s="45"/>
      <c r="S329" s="45"/>
      <c r="T329" s="45"/>
      <c r="U329" s="45"/>
      <c r="V329" s="45"/>
      <c r="W329" s="45"/>
      <c r="X329" s="45"/>
      <c r="Y329" s="45"/>
      <c r="Z329" s="56"/>
    </row>
    <row r="330" spans="1:26">
      <c r="A330" s="3" t="s">
        <v>867</v>
      </c>
      <c r="B330" s="60" t="s">
        <v>868</v>
      </c>
      <c r="C330" s="60"/>
      <c r="D330" s="60"/>
      <c r="E330" s="60"/>
      <c r="F330" s="60"/>
      <c r="G330" s="188">
        <v>0.06</v>
      </c>
      <c r="H330" s="147"/>
      <c r="I330" s="148"/>
      <c r="J330" s="149"/>
      <c r="K330" s="150">
        <f>SUM(K23:K319,K323:K327)*G330</f>
        <v>4142029.9092659317</v>
      </c>
      <c r="M330" s="45"/>
      <c r="N330" s="45"/>
      <c r="O330" s="45"/>
      <c r="P330" s="45"/>
      <c r="Q330" s="45"/>
      <c r="R330" s="45"/>
      <c r="S330" s="45"/>
      <c r="T330" s="45"/>
      <c r="U330" s="45"/>
      <c r="V330" s="45"/>
      <c r="W330" s="45"/>
      <c r="X330" s="45"/>
      <c r="Y330" s="45"/>
      <c r="Z330" s="56"/>
    </row>
    <row r="331" spans="1:26" ht="15" thickBot="1">
      <c r="A331" s="16" t="s">
        <v>870</v>
      </c>
      <c r="B331" s="17"/>
      <c r="C331" s="17"/>
      <c r="D331" s="17"/>
      <c r="E331" s="17"/>
      <c r="F331" s="17"/>
      <c r="G331" s="17"/>
      <c r="H331" s="18"/>
      <c r="I331" s="19"/>
      <c r="J331" s="20"/>
      <c r="K331" s="20"/>
      <c r="L331" s="21">
        <f>SUM(L20:L330)</f>
        <v>82551538.366786778</v>
      </c>
      <c r="M331" s="15"/>
      <c r="N331" s="15"/>
      <c r="O331" s="15"/>
      <c r="P331" s="15"/>
      <c r="Q331" s="15"/>
      <c r="R331" s="15"/>
      <c r="S331" s="15"/>
      <c r="T331" s="15"/>
      <c r="U331" s="15"/>
      <c r="V331" s="15"/>
      <c r="W331" s="15"/>
      <c r="X331" s="15"/>
      <c r="Y331" s="15"/>
      <c r="Z331" s="56"/>
    </row>
    <row r="332" spans="1:26" ht="15" thickBot="1">
      <c r="G332" s="56"/>
      <c r="H332" s="56"/>
      <c r="I332" s="189"/>
      <c r="L332" s="190">
        <f>SUM(K20:K331)-L331</f>
        <v>0</v>
      </c>
      <c r="M332" s="190"/>
    </row>
    <row r="333" spans="1:26">
      <c r="A333" s="10" t="s">
        <v>214</v>
      </c>
      <c r="B333" s="88" t="s">
        <v>215</v>
      </c>
      <c r="C333" s="88"/>
      <c r="D333" s="88"/>
      <c r="E333" s="191">
        <f>_xlfn.XLOOKUP(A333,$A$20:$A$331,$L$20:$L$331)</f>
        <v>4080000.0000000005</v>
      </c>
      <c r="P333" s="161" t="s">
        <v>871</v>
      </c>
      <c r="Q333" s="92"/>
    </row>
    <row r="334" spans="1:26">
      <c r="A334" s="11" t="s">
        <v>219</v>
      </c>
      <c r="B334" s="86" t="s">
        <v>220</v>
      </c>
      <c r="C334" s="86"/>
      <c r="D334" s="86"/>
      <c r="E334" s="192">
        <f t="shared" ref="E334:E344" si="65">_xlfn.XLOOKUP(A334,$A$20:$A$331,$L$20:$L$331)</f>
        <v>12000</v>
      </c>
      <c r="P334" s="196">
        <f>SUM(K305:K319,K23:K301)</f>
        <v>66229739.565783203</v>
      </c>
      <c r="Q334" s="96"/>
    </row>
    <row r="335" spans="1:26">
      <c r="A335" s="11" t="s">
        <v>224</v>
      </c>
      <c r="B335" s="86" t="s">
        <v>225</v>
      </c>
      <c r="C335" s="86"/>
      <c r="D335" s="86"/>
      <c r="E335" s="192">
        <f t="shared" si="65"/>
        <v>2681833.9200000004</v>
      </c>
      <c r="K335" s="194"/>
      <c r="L335" s="190"/>
      <c r="M335" s="200"/>
      <c r="P335" s="196">
        <f>P334*0.06</f>
        <v>3973784.3739469922</v>
      </c>
      <c r="Q335" s="96"/>
    </row>
    <row r="336" spans="1:26" ht="15" thickBot="1">
      <c r="A336" s="11" t="s">
        <v>259</v>
      </c>
      <c r="B336" s="86" t="s">
        <v>260</v>
      </c>
      <c r="C336" s="86"/>
      <c r="D336" s="86"/>
      <c r="E336" s="192">
        <f t="shared" si="65"/>
        <v>0</v>
      </c>
      <c r="L336" s="190"/>
      <c r="P336" s="197">
        <f>P335/B6</f>
        <v>152837.86053642278</v>
      </c>
      <c r="Q336" s="139"/>
    </row>
    <row r="337" spans="1:12">
      <c r="A337" s="11" t="s">
        <v>269</v>
      </c>
      <c r="B337" s="86" t="s">
        <v>270</v>
      </c>
      <c r="C337" s="86"/>
      <c r="D337" s="86"/>
      <c r="E337" s="192">
        <f t="shared" si="65"/>
        <v>208800</v>
      </c>
      <c r="L337" s="190"/>
    </row>
    <row r="338" spans="1:12">
      <c r="A338" s="11" t="s">
        <v>284</v>
      </c>
      <c r="B338" s="86" t="s">
        <v>285</v>
      </c>
      <c r="C338" s="86"/>
      <c r="D338" s="86"/>
      <c r="E338" s="192">
        <f t="shared" si="65"/>
        <v>500854</v>
      </c>
      <c r="L338" s="190"/>
    </row>
    <row r="339" spans="1:12">
      <c r="A339" s="11" t="s">
        <v>305</v>
      </c>
      <c r="B339" s="86" t="s">
        <v>306</v>
      </c>
      <c r="C339" s="86"/>
      <c r="D339" s="86"/>
      <c r="E339" s="192">
        <f t="shared" si="65"/>
        <v>10684047.108472481</v>
      </c>
      <c r="L339" s="190"/>
    </row>
    <row r="340" spans="1:12">
      <c r="A340" s="11" t="s">
        <v>335</v>
      </c>
      <c r="B340" s="86" t="s">
        <v>336</v>
      </c>
      <c r="C340" s="86"/>
      <c r="D340" s="86"/>
      <c r="E340" s="192">
        <f t="shared" si="65"/>
        <v>2256526.4700000002</v>
      </c>
      <c r="L340" s="112"/>
    </row>
    <row r="341" spans="1:12">
      <c r="A341" s="11" t="s">
        <v>362</v>
      </c>
      <c r="B341" s="86" t="s">
        <v>363</v>
      </c>
      <c r="C341" s="86"/>
      <c r="D341" s="86"/>
      <c r="E341" s="192">
        <f t="shared" si="65"/>
        <v>639151.78947368404</v>
      </c>
      <c r="L341" s="112"/>
    </row>
    <row r="342" spans="1:12">
      <c r="A342" s="11" t="s">
        <v>391</v>
      </c>
      <c r="B342" s="86" t="s">
        <v>392</v>
      </c>
      <c r="C342" s="86"/>
      <c r="D342" s="86"/>
      <c r="E342" s="192">
        <f t="shared" si="65"/>
        <v>6962391.7291822322</v>
      </c>
      <c r="K342" s="194"/>
      <c r="L342" s="112"/>
    </row>
    <row r="343" spans="1:12">
      <c r="A343" s="11" t="s">
        <v>467</v>
      </c>
      <c r="B343" s="86" t="s">
        <v>468</v>
      </c>
      <c r="C343" s="86"/>
      <c r="D343" s="86"/>
      <c r="E343" s="192">
        <f t="shared" si="65"/>
        <v>530008</v>
      </c>
      <c r="K343" s="194"/>
    </row>
    <row r="344" spans="1:12">
      <c r="A344" s="13" t="s">
        <v>505</v>
      </c>
      <c r="B344" s="101" t="s">
        <v>506</v>
      </c>
      <c r="C344" s="101"/>
      <c r="D344" s="101"/>
      <c r="E344" s="193">
        <f t="shared" si="65"/>
        <v>1248584</v>
      </c>
      <c r="K344" s="194"/>
    </row>
    <row r="345" spans="1:12">
      <c r="A345" s="10" t="s">
        <v>510</v>
      </c>
      <c r="B345" s="88" t="s">
        <v>511</v>
      </c>
      <c r="C345" s="88"/>
      <c r="D345" s="88"/>
      <c r="E345" s="191">
        <f>_xlfn.XLOOKUP(A345,$A$20:$A$331,$L$20:$L$331)</f>
        <v>2373780.1008403362</v>
      </c>
    </row>
    <row r="346" spans="1:12">
      <c r="A346" s="11" t="s">
        <v>534</v>
      </c>
      <c r="B346" s="86" t="s">
        <v>535</v>
      </c>
      <c r="C346" s="86"/>
      <c r="D346" s="86"/>
      <c r="E346" s="192">
        <f t="shared" ref="E346:E356" si="66">_xlfn.XLOOKUP(A346,$A$20:$A$331,$L$20:$L$331)</f>
        <v>1538212.8068965515</v>
      </c>
    </row>
    <row r="347" spans="1:12">
      <c r="A347" s="11" t="s">
        <v>546</v>
      </c>
      <c r="B347" s="86" t="s">
        <v>545</v>
      </c>
      <c r="C347" s="86"/>
      <c r="D347" s="86"/>
      <c r="E347" s="192">
        <f t="shared" si="66"/>
        <v>0</v>
      </c>
    </row>
    <row r="348" spans="1:12">
      <c r="A348" s="11" t="s">
        <v>547</v>
      </c>
      <c r="B348" s="86" t="s">
        <v>548</v>
      </c>
      <c r="C348" s="86"/>
      <c r="D348" s="86"/>
      <c r="E348" s="192">
        <f t="shared" si="66"/>
        <v>439560</v>
      </c>
    </row>
    <row r="349" spans="1:12">
      <c r="A349" s="11" t="s">
        <v>556</v>
      </c>
      <c r="B349" s="86" t="s">
        <v>557</v>
      </c>
      <c r="C349" s="86"/>
      <c r="D349" s="86"/>
      <c r="E349" s="192">
        <f t="shared" si="66"/>
        <v>1203637.99</v>
      </c>
    </row>
    <row r="350" spans="1:12">
      <c r="A350" s="11" t="s">
        <v>564</v>
      </c>
      <c r="B350" s="86" t="s">
        <v>565</v>
      </c>
      <c r="C350" s="86"/>
      <c r="D350" s="86"/>
      <c r="E350" s="192">
        <f t="shared" si="66"/>
        <v>4655307.161353467</v>
      </c>
    </row>
    <row r="351" spans="1:12">
      <c r="A351" s="11" t="s">
        <v>577</v>
      </c>
      <c r="B351" s="86" t="s">
        <v>578</v>
      </c>
      <c r="C351" s="86"/>
      <c r="D351" s="86"/>
      <c r="E351" s="192">
        <f t="shared" si="66"/>
        <v>4216723.68</v>
      </c>
    </row>
    <row r="352" spans="1:12">
      <c r="A352" s="11" t="s">
        <v>587</v>
      </c>
      <c r="B352" s="86" t="s">
        <v>588</v>
      </c>
      <c r="C352" s="86"/>
      <c r="D352" s="86"/>
      <c r="E352" s="192">
        <f t="shared" si="66"/>
        <v>5022821.6914999997</v>
      </c>
    </row>
    <row r="353" spans="1:5">
      <c r="A353" s="11" t="s">
        <v>627</v>
      </c>
      <c r="B353" s="86" t="s">
        <v>628</v>
      </c>
      <c r="C353" s="86"/>
      <c r="D353" s="86"/>
      <c r="E353" s="192">
        <f t="shared" si="66"/>
        <v>256063.90999999997</v>
      </c>
    </row>
    <row r="354" spans="1:5">
      <c r="A354" s="11" t="s">
        <v>636</v>
      </c>
      <c r="B354" s="86" t="s">
        <v>637</v>
      </c>
      <c r="C354" s="86"/>
      <c r="D354" s="86"/>
      <c r="E354" s="192">
        <f t="shared" si="66"/>
        <v>1225627.1168501596</v>
      </c>
    </row>
    <row r="355" spans="1:5">
      <c r="A355" s="11" t="s">
        <v>644</v>
      </c>
      <c r="B355" s="86" t="s">
        <v>645</v>
      </c>
      <c r="C355" s="86"/>
      <c r="D355" s="86"/>
      <c r="E355" s="192">
        <f t="shared" si="66"/>
        <v>2009333.5559</v>
      </c>
    </row>
    <row r="356" spans="1:5">
      <c r="A356" s="13" t="s">
        <v>666</v>
      </c>
      <c r="B356" s="101" t="s">
        <v>667</v>
      </c>
      <c r="C356" s="101"/>
      <c r="D356" s="101"/>
      <c r="E356" s="193">
        <f t="shared" si="66"/>
        <v>7690380.5860000001</v>
      </c>
    </row>
    <row r="357" spans="1:5">
      <c r="A357" s="10" t="s">
        <v>738</v>
      </c>
      <c r="B357" s="88" t="s">
        <v>739</v>
      </c>
      <c r="C357" s="88"/>
      <c r="D357" s="88"/>
      <c r="E357" s="191">
        <f>_xlfn.XLOOKUP(A357,$A$20:$A$331,$L$20:$L$331)</f>
        <v>7586858.175714286</v>
      </c>
    </row>
    <row r="358" spans="1:5">
      <c r="A358" s="11" t="s">
        <v>774</v>
      </c>
      <c r="B358" s="86" t="s">
        <v>775</v>
      </c>
      <c r="C358" s="86"/>
      <c r="D358" s="86"/>
      <c r="E358" s="192">
        <f t="shared" ref="E358:E368" si="67">_xlfn.XLOOKUP(A358,$A$20:$A$331,$L$20:$L$331)</f>
        <v>15000</v>
      </c>
    </row>
    <row r="359" spans="1:5">
      <c r="A359" s="11" t="s">
        <v>778</v>
      </c>
      <c r="B359" s="86" t="s">
        <v>779</v>
      </c>
      <c r="C359" s="86"/>
      <c r="D359" s="86"/>
      <c r="E359" s="192">
        <f t="shared" si="67"/>
        <v>469750</v>
      </c>
    </row>
    <row r="360" spans="1:5">
      <c r="A360" s="11" t="s">
        <v>788</v>
      </c>
      <c r="B360" s="86" t="s">
        <v>789</v>
      </c>
      <c r="C360" s="86"/>
      <c r="D360" s="86"/>
      <c r="E360" s="192">
        <f t="shared" si="67"/>
        <v>427358.97360000003</v>
      </c>
    </row>
    <row r="361" spans="1:5">
      <c r="A361" s="11" t="s">
        <v>809</v>
      </c>
      <c r="B361" s="86"/>
      <c r="C361" s="86"/>
      <c r="D361" s="86"/>
      <c r="E361" s="192">
        <f t="shared" si="67"/>
        <v>0</v>
      </c>
    </row>
    <row r="362" spans="1:5">
      <c r="A362" s="11" t="s">
        <v>817</v>
      </c>
      <c r="B362" s="86"/>
      <c r="C362" s="86"/>
      <c r="D362" s="86"/>
      <c r="E362" s="192">
        <f t="shared" si="67"/>
        <v>1297092.255315664</v>
      </c>
    </row>
    <row r="363" spans="1:5">
      <c r="A363" s="11" t="s">
        <v>820</v>
      </c>
      <c r="B363" s="86"/>
      <c r="C363" s="86"/>
      <c r="D363" s="86"/>
      <c r="E363" s="192">
        <f t="shared" si="67"/>
        <v>1375126.8</v>
      </c>
    </row>
    <row r="364" spans="1:5">
      <c r="A364" s="11" t="s">
        <v>851</v>
      </c>
      <c r="B364" s="86" t="s">
        <v>852</v>
      </c>
      <c r="C364" s="86"/>
      <c r="D364" s="86"/>
      <c r="E364" s="192">
        <f t="shared" si="67"/>
        <v>3915000</v>
      </c>
    </row>
    <row r="365" spans="1:5">
      <c r="A365" s="11" t="s">
        <v>855</v>
      </c>
      <c r="B365" s="86" t="s">
        <v>856</v>
      </c>
      <c r="C365" s="86"/>
      <c r="D365" s="86"/>
      <c r="E365" s="192">
        <f t="shared" si="67"/>
        <v>800000</v>
      </c>
    </row>
    <row r="366" spans="1:5">
      <c r="A366" s="11" t="s">
        <v>859</v>
      </c>
      <c r="B366" s="86" t="s">
        <v>856</v>
      </c>
      <c r="C366" s="86"/>
      <c r="D366" s="86"/>
      <c r="E366" s="192">
        <f t="shared" si="67"/>
        <v>707000</v>
      </c>
    </row>
    <row r="367" spans="1:5">
      <c r="A367" s="11" t="s">
        <v>867</v>
      </c>
      <c r="B367" s="86" t="s">
        <v>868</v>
      </c>
      <c r="C367" s="86"/>
      <c r="D367" s="86"/>
      <c r="E367" s="192">
        <f t="shared" si="67"/>
        <v>5522706.5456879092</v>
      </c>
    </row>
    <row r="368" spans="1:5">
      <c r="A368" s="12" t="s">
        <v>870</v>
      </c>
      <c r="B368" s="101"/>
      <c r="C368" s="101"/>
      <c r="D368" s="101"/>
      <c r="E368" s="193">
        <f t="shared" si="67"/>
        <v>82551538.366786778</v>
      </c>
    </row>
    <row r="369" spans="1:6">
      <c r="B369" s="55"/>
      <c r="C369" s="55"/>
      <c r="D369" s="55"/>
      <c r="E369" s="194">
        <f>SUM(E333:E344,E345:E356,E357:E367)-E368</f>
        <v>0</v>
      </c>
    </row>
    <row r="373" spans="1:6">
      <c r="F373" s="23" t="s">
        <v>203</v>
      </c>
    </row>
    <row r="374" spans="1:6">
      <c r="A374" s="14"/>
      <c r="B374" s="22"/>
      <c r="C374" s="22"/>
      <c r="D374" s="22"/>
      <c r="E374" s="22"/>
      <c r="F374" s="23" t="s">
        <v>119</v>
      </c>
    </row>
    <row r="375" spans="1:6">
      <c r="A375" s="14" t="s">
        <v>872</v>
      </c>
      <c r="B375" s="22" t="s">
        <v>215</v>
      </c>
      <c r="C375" s="22"/>
      <c r="D375" s="22"/>
      <c r="E375" s="22"/>
      <c r="F375" s="24">
        <f>SUMIF($B$20:$B$331,B375,$L$20:$L$331)</f>
        <v>4080000.0000000005</v>
      </c>
    </row>
    <row r="376" spans="1:6">
      <c r="A376" s="14" t="s">
        <v>873</v>
      </c>
      <c r="B376" s="22" t="s">
        <v>220</v>
      </c>
      <c r="C376" s="22"/>
      <c r="D376" s="22"/>
      <c r="E376" s="22"/>
      <c r="F376" s="24">
        <f t="shared" ref="F376:F405" si="68">SUMIF($B$20:$B$331,B376,$L$20:$L$331)</f>
        <v>12000</v>
      </c>
    </row>
    <row r="377" spans="1:6">
      <c r="A377" s="14" t="s">
        <v>874</v>
      </c>
      <c r="B377" s="22" t="s">
        <v>225</v>
      </c>
      <c r="C377" s="22"/>
      <c r="D377" s="22"/>
      <c r="E377" s="22"/>
      <c r="F377" s="24">
        <f t="shared" si="68"/>
        <v>2681833.9200000004</v>
      </c>
    </row>
    <row r="378" spans="1:6">
      <c r="A378" s="14" t="s">
        <v>875</v>
      </c>
      <c r="B378" s="22" t="s">
        <v>270</v>
      </c>
      <c r="C378" s="22"/>
      <c r="D378" s="22"/>
      <c r="E378" s="22"/>
      <c r="F378" s="24">
        <f t="shared" si="68"/>
        <v>208800</v>
      </c>
    </row>
    <row r="379" spans="1:6">
      <c r="A379" s="14" t="s">
        <v>876</v>
      </c>
      <c r="B379" s="22" t="s">
        <v>285</v>
      </c>
      <c r="C379" s="22"/>
      <c r="D379" s="22"/>
      <c r="E379" s="22"/>
      <c r="F379" s="24">
        <f t="shared" si="68"/>
        <v>500854</v>
      </c>
    </row>
    <row r="380" spans="1:6">
      <c r="A380" s="14" t="s">
        <v>877</v>
      </c>
      <c r="B380" s="22" t="s">
        <v>306</v>
      </c>
      <c r="C380" s="22"/>
      <c r="D380" s="22"/>
      <c r="E380" s="22"/>
      <c r="F380" s="24">
        <f t="shared" si="68"/>
        <v>10684047.108472481</v>
      </c>
    </row>
    <row r="381" spans="1:6">
      <c r="A381" s="14" t="s">
        <v>878</v>
      </c>
      <c r="B381" s="22" t="s">
        <v>336</v>
      </c>
      <c r="C381" s="22"/>
      <c r="D381" s="22"/>
      <c r="E381" s="22"/>
      <c r="F381" s="24">
        <f t="shared" si="68"/>
        <v>2256526.4700000002</v>
      </c>
    </row>
    <row r="382" spans="1:6">
      <c r="A382" s="14" t="s">
        <v>879</v>
      </c>
      <c r="B382" s="22" t="s">
        <v>363</v>
      </c>
      <c r="C382" s="22"/>
      <c r="D382" s="22"/>
      <c r="E382" s="22"/>
      <c r="F382" s="24">
        <f t="shared" si="68"/>
        <v>639151.78947368404</v>
      </c>
    </row>
    <row r="383" spans="1:6">
      <c r="A383" s="14" t="s">
        <v>880</v>
      </c>
      <c r="B383" s="22" t="s">
        <v>392</v>
      </c>
      <c r="C383" s="22"/>
      <c r="D383" s="22"/>
      <c r="E383" s="22"/>
      <c r="F383" s="24">
        <f t="shared" si="68"/>
        <v>6962391.7291822322</v>
      </c>
    </row>
    <row r="384" spans="1:6">
      <c r="A384" s="14" t="s">
        <v>881</v>
      </c>
      <c r="B384" s="22" t="s">
        <v>468</v>
      </c>
      <c r="C384" s="22"/>
      <c r="D384" s="22"/>
      <c r="E384" s="22"/>
      <c r="F384" s="24">
        <f t="shared" si="68"/>
        <v>530008</v>
      </c>
    </row>
    <row r="385" spans="1:6">
      <c r="A385" s="14" t="s">
        <v>882</v>
      </c>
      <c r="B385" s="22" t="s">
        <v>506</v>
      </c>
      <c r="C385" s="22"/>
      <c r="D385" s="22"/>
      <c r="E385" s="22"/>
      <c r="F385" s="24">
        <f t="shared" si="68"/>
        <v>1248584</v>
      </c>
    </row>
    <row r="386" spans="1:6">
      <c r="A386" s="14" t="s">
        <v>883</v>
      </c>
      <c r="B386" s="22" t="s">
        <v>511</v>
      </c>
      <c r="C386" s="22"/>
      <c r="D386" s="22"/>
      <c r="E386" s="22"/>
      <c r="F386" s="24">
        <f t="shared" si="68"/>
        <v>2373780.1008403362</v>
      </c>
    </row>
    <row r="387" spans="1:6">
      <c r="A387" s="14" t="s">
        <v>884</v>
      </c>
      <c r="B387" s="22" t="s">
        <v>535</v>
      </c>
      <c r="C387" s="22"/>
      <c r="D387" s="22"/>
      <c r="E387" s="22"/>
      <c r="F387" s="24">
        <f t="shared" si="68"/>
        <v>1538212.8068965515</v>
      </c>
    </row>
    <row r="388" spans="1:6">
      <c r="A388" s="14" t="s">
        <v>885</v>
      </c>
      <c r="B388" s="22" t="s">
        <v>548</v>
      </c>
      <c r="C388" s="22"/>
      <c r="D388" s="22"/>
      <c r="E388" s="22"/>
      <c r="F388" s="24">
        <f t="shared" si="68"/>
        <v>439560</v>
      </c>
    </row>
    <row r="389" spans="1:6">
      <c r="A389" s="14" t="s">
        <v>886</v>
      </c>
      <c r="B389" s="22" t="s">
        <v>557</v>
      </c>
      <c r="C389" s="22"/>
      <c r="D389" s="22"/>
      <c r="E389" s="22"/>
      <c r="F389" s="24">
        <f t="shared" si="68"/>
        <v>1203637.99</v>
      </c>
    </row>
    <row r="390" spans="1:6">
      <c r="A390" s="14" t="s">
        <v>887</v>
      </c>
      <c r="B390" s="22" t="s">
        <v>565</v>
      </c>
      <c r="C390" s="22"/>
      <c r="D390" s="22"/>
      <c r="E390" s="22"/>
      <c r="F390" s="24">
        <f t="shared" si="68"/>
        <v>4655307.161353467</v>
      </c>
    </row>
    <row r="391" spans="1:6">
      <c r="A391" s="14" t="s">
        <v>888</v>
      </c>
      <c r="B391" s="22" t="s">
        <v>578</v>
      </c>
      <c r="C391" s="22"/>
      <c r="D391" s="22"/>
      <c r="E391" s="22"/>
      <c r="F391" s="24">
        <f t="shared" si="68"/>
        <v>4216723.68</v>
      </c>
    </row>
    <row r="392" spans="1:6">
      <c r="A392" s="14" t="s">
        <v>889</v>
      </c>
      <c r="B392" s="22" t="s">
        <v>588</v>
      </c>
      <c r="C392" s="22"/>
      <c r="D392" s="22"/>
      <c r="E392" s="22"/>
      <c r="F392" s="24">
        <f t="shared" si="68"/>
        <v>5022821.6914999997</v>
      </c>
    </row>
    <row r="393" spans="1:6">
      <c r="A393" s="14" t="s">
        <v>890</v>
      </c>
      <c r="B393" s="22" t="s">
        <v>628</v>
      </c>
      <c r="C393" s="22"/>
      <c r="D393" s="22"/>
      <c r="E393" s="22"/>
      <c r="F393" s="24">
        <f t="shared" si="68"/>
        <v>256063.90999999997</v>
      </c>
    </row>
    <row r="394" spans="1:6">
      <c r="A394" s="14" t="s">
        <v>891</v>
      </c>
      <c r="B394" s="22" t="s">
        <v>637</v>
      </c>
      <c r="C394" s="22"/>
      <c r="D394" s="22"/>
      <c r="E394" s="22"/>
      <c r="F394" s="24">
        <f t="shared" si="68"/>
        <v>1225627.1168501596</v>
      </c>
    </row>
    <row r="395" spans="1:6">
      <c r="A395" s="14" t="s">
        <v>892</v>
      </c>
      <c r="B395" s="22" t="s">
        <v>645</v>
      </c>
      <c r="C395" s="22"/>
      <c r="D395" s="22"/>
      <c r="E395" s="22"/>
      <c r="F395" s="24">
        <f t="shared" si="68"/>
        <v>2009333.5559</v>
      </c>
    </row>
    <row r="396" spans="1:6">
      <c r="A396" s="14" t="s">
        <v>893</v>
      </c>
      <c r="B396" s="22" t="s">
        <v>667</v>
      </c>
      <c r="C396" s="22"/>
      <c r="D396" s="22"/>
      <c r="E396" s="22"/>
      <c r="F396" s="24">
        <f t="shared" si="68"/>
        <v>7690380.5860000001</v>
      </c>
    </row>
    <row r="397" spans="1:6">
      <c r="A397" s="14" t="s">
        <v>894</v>
      </c>
      <c r="B397" s="22" t="s">
        <v>739</v>
      </c>
      <c r="C397" s="22"/>
      <c r="D397" s="22"/>
      <c r="E397" s="22"/>
      <c r="F397" s="24">
        <f t="shared" si="68"/>
        <v>7586858.175714286</v>
      </c>
    </row>
    <row r="398" spans="1:6">
      <c r="A398" s="14" t="s">
        <v>895</v>
      </c>
      <c r="B398" s="22" t="s">
        <v>775</v>
      </c>
      <c r="C398" s="22"/>
      <c r="D398" s="22"/>
      <c r="E398" s="22"/>
      <c r="F398" s="24">
        <f t="shared" si="68"/>
        <v>15000</v>
      </c>
    </row>
    <row r="399" spans="1:6">
      <c r="A399" s="14" t="s">
        <v>896</v>
      </c>
      <c r="B399" s="22" t="s">
        <v>779</v>
      </c>
      <c r="C399" s="22"/>
      <c r="D399" s="22"/>
      <c r="E399" s="22"/>
      <c r="F399" s="24">
        <f t="shared" si="68"/>
        <v>469750</v>
      </c>
    </row>
    <row r="400" spans="1:6">
      <c r="A400" s="14" t="s">
        <v>897</v>
      </c>
      <c r="B400" s="22" t="s">
        <v>789</v>
      </c>
      <c r="C400" s="22"/>
      <c r="D400" s="22"/>
      <c r="E400" s="22"/>
      <c r="F400" s="24">
        <f t="shared" si="68"/>
        <v>427358.97360000003</v>
      </c>
    </row>
    <row r="401" spans="1:7">
      <c r="A401" s="14" t="s">
        <v>817</v>
      </c>
      <c r="B401" s="22" t="s">
        <v>817</v>
      </c>
      <c r="C401" s="22"/>
      <c r="D401" s="22"/>
      <c r="E401" s="22"/>
      <c r="F401" s="24">
        <f t="shared" si="68"/>
        <v>1297092.255315664</v>
      </c>
    </row>
    <row r="402" spans="1:7">
      <c r="A402" s="14" t="s">
        <v>821</v>
      </c>
      <c r="B402" s="22" t="s">
        <v>821</v>
      </c>
      <c r="C402" s="22"/>
      <c r="D402" s="22"/>
      <c r="E402" s="22"/>
      <c r="F402" s="24">
        <f t="shared" si="68"/>
        <v>1375126.8</v>
      </c>
    </row>
    <row r="403" spans="1:7">
      <c r="A403" s="14" t="s">
        <v>898</v>
      </c>
      <c r="B403" s="22" t="s">
        <v>856</v>
      </c>
      <c r="C403" s="22"/>
      <c r="D403" s="22"/>
      <c r="E403" s="22"/>
      <c r="F403" s="24">
        <f t="shared" si="68"/>
        <v>1507000</v>
      </c>
    </row>
    <row r="404" spans="1:7">
      <c r="A404" s="14" t="s">
        <v>899</v>
      </c>
      <c r="B404" s="22" t="s">
        <v>852</v>
      </c>
      <c r="C404" s="22"/>
      <c r="D404" s="22"/>
      <c r="E404" s="22"/>
      <c r="F404" s="24">
        <f t="shared" si="68"/>
        <v>3915000</v>
      </c>
    </row>
    <row r="405" spans="1:7">
      <c r="A405" s="14" t="s">
        <v>900</v>
      </c>
      <c r="B405" s="22" t="s">
        <v>868</v>
      </c>
      <c r="C405" s="22"/>
      <c r="D405" s="22"/>
      <c r="E405" s="22"/>
      <c r="F405" s="24">
        <f t="shared" si="68"/>
        <v>5522706.5456879092</v>
      </c>
    </row>
    <row r="406" spans="1:7">
      <c r="A406" s="14" t="s">
        <v>119</v>
      </c>
      <c r="B406" s="22"/>
      <c r="C406" s="22"/>
      <c r="D406" s="22"/>
      <c r="E406" s="22"/>
      <c r="F406" s="25">
        <f>SUM(F375:F405)</f>
        <v>82551538.366786778</v>
      </c>
    </row>
    <row r="407" spans="1:7">
      <c r="A407" s="26" t="s">
        <v>901</v>
      </c>
      <c r="B407" s="27"/>
      <c r="C407" s="27"/>
      <c r="D407" s="27"/>
      <c r="E407" s="27"/>
      <c r="F407" s="28">
        <f>$L$331-F406</f>
        <v>0</v>
      </c>
    </row>
    <row r="409" spans="1:7">
      <c r="A409" s="29" t="s">
        <v>902</v>
      </c>
      <c r="B409" s="22"/>
      <c r="C409" s="22"/>
      <c r="D409" s="22"/>
      <c r="E409" s="22"/>
      <c r="F409" s="22"/>
      <c r="G409" s="14"/>
    </row>
    <row r="410" spans="1:7">
      <c r="A410" s="29" t="s">
        <v>903</v>
      </c>
      <c r="B410" s="22"/>
      <c r="C410" s="22"/>
      <c r="D410" s="22"/>
      <c r="E410" s="22"/>
      <c r="F410" s="22"/>
      <c r="G410" s="14"/>
    </row>
    <row r="411" spans="1:7">
      <c r="A411" s="14" t="s">
        <v>431</v>
      </c>
      <c r="B411" s="22" t="s">
        <v>432</v>
      </c>
      <c r="C411" s="22"/>
      <c r="D411" s="22"/>
      <c r="E411" s="22"/>
      <c r="F411" s="24">
        <f t="shared" ref="F411:F421" si="69">SUMIF($B$20:$B$331,B411,$K$20:$K$331)</f>
        <v>692417.74418223219</v>
      </c>
      <c r="G411" s="22" t="s">
        <v>392</v>
      </c>
    </row>
    <row r="412" spans="1:7">
      <c r="A412" s="14" t="s">
        <v>435</v>
      </c>
      <c r="B412" s="22" t="s">
        <v>436</v>
      </c>
      <c r="C412" s="22"/>
      <c r="D412" s="22"/>
      <c r="E412" s="22"/>
      <c r="F412" s="24">
        <f t="shared" si="69"/>
        <v>0</v>
      </c>
      <c r="G412" s="22" t="s">
        <v>392</v>
      </c>
    </row>
    <row r="413" spans="1:7">
      <c r="A413" s="14" t="s">
        <v>437</v>
      </c>
      <c r="B413" s="22" t="s">
        <v>438</v>
      </c>
      <c r="C413" s="22"/>
      <c r="D413" s="22"/>
      <c r="E413" s="22"/>
      <c r="F413" s="24">
        <f t="shared" si="69"/>
        <v>0</v>
      </c>
      <c r="G413" s="22" t="s">
        <v>392</v>
      </c>
    </row>
    <row r="414" spans="1:7">
      <c r="A414" s="14" t="s">
        <v>439</v>
      </c>
      <c r="B414" s="22" t="s">
        <v>440</v>
      </c>
      <c r="C414" s="22"/>
      <c r="D414" s="22"/>
      <c r="E414" s="22"/>
      <c r="F414" s="24">
        <f t="shared" si="69"/>
        <v>161823.13</v>
      </c>
      <c r="G414" s="22" t="s">
        <v>392</v>
      </c>
    </row>
    <row r="415" spans="1:7">
      <c r="A415" s="14" t="s">
        <v>441</v>
      </c>
      <c r="B415" s="22" t="s">
        <v>904</v>
      </c>
      <c r="C415" s="22"/>
      <c r="D415" s="22"/>
      <c r="E415" s="22"/>
      <c r="F415" s="24">
        <f t="shared" si="69"/>
        <v>0</v>
      </c>
      <c r="G415" s="22" t="s">
        <v>392</v>
      </c>
    </row>
    <row r="416" spans="1:7">
      <c r="A416" s="14" t="s">
        <v>442</v>
      </c>
      <c r="B416" s="22" t="s">
        <v>443</v>
      </c>
      <c r="C416" s="22"/>
      <c r="D416" s="22"/>
      <c r="E416" s="22"/>
      <c r="F416" s="24">
        <f t="shared" si="69"/>
        <v>0</v>
      </c>
      <c r="G416" s="22" t="s">
        <v>392</v>
      </c>
    </row>
    <row r="417" spans="1:7">
      <c r="A417" s="14" t="s">
        <v>444</v>
      </c>
      <c r="B417" s="22" t="s">
        <v>445</v>
      </c>
      <c r="C417" s="22"/>
      <c r="D417" s="22"/>
      <c r="E417" s="22"/>
      <c r="F417" s="24">
        <f t="shared" si="69"/>
        <v>0</v>
      </c>
      <c r="G417" s="22" t="s">
        <v>392</v>
      </c>
    </row>
    <row r="418" spans="1:7">
      <c r="A418" s="14" t="s">
        <v>905</v>
      </c>
      <c r="B418" s="22" t="s">
        <v>447</v>
      </c>
      <c r="C418" s="22"/>
      <c r="D418" s="22"/>
      <c r="E418" s="22"/>
      <c r="F418" s="24">
        <f t="shared" si="69"/>
        <v>37688.400000000001</v>
      </c>
      <c r="G418" s="22" t="s">
        <v>392</v>
      </c>
    </row>
    <row r="419" spans="1:7">
      <c r="A419" s="14" t="s">
        <v>906</v>
      </c>
      <c r="B419" s="22" t="s">
        <v>449</v>
      </c>
      <c r="C419" s="22"/>
      <c r="D419" s="22"/>
      <c r="E419" s="22"/>
      <c r="F419" s="24">
        <f t="shared" si="69"/>
        <v>24025.82</v>
      </c>
      <c r="G419" s="22" t="s">
        <v>392</v>
      </c>
    </row>
    <row r="420" spans="1:7">
      <c r="A420" s="14" t="s">
        <v>507</v>
      </c>
      <c r="B420" s="22" t="s">
        <v>508</v>
      </c>
      <c r="C420" s="22"/>
      <c r="D420" s="22"/>
      <c r="E420" s="22"/>
      <c r="F420" s="24">
        <f t="shared" si="69"/>
        <v>1248584</v>
      </c>
      <c r="G420" s="22" t="s">
        <v>506</v>
      </c>
    </row>
    <row r="421" spans="1:7" ht="16.149999999999999">
      <c r="A421" s="14" t="s">
        <v>513</v>
      </c>
      <c r="B421" s="22" t="s">
        <v>514</v>
      </c>
      <c r="C421" s="22"/>
      <c r="D421" s="22"/>
      <c r="E421" s="22"/>
      <c r="F421" s="30">
        <f t="shared" si="69"/>
        <v>169433.12394957984</v>
      </c>
      <c r="G421" s="22" t="s">
        <v>511</v>
      </c>
    </row>
    <row r="422" spans="1:7">
      <c r="A422" s="14" t="s">
        <v>907</v>
      </c>
      <c r="B422" s="22"/>
      <c r="C422" s="22"/>
      <c r="D422" s="22"/>
      <c r="E422" s="22"/>
      <c r="F422" s="25">
        <f>SUM(F411:F421)</f>
        <v>2333972.2181318123</v>
      </c>
      <c r="G422" s="14"/>
    </row>
    <row r="423" spans="1:7">
      <c r="A423" s="14"/>
      <c r="B423" s="22"/>
      <c r="C423" s="22"/>
      <c r="D423" s="22"/>
      <c r="E423" s="22"/>
      <c r="F423" s="22"/>
      <c r="G423" s="14"/>
    </row>
    <row r="424" spans="1:7">
      <c r="A424" s="14"/>
      <c r="B424" s="22"/>
      <c r="C424" s="22"/>
      <c r="D424" s="22"/>
      <c r="E424" s="22"/>
      <c r="F424" s="14"/>
      <c r="G424" s="14"/>
    </row>
    <row r="425" spans="1:7">
      <c r="A425" s="29" t="s">
        <v>908</v>
      </c>
      <c r="B425" s="22"/>
      <c r="C425" s="22"/>
      <c r="D425" s="22"/>
      <c r="E425" s="22"/>
      <c r="F425" s="22"/>
      <c r="G425" s="14"/>
    </row>
    <row r="426" spans="1:7">
      <c r="A426" s="26" t="s">
        <v>909</v>
      </c>
      <c r="B426" s="22"/>
      <c r="C426" s="22"/>
      <c r="D426" s="22"/>
      <c r="E426" s="22"/>
      <c r="F426" s="22"/>
      <c r="G426" s="14"/>
    </row>
    <row r="427" spans="1:7">
      <c r="A427" s="14" t="s">
        <v>910</v>
      </c>
      <c r="B427" s="22">
        <v>2</v>
      </c>
      <c r="C427" s="22"/>
      <c r="D427" s="22"/>
      <c r="E427" s="22"/>
      <c r="F427" s="24">
        <f t="shared" ref="F427:F432" si="70">SUMIF($B$20:$B$331,B427,$L$20:$L$331)</f>
        <v>12000</v>
      </c>
      <c r="G427" s="14"/>
    </row>
    <row r="428" spans="1:7">
      <c r="A428" s="14" t="s">
        <v>911</v>
      </c>
      <c r="B428" s="22">
        <v>31</v>
      </c>
      <c r="C428" s="22"/>
      <c r="D428" s="22"/>
      <c r="E428" s="22"/>
      <c r="F428" s="24">
        <f t="shared" si="70"/>
        <v>2009333.5559</v>
      </c>
      <c r="G428" s="14"/>
    </row>
    <row r="429" spans="1:7">
      <c r="A429" s="14" t="s">
        <v>912</v>
      </c>
      <c r="B429" s="22">
        <v>32</v>
      </c>
      <c r="C429" s="22"/>
      <c r="D429" s="22"/>
      <c r="E429" s="22"/>
      <c r="F429" s="24">
        <f t="shared" si="70"/>
        <v>7690380.5860000001</v>
      </c>
      <c r="G429" s="14"/>
    </row>
    <row r="430" spans="1:7">
      <c r="A430" s="14" t="s">
        <v>913</v>
      </c>
      <c r="B430" s="22">
        <v>33</v>
      </c>
      <c r="C430" s="22"/>
      <c r="D430" s="22"/>
      <c r="E430" s="22"/>
      <c r="F430" s="24">
        <f t="shared" si="70"/>
        <v>7586858.175714286</v>
      </c>
      <c r="G430" s="14"/>
    </row>
    <row r="431" spans="1:7">
      <c r="A431" s="14" t="s">
        <v>914</v>
      </c>
      <c r="B431" s="22">
        <v>34</v>
      </c>
      <c r="C431" s="22"/>
      <c r="D431" s="22"/>
      <c r="E431" s="22"/>
      <c r="F431" s="24">
        <f t="shared" si="70"/>
        <v>15000</v>
      </c>
      <c r="G431" s="14"/>
    </row>
    <row r="432" spans="1:7">
      <c r="A432" s="14" t="s">
        <v>915</v>
      </c>
      <c r="B432" s="22">
        <v>48</v>
      </c>
      <c r="C432" s="22"/>
      <c r="D432" s="22"/>
      <c r="E432" s="22"/>
      <c r="F432" s="24">
        <f t="shared" si="70"/>
        <v>469750</v>
      </c>
      <c r="G432" s="14"/>
    </row>
    <row r="433" spans="1:7">
      <c r="A433" s="14"/>
      <c r="B433" s="22"/>
      <c r="C433" s="22"/>
      <c r="D433" s="22"/>
      <c r="E433" s="22"/>
      <c r="F433" s="24"/>
      <c r="G433" s="14"/>
    </row>
    <row r="434" spans="1:7">
      <c r="A434" s="26" t="s">
        <v>916</v>
      </c>
      <c r="B434" s="22"/>
      <c r="C434" s="22"/>
      <c r="D434" s="22"/>
      <c r="E434" s="22"/>
      <c r="F434" s="24"/>
      <c r="G434" s="14"/>
    </row>
    <row r="435" spans="1:7">
      <c r="A435" s="14" t="s">
        <v>172</v>
      </c>
      <c r="B435" s="22" t="s">
        <v>539</v>
      </c>
      <c r="C435" s="22"/>
      <c r="D435" s="22"/>
      <c r="E435" s="22"/>
      <c r="F435" s="24">
        <f t="shared" ref="F435:F442" si="71">SUMIF($B$20:$B$331,B435,$K$20:$K$331)</f>
        <v>1286163.8068965515</v>
      </c>
      <c r="G435" s="14"/>
    </row>
    <row r="436" spans="1:7">
      <c r="A436" s="14" t="s">
        <v>307</v>
      </c>
      <c r="B436" s="22" t="s">
        <v>308</v>
      </c>
      <c r="C436" s="22"/>
      <c r="D436" s="22"/>
      <c r="E436" s="22"/>
      <c r="F436" s="24">
        <f t="shared" si="71"/>
        <v>0</v>
      </c>
      <c r="G436" s="14"/>
    </row>
    <row r="437" spans="1:7">
      <c r="A437" s="14" t="s">
        <v>917</v>
      </c>
      <c r="B437" s="22"/>
      <c r="C437" s="22"/>
      <c r="D437" s="22"/>
      <c r="E437" s="22"/>
      <c r="F437" s="24">
        <f t="shared" si="71"/>
        <v>0</v>
      </c>
      <c r="G437" s="14"/>
    </row>
    <row r="438" spans="1:7">
      <c r="A438" s="14" t="s">
        <v>918</v>
      </c>
      <c r="B438" s="22"/>
      <c r="C438" s="22"/>
      <c r="D438" s="22"/>
      <c r="E438" s="22"/>
      <c r="F438" s="24">
        <f t="shared" si="71"/>
        <v>0</v>
      </c>
      <c r="G438" s="14"/>
    </row>
    <row r="439" spans="1:7">
      <c r="A439" s="14" t="s">
        <v>536</v>
      </c>
      <c r="B439" s="22" t="s">
        <v>537</v>
      </c>
      <c r="C439" s="22"/>
      <c r="D439" s="22"/>
      <c r="E439" s="22"/>
      <c r="F439" s="24">
        <f t="shared" si="71"/>
        <v>245000</v>
      </c>
      <c r="G439" s="14"/>
    </row>
    <row r="440" spans="1:7">
      <c r="A440" s="14" t="s">
        <v>479</v>
      </c>
      <c r="B440" s="22" t="s">
        <v>919</v>
      </c>
      <c r="C440" s="22"/>
      <c r="D440" s="22"/>
      <c r="E440" s="22"/>
      <c r="F440" s="24">
        <f t="shared" si="71"/>
        <v>0</v>
      </c>
      <c r="G440" s="14"/>
    </row>
    <row r="441" spans="1:7">
      <c r="A441" s="14" t="s">
        <v>608</v>
      </c>
      <c r="B441" s="22" t="s">
        <v>920</v>
      </c>
      <c r="C441" s="22"/>
      <c r="D441" s="22"/>
      <c r="E441" s="22"/>
      <c r="F441" s="24">
        <f t="shared" si="71"/>
        <v>0</v>
      </c>
      <c r="G441" s="14"/>
    </row>
    <row r="442" spans="1:7">
      <c r="A442" s="14" t="s">
        <v>234</v>
      </c>
      <c r="B442" s="22" t="s">
        <v>227</v>
      </c>
      <c r="C442" s="22"/>
      <c r="D442" s="22"/>
      <c r="E442" s="14"/>
      <c r="F442" s="24">
        <f t="shared" si="71"/>
        <v>1806719.4000000001</v>
      </c>
      <c r="G442" s="14"/>
    </row>
    <row r="443" spans="1:7">
      <c r="A443" s="29" t="s">
        <v>921</v>
      </c>
      <c r="B443" s="23"/>
      <c r="C443" s="23"/>
      <c r="D443" s="23"/>
      <c r="E443" s="29"/>
      <c r="F443" s="31">
        <f>SUM(F427:F442)</f>
        <v>21121205.524510838</v>
      </c>
      <c r="G443" s="14"/>
    </row>
    <row r="444" spans="1:7">
      <c r="A444" s="14"/>
      <c r="B444" s="22"/>
      <c r="C444" s="22"/>
      <c r="D444" s="22"/>
      <c r="E444" s="14"/>
      <c r="F444" s="14"/>
      <c r="G444" s="14"/>
    </row>
    <row r="445" spans="1:7">
      <c r="A445" s="14"/>
      <c r="B445" s="14"/>
      <c r="C445" s="14"/>
      <c r="D445" s="14"/>
      <c r="E445" s="14"/>
      <c r="F445" s="14"/>
      <c r="G445" s="14"/>
    </row>
    <row r="446" spans="1:7">
      <c r="A446" s="14" t="s">
        <v>732</v>
      </c>
      <c r="B446" s="22" t="s">
        <v>922</v>
      </c>
      <c r="C446" s="22"/>
      <c r="D446" s="22"/>
      <c r="E446" s="32" t="s">
        <v>923</v>
      </c>
      <c r="F446" s="22"/>
      <c r="G446" s="14"/>
    </row>
    <row r="447" spans="1:7">
      <c r="A447" s="14" t="s">
        <v>734</v>
      </c>
      <c r="B447" s="22" t="s">
        <v>924</v>
      </c>
      <c r="C447" s="22"/>
      <c r="D447" s="22"/>
      <c r="E447" s="32" t="s">
        <v>923</v>
      </c>
      <c r="F447" s="22"/>
      <c r="G447" s="14"/>
    </row>
    <row r="448" spans="1:7">
      <c r="A448" s="14" t="s">
        <v>736</v>
      </c>
      <c r="B448" s="22" t="s">
        <v>925</v>
      </c>
      <c r="C448" s="22"/>
      <c r="D448" s="22"/>
      <c r="E448" s="32" t="s">
        <v>923</v>
      </c>
      <c r="F448" s="22"/>
      <c r="G448" s="14"/>
    </row>
    <row r="449" spans="1:7">
      <c r="A449" s="14" t="s">
        <v>737</v>
      </c>
      <c r="B449" s="22" t="s">
        <v>926</v>
      </c>
      <c r="C449" s="22"/>
      <c r="D449" s="22"/>
      <c r="E449" s="32" t="s">
        <v>923</v>
      </c>
      <c r="F449" s="22"/>
      <c r="G449" s="14"/>
    </row>
    <row r="450" spans="1:7">
      <c r="A450" s="14" t="s">
        <v>751</v>
      </c>
      <c r="B450" s="22" t="s">
        <v>927</v>
      </c>
      <c r="C450" s="22"/>
      <c r="D450" s="22"/>
      <c r="E450" s="32" t="s">
        <v>928</v>
      </c>
      <c r="F450" s="22"/>
      <c r="G450" s="14"/>
    </row>
    <row r="451" spans="1:7">
      <c r="A451" s="14" t="s">
        <v>770</v>
      </c>
      <c r="B451" s="22" t="s">
        <v>929</v>
      </c>
      <c r="C451" s="22"/>
      <c r="D451" s="22"/>
      <c r="E451" s="32" t="s">
        <v>928</v>
      </c>
      <c r="F451" s="22"/>
      <c r="G451" s="14"/>
    </row>
    <row r="452" spans="1:7">
      <c r="A452" s="14" t="s">
        <v>771</v>
      </c>
      <c r="B452" s="22" t="s">
        <v>930</v>
      </c>
      <c r="C452" s="22"/>
      <c r="D452" s="22"/>
      <c r="E452" s="32" t="s">
        <v>928</v>
      </c>
      <c r="F452" s="22"/>
      <c r="G452" s="14"/>
    </row>
    <row r="453" spans="1:7">
      <c r="A453" s="14" t="s">
        <v>773</v>
      </c>
      <c r="B453" s="22" t="s">
        <v>931</v>
      </c>
      <c r="C453" s="22"/>
      <c r="D453" s="22"/>
      <c r="E453" s="32" t="s">
        <v>928</v>
      </c>
      <c r="F453" s="14"/>
      <c r="G453" s="14"/>
    </row>
    <row r="454" spans="1:7">
      <c r="A454" s="14" t="s">
        <v>776</v>
      </c>
      <c r="B454" s="22" t="s">
        <v>932</v>
      </c>
      <c r="C454" s="22"/>
      <c r="D454" s="22"/>
      <c r="E454" s="32" t="s">
        <v>933</v>
      </c>
      <c r="F454" s="14"/>
      <c r="G454" s="14"/>
    </row>
    <row r="455" spans="1:7">
      <c r="A455" s="14" t="s">
        <v>234</v>
      </c>
      <c r="B455" s="22" t="s">
        <v>227</v>
      </c>
      <c r="C455" s="22"/>
      <c r="D455" s="22"/>
      <c r="E455" s="22"/>
      <c r="F455" s="14"/>
      <c r="G455" s="14"/>
    </row>
    <row r="456" spans="1:7">
      <c r="A456" s="14"/>
      <c r="B456" s="22"/>
      <c r="C456" s="22"/>
      <c r="D456" s="22"/>
      <c r="E456" s="22"/>
      <c r="F456" s="14"/>
      <c r="G456" s="14"/>
    </row>
    <row r="457" spans="1:7">
      <c r="A457" s="29" t="s">
        <v>934</v>
      </c>
      <c r="B457" s="22"/>
      <c r="C457" s="22"/>
      <c r="D457" s="22"/>
      <c r="E457" s="22"/>
      <c r="F457" s="14"/>
      <c r="G457" s="14"/>
    </row>
    <row r="458" spans="1:7">
      <c r="A458" s="29" t="s">
        <v>935</v>
      </c>
      <c r="B458" s="22"/>
      <c r="C458" s="22"/>
      <c r="D458" s="22"/>
      <c r="E458" s="22"/>
      <c r="F458" s="14"/>
      <c r="G458" s="14"/>
    </row>
    <row r="459" spans="1:7">
      <c r="A459" s="14" t="s">
        <v>479</v>
      </c>
      <c r="B459" s="22" t="s">
        <v>919</v>
      </c>
      <c r="C459" s="22"/>
      <c r="D459" s="22"/>
      <c r="E459" s="22"/>
      <c r="F459" s="24">
        <f>SUMIF($B$20:$B$331,B459,$K$20:$K$331)</f>
        <v>0</v>
      </c>
      <c r="G459" s="14"/>
    </row>
    <row r="460" spans="1:7">
      <c r="A460" s="14" t="s">
        <v>608</v>
      </c>
      <c r="B460" s="22" t="s">
        <v>920</v>
      </c>
      <c r="C460" s="22"/>
      <c r="D460" s="22"/>
      <c r="E460" s="22"/>
      <c r="F460" s="24">
        <f t="shared" ref="F460:F469" si="72">SUMIF($B$20:$B$331,B460,$K$20:$K$331)</f>
        <v>0</v>
      </c>
      <c r="G460" s="14"/>
    </row>
    <row r="461" spans="1:7">
      <c r="A461" s="14" t="s">
        <v>732</v>
      </c>
      <c r="B461" s="22" t="s">
        <v>922</v>
      </c>
      <c r="C461" s="22"/>
      <c r="D461" s="22"/>
      <c r="E461" s="22"/>
      <c r="F461" s="24">
        <f t="shared" si="72"/>
        <v>0</v>
      </c>
      <c r="G461" s="14"/>
    </row>
    <row r="462" spans="1:7">
      <c r="A462" s="14" t="s">
        <v>734</v>
      </c>
      <c r="B462" s="22" t="s">
        <v>924</v>
      </c>
      <c r="C462" s="22"/>
      <c r="D462" s="22"/>
      <c r="E462" s="22"/>
      <c r="F462" s="24">
        <f t="shared" si="72"/>
        <v>0</v>
      </c>
      <c r="G462" s="14"/>
    </row>
    <row r="463" spans="1:7">
      <c r="A463" s="14" t="s">
        <v>736</v>
      </c>
      <c r="B463" s="22" t="s">
        <v>925</v>
      </c>
      <c r="C463" s="22"/>
      <c r="D463" s="22"/>
      <c r="E463" s="22"/>
      <c r="F463" s="24">
        <f t="shared" si="72"/>
        <v>0</v>
      </c>
      <c r="G463" s="14"/>
    </row>
    <row r="464" spans="1:7">
      <c r="A464" s="14" t="s">
        <v>737</v>
      </c>
      <c r="B464" s="22" t="s">
        <v>926</v>
      </c>
      <c r="C464" s="22"/>
      <c r="D464" s="22"/>
      <c r="E464" s="22"/>
      <c r="F464" s="24">
        <f t="shared" si="72"/>
        <v>0</v>
      </c>
      <c r="G464" s="14"/>
    </row>
    <row r="465" spans="1:7">
      <c r="A465" s="14" t="s">
        <v>770</v>
      </c>
      <c r="B465" s="22" t="s">
        <v>929</v>
      </c>
      <c r="C465" s="22"/>
      <c r="D465" s="22"/>
      <c r="E465" s="22"/>
      <c r="F465" s="24">
        <f t="shared" si="72"/>
        <v>0</v>
      </c>
      <c r="G465" s="14"/>
    </row>
    <row r="466" spans="1:7">
      <c r="A466" s="14" t="s">
        <v>771</v>
      </c>
      <c r="B466" s="22" t="s">
        <v>930</v>
      </c>
      <c r="C466" s="22"/>
      <c r="D466" s="22"/>
      <c r="E466" s="22"/>
      <c r="F466" s="24">
        <f t="shared" si="72"/>
        <v>0</v>
      </c>
      <c r="G466" s="14"/>
    </row>
    <row r="467" spans="1:7">
      <c r="A467" s="14" t="s">
        <v>751</v>
      </c>
      <c r="B467" s="22" t="s">
        <v>927</v>
      </c>
      <c r="C467" s="22"/>
      <c r="D467" s="22"/>
      <c r="E467" s="22"/>
      <c r="F467" s="24">
        <f t="shared" si="72"/>
        <v>0</v>
      </c>
      <c r="G467" s="14"/>
    </row>
    <row r="468" spans="1:7">
      <c r="A468" s="14" t="s">
        <v>773</v>
      </c>
      <c r="B468" s="22" t="s">
        <v>931</v>
      </c>
      <c r="C468" s="22"/>
      <c r="D468" s="22"/>
      <c r="E468" s="22"/>
      <c r="F468" s="24">
        <f t="shared" si="72"/>
        <v>0</v>
      </c>
      <c r="G468" s="14"/>
    </row>
    <row r="469" spans="1:7">
      <c r="A469" s="14" t="s">
        <v>776</v>
      </c>
      <c r="B469" s="22" t="s">
        <v>932</v>
      </c>
      <c r="C469" s="22"/>
      <c r="D469" s="22"/>
      <c r="E469" s="22"/>
      <c r="F469" s="24">
        <f t="shared" si="72"/>
        <v>0</v>
      </c>
      <c r="G469" s="14"/>
    </row>
    <row r="470" spans="1:7">
      <c r="A470" s="14"/>
      <c r="B470" s="22"/>
      <c r="C470" s="22"/>
      <c r="D470" s="22"/>
      <c r="E470" s="22"/>
      <c r="F470" s="14"/>
      <c r="G470" s="14"/>
    </row>
    <row r="471" spans="1:7">
      <c r="A471" s="29" t="s">
        <v>936</v>
      </c>
      <c r="B471" s="22"/>
      <c r="C471" s="22"/>
      <c r="D471" s="22"/>
      <c r="E471" s="22"/>
      <c r="F471" s="14"/>
      <c r="G471" s="14"/>
    </row>
    <row r="472" spans="1:7">
      <c r="A472" s="26" t="s">
        <v>909</v>
      </c>
      <c r="B472" s="22"/>
      <c r="C472" s="22"/>
      <c r="D472" s="22"/>
      <c r="E472" s="22"/>
      <c r="F472" s="14"/>
      <c r="G472" s="14"/>
    </row>
    <row r="473" spans="1:7">
      <c r="A473" s="14" t="s">
        <v>259</v>
      </c>
      <c r="B473" s="22" t="s">
        <v>260</v>
      </c>
      <c r="C473" s="22"/>
      <c r="D473" s="22"/>
      <c r="E473" s="22"/>
      <c r="F473" s="24">
        <f t="shared" ref="F473" si="73">SUMIF($B$20:$B$331,B473,$K$20:$K$331)</f>
        <v>0</v>
      </c>
      <c r="G473" s="14"/>
    </row>
    <row r="474" spans="1:7">
      <c r="A474" s="14"/>
      <c r="B474" s="22"/>
      <c r="C474" s="22"/>
      <c r="D474" s="22"/>
      <c r="E474" s="22"/>
      <c r="F474" s="14"/>
      <c r="G474" s="14"/>
    </row>
    <row r="475" spans="1:7">
      <c r="A475" s="26" t="s">
        <v>916</v>
      </c>
      <c r="B475" s="22"/>
      <c r="C475" s="22"/>
      <c r="D475" s="22"/>
      <c r="E475" s="22"/>
      <c r="F475" s="14"/>
      <c r="G475" s="14"/>
    </row>
    <row r="476" spans="1:7">
      <c r="A476" s="14" t="s">
        <v>234</v>
      </c>
      <c r="B476" s="22" t="s">
        <v>227</v>
      </c>
      <c r="C476" s="22"/>
      <c r="D476" s="22"/>
      <c r="E476" s="22"/>
      <c r="F476" s="24">
        <f t="shared" ref="F476:F525" si="74">SUMIF($B$20:$B$331,B476,$K$20:$K$331)</f>
        <v>1806719.4000000001</v>
      </c>
      <c r="G476" s="14"/>
    </row>
    <row r="477" spans="1:7">
      <c r="A477" s="14" t="s">
        <v>240</v>
      </c>
      <c r="B477" s="22" t="s">
        <v>241</v>
      </c>
      <c r="C477" s="22"/>
      <c r="D477" s="22"/>
      <c r="E477" s="22"/>
      <c r="F477" s="24">
        <f t="shared" si="74"/>
        <v>2500</v>
      </c>
      <c r="G477" s="14"/>
    </row>
    <row r="478" spans="1:7">
      <c r="A478" s="14" t="s">
        <v>243</v>
      </c>
      <c r="B478" s="22" t="s">
        <v>244</v>
      </c>
      <c r="C478" s="22"/>
      <c r="D478" s="22"/>
      <c r="E478" s="22"/>
      <c r="F478" s="24">
        <f t="shared" si="74"/>
        <v>0</v>
      </c>
      <c r="G478" s="14"/>
    </row>
    <row r="479" spans="1:7">
      <c r="A479" s="14" t="s">
        <v>248</v>
      </c>
      <c r="B479" s="22" t="s">
        <v>249</v>
      </c>
      <c r="C479" s="22"/>
      <c r="D479" s="22"/>
      <c r="E479" s="22"/>
      <c r="F479" s="24">
        <f t="shared" si="74"/>
        <v>0</v>
      </c>
      <c r="G479" s="14"/>
    </row>
    <row r="480" spans="1:7">
      <c r="A480" s="14" t="s">
        <v>256</v>
      </c>
      <c r="B480" s="22" t="s">
        <v>257</v>
      </c>
      <c r="C480" s="22"/>
      <c r="D480" s="22"/>
      <c r="E480" s="22"/>
      <c r="F480" s="24">
        <f t="shared" si="74"/>
        <v>64575.680000000008</v>
      </c>
      <c r="G480" s="14"/>
    </row>
    <row r="481" spans="1:7">
      <c r="A481" s="14" t="s">
        <v>279</v>
      </c>
      <c r="B481" s="22" t="s">
        <v>280</v>
      </c>
      <c r="C481" s="22"/>
      <c r="D481" s="22"/>
      <c r="E481" s="22"/>
      <c r="F481" s="24">
        <f t="shared" si="74"/>
        <v>6000</v>
      </c>
      <c r="G481" s="14"/>
    </row>
    <row r="482" spans="1:7">
      <c r="A482" s="14" t="s">
        <v>937</v>
      </c>
      <c r="B482" s="22" t="s">
        <v>282</v>
      </c>
      <c r="C482" s="22"/>
      <c r="D482" s="22"/>
      <c r="E482" s="22"/>
      <c r="F482" s="24">
        <f t="shared" si="74"/>
        <v>9000</v>
      </c>
      <c r="G482" s="14"/>
    </row>
    <row r="483" spans="1:7">
      <c r="A483" s="14" t="s">
        <v>294</v>
      </c>
      <c r="B483" s="22" t="s">
        <v>295</v>
      </c>
      <c r="C483" s="22"/>
      <c r="D483" s="22"/>
      <c r="E483" s="22"/>
      <c r="F483" s="24">
        <f t="shared" si="74"/>
        <v>0</v>
      </c>
      <c r="G483" s="14"/>
    </row>
    <row r="484" spans="1:7">
      <c r="A484" s="14" t="s">
        <v>296</v>
      </c>
      <c r="B484" s="22" t="s">
        <v>297</v>
      </c>
      <c r="C484" s="22"/>
      <c r="D484" s="22"/>
      <c r="E484" s="22"/>
      <c r="F484" s="24">
        <f t="shared" si="74"/>
        <v>1950</v>
      </c>
      <c r="G484" s="14"/>
    </row>
    <row r="485" spans="1:7">
      <c r="A485" s="14" t="s">
        <v>315</v>
      </c>
      <c r="B485" s="22" t="s">
        <v>316</v>
      </c>
      <c r="C485" s="22"/>
      <c r="D485" s="22"/>
      <c r="E485" s="22"/>
      <c r="F485" s="24">
        <f t="shared" si="74"/>
        <v>0</v>
      </c>
      <c r="G485" s="14"/>
    </row>
    <row r="486" spans="1:7">
      <c r="A486" s="14" t="s">
        <v>317</v>
      </c>
      <c r="B486" s="22" t="s">
        <v>318</v>
      </c>
      <c r="C486" s="22"/>
      <c r="D486" s="22"/>
      <c r="E486" s="22"/>
      <c r="F486" s="24">
        <f t="shared" si="74"/>
        <v>10000</v>
      </c>
      <c r="G486" s="14"/>
    </row>
    <row r="487" spans="1:7">
      <c r="A487" s="14" t="s">
        <v>319</v>
      </c>
      <c r="B487" s="22" t="s">
        <v>320</v>
      </c>
      <c r="C487" s="22"/>
      <c r="D487" s="22"/>
      <c r="E487" s="22"/>
      <c r="F487" s="24">
        <f t="shared" si="74"/>
        <v>0</v>
      </c>
      <c r="G487" s="14"/>
    </row>
    <row r="488" spans="1:7">
      <c r="A488" s="14" t="s">
        <v>321</v>
      </c>
      <c r="B488" s="22" t="s">
        <v>322</v>
      </c>
      <c r="C488" s="22"/>
      <c r="D488" s="22"/>
      <c r="E488" s="22"/>
      <c r="F488" s="24">
        <f t="shared" si="74"/>
        <v>0</v>
      </c>
      <c r="G488" s="14"/>
    </row>
    <row r="489" spans="1:7">
      <c r="A489" s="14" t="s">
        <v>331</v>
      </c>
      <c r="B489" s="22" t="s">
        <v>332</v>
      </c>
      <c r="C489" s="22"/>
      <c r="D489" s="22"/>
      <c r="E489" s="22"/>
      <c r="F489" s="24">
        <f t="shared" si="74"/>
        <v>4800</v>
      </c>
      <c r="G489" s="14"/>
    </row>
    <row r="490" spans="1:7">
      <c r="A490" s="14" t="s">
        <v>344</v>
      </c>
      <c r="B490" s="22" t="s">
        <v>345</v>
      </c>
      <c r="C490" s="22"/>
      <c r="D490" s="22"/>
      <c r="E490" s="22"/>
      <c r="F490" s="24">
        <f t="shared" si="74"/>
        <v>7500</v>
      </c>
      <c r="G490" s="14"/>
    </row>
    <row r="491" spans="1:7">
      <c r="A491" s="14" t="s">
        <v>346</v>
      </c>
      <c r="B491" s="22" t="s">
        <v>345</v>
      </c>
      <c r="C491" s="22"/>
      <c r="D491" s="22"/>
      <c r="E491" s="22"/>
      <c r="F491" s="24">
        <f t="shared" si="74"/>
        <v>7500</v>
      </c>
      <c r="G491" s="14"/>
    </row>
    <row r="492" spans="1:7">
      <c r="A492" s="14" t="s">
        <v>378</v>
      </c>
      <c r="B492" s="22" t="s">
        <v>379</v>
      </c>
      <c r="C492" s="22"/>
      <c r="D492" s="22"/>
      <c r="E492" s="22"/>
      <c r="F492" s="24">
        <f t="shared" si="74"/>
        <v>0</v>
      </c>
      <c r="G492" s="14"/>
    </row>
    <row r="493" spans="1:7">
      <c r="A493" s="14" t="s">
        <v>380</v>
      </c>
      <c r="B493" s="22" t="s">
        <v>381</v>
      </c>
      <c r="C493" s="22"/>
      <c r="D493" s="22"/>
      <c r="E493" s="22"/>
      <c r="F493" s="24">
        <f t="shared" si="74"/>
        <v>0</v>
      </c>
      <c r="G493" s="14"/>
    </row>
    <row r="494" spans="1:7">
      <c r="A494" s="14" t="s">
        <v>407</v>
      </c>
      <c r="B494" s="22" t="s">
        <v>406</v>
      </c>
      <c r="C494" s="22"/>
      <c r="D494" s="22"/>
      <c r="E494" s="22"/>
      <c r="F494" s="24">
        <f t="shared" si="74"/>
        <v>1072049.72</v>
      </c>
      <c r="G494" s="14"/>
    </row>
    <row r="495" spans="1:7">
      <c r="A495" s="14" t="s">
        <v>412</v>
      </c>
      <c r="B495" s="22" t="s">
        <v>406</v>
      </c>
      <c r="C495" s="22"/>
      <c r="D495" s="22"/>
      <c r="E495" s="22"/>
      <c r="F495" s="24">
        <f t="shared" si="74"/>
        <v>1072049.72</v>
      </c>
      <c r="G495" s="14"/>
    </row>
    <row r="496" spans="1:7">
      <c r="A496" s="14" t="s">
        <v>938</v>
      </c>
      <c r="B496" s="22" t="s">
        <v>406</v>
      </c>
      <c r="C496" s="22"/>
      <c r="D496" s="22"/>
      <c r="E496" s="22"/>
      <c r="F496" s="24">
        <f t="shared" si="74"/>
        <v>1072049.72</v>
      </c>
      <c r="G496" s="14"/>
    </row>
    <row r="497" spans="1:7">
      <c r="A497" s="14" t="s">
        <v>471</v>
      </c>
      <c r="B497" s="22" t="s">
        <v>472</v>
      </c>
      <c r="C497" s="22"/>
      <c r="D497" s="22"/>
      <c r="E497" s="22"/>
      <c r="F497" s="24">
        <f t="shared" si="74"/>
        <v>60450</v>
      </c>
      <c r="G497" s="14"/>
    </row>
    <row r="498" spans="1:7">
      <c r="A498" s="14" t="s">
        <v>489</v>
      </c>
      <c r="B498" s="22" t="s">
        <v>490</v>
      </c>
      <c r="C498" s="22"/>
      <c r="D498" s="22"/>
      <c r="E498" s="22"/>
      <c r="F498" s="24">
        <f t="shared" si="74"/>
        <v>0</v>
      </c>
      <c r="G498" s="14"/>
    </row>
    <row r="499" spans="1:7">
      <c r="A499" s="14" t="s">
        <v>491</v>
      </c>
      <c r="B499" s="22" t="s">
        <v>492</v>
      </c>
      <c r="C499" s="22"/>
      <c r="D499" s="22"/>
      <c r="E499" s="22"/>
      <c r="F499" s="24">
        <f t="shared" si="74"/>
        <v>13440</v>
      </c>
      <c r="G499" s="14"/>
    </row>
    <row r="500" spans="1:7">
      <c r="A500" s="14" t="s">
        <v>531</v>
      </c>
      <c r="B500" s="22" t="s">
        <v>532</v>
      </c>
      <c r="C500" s="22"/>
      <c r="D500" s="22"/>
      <c r="E500" s="22"/>
      <c r="F500" s="24">
        <f t="shared" si="74"/>
        <v>18000</v>
      </c>
      <c r="G500" s="14"/>
    </row>
    <row r="501" spans="1:7">
      <c r="A501" s="14" t="s">
        <v>536</v>
      </c>
      <c r="B501" s="22" t="s">
        <v>537</v>
      </c>
      <c r="C501" s="22"/>
      <c r="D501" s="22"/>
      <c r="E501" s="22"/>
      <c r="F501" s="24">
        <f t="shared" si="74"/>
        <v>245000</v>
      </c>
      <c r="G501" s="14"/>
    </row>
    <row r="502" spans="1:7">
      <c r="A502" s="14" t="s">
        <v>172</v>
      </c>
      <c r="B502" s="22" t="s">
        <v>539</v>
      </c>
      <c r="C502" s="22"/>
      <c r="D502" s="22"/>
      <c r="E502" s="22"/>
      <c r="F502" s="24">
        <f t="shared" si="74"/>
        <v>1286163.8068965515</v>
      </c>
      <c r="G502" s="14"/>
    </row>
    <row r="503" spans="1:7">
      <c r="A503" s="14" t="s">
        <v>541</v>
      </c>
      <c r="B503" s="22" t="s">
        <v>542</v>
      </c>
      <c r="C503" s="22"/>
      <c r="D503" s="22"/>
      <c r="E503" s="22"/>
      <c r="F503" s="24">
        <f t="shared" si="74"/>
        <v>7049</v>
      </c>
      <c r="G503" s="14"/>
    </row>
    <row r="504" spans="1:7">
      <c r="A504" s="14" t="s">
        <v>553</v>
      </c>
      <c r="B504" s="22" t="s">
        <v>554</v>
      </c>
      <c r="C504" s="22"/>
      <c r="D504" s="22"/>
      <c r="E504" s="22"/>
      <c r="F504" s="24">
        <f t="shared" si="74"/>
        <v>13000</v>
      </c>
      <c r="G504" s="14"/>
    </row>
    <row r="505" spans="1:7">
      <c r="A505" s="14" t="s">
        <v>572</v>
      </c>
      <c r="B505" s="22" t="s">
        <v>573</v>
      </c>
      <c r="C505" s="22"/>
      <c r="D505" s="22"/>
      <c r="E505" s="22"/>
      <c r="F505" s="24">
        <f t="shared" si="74"/>
        <v>24612</v>
      </c>
      <c r="G505" s="14"/>
    </row>
    <row r="506" spans="1:7">
      <c r="A506" s="14" t="s">
        <v>575</v>
      </c>
      <c r="B506" s="22" t="s">
        <v>576</v>
      </c>
      <c r="C506" s="22"/>
      <c r="D506" s="22"/>
      <c r="E506" s="22"/>
      <c r="F506" s="24">
        <f t="shared" si="74"/>
        <v>6000</v>
      </c>
      <c r="G506" s="14"/>
    </row>
    <row r="507" spans="1:7">
      <c r="A507" s="14" t="s">
        <v>601</v>
      </c>
      <c r="B507" s="22" t="s">
        <v>591</v>
      </c>
      <c r="C507" s="22"/>
      <c r="D507" s="22"/>
      <c r="E507" s="22"/>
      <c r="F507" s="24">
        <f t="shared" si="74"/>
        <v>4219608.6914999997</v>
      </c>
      <c r="G507" s="14"/>
    </row>
    <row r="508" spans="1:7">
      <c r="A508" s="14" t="s">
        <v>604</v>
      </c>
      <c r="B508" s="22" t="s">
        <v>595</v>
      </c>
      <c r="C508" s="22"/>
      <c r="D508" s="22"/>
      <c r="E508" s="22"/>
      <c r="F508" s="24">
        <f t="shared" si="74"/>
        <v>276470.99999999994</v>
      </c>
      <c r="G508" s="14"/>
    </row>
    <row r="509" spans="1:7">
      <c r="A509" s="14" t="s">
        <v>605</v>
      </c>
      <c r="B509" s="22" t="s">
        <v>591</v>
      </c>
      <c r="C509" s="22"/>
      <c r="D509" s="22"/>
      <c r="E509" s="22"/>
      <c r="F509" s="24">
        <f t="shared" si="74"/>
        <v>4219608.6914999997</v>
      </c>
      <c r="G509" s="14"/>
    </row>
    <row r="510" spans="1:7">
      <c r="A510" s="14" t="s">
        <v>606</v>
      </c>
      <c r="B510" s="22" t="s">
        <v>607</v>
      </c>
      <c r="C510" s="22"/>
      <c r="D510" s="22"/>
      <c r="E510" s="22"/>
      <c r="F510" s="24">
        <f t="shared" si="74"/>
        <v>0</v>
      </c>
      <c r="G510" s="14"/>
    </row>
    <row r="511" spans="1:7">
      <c r="A511" s="14" t="s">
        <v>619</v>
      </c>
      <c r="B511" s="22" t="s">
        <v>620</v>
      </c>
      <c r="C511" s="22"/>
      <c r="D511" s="22"/>
      <c r="E511" s="22"/>
      <c r="F511" s="24">
        <f t="shared" si="74"/>
        <v>17000</v>
      </c>
      <c r="G511" s="14"/>
    </row>
    <row r="512" spans="1:7">
      <c r="A512" s="14" t="s">
        <v>621</v>
      </c>
      <c r="B512" s="22" t="s">
        <v>622</v>
      </c>
      <c r="C512" s="22"/>
      <c r="D512" s="22"/>
      <c r="E512" s="22"/>
      <c r="F512" s="24">
        <f t="shared" si="74"/>
        <v>11000</v>
      </c>
      <c r="G512" s="14"/>
    </row>
    <row r="513" spans="1:7">
      <c r="A513" s="14" t="s">
        <v>623</v>
      </c>
      <c r="B513" s="22" t="s">
        <v>624</v>
      </c>
      <c r="C513" s="22"/>
      <c r="D513" s="22"/>
      <c r="E513" s="22"/>
      <c r="F513" s="24">
        <f t="shared" si="74"/>
        <v>2000</v>
      </c>
      <c r="G513" s="14"/>
    </row>
    <row r="514" spans="1:7">
      <c r="A514" s="14" t="s">
        <v>625</v>
      </c>
      <c r="B514" s="22" t="s">
        <v>591</v>
      </c>
      <c r="C514" s="22"/>
      <c r="D514" s="22"/>
      <c r="E514" s="22"/>
      <c r="F514" s="24">
        <f t="shared" si="74"/>
        <v>4219608.6914999997</v>
      </c>
      <c r="G514" s="14"/>
    </row>
    <row r="515" spans="1:7">
      <c r="A515" s="14" t="s">
        <v>626</v>
      </c>
      <c r="B515" s="22" t="s">
        <v>595</v>
      </c>
      <c r="C515" s="22"/>
      <c r="D515" s="22"/>
      <c r="E515" s="22"/>
      <c r="F515" s="24">
        <f t="shared" si="74"/>
        <v>276470.99999999994</v>
      </c>
      <c r="G515" s="14"/>
    </row>
    <row r="516" spans="1:7">
      <c r="A516" s="14" t="s">
        <v>679</v>
      </c>
      <c r="B516" s="22" t="s">
        <v>680</v>
      </c>
      <c r="C516" s="22"/>
      <c r="D516" s="22"/>
      <c r="E516" s="22"/>
      <c r="F516" s="24">
        <f t="shared" si="74"/>
        <v>59730</v>
      </c>
      <c r="G516" s="14"/>
    </row>
    <row r="517" spans="1:7">
      <c r="A517" s="14" t="s">
        <v>689</v>
      </c>
      <c r="B517" s="22" t="s">
        <v>690</v>
      </c>
      <c r="C517" s="22"/>
      <c r="D517" s="22"/>
      <c r="E517" s="22"/>
      <c r="F517" s="24">
        <f t="shared" si="74"/>
        <v>9660</v>
      </c>
      <c r="G517" s="14"/>
    </row>
    <row r="518" spans="1:7">
      <c r="A518" s="14" t="s">
        <v>161</v>
      </c>
      <c r="B518" s="22" t="s">
        <v>703</v>
      </c>
      <c r="C518" s="22"/>
      <c r="D518" s="22"/>
      <c r="E518" s="22"/>
      <c r="F518" s="24">
        <f t="shared" si="74"/>
        <v>36675</v>
      </c>
      <c r="G518" s="14"/>
    </row>
    <row r="519" spans="1:7">
      <c r="A519" s="14" t="s">
        <v>722</v>
      </c>
      <c r="B519" s="22" t="s">
        <v>723</v>
      </c>
      <c r="C519" s="22"/>
      <c r="D519" s="22"/>
      <c r="E519" s="22"/>
      <c r="F519" s="24">
        <f t="shared" si="74"/>
        <v>11000</v>
      </c>
      <c r="G519" s="14"/>
    </row>
    <row r="520" spans="1:7">
      <c r="A520" s="14" t="s">
        <v>827</v>
      </c>
      <c r="B520" s="22" t="s">
        <v>828</v>
      </c>
      <c r="C520" s="22"/>
      <c r="D520" s="22"/>
      <c r="E520" s="22"/>
      <c r="F520" s="24">
        <f t="shared" si="74"/>
        <v>21000</v>
      </c>
      <c r="G520" s="14"/>
    </row>
    <row r="521" spans="1:7">
      <c r="A521" s="14" t="s">
        <v>829</v>
      </c>
      <c r="B521" s="22" t="s">
        <v>830</v>
      </c>
      <c r="C521" s="22"/>
      <c r="D521" s="22"/>
      <c r="E521" s="22"/>
      <c r="F521" s="24">
        <f t="shared" si="74"/>
        <v>21900</v>
      </c>
      <c r="G521" s="14"/>
    </row>
    <row r="522" spans="1:7">
      <c r="A522" s="14" t="s">
        <v>831</v>
      </c>
      <c r="B522" s="22" t="s">
        <v>832</v>
      </c>
      <c r="C522" s="22"/>
      <c r="D522" s="22"/>
      <c r="E522" s="22"/>
      <c r="F522" s="24">
        <f t="shared" si="74"/>
        <v>129526.8</v>
      </c>
      <c r="G522" s="14"/>
    </row>
    <row r="523" spans="1:7">
      <c r="A523" s="14" t="s">
        <v>939</v>
      </c>
      <c r="B523" s="22" t="s">
        <v>834</v>
      </c>
      <c r="C523" s="22"/>
      <c r="D523" s="22"/>
      <c r="E523" s="22"/>
      <c r="F523" s="24">
        <f t="shared" si="74"/>
        <v>0</v>
      </c>
      <c r="G523" s="14"/>
    </row>
    <row r="524" spans="1:7">
      <c r="A524" s="14" t="s">
        <v>846</v>
      </c>
      <c r="B524" s="22" t="s">
        <v>630</v>
      </c>
      <c r="C524" s="22"/>
      <c r="D524" s="22"/>
      <c r="E524" s="22"/>
      <c r="F524" s="24">
        <f t="shared" si="74"/>
        <v>23100</v>
      </c>
      <c r="G524" s="14"/>
    </row>
    <row r="525" spans="1:7">
      <c r="A525" s="14" t="s">
        <v>847</v>
      </c>
      <c r="B525" s="22" t="s">
        <v>848</v>
      </c>
      <c r="C525" s="22"/>
      <c r="D525" s="22"/>
      <c r="E525" s="22"/>
      <c r="F525" s="24">
        <f t="shared" si="74"/>
        <v>2000</v>
      </c>
      <c r="G525" s="14"/>
    </row>
  </sheetData>
  <autoFilter ref="A19:M369" xr:uid="{705B4724-39A6-4B76-8B6A-9DAEE3A59253}"/>
  <phoneticPr fontId="7" type="noConversion"/>
  <conditionalFormatting sqref="A13:B17">
    <cfRule type="expression" dxfId="118" priority="10">
      <formula>MOD(ROW(),2)=0</formula>
    </cfRule>
  </conditionalFormatting>
  <conditionalFormatting sqref="A155:K156">
    <cfRule type="expression" dxfId="117" priority="1">
      <formula>MOD(ROW(),2)</formula>
    </cfRule>
  </conditionalFormatting>
  <conditionalFormatting sqref="D3:F7">
    <cfRule type="expression" dxfId="116" priority="27">
      <formula>MOD(ROW(),2)=0</formula>
    </cfRule>
  </conditionalFormatting>
  <conditionalFormatting sqref="D10:F16">
    <cfRule type="expression" dxfId="115" priority="19">
      <formula>MOD(ROW(),2)</formula>
    </cfRule>
  </conditionalFormatting>
  <conditionalFormatting sqref="D15:F15">
    <cfRule type="expression" dxfId="114" priority="26">
      <formula>MOD(ROW(),2)=0</formula>
    </cfRule>
  </conditionalFormatting>
  <conditionalFormatting sqref="E369">
    <cfRule type="cellIs" dxfId="113" priority="21" operator="lessThan">
      <formula>0</formula>
    </cfRule>
    <cfRule type="cellIs" dxfId="112" priority="22" operator="greaterThan">
      <formula>0</formula>
    </cfRule>
  </conditionalFormatting>
  <conditionalFormatting sqref="E36:K43">
    <cfRule type="expression" dxfId="111" priority="6">
      <formula>MOD(ROW(),2)</formula>
    </cfRule>
  </conditionalFormatting>
  <conditionalFormatting sqref="E45:K49">
    <cfRule type="expression" dxfId="110" priority="18">
      <formula>MOD(ROW(),2)</formula>
    </cfRule>
  </conditionalFormatting>
  <conditionalFormatting sqref="E51:K58">
    <cfRule type="expression" dxfId="109" priority="17">
      <formula>MOD(ROW(),2)</formula>
    </cfRule>
  </conditionalFormatting>
  <conditionalFormatting sqref="E85:K99">
    <cfRule type="expression" dxfId="108" priority="16">
      <formula>MOD(ROW(),2)</formula>
    </cfRule>
  </conditionalFormatting>
  <conditionalFormatting sqref="E186:K186">
    <cfRule type="expression" dxfId="107" priority="15">
      <formula>MOD(ROW(),2)</formula>
    </cfRule>
  </conditionalFormatting>
  <conditionalFormatting sqref="E188:K204">
    <cfRule type="expression" dxfId="106" priority="9">
      <formula>MOD(ROW(),2)</formula>
    </cfRule>
  </conditionalFormatting>
  <conditionalFormatting sqref="E261:K276">
    <cfRule type="expression" dxfId="105" priority="5">
      <formula>MOD(ROW(),2)</formula>
    </cfRule>
  </conditionalFormatting>
  <conditionalFormatting sqref="E323:K327">
    <cfRule type="expression" dxfId="104" priority="7">
      <formula>MOD(ROW(),2)</formula>
    </cfRule>
  </conditionalFormatting>
  <conditionalFormatting sqref="E20:L20 A20:D154 E21:K21 E22:L22 E23:K23 E24:L24 E25:K33 E34:L35 E44:L44 E50:L50 E59:L59 E60:K71 E72:L72 E73:K83 E84:L84 E100:L100 E101:K136 E137:L137 E138:K153 E154:L154 E157:L157 A157:D302 E158:K165 E166:L166 E167:K169 E170:L170 E171:K171 E172:L172 E173:K174 E175:L175 E176:K178 E179:L179 E180:K184 E185:L185 E187:L187 E205:L205 E206:K208 E209:L209 E210:K212 E213:L213 E214:K222 E223:L223 E224:K259 E260:L260 E277:L277 E278:K278 E279:L279 E280:K282 E283:L283 E284:K292 E293:L293 E294:K301 E302:L302 A303:K303 E304:K304 A304:D328 E305:L305 E306:K319 E320:L320 E321:K321 E322:L322 L324 E328:L328 A329:K330 A331:L331">
    <cfRule type="expression" dxfId="103" priority="23">
      <formula>MOD(ROW(),2)</formula>
    </cfRule>
  </conditionalFormatting>
  <conditionalFormatting sqref="H3:O7">
    <cfRule type="expression" dxfId="102" priority="13">
      <formula>MOD(ROW(),2)</formula>
    </cfRule>
  </conditionalFormatting>
  <conditionalFormatting sqref="L332:M332">
    <cfRule type="cellIs" dxfId="101" priority="20" operator="lessThan">
      <formula>0</formula>
    </cfRule>
    <cfRule type="cellIs" dxfId="100" priority="24" operator="greaterThan">
      <formula>0</formula>
    </cfRule>
  </conditionalFormatting>
  <conditionalFormatting sqref="M20:Y89 M90 M160 M161:Y167 M168 M169:Y195 M196:M197">
    <cfRule type="expression" dxfId="99" priority="14">
      <formula>MOD(ROW(),2)</formula>
    </cfRule>
  </conditionalFormatting>
  <conditionalFormatting sqref="M91:Y159">
    <cfRule type="expression" dxfId="98" priority="2">
      <formula>MOD(ROW(),2)</formula>
    </cfRule>
  </conditionalFormatting>
  <conditionalFormatting sqref="M198:Y330">
    <cfRule type="expression" dxfId="97" priority="4">
      <formula>MOD(ROW(),2)</formula>
    </cfRule>
  </conditionalFormatting>
  <conditionalFormatting sqref="P5:R18">
    <cfRule type="expression" dxfId="96" priority="12">
      <formula>MOD(ROW(),2)</formula>
    </cfRule>
  </conditionalFormatting>
  <conditionalFormatting sqref="P1:X3 A2:B11">
    <cfRule type="expression" dxfId="95" priority="25">
      <formula>MOD(ROW(),2)</formula>
    </cfRule>
  </conditionalFormatting>
  <conditionalFormatting sqref="S4:X18">
    <cfRule type="expression" dxfId="94" priority="11">
      <formula>MOD(ROW(),2)</formula>
    </cfRule>
  </conditionalFormatting>
  <conditionalFormatting sqref="AP4:AT8">
    <cfRule type="expression" dxfId="93" priority="8">
      <formula>MOD(ROW(),2)=0</formula>
    </cfRule>
  </conditionalFormatting>
  <dataValidations count="2">
    <dataValidation type="list" allowBlank="1" showInputMessage="1" showErrorMessage="1" sqref="B4" xr:uid="{D51C4468-BB74-4748-87F7-703EEEC0CDBB}">
      <formula1>"Urban, Market, Senior, Afforable"</formula1>
    </dataValidation>
    <dataValidation type="list" allowBlank="1" showInputMessage="1" showErrorMessage="1" sqref="B3" xr:uid="{72BF0B6C-5ED3-4A8C-ACFB-F6BC529E27AF}">
      <formula1>"Level 1, Level 2, Level 3"</formula1>
    </dataValidation>
  </dataValidations>
  <printOptions horizontalCentered="1"/>
  <pageMargins left="0.25" right="0.25" top="0.7" bottom="0.5" header="0.35" footer="0.05"/>
  <pageSetup paperSize="3" scale="52" fitToHeight="0" orientation="landscape" r:id="rId1"/>
  <headerFooter>
    <oddHeader>&amp;R&amp;G</oddHeader>
  </headerFooter>
  <rowBreaks count="4" manualBreakCount="4">
    <brk id="71" max="23" man="1"/>
    <brk id="136" max="23" man="1"/>
    <brk id="212" max="23" man="1"/>
    <brk id="278" max="2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4724-39A6-4B76-8B6A-9DAEE3A59253}">
  <sheetPr>
    <tabColor theme="3" tint="0.499984740745262"/>
    <pageSetUpPr fitToPage="1"/>
  </sheetPr>
  <dimension ref="A1:BB523"/>
  <sheetViews>
    <sheetView showGridLines="0" view="pageBreakPreview" zoomScale="70" zoomScaleNormal="100" zoomScaleSheetLayoutView="70" workbookViewId="0">
      <pane xSplit="1" ySplit="19" topLeftCell="B20" activePane="bottomRight" state="frozen"/>
      <selection pane="bottomRight" activeCell="H14" sqref="H14"/>
      <selection pane="bottomLeft" activeCell="A20" sqref="A20"/>
      <selection pane="topRight" activeCell="B1" sqref="B1"/>
    </sheetView>
  </sheetViews>
  <sheetFormatPr defaultColWidth="9.140625" defaultRowHeight="14.45"/>
  <cols>
    <col min="1" max="1" width="39" style="55" customWidth="1"/>
    <col min="2" max="2" width="17.85546875" style="56" customWidth="1"/>
    <col min="3" max="3" width="15.140625" style="56" customWidth="1"/>
    <col min="4" max="4" width="20" style="56" customWidth="1"/>
    <col min="5" max="5" width="13.140625" style="56" customWidth="1"/>
    <col min="6" max="6" width="14.85546875" style="56" customWidth="1"/>
    <col min="7" max="7" width="10.28515625" style="55" customWidth="1"/>
    <col min="8" max="8" width="15.85546875" style="55" customWidth="1"/>
    <col min="9" max="9" width="13.140625" style="55" customWidth="1"/>
    <col min="10" max="10" width="16.85546875" style="55" bestFit="1" customWidth="1"/>
    <col min="11" max="11" width="19.7109375" style="55" bestFit="1" customWidth="1"/>
    <col min="12" max="12" width="28.140625" style="55" bestFit="1" customWidth="1"/>
    <col min="13" max="13" width="16.5703125" style="55" customWidth="1"/>
    <col min="14" max="15" width="13.140625" style="55" customWidth="1"/>
    <col min="16" max="16" width="22" style="55" bestFit="1" customWidth="1"/>
    <col min="17" max="17" width="13.7109375" style="55" customWidth="1"/>
    <col min="18" max="18" width="15" style="55" customWidth="1"/>
    <col min="19" max="19" width="20" style="55" customWidth="1"/>
    <col min="20" max="20" width="14.140625" style="55" customWidth="1"/>
    <col min="21" max="21" width="4.85546875" style="55" customWidth="1"/>
    <col min="22" max="22" width="15.85546875" style="55" customWidth="1"/>
    <col min="23" max="23" width="16.5703125" style="55" customWidth="1"/>
    <col min="24" max="24" width="12.140625" style="55" customWidth="1"/>
    <col min="25" max="25" width="9.140625" style="55" customWidth="1"/>
    <col min="26" max="26" width="9.140625" style="55"/>
    <col min="27" max="27" width="12.85546875" style="55" bestFit="1" customWidth="1"/>
    <col min="28" max="28" width="13.5703125" style="55" customWidth="1"/>
    <col min="29" max="29" width="11.140625" style="55" customWidth="1"/>
    <col min="30" max="30" width="13" style="55" customWidth="1"/>
    <col min="31" max="31" width="10.5703125" style="55" customWidth="1"/>
    <col min="32" max="35" width="9.140625" style="55"/>
    <col min="36" max="36" width="12" style="55" customWidth="1"/>
    <col min="37" max="37" width="9.140625" style="55"/>
    <col min="38" max="38" width="10.7109375" style="55" customWidth="1"/>
    <col min="39" max="41" width="9.140625" style="55"/>
    <col min="42" max="42" width="21.85546875" style="55" customWidth="1"/>
    <col min="43" max="43" width="9.140625" style="55"/>
    <col min="44" max="44" width="13.140625" style="55" customWidth="1"/>
    <col min="45" max="45" width="10.5703125" style="55" bestFit="1" customWidth="1"/>
    <col min="46" max="46" width="12.85546875" style="55" customWidth="1"/>
    <col min="47" max="48" width="9.140625" style="55"/>
    <col min="49" max="49" width="13" style="55" customWidth="1"/>
    <col min="50" max="51" width="9.140625" style="55"/>
    <col min="52" max="52" width="13" style="55" customWidth="1"/>
    <col min="53" max="53" width="10.5703125" style="55" bestFit="1" customWidth="1"/>
    <col min="54" max="54" width="13.140625" style="55" bestFit="1" customWidth="1"/>
    <col min="55" max="16384" width="9.140625" style="55"/>
  </cols>
  <sheetData>
    <row r="1" spans="1:54" ht="15" thickBot="1">
      <c r="A1" s="72" t="s">
        <v>77</v>
      </c>
      <c r="B1" s="72"/>
      <c r="D1" s="72" t="s">
        <v>78</v>
      </c>
      <c r="E1" s="72"/>
      <c r="F1" s="72"/>
      <c r="H1" s="72" t="s">
        <v>79</v>
      </c>
      <c r="I1" s="72"/>
      <c r="J1" s="72"/>
      <c r="K1" s="72"/>
      <c r="L1" s="72"/>
      <c r="M1" s="72"/>
      <c r="N1" s="72"/>
      <c r="O1" s="72"/>
      <c r="P1" s="73" t="s">
        <v>80</v>
      </c>
      <c r="Q1" s="74"/>
      <c r="R1" s="75"/>
      <c r="S1" s="73" t="s">
        <v>80</v>
      </c>
      <c r="T1" s="74"/>
      <c r="U1" s="75"/>
      <c r="V1" s="73" t="s">
        <v>80</v>
      </c>
      <c r="W1" s="74"/>
      <c r="X1" s="75"/>
    </row>
    <row r="2" spans="1:54" ht="15" thickBot="1">
      <c r="A2" s="76" t="s">
        <v>81</v>
      </c>
      <c r="B2" s="77" t="s">
        <v>82</v>
      </c>
      <c r="D2" s="78" t="s">
        <v>83</v>
      </c>
      <c r="E2" s="79" t="s">
        <v>84</v>
      </c>
      <c r="F2" s="79" t="s">
        <v>85</v>
      </c>
      <c r="H2" s="80" t="s">
        <v>86</v>
      </c>
      <c r="I2" s="80" t="s">
        <v>87</v>
      </c>
      <c r="J2" s="80" t="s">
        <v>88</v>
      </c>
      <c r="K2" s="80" t="s">
        <v>89</v>
      </c>
      <c r="L2" s="80" t="s">
        <v>90</v>
      </c>
      <c r="M2" s="80" t="s">
        <v>91</v>
      </c>
      <c r="N2" s="80" t="s">
        <v>92</v>
      </c>
      <c r="O2" s="80" t="s">
        <v>93</v>
      </c>
      <c r="P2" s="81" t="s">
        <v>94</v>
      </c>
      <c r="Q2" s="82">
        <f>12033+22510+64020+12033+61516</f>
        <v>172112</v>
      </c>
      <c r="R2" s="83" t="s">
        <v>95</v>
      </c>
      <c r="S2" s="84" t="s">
        <v>96</v>
      </c>
      <c r="T2" s="48">
        <f>(14.42+12.35+13.12+11.52)*K8</f>
        <v>8791.1099999999988</v>
      </c>
      <c r="U2" s="59" t="s">
        <v>61</v>
      </c>
      <c r="V2" s="84" t="s">
        <v>1036</v>
      </c>
      <c r="W2" s="48"/>
      <c r="X2" s="59" t="s">
        <v>61</v>
      </c>
      <c r="AP2" s="55" t="s">
        <v>98</v>
      </c>
      <c r="AW2" s="55" t="s">
        <v>99</v>
      </c>
    </row>
    <row r="3" spans="1:54">
      <c r="A3" s="85" t="s">
        <v>105</v>
      </c>
      <c r="B3" s="86" t="s">
        <v>37</v>
      </c>
      <c r="D3" s="87" t="s">
        <v>106</v>
      </c>
      <c r="E3" s="88">
        <v>0</v>
      </c>
      <c r="F3" s="89">
        <f t="shared" ref="F3:F8" si="0">E3/$E$8</f>
        <v>0</v>
      </c>
      <c r="H3" s="86">
        <v>1</v>
      </c>
      <c r="I3" s="86">
        <v>3</v>
      </c>
      <c r="J3" s="86">
        <f>SUM(K3:N3)</f>
        <v>169</v>
      </c>
      <c r="K3" s="86">
        <v>87</v>
      </c>
      <c r="L3" s="86">
        <v>17</v>
      </c>
      <c r="M3" s="86">
        <v>48</v>
      </c>
      <c r="N3" s="86">
        <v>17</v>
      </c>
      <c r="O3" s="48">
        <v>185654</v>
      </c>
      <c r="P3" s="84" t="s">
        <v>107</v>
      </c>
      <c r="Q3" s="48">
        <v>6</v>
      </c>
      <c r="R3" s="59" t="s">
        <v>108</v>
      </c>
      <c r="S3" s="84" t="s">
        <v>109</v>
      </c>
      <c r="T3" s="48">
        <f>L8*(43.46+3.6+7.5)</f>
        <v>2837.12</v>
      </c>
      <c r="U3" s="59" t="s">
        <v>61</v>
      </c>
      <c r="V3" s="84" t="s">
        <v>1037</v>
      </c>
      <c r="W3" s="48"/>
      <c r="X3" s="59" t="s">
        <v>61</v>
      </c>
      <c r="AA3" s="90" t="s">
        <v>110</v>
      </c>
      <c r="AB3" s="91"/>
      <c r="AC3" s="91"/>
      <c r="AD3" s="91"/>
      <c r="AE3" s="91" t="s">
        <v>111</v>
      </c>
      <c r="AF3" s="92">
        <f>21*7</f>
        <v>147</v>
      </c>
      <c r="AH3" s="90" t="s">
        <v>112</v>
      </c>
      <c r="AI3" s="91"/>
      <c r="AJ3" s="91"/>
      <c r="AK3" s="91"/>
      <c r="AL3" s="91" t="s">
        <v>111</v>
      </c>
      <c r="AM3" s="92">
        <f>15000+6560+6500+15400+4570+4635+4540+4250</f>
        <v>61455</v>
      </c>
      <c r="AP3" s="78" t="s">
        <v>83</v>
      </c>
      <c r="AQ3" s="79" t="s">
        <v>84</v>
      </c>
      <c r="AR3" s="79" t="s">
        <v>113</v>
      </c>
      <c r="AS3" s="79" t="s">
        <v>85</v>
      </c>
      <c r="AT3" s="79" t="s">
        <v>85</v>
      </c>
      <c r="AW3" s="55" t="s">
        <v>114</v>
      </c>
      <c r="AX3" s="55" t="s">
        <v>115</v>
      </c>
      <c r="AY3" s="55" t="s">
        <v>116</v>
      </c>
      <c r="AZ3" s="55" t="s">
        <v>117</v>
      </c>
      <c r="BA3" s="55" t="s">
        <v>118</v>
      </c>
      <c r="BB3" s="55" t="s">
        <v>119</v>
      </c>
    </row>
    <row r="4" spans="1:54">
      <c r="A4" s="85" t="s">
        <v>2</v>
      </c>
      <c r="B4" s="86" t="s">
        <v>120</v>
      </c>
      <c r="D4" s="93" t="s">
        <v>89</v>
      </c>
      <c r="E4" s="86">
        <f>K8</f>
        <v>171</v>
      </c>
      <c r="F4" s="94">
        <f>E4/$E$8</f>
        <v>0.43846153846153846</v>
      </c>
      <c r="H4" s="86">
        <v>2</v>
      </c>
      <c r="I4" s="86">
        <v>2</v>
      </c>
      <c r="J4" s="86">
        <f t="shared" ref="J4:J7" si="1">SUM(K4:N4)</f>
        <v>24</v>
      </c>
      <c r="K4" s="86">
        <v>9</v>
      </c>
      <c r="L4" s="86">
        <v>7</v>
      </c>
      <c r="M4" s="86">
        <v>8</v>
      </c>
      <c r="N4" s="86">
        <v>0</v>
      </c>
      <c r="O4" s="48">
        <v>24392</v>
      </c>
      <c r="P4" s="95" t="s">
        <v>121</v>
      </c>
      <c r="Q4" s="56">
        <f>2*3+2*3+2*2</f>
        <v>16</v>
      </c>
      <c r="R4" s="96" t="s">
        <v>108</v>
      </c>
      <c r="S4" s="84" t="s">
        <v>122</v>
      </c>
      <c r="T4" s="48">
        <f>(13+13+12+12.5+6.3)*6+(8.5+16+13+7+11)*46</f>
        <v>2893.8</v>
      </c>
      <c r="U4" s="59" t="s">
        <v>61</v>
      </c>
      <c r="V4" s="84" t="s">
        <v>1038</v>
      </c>
      <c r="W4" s="48"/>
      <c r="X4" s="59" t="s">
        <v>61</v>
      </c>
      <c r="AA4" s="95" t="s">
        <v>123</v>
      </c>
      <c r="AF4" s="96">
        <f>14*7</f>
        <v>98</v>
      </c>
      <c r="AH4" s="95" t="s">
        <v>123</v>
      </c>
      <c r="AM4" s="96"/>
      <c r="AP4" s="87" t="s">
        <v>106</v>
      </c>
      <c r="AQ4" s="88">
        <v>0</v>
      </c>
      <c r="AR4" s="348">
        <v>3192.5</v>
      </c>
      <c r="AS4" s="89">
        <v>0</v>
      </c>
      <c r="AT4" s="348">
        <f>AR4*(1+AS4)</f>
        <v>3192.5</v>
      </c>
      <c r="AW4" s="55" t="s">
        <v>123</v>
      </c>
      <c r="AX4" s="55">
        <v>3</v>
      </c>
      <c r="AY4" s="55">
        <v>9</v>
      </c>
      <c r="AZ4" s="55">
        <f>AY4*AX4</f>
        <v>27</v>
      </c>
      <c r="BA4" s="358">
        <f>275</f>
        <v>275</v>
      </c>
      <c r="BB4" s="358">
        <f>BA4*AZ4</f>
        <v>7425</v>
      </c>
    </row>
    <row r="5" spans="1:54">
      <c r="A5" s="85" t="s">
        <v>124</v>
      </c>
      <c r="B5" s="204">
        <v>45630</v>
      </c>
      <c r="D5" s="93" t="s">
        <v>90</v>
      </c>
      <c r="E5" s="86">
        <f>L8</f>
        <v>52</v>
      </c>
      <c r="F5" s="94">
        <f t="shared" si="0"/>
        <v>0.13333333333333333</v>
      </c>
      <c r="H5" s="86">
        <v>3</v>
      </c>
      <c r="I5" s="86">
        <v>2</v>
      </c>
      <c r="J5" s="86">
        <f t="shared" si="1"/>
        <v>116</v>
      </c>
      <c r="K5" s="86">
        <v>52</v>
      </c>
      <c r="L5" s="86">
        <v>11</v>
      </c>
      <c r="M5" s="86">
        <v>32</v>
      </c>
      <c r="N5" s="86">
        <v>21</v>
      </c>
      <c r="O5" s="48">
        <v>128501</v>
      </c>
      <c r="P5" s="84" t="s">
        <v>125</v>
      </c>
      <c r="Q5" s="98">
        <v>14</v>
      </c>
      <c r="R5" s="59" t="s">
        <v>126</v>
      </c>
      <c r="S5" s="84" t="s">
        <v>127</v>
      </c>
      <c r="T5" s="48">
        <f>(15+7+4+16.82+31)*N8</f>
        <v>3617.18</v>
      </c>
      <c r="U5" s="59" t="s">
        <v>61</v>
      </c>
      <c r="V5" s="84" t="s">
        <v>1039</v>
      </c>
      <c r="W5" s="48"/>
      <c r="X5" s="59" t="s">
        <v>61</v>
      </c>
      <c r="AA5" s="95" t="s">
        <v>128</v>
      </c>
      <c r="AB5" s="55">
        <f>21*4+8*8+7*6</f>
        <v>190</v>
      </c>
      <c r="AF5" s="96">
        <f>8*22</f>
        <v>176</v>
      </c>
      <c r="AH5" s="95" t="s">
        <v>128</v>
      </c>
      <c r="AI5" s="55">
        <v>19256</v>
      </c>
      <c r="AM5" s="96"/>
      <c r="AP5" s="93" t="s">
        <v>89</v>
      </c>
      <c r="AQ5" s="86">
        <v>171</v>
      </c>
      <c r="AR5" s="349">
        <v>3192.5</v>
      </c>
      <c r="AS5" s="94">
        <v>0</v>
      </c>
      <c r="AT5" s="349">
        <f t="shared" ref="AT5:AT8" si="2">AR5*(1+AS5)</f>
        <v>3192.5</v>
      </c>
      <c r="AW5" s="55" t="s">
        <v>129</v>
      </c>
      <c r="AX5" s="55">
        <v>2</v>
      </c>
      <c r="AY5" s="55">
        <v>2</v>
      </c>
      <c r="AZ5" s="55">
        <f t="shared" ref="AZ5:AZ8" si="3">AY5*AX5</f>
        <v>4</v>
      </c>
      <c r="BA5" s="358">
        <f>275</f>
        <v>275</v>
      </c>
      <c r="BB5" s="358">
        <f t="shared" ref="BB5:BB8" si="4">BA5*AZ5</f>
        <v>1100</v>
      </c>
    </row>
    <row r="6" spans="1:54">
      <c r="A6" s="85" t="s">
        <v>130</v>
      </c>
      <c r="B6" s="86">
        <v>26</v>
      </c>
      <c r="D6" s="93" t="s">
        <v>91</v>
      </c>
      <c r="E6" s="86">
        <f>M8</f>
        <v>118</v>
      </c>
      <c r="F6" s="94">
        <f t="shared" si="0"/>
        <v>0.30256410256410254</v>
      </c>
      <c r="H6" s="86">
        <v>4</v>
      </c>
      <c r="I6" s="86">
        <v>3</v>
      </c>
      <c r="J6" s="86">
        <f t="shared" si="1"/>
        <v>57</v>
      </c>
      <c r="K6" s="86">
        <v>14</v>
      </c>
      <c r="L6" s="86">
        <v>10</v>
      </c>
      <c r="M6" s="86">
        <v>22</v>
      </c>
      <c r="N6" s="86">
        <v>11</v>
      </c>
      <c r="O6" s="48">
        <v>68972</v>
      </c>
      <c r="P6" s="84" t="s">
        <v>131</v>
      </c>
      <c r="Q6" s="48">
        <v>21</v>
      </c>
      <c r="R6" s="59" t="s">
        <v>108</v>
      </c>
      <c r="S6" s="84" t="s">
        <v>132</v>
      </c>
      <c r="T6" s="68">
        <f>86*38</f>
        <v>3268</v>
      </c>
      <c r="U6" s="59" t="s">
        <v>61</v>
      </c>
      <c r="V6" s="58" t="s">
        <v>1040</v>
      </c>
      <c r="W6" s="68"/>
      <c r="X6" s="99" t="s">
        <v>61</v>
      </c>
      <c r="AA6" s="95" t="s">
        <v>133</v>
      </c>
      <c r="AB6" s="55">
        <f>14*4+21*2+8*6</f>
        <v>146</v>
      </c>
      <c r="AF6" s="96">
        <f>7*10</f>
        <v>70</v>
      </c>
      <c r="AH6" s="95" t="s">
        <v>133</v>
      </c>
      <c r="AI6" s="55">
        <v>8980</v>
      </c>
      <c r="AM6" s="96"/>
      <c r="AP6" s="93" t="s">
        <v>90</v>
      </c>
      <c r="AQ6" s="86">
        <v>52</v>
      </c>
      <c r="AR6" s="349">
        <v>3192.5</v>
      </c>
      <c r="AS6" s="94">
        <v>0</v>
      </c>
      <c r="AT6" s="349">
        <f t="shared" si="2"/>
        <v>3192.5</v>
      </c>
      <c r="AW6" s="55" t="s">
        <v>111</v>
      </c>
      <c r="AX6" s="55">
        <v>2</v>
      </c>
      <c r="AY6" s="55">
        <v>9</v>
      </c>
      <c r="AZ6" s="55">
        <f t="shared" si="3"/>
        <v>18</v>
      </c>
      <c r="BA6" s="358">
        <f>275</f>
        <v>275</v>
      </c>
      <c r="BB6" s="358">
        <f t="shared" si="4"/>
        <v>4950</v>
      </c>
    </row>
    <row r="7" spans="1:54">
      <c r="A7" s="85" t="s">
        <v>115</v>
      </c>
      <c r="B7" s="86" t="s">
        <v>134</v>
      </c>
      <c r="D7" s="100" t="s">
        <v>92</v>
      </c>
      <c r="E7" s="101">
        <f>N8</f>
        <v>49</v>
      </c>
      <c r="F7" s="102">
        <f t="shared" si="0"/>
        <v>0.12564102564102564</v>
      </c>
      <c r="H7" s="86">
        <v>5</v>
      </c>
      <c r="I7" s="86">
        <v>2</v>
      </c>
      <c r="J7" s="86">
        <f t="shared" si="1"/>
        <v>24</v>
      </c>
      <c r="K7" s="86">
        <v>9</v>
      </c>
      <c r="L7" s="86">
        <v>7</v>
      </c>
      <c r="M7" s="86">
        <v>8</v>
      </c>
      <c r="N7" s="86">
        <v>0</v>
      </c>
      <c r="O7" s="48">
        <v>24392</v>
      </c>
      <c r="P7" s="103" t="s">
        <v>135</v>
      </c>
      <c r="Q7" s="104">
        <v>1</v>
      </c>
      <c r="R7" s="105"/>
      <c r="S7" s="84" t="s">
        <v>136</v>
      </c>
      <c r="T7" s="48"/>
      <c r="U7" s="59" t="s">
        <v>61</v>
      </c>
      <c r="V7" s="58" t="s">
        <v>1041</v>
      </c>
      <c r="W7" s="68"/>
      <c r="X7" s="99" t="s">
        <v>61</v>
      </c>
      <c r="AA7" s="95" t="s">
        <v>137</v>
      </c>
      <c r="AB7" s="55">
        <f>21*2+14*2+8*6</f>
        <v>118</v>
      </c>
      <c r="AF7" s="96">
        <f>SUM(AF3:AF6)</f>
        <v>491</v>
      </c>
      <c r="AH7" s="95" t="s">
        <v>137</v>
      </c>
      <c r="AI7" s="55">
        <v>8850</v>
      </c>
      <c r="AM7" s="96"/>
      <c r="AP7" s="93" t="s">
        <v>91</v>
      </c>
      <c r="AQ7" s="86">
        <v>118</v>
      </c>
      <c r="AR7" s="349">
        <v>3192.5</v>
      </c>
      <c r="AS7" s="94">
        <v>0.1</v>
      </c>
      <c r="AT7" s="349">
        <f t="shared" si="2"/>
        <v>3511.7500000000005</v>
      </c>
      <c r="AW7" s="55" t="s">
        <v>138</v>
      </c>
      <c r="AX7" s="55">
        <v>3</v>
      </c>
      <c r="AY7" s="55">
        <v>3</v>
      </c>
      <c r="AZ7" s="55">
        <f t="shared" si="3"/>
        <v>9</v>
      </c>
      <c r="BA7" s="358">
        <f>275</f>
        <v>275</v>
      </c>
      <c r="BB7" s="358">
        <f t="shared" si="4"/>
        <v>2475</v>
      </c>
    </row>
    <row r="8" spans="1:54" ht="15" thickBot="1">
      <c r="A8" s="85" t="s">
        <v>139</v>
      </c>
      <c r="B8" s="48">
        <f>O8</f>
        <v>431911</v>
      </c>
      <c r="D8" s="106" t="s">
        <v>140</v>
      </c>
      <c r="E8" s="107">
        <f>SUM(E3:E7)</f>
        <v>390</v>
      </c>
      <c r="F8" s="108">
        <f t="shared" si="0"/>
        <v>1</v>
      </c>
      <c r="H8" s="109" t="s">
        <v>140</v>
      </c>
      <c r="I8" s="80">
        <f t="shared" ref="I8:O8" si="5">SUM(I3:I7)</f>
        <v>12</v>
      </c>
      <c r="J8" s="80">
        <f t="shared" si="5"/>
        <v>390</v>
      </c>
      <c r="K8" s="80">
        <f t="shared" si="5"/>
        <v>171</v>
      </c>
      <c r="L8" s="80">
        <f t="shared" si="5"/>
        <v>52</v>
      </c>
      <c r="M8" s="80">
        <f t="shared" si="5"/>
        <v>118</v>
      </c>
      <c r="N8" s="80">
        <f t="shared" si="5"/>
        <v>49</v>
      </c>
      <c r="O8" s="110">
        <f t="shared" si="5"/>
        <v>431911</v>
      </c>
      <c r="P8" s="84" t="s">
        <v>141</v>
      </c>
      <c r="Q8" s="48">
        <v>1</v>
      </c>
      <c r="R8" s="59"/>
      <c r="S8" s="58" t="s">
        <v>0</v>
      </c>
      <c r="T8" s="68">
        <v>256531</v>
      </c>
      <c r="U8" s="99" t="s">
        <v>61</v>
      </c>
      <c r="V8" s="58" t="s">
        <v>1042</v>
      </c>
      <c r="W8" s="68"/>
      <c r="X8" s="99" t="s">
        <v>61</v>
      </c>
      <c r="AA8" s="95" t="s">
        <v>142</v>
      </c>
      <c r="AB8" s="55">
        <f>21*2+14*8+8*12+7*8</f>
        <v>306</v>
      </c>
      <c r="AF8" s="96"/>
      <c r="AH8" s="95" t="s">
        <v>142</v>
      </c>
      <c r="AI8" s="55">
        <v>19965</v>
      </c>
      <c r="AM8" s="96"/>
      <c r="AP8" s="100" t="s">
        <v>92</v>
      </c>
      <c r="AQ8" s="101">
        <v>49</v>
      </c>
      <c r="AR8" s="350">
        <v>3192.5</v>
      </c>
      <c r="AS8" s="102">
        <v>0.2</v>
      </c>
      <c r="AT8" s="350">
        <f t="shared" si="2"/>
        <v>3831</v>
      </c>
      <c r="AW8" s="55" t="s">
        <v>144</v>
      </c>
      <c r="AX8" s="55">
        <v>2</v>
      </c>
      <c r="AY8" s="55">
        <v>2</v>
      </c>
      <c r="AZ8" s="55">
        <f t="shared" si="3"/>
        <v>4</v>
      </c>
      <c r="BA8" s="358">
        <v>275</v>
      </c>
      <c r="BB8" s="358">
        <f t="shared" si="4"/>
        <v>1100</v>
      </c>
    </row>
    <row r="9" spans="1:54" ht="15" thickBot="1">
      <c r="A9" s="85" t="s">
        <v>145</v>
      </c>
      <c r="B9" s="111">
        <v>15.826000000000001</v>
      </c>
      <c r="D9" s="72" t="s">
        <v>146</v>
      </c>
      <c r="E9" s="72"/>
      <c r="F9" s="72"/>
      <c r="K9" s="57"/>
      <c r="L9" s="112"/>
      <c r="M9" s="112"/>
      <c r="P9" s="84" t="s">
        <v>147</v>
      </c>
      <c r="Q9" s="48">
        <v>2728</v>
      </c>
      <c r="R9" s="59" t="s">
        <v>148</v>
      </c>
      <c r="S9" s="58" t="s">
        <v>149</v>
      </c>
      <c r="T9" s="68">
        <v>900</v>
      </c>
      <c r="U9" s="99" t="s">
        <v>61</v>
      </c>
      <c r="V9" s="58" t="s">
        <v>1043</v>
      </c>
      <c r="W9" s="68"/>
      <c r="X9" s="99" t="s">
        <v>61</v>
      </c>
      <c r="AA9" s="95" t="s">
        <v>150</v>
      </c>
      <c r="AB9" s="55">
        <f>21*4+8*6</f>
        <v>132</v>
      </c>
      <c r="AC9" s="55">
        <f>SUM(AB5:AB9)</f>
        <v>892</v>
      </c>
      <c r="AF9" s="96"/>
      <c r="AH9" s="95" t="s">
        <v>150</v>
      </c>
      <c r="AI9" s="55">
        <f>5870+6250+6290+5915</f>
        <v>24325</v>
      </c>
      <c r="AJ9" s="55">
        <f>SUM(AI5:AI9)</f>
        <v>81376</v>
      </c>
      <c r="AM9" s="96"/>
      <c r="AP9" s="106" t="s">
        <v>140</v>
      </c>
      <c r="AQ9" s="107">
        <f>SUM(AQ4:AQ8)</f>
        <v>390</v>
      </c>
      <c r="AR9" s="107"/>
      <c r="AS9" s="108"/>
      <c r="AT9" s="107">
        <f>SUMPRODUCT(AQ4:AQ8,AT4:AT8)/AQ9</f>
        <v>3369.3153846153846</v>
      </c>
      <c r="BA9" s="358"/>
      <c r="BB9" s="358">
        <f>SUM(BB4:BB8)</f>
        <v>17050</v>
      </c>
    </row>
    <row r="10" spans="1:54">
      <c r="A10" s="85" t="s">
        <v>152</v>
      </c>
      <c r="B10" s="48">
        <f>B9*43560</f>
        <v>689380.56</v>
      </c>
      <c r="D10" s="113" t="s">
        <v>153</v>
      </c>
      <c r="E10" s="114"/>
      <c r="F10" s="115">
        <v>0</v>
      </c>
      <c r="K10" s="1"/>
      <c r="P10" s="84" t="s">
        <v>154</v>
      </c>
      <c r="Q10" s="48">
        <f>(62109+12359+64481+23240+12359)/100</f>
        <v>1745.48</v>
      </c>
      <c r="R10" s="59" t="s">
        <v>155</v>
      </c>
      <c r="S10" s="58" t="s">
        <v>156</v>
      </c>
      <c r="T10" s="68">
        <f>10114-1655-215-35*8</f>
        <v>7964</v>
      </c>
      <c r="U10" s="99" t="s">
        <v>61</v>
      </c>
      <c r="V10" s="58" t="s">
        <v>1044</v>
      </c>
      <c r="W10" s="68"/>
      <c r="X10" s="99" t="s">
        <v>61</v>
      </c>
      <c r="AA10" s="95"/>
      <c r="AF10" s="96"/>
      <c r="AH10" s="95"/>
      <c r="AM10" s="96"/>
      <c r="AT10" s="351">
        <f>AT9-AR8</f>
        <v>176.81538461538457</v>
      </c>
    </row>
    <row r="11" spans="1:54" ht="15" thickBot="1">
      <c r="A11" s="85" t="s">
        <v>157</v>
      </c>
      <c r="B11" s="48">
        <v>5</v>
      </c>
      <c r="D11" s="85" t="s">
        <v>158</v>
      </c>
      <c r="E11" s="45"/>
      <c r="F11" s="86">
        <v>388</v>
      </c>
      <c r="K11" s="354"/>
      <c r="M11" s="355"/>
      <c r="N11" s="347"/>
      <c r="P11" s="84" t="s">
        <v>159</v>
      </c>
      <c r="Q11" s="48">
        <v>26012</v>
      </c>
      <c r="R11" s="59" t="s">
        <v>160</v>
      </c>
      <c r="S11" s="58" t="s">
        <v>161</v>
      </c>
      <c r="T11" s="68">
        <f>67+148+90+132</f>
        <v>437</v>
      </c>
      <c r="U11" s="99" t="s">
        <v>148</v>
      </c>
      <c r="V11" s="58" t="s">
        <v>162</v>
      </c>
      <c r="W11" s="68">
        <v>19607</v>
      </c>
      <c r="X11" s="99" t="s">
        <v>61</v>
      </c>
      <c r="AA11" s="95" t="s">
        <v>163</v>
      </c>
      <c r="AE11" s="55" t="s">
        <v>138</v>
      </c>
      <c r="AF11" s="96">
        <f>14*8</f>
        <v>112</v>
      </c>
      <c r="AH11" s="95" t="s">
        <v>163</v>
      </c>
      <c r="AL11" s="55" t="s">
        <v>138</v>
      </c>
      <c r="AM11" s="96">
        <f>5782+5760+8825+9150</f>
        <v>29517</v>
      </c>
      <c r="AT11" s="352">
        <f>AT10/AR8</f>
        <v>5.5384615384615372E-2</v>
      </c>
    </row>
    <row r="12" spans="1:54">
      <c r="A12" s="116" t="s">
        <v>164</v>
      </c>
      <c r="B12" s="117"/>
      <c r="D12" s="85" t="s">
        <v>165</v>
      </c>
      <c r="E12" s="45"/>
      <c r="F12" s="86">
        <v>403</v>
      </c>
      <c r="K12" s="1"/>
      <c r="P12" s="84" t="s">
        <v>1045</v>
      </c>
      <c r="Q12" s="48">
        <f>139051+19843+101286+52253+19843</f>
        <v>332276</v>
      </c>
      <c r="R12" s="59" t="s">
        <v>167</v>
      </c>
      <c r="S12" s="118" t="s">
        <v>168</v>
      </c>
      <c r="T12" s="49">
        <f>200*2</f>
        <v>400</v>
      </c>
      <c r="U12" s="119" t="s">
        <v>148</v>
      </c>
      <c r="V12" s="58" t="s">
        <v>169</v>
      </c>
      <c r="W12" s="68">
        <v>2180</v>
      </c>
      <c r="X12" s="99" t="s">
        <v>61</v>
      </c>
      <c r="AA12" s="95" t="s">
        <v>128</v>
      </c>
      <c r="AF12" s="96">
        <f>20*8</f>
        <v>160</v>
      </c>
      <c r="AH12" s="95" t="s">
        <v>128</v>
      </c>
      <c r="AM12" s="96"/>
    </row>
    <row r="13" spans="1:54" ht="15" thickBot="1">
      <c r="A13" s="120" t="s">
        <v>170</v>
      </c>
      <c r="B13" s="202">
        <v>45062</v>
      </c>
      <c r="D13" s="85" t="s">
        <v>171</v>
      </c>
      <c r="E13" s="45"/>
      <c r="F13" s="86">
        <v>16</v>
      </c>
      <c r="K13" s="1"/>
      <c r="P13" s="84" t="s">
        <v>172</v>
      </c>
      <c r="Q13" s="46">
        <f>F11</f>
        <v>388</v>
      </c>
      <c r="R13" s="59" t="s">
        <v>108</v>
      </c>
      <c r="S13" s="58" t="s">
        <v>173</v>
      </c>
      <c r="T13" s="68">
        <v>7476</v>
      </c>
      <c r="U13" s="99" t="s">
        <v>61</v>
      </c>
      <c r="V13" s="58" t="s">
        <v>174</v>
      </c>
      <c r="W13" s="49">
        <v>14333</v>
      </c>
      <c r="X13" s="99" t="s">
        <v>61</v>
      </c>
      <c r="AA13" s="95" t="s">
        <v>133</v>
      </c>
      <c r="AF13" s="96">
        <f>8*18</f>
        <v>144</v>
      </c>
      <c r="AH13" s="95" t="s">
        <v>133</v>
      </c>
      <c r="AM13" s="96"/>
    </row>
    <row r="14" spans="1:54">
      <c r="A14" s="121" t="s">
        <v>175</v>
      </c>
      <c r="B14" s="86" t="s">
        <v>1046</v>
      </c>
      <c r="D14" s="85" t="s">
        <v>176</v>
      </c>
      <c r="E14" s="45"/>
      <c r="F14" s="86">
        <v>0</v>
      </c>
      <c r="J14" s="122" t="s">
        <v>177</v>
      </c>
      <c r="K14" s="123"/>
      <c r="L14" s="124">
        <f>L329</f>
        <v>84590981.353507102</v>
      </c>
      <c r="P14" s="84" t="s">
        <v>178</v>
      </c>
      <c r="Q14" s="48">
        <v>60</v>
      </c>
      <c r="R14" s="59" t="s">
        <v>179</v>
      </c>
      <c r="S14" s="58" t="s">
        <v>180</v>
      </c>
      <c r="T14" s="68">
        <v>0</v>
      </c>
      <c r="U14" s="99" t="s">
        <v>61</v>
      </c>
      <c r="V14" s="58" t="s">
        <v>181</v>
      </c>
      <c r="W14" s="68">
        <v>6594</v>
      </c>
      <c r="X14" s="99" t="s">
        <v>61</v>
      </c>
      <c r="AA14" s="95" t="s">
        <v>137</v>
      </c>
      <c r="AF14" s="96">
        <f>7*12</f>
        <v>84</v>
      </c>
      <c r="AH14" s="95" t="s">
        <v>137</v>
      </c>
      <c r="AM14" s="96"/>
    </row>
    <row r="15" spans="1:54">
      <c r="A15" s="121" t="s">
        <v>182</v>
      </c>
      <c r="B15" s="86" t="s">
        <v>1046</v>
      </c>
      <c r="D15" s="85" t="s">
        <v>183</v>
      </c>
      <c r="E15" s="45"/>
      <c r="F15" s="86">
        <f>SUM(F10:F14)</f>
        <v>807</v>
      </c>
      <c r="J15" s="125" t="s">
        <v>184</v>
      </c>
      <c r="K15" s="126"/>
      <c r="L15" s="127">
        <f>L14/E8</f>
        <v>216899.95218847974</v>
      </c>
      <c r="P15" s="84" t="s">
        <v>185</v>
      </c>
      <c r="Q15" s="48">
        <v>1</v>
      </c>
      <c r="R15" s="59" t="s">
        <v>186</v>
      </c>
      <c r="S15" s="58" t="s">
        <v>187</v>
      </c>
      <c r="T15" s="68">
        <f>748+1140</f>
        <v>1888</v>
      </c>
      <c r="U15" s="99" t="s">
        <v>61</v>
      </c>
      <c r="V15" s="58" t="s">
        <v>1047</v>
      </c>
      <c r="W15" s="68">
        <v>2180</v>
      </c>
      <c r="X15" s="99" t="s">
        <v>61</v>
      </c>
      <c r="AA15" s="95" t="s">
        <v>142</v>
      </c>
      <c r="AB15" s="55">
        <f>21*2+14*2+8*6+7*6</f>
        <v>160</v>
      </c>
      <c r="AC15" s="55">
        <f>AB15*2</f>
        <v>320</v>
      </c>
      <c r="AF15" s="96">
        <f>SUM(AF11:AF14)</f>
        <v>500</v>
      </c>
      <c r="AH15" s="95" t="s">
        <v>142</v>
      </c>
      <c r="AI15" s="55">
        <f>5035+5775+1960+1960</f>
        <v>14730</v>
      </c>
      <c r="AJ15" s="55">
        <f>AI15*2</f>
        <v>29460</v>
      </c>
      <c r="AM15" s="96"/>
    </row>
    <row r="16" spans="1:54" ht="15" thickBot="1">
      <c r="A16" s="121" t="s">
        <v>188</v>
      </c>
      <c r="B16" s="86" t="s">
        <v>1046</v>
      </c>
      <c r="D16" s="129" t="s">
        <v>189</v>
      </c>
      <c r="E16" s="130"/>
      <c r="F16" s="131">
        <f>SUM(F10:F13)/E8</f>
        <v>2.0692307692307694</v>
      </c>
      <c r="J16" s="132" t="s">
        <v>190</v>
      </c>
      <c r="K16" s="133"/>
      <c r="L16" s="134">
        <f>L14/B8</f>
        <v>195.85280614179101</v>
      </c>
      <c r="P16" s="84" t="s">
        <v>191</v>
      </c>
      <c r="Q16" s="48">
        <v>10</v>
      </c>
      <c r="R16" s="59" t="s">
        <v>186</v>
      </c>
      <c r="S16" s="58" t="s">
        <v>192</v>
      </c>
      <c r="T16" s="68">
        <v>1557</v>
      </c>
      <c r="U16" s="99" t="s">
        <v>61</v>
      </c>
      <c r="V16" s="58" t="s">
        <v>193</v>
      </c>
      <c r="W16" s="68">
        <v>6</v>
      </c>
      <c r="X16" s="99" t="s">
        <v>108</v>
      </c>
      <c r="AA16" s="95"/>
      <c r="AF16" s="96"/>
      <c r="AH16" s="95"/>
      <c r="AM16" s="96"/>
    </row>
    <row r="17" spans="1:39" ht="15" thickBot="1">
      <c r="A17" s="128" t="s">
        <v>194</v>
      </c>
      <c r="B17" s="203">
        <v>45043</v>
      </c>
      <c r="C17" s="136"/>
      <c r="D17" s="136"/>
      <c r="J17" s="1"/>
      <c r="P17" s="84" t="s">
        <v>195</v>
      </c>
      <c r="Q17" s="48">
        <v>72</v>
      </c>
      <c r="R17" s="59" t="s">
        <v>186</v>
      </c>
      <c r="S17" s="58" t="s">
        <v>196</v>
      </c>
      <c r="T17" s="68">
        <v>0</v>
      </c>
      <c r="U17" s="99" t="s">
        <v>61</v>
      </c>
      <c r="V17" s="58" t="s">
        <v>197</v>
      </c>
      <c r="W17" s="68">
        <v>1</v>
      </c>
      <c r="X17" s="99" t="s">
        <v>108</v>
      </c>
      <c r="AA17" s="137" t="s">
        <v>198</v>
      </c>
      <c r="AB17" s="138">
        <f>12.5*62</f>
        <v>775</v>
      </c>
      <c r="AC17" s="138"/>
      <c r="AD17" s="138"/>
      <c r="AE17" s="138"/>
      <c r="AF17" s="139"/>
      <c r="AH17" s="137" t="s">
        <v>198</v>
      </c>
      <c r="AI17" s="138">
        <f>12.5*62</f>
        <v>775</v>
      </c>
      <c r="AJ17" s="138"/>
      <c r="AK17" s="138"/>
      <c r="AL17" s="138"/>
      <c r="AM17" s="139"/>
    </row>
    <row r="18" spans="1:39" ht="15" thickBot="1">
      <c r="A18" s="135"/>
      <c r="B18" s="136"/>
      <c r="C18" s="136"/>
      <c r="D18" s="136"/>
      <c r="J18" s="1"/>
      <c r="P18" s="140" t="s">
        <v>199</v>
      </c>
      <c r="Q18" s="141">
        <v>11</v>
      </c>
      <c r="R18" s="142" t="s">
        <v>186</v>
      </c>
      <c r="S18" s="140" t="s">
        <v>200</v>
      </c>
      <c r="T18" s="141">
        <f>(E6*250+E7*500)/E8</f>
        <v>138.46153846153845</v>
      </c>
      <c r="U18" s="142"/>
      <c r="V18" s="140" t="s">
        <v>201</v>
      </c>
      <c r="W18" s="141">
        <f>119500+43500+114500</f>
        <v>277500</v>
      </c>
      <c r="X18" s="142"/>
    </row>
    <row r="19" spans="1:39" ht="30.75" customHeight="1" thickBot="1">
      <c r="A19" s="33" t="s">
        <v>202</v>
      </c>
      <c r="B19" s="34" t="s">
        <v>203</v>
      </c>
      <c r="C19" s="35" t="s">
        <v>204</v>
      </c>
      <c r="D19" s="34" t="s">
        <v>205</v>
      </c>
      <c r="E19" s="34" t="s">
        <v>206</v>
      </c>
      <c r="F19" s="34" t="s">
        <v>207</v>
      </c>
      <c r="G19" s="34" t="s">
        <v>1048</v>
      </c>
      <c r="H19" s="34" t="s">
        <v>209</v>
      </c>
      <c r="I19" s="35" t="s">
        <v>210</v>
      </c>
      <c r="J19" s="35" t="s">
        <v>211</v>
      </c>
      <c r="K19" s="34" t="s">
        <v>212</v>
      </c>
      <c r="L19" s="33" t="s">
        <v>119</v>
      </c>
      <c r="M19" s="36" t="s">
        <v>213</v>
      </c>
      <c r="N19" s="37"/>
      <c r="O19" s="37"/>
      <c r="P19" s="37"/>
      <c r="Q19" s="37"/>
      <c r="R19" s="37"/>
      <c r="S19" s="37"/>
      <c r="T19" s="37"/>
      <c r="U19" s="37"/>
      <c r="V19" s="37"/>
      <c r="W19" s="37"/>
      <c r="X19" s="37"/>
      <c r="Y19" s="37"/>
    </row>
    <row r="20" spans="1:39">
      <c r="A20" s="2" t="s">
        <v>214</v>
      </c>
      <c r="B20" s="143" t="s">
        <v>215</v>
      </c>
      <c r="C20" s="143"/>
      <c r="D20" s="143"/>
      <c r="E20" s="143"/>
      <c r="F20" s="143"/>
      <c r="G20" s="143"/>
      <c r="H20" s="144"/>
      <c r="I20" s="145"/>
      <c r="J20" s="146"/>
      <c r="K20" s="146"/>
      <c r="L20" s="69">
        <f>K21</f>
        <v>4240149</v>
      </c>
      <c r="M20" s="45" t="s">
        <v>854</v>
      </c>
      <c r="N20" s="114"/>
      <c r="O20" s="114"/>
      <c r="P20" s="114"/>
      <c r="Q20" s="114"/>
      <c r="R20" s="114"/>
      <c r="S20" s="114"/>
      <c r="T20" s="114"/>
      <c r="U20" s="114"/>
      <c r="V20" s="114"/>
      <c r="W20" s="114"/>
      <c r="X20" s="114"/>
      <c r="Y20" s="114"/>
    </row>
    <row r="21" spans="1:39">
      <c r="A21" s="3" t="s">
        <v>214</v>
      </c>
      <c r="B21" s="60" t="s">
        <v>215</v>
      </c>
      <c r="C21" s="60" t="s">
        <v>216</v>
      </c>
      <c r="D21" s="60"/>
      <c r="E21" s="60"/>
      <c r="F21" s="60" t="s">
        <v>217</v>
      </c>
      <c r="G21" s="62">
        <f>$B$6</f>
        <v>26</v>
      </c>
      <c r="H21" s="195">
        <f>4240149/26</f>
        <v>163082.65384615384</v>
      </c>
      <c r="I21" s="148">
        <v>0</v>
      </c>
      <c r="J21" s="149">
        <f>H21*(1+I21)</f>
        <v>163082.65384615384</v>
      </c>
      <c r="K21" s="150">
        <f>J21*G21</f>
        <v>4240149</v>
      </c>
      <c r="M21" s="45"/>
      <c r="N21" s="45"/>
      <c r="O21" s="45"/>
      <c r="P21" s="45"/>
      <c r="Q21" s="45"/>
      <c r="R21" s="45"/>
      <c r="S21" s="45"/>
      <c r="T21" s="45"/>
      <c r="U21" s="45"/>
      <c r="V21" s="45"/>
      <c r="W21" s="45"/>
      <c r="X21" s="45"/>
      <c r="Y21" s="45"/>
    </row>
    <row r="22" spans="1:39">
      <c r="A22" s="4" t="s">
        <v>219</v>
      </c>
      <c r="B22" s="151" t="s">
        <v>220</v>
      </c>
      <c r="C22" s="151"/>
      <c r="D22" s="151"/>
      <c r="E22" s="151"/>
      <c r="F22" s="151"/>
      <c r="G22" s="152"/>
      <c r="H22" s="153"/>
      <c r="I22" s="154"/>
      <c r="J22" s="155"/>
      <c r="K22" s="156"/>
      <c r="L22" s="70">
        <f>K23</f>
        <v>12000</v>
      </c>
      <c r="M22" s="45"/>
      <c r="N22" s="45"/>
      <c r="O22" s="45"/>
      <c r="P22" s="45"/>
      <c r="Q22" s="45"/>
      <c r="R22" s="45"/>
      <c r="S22" s="45"/>
      <c r="T22" s="45"/>
      <c r="U22" s="45"/>
      <c r="V22" s="45"/>
      <c r="W22" s="45"/>
      <c r="X22" s="45"/>
      <c r="Y22" s="45"/>
    </row>
    <row r="23" spans="1:39">
      <c r="A23" s="5" t="s">
        <v>221</v>
      </c>
      <c r="B23" s="65" t="s">
        <v>222</v>
      </c>
      <c r="C23" s="65" t="s">
        <v>216</v>
      </c>
      <c r="D23" s="65" t="s">
        <v>223</v>
      </c>
      <c r="E23" s="65" t="s">
        <v>73</v>
      </c>
      <c r="F23" s="65"/>
      <c r="G23" s="43">
        <v>1</v>
      </c>
      <c r="H23" s="64">
        <v>12000</v>
      </c>
      <c r="I23" s="157">
        <v>0</v>
      </c>
      <c r="J23" s="158">
        <f>H23*(1+I23)</f>
        <v>12000</v>
      </c>
      <c r="K23" s="159">
        <f>J23*G23</f>
        <v>12000</v>
      </c>
      <c r="M23" s="45"/>
      <c r="N23" s="45"/>
      <c r="O23" s="45"/>
      <c r="P23" s="45"/>
      <c r="Q23" s="45"/>
      <c r="R23" s="45"/>
      <c r="S23" s="45"/>
      <c r="T23" s="45"/>
      <c r="U23" s="45"/>
      <c r="V23" s="45"/>
      <c r="W23" s="45"/>
      <c r="X23" s="45"/>
      <c r="Y23" s="45"/>
    </row>
    <row r="24" spans="1:39">
      <c r="A24" s="4" t="s">
        <v>224</v>
      </c>
      <c r="B24" s="151" t="s">
        <v>225</v>
      </c>
      <c r="C24" s="151"/>
      <c r="D24" s="151"/>
      <c r="E24" s="151"/>
      <c r="F24" s="151"/>
      <c r="G24" s="152"/>
      <c r="H24" s="153"/>
      <c r="I24" s="154"/>
      <c r="J24" s="155"/>
      <c r="K24" s="156"/>
      <c r="L24" s="70">
        <f>SUM(K25:K34)</f>
        <v>2934605.2</v>
      </c>
      <c r="M24" s="45"/>
      <c r="N24" s="45"/>
      <c r="O24" s="45"/>
      <c r="P24" s="45"/>
      <c r="Q24" s="45"/>
      <c r="R24" s="45"/>
      <c r="S24" s="45"/>
      <c r="T24" s="45"/>
      <c r="U24" s="45"/>
      <c r="V24" s="45"/>
      <c r="W24" s="45"/>
      <c r="X24" s="45"/>
      <c r="Y24" s="45"/>
      <c r="Z24" s="56"/>
    </row>
    <row r="25" spans="1:39">
      <c r="A25" s="6" t="s">
        <v>226</v>
      </c>
      <c r="B25" s="47" t="s">
        <v>227</v>
      </c>
      <c r="C25" s="47" t="s">
        <v>216</v>
      </c>
      <c r="D25" s="47" t="s">
        <v>228</v>
      </c>
      <c r="E25" s="47" t="s">
        <v>44</v>
      </c>
      <c r="F25" s="47" t="s">
        <v>61</v>
      </c>
      <c r="G25" s="42">
        <f>Q2</f>
        <v>172112</v>
      </c>
      <c r="H25" s="61">
        <v>11.99</v>
      </c>
      <c r="I25" s="63">
        <v>0</v>
      </c>
      <c r="J25" s="66">
        <f t="shared" ref="J25:J34" si="6">H25*(1+I25)</f>
        <v>11.99</v>
      </c>
      <c r="K25" s="67">
        <f t="shared" ref="K25:K34" si="7">J25*G25</f>
        <v>2063622.8800000001</v>
      </c>
      <c r="M25" s="45" t="s">
        <v>1090</v>
      </c>
      <c r="N25" s="45"/>
      <c r="O25" s="45"/>
      <c r="P25" s="45"/>
      <c r="Q25" s="45"/>
      <c r="R25" s="45"/>
      <c r="S25" s="45"/>
      <c r="T25" s="45"/>
      <c r="U25" s="45"/>
      <c r="V25" s="45"/>
      <c r="W25" s="45"/>
      <c r="X25" s="45"/>
      <c r="Y25" s="45"/>
      <c r="Z25" s="56"/>
    </row>
    <row r="26" spans="1:39">
      <c r="A26" s="7" t="s">
        <v>230</v>
      </c>
      <c r="B26" s="40" t="s">
        <v>227</v>
      </c>
      <c r="C26" s="40" t="s">
        <v>216</v>
      </c>
      <c r="D26" s="40" t="s">
        <v>228</v>
      </c>
      <c r="E26" s="40" t="s">
        <v>231</v>
      </c>
      <c r="F26" s="40"/>
      <c r="G26" s="38"/>
      <c r="H26" s="51"/>
      <c r="I26" s="53"/>
      <c r="J26" s="160">
        <f t="shared" si="6"/>
        <v>0</v>
      </c>
      <c r="K26" s="67">
        <f t="shared" si="7"/>
        <v>0</v>
      </c>
      <c r="M26" s="45"/>
      <c r="N26" s="45"/>
      <c r="O26" s="45"/>
      <c r="P26" s="45"/>
      <c r="Q26" s="45"/>
      <c r="R26" s="45"/>
      <c r="S26" s="45"/>
      <c r="T26" s="45"/>
      <c r="U26" s="45"/>
      <c r="V26" s="45"/>
      <c r="W26" s="45"/>
      <c r="X26" s="45"/>
      <c r="Y26" s="45"/>
      <c r="Z26" s="56"/>
    </row>
    <row r="27" spans="1:39">
      <c r="A27" s="7" t="s">
        <v>232</v>
      </c>
      <c r="B27" s="40" t="s">
        <v>227</v>
      </c>
      <c r="C27" s="40" t="s">
        <v>233</v>
      </c>
      <c r="D27" s="40" t="s">
        <v>228</v>
      </c>
      <c r="E27" s="60" t="s">
        <v>73</v>
      </c>
      <c r="F27" s="40" t="s">
        <v>71</v>
      </c>
      <c r="G27" s="38">
        <v>1</v>
      </c>
      <c r="H27" s="51">
        <f>2500*3</f>
        <v>7500</v>
      </c>
      <c r="I27" s="53">
        <v>0</v>
      </c>
      <c r="J27" s="160">
        <f t="shared" si="6"/>
        <v>7500</v>
      </c>
      <c r="K27" s="67">
        <f t="shared" si="7"/>
        <v>7500</v>
      </c>
      <c r="M27" s="45"/>
      <c r="N27" s="45"/>
      <c r="O27" s="45"/>
      <c r="P27" s="45"/>
      <c r="Q27" s="45"/>
      <c r="R27" s="45"/>
      <c r="S27" s="45"/>
      <c r="T27" s="45"/>
      <c r="U27" s="45"/>
      <c r="V27" s="45"/>
      <c r="W27" s="45"/>
      <c r="X27" s="45"/>
      <c r="Y27" s="45"/>
      <c r="Z27" s="56"/>
      <c r="AF27" s="55">
        <f>1800+1350+1350+360+900+360+900+1080+360+450</f>
        <v>8910</v>
      </c>
    </row>
    <row r="28" spans="1:39">
      <c r="A28" s="7" t="s">
        <v>234</v>
      </c>
      <c r="B28" s="40" t="s">
        <v>227</v>
      </c>
      <c r="C28" s="40" t="s">
        <v>216</v>
      </c>
      <c r="D28" s="40" t="s">
        <v>235</v>
      </c>
      <c r="E28" s="40" t="s">
        <v>44</v>
      </c>
      <c r="F28" s="60" t="s">
        <v>61</v>
      </c>
      <c r="G28" s="62">
        <v>300</v>
      </c>
      <c r="H28" s="51">
        <v>11.99</v>
      </c>
      <c r="I28" s="53"/>
      <c r="J28" s="160">
        <f t="shared" si="6"/>
        <v>11.99</v>
      </c>
      <c r="K28" s="67">
        <f t="shared" si="7"/>
        <v>3597</v>
      </c>
      <c r="M28" s="45"/>
      <c r="N28" s="45"/>
      <c r="O28" s="45"/>
      <c r="P28" s="45"/>
      <c r="Q28" s="45"/>
      <c r="R28" s="45"/>
      <c r="S28" s="45"/>
      <c r="T28" s="45"/>
      <c r="U28" s="45"/>
      <c r="V28" s="45"/>
      <c r="W28" s="45"/>
      <c r="X28" s="45"/>
      <c r="Y28" s="45"/>
      <c r="Z28" s="56"/>
    </row>
    <row r="29" spans="1:39">
      <c r="A29" s="7" t="s">
        <v>236</v>
      </c>
      <c r="B29" s="40" t="s">
        <v>237</v>
      </c>
      <c r="C29" s="40" t="s">
        <v>216</v>
      </c>
      <c r="D29" s="40" t="s">
        <v>238</v>
      </c>
      <c r="E29" s="40" t="s">
        <v>44</v>
      </c>
      <c r="F29" s="40" t="s">
        <v>108</v>
      </c>
      <c r="G29" s="38">
        <f>Q5</f>
        <v>14</v>
      </c>
      <c r="H29" s="51">
        <f>11031/4</f>
        <v>2757.75</v>
      </c>
      <c r="I29" s="53">
        <v>0</v>
      </c>
      <c r="J29" s="160">
        <f t="shared" si="6"/>
        <v>2757.75</v>
      </c>
      <c r="K29" s="67">
        <f t="shared" si="7"/>
        <v>38608.5</v>
      </c>
      <c r="M29" s="45"/>
      <c r="N29" s="45"/>
      <c r="O29" s="45"/>
      <c r="P29" s="45"/>
      <c r="Q29" s="45"/>
      <c r="R29" s="45"/>
      <c r="S29" s="45"/>
      <c r="T29" s="45"/>
      <c r="U29" s="45"/>
      <c r="V29" s="45"/>
      <c r="W29" s="45"/>
      <c r="X29" s="45"/>
      <c r="Y29" s="45"/>
      <c r="Z29" s="56"/>
    </row>
    <row r="30" spans="1:39" ht="15" thickBot="1">
      <c r="A30" s="7" t="s">
        <v>240</v>
      </c>
      <c r="B30" s="40" t="s">
        <v>241</v>
      </c>
      <c r="C30" s="40" t="s">
        <v>216</v>
      </c>
      <c r="D30" s="40" t="s">
        <v>242</v>
      </c>
      <c r="E30" s="40" t="s">
        <v>44</v>
      </c>
      <c r="F30" s="40" t="s">
        <v>71</v>
      </c>
      <c r="G30" s="38">
        <f>$Q$7</f>
        <v>1</v>
      </c>
      <c r="H30" s="51">
        <v>2500</v>
      </c>
      <c r="I30" s="53">
        <v>0</v>
      </c>
      <c r="J30" s="160">
        <f t="shared" si="6"/>
        <v>2500</v>
      </c>
      <c r="K30" s="67">
        <f t="shared" si="7"/>
        <v>2500</v>
      </c>
      <c r="M30" s="45"/>
      <c r="N30" s="45"/>
      <c r="O30" s="45"/>
      <c r="P30" s="45"/>
      <c r="Q30" s="45"/>
      <c r="R30" s="45"/>
      <c r="S30" s="45"/>
      <c r="T30" s="45"/>
      <c r="U30" s="45"/>
      <c r="V30" s="45"/>
      <c r="W30" s="45"/>
      <c r="X30" s="45"/>
      <c r="Y30" s="45"/>
      <c r="Z30" s="56"/>
      <c r="AE30" s="56"/>
      <c r="AF30" s="56"/>
      <c r="AG30" s="56"/>
      <c r="AH30" s="56"/>
      <c r="AI30" s="56"/>
    </row>
    <row r="31" spans="1:39">
      <c r="A31" s="7" t="s">
        <v>243</v>
      </c>
      <c r="B31" s="40" t="s">
        <v>244</v>
      </c>
      <c r="C31" s="40" t="s">
        <v>216</v>
      </c>
      <c r="D31" s="40" t="s">
        <v>242</v>
      </c>
      <c r="E31" s="40" t="s">
        <v>231</v>
      </c>
      <c r="F31" s="40"/>
      <c r="G31" s="38"/>
      <c r="H31" s="51"/>
      <c r="I31" s="53"/>
      <c r="J31" s="160">
        <f t="shared" si="6"/>
        <v>0</v>
      </c>
      <c r="K31" s="67">
        <f t="shared" si="7"/>
        <v>0</v>
      </c>
      <c r="M31" s="45"/>
      <c r="N31" s="45"/>
      <c r="O31" s="45"/>
      <c r="P31" s="45"/>
      <c r="Q31" s="45"/>
      <c r="R31" s="45"/>
      <c r="S31" s="45"/>
      <c r="T31" s="45"/>
      <c r="U31" s="45"/>
      <c r="V31" s="45"/>
      <c r="W31" s="45"/>
      <c r="X31" s="45"/>
      <c r="Y31" s="45"/>
      <c r="Z31" s="56"/>
      <c r="AA31" s="161" t="s">
        <v>245</v>
      </c>
      <c r="AB31" s="91"/>
      <c r="AC31" s="91"/>
      <c r="AD31" s="162" t="s">
        <v>246</v>
      </c>
      <c r="AE31" s="163" t="s">
        <v>40</v>
      </c>
      <c r="AF31" s="163" t="s">
        <v>41</v>
      </c>
      <c r="AG31" s="163" t="s">
        <v>43</v>
      </c>
      <c r="AH31" s="163" t="s">
        <v>45</v>
      </c>
      <c r="AI31" s="163" t="s">
        <v>247</v>
      </c>
      <c r="AJ31" s="164"/>
    </row>
    <row r="32" spans="1:39">
      <c r="A32" s="7" t="s">
        <v>248</v>
      </c>
      <c r="B32" s="40" t="s">
        <v>249</v>
      </c>
      <c r="C32" s="40" t="s">
        <v>216</v>
      </c>
      <c r="D32" s="40" t="s">
        <v>250</v>
      </c>
      <c r="E32" s="40" t="s">
        <v>231</v>
      </c>
      <c r="F32" s="40"/>
      <c r="G32" s="38"/>
      <c r="H32" s="51"/>
      <c r="I32" s="53"/>
      <c r="J32" s="160">
        <f t="shared" si="6"/>
        <v>0</v>
      </c>
      <c r="K32" s="67">
        <f t="shared" si="7"/>
        <v>0</v>
      </c>
      <c r="M32" s="45"/>
      <c r="N32" s="45"/>
      <c r="O32" s="45"/>
      <c r="P32" s="45"/>
      <c r="Q32" s="45"/>
      <c r="R32" s="45"/>
      <c r="S32" s="45"/>
      <c r="T32" s="45"/>
      <c r="U32" s="45"/>
      <c r="V32" s="45"/>
      <c r="W32" s="45"/>
      <c r="X32" s="45"/>
      <c r="Y32" s="45"/>
      <c r="Z32" s="56"/>
      <c r="AA32" s="95"/>
      <c r="AB32" s="55" t="s">
        <v>251</v>
      </c>
      <c r="AD32" s="55">
        <f>(21+15)</f>
        <v>36</v>
      </c>
      <c r="AE32" s="55">
        <f>AD32*7*2</f>
        <v>504</v>
      </c>
      <c r="AF32" s="55">
        <f>AD32*2</f>
        <v>72</v>
      </c>
      <c r="AG32" s="55">
        <f>AD32*7</f>
        <v>252</v>
      </c>
      <c r="AH32" s="55">
        <f>AD32*8</f>
        <v>288</v>
      </c>
      <c r="AI32" s="55">
        <v>72</v>
      </c>
      <c r="AJ32" s="96"/>
    </row>
    <row r="33" spans="1:36">
      <c r="A33" s="7" t="s">
        <v>252</v>
      </c>
      <c r="B33" s="40" t="s">
        <v>253</v>
      </c>
      <c r="C33" s="40" t="s">
        <v>216</v>
      </c>
      <c r="D33" s="40" t="s">
        <v>228</v>
      </c>
      <c r="E33" s="40" t="s">
        <v>44</v>
      </c>
      <c r="F33" s="40" t="s">
        <v>61</v>
      </c>
      <c r="G33" s="38">
        <f>T8</f>
        <v>256531</v>
      </c>
      <c r="H33" s="51">
        <v>2.94</v>
      </c>
      <c r="I33" s="53">
        <v>0</v>
      </c>
      <c r="J33" s="160">
        <f t="shared" si="6"/>
        <v>2.94</v>
      </c>
      <c r="K33" s="67">
        <f t="shared" si="7"/>
        <v>754201.14</v>
      </c>
      <c r="M33" s="45"/>
      <c r="N33" s="45"/>
      <c r="O33" s="45"/>
      <c r="P33" s="45"/>
      <c r="Q33" s="45"/>
      <c r="R33" s="45"/>
      <c r="S33" s="45"/>
      <c r="T33" s="45"/>
      <c r="U33" s="45"/>
      <c r="V33" s="45"/>
      <c r="W33" s="45"/>
      <c r="X33" s="45"/>
      <c r="Y33" s="45"/>
      <c r="Z33" s="56"/>
      <c r="AA33" s="95"/>
      <c r="AB33" s="55" t="s">
        <v>255</v>
      </c>
      <c r="AD33" s="55">
        <v>13</v>
      </c>
      <c r="AE33" s="55">
        <f>AD33*10*2</f>
        <v>260</v>
      </c>
      <c r="AF33" s="165" t="s">
        <v>231</v>
      </c>
      <c r="AG33" s="55">
        <f>AD33*8</f>
        <v>104</v>
      </c>
      <c r="AH33" s="55">
        <f>AD33*8</f>
        <v>104</v>
      </c>
      <c r="AI33" s="165" t="s">
        <v>231</v>
      </c>
      <c r="AJ33" s="96"/>
    </row>
    <row r="34" spans="1:36">
      <c r="A34" s="8" t="s">
        <v>256</v>
      </c>
      <c r="B34" s="166" t="s">
        <v>257</v>
      </c>
      <c r="C34" s="166" t="s">
        <v>216</v>
      </c>
      <c r="D34" s="166" t="s">
        <v>228</v>
      </c>
      <c r="E34" s="166" t="s">
        <v>44</v>
      </c>
      <c r="F34" s="166" t="s">
        <v>61</v>
      </c>
      <c r="G34" s="39">
        <f>SUM($T$6:$T$7)</f>
        <v>3268</v>
      </c>
      <c r="H34" s="167">
        <v>19.760000000000002</v>
      </c>
      <c r="I34" s="168">
        <v>0</v>
      </c>
      <c r="J34" s="169">
        <f t="shared" si="6"/>
        <v>19.760000000000002</v>
      </c>
      <c r="K34" s="159">
        <f t="shared" si="7"/>
        <v>64575.680000000008</v>
      </c>
      <c r="L34" s="71"/>
      <c r="M34" s="45"/>
      <c r="N34" s="45"/>
      <c r="O34" s="45"/>
      <c r="P34" s="45"/>
      <c r="Q34" s="45"/>
      <c r="R34" s="45"/>
      <c r="S34" s="45"/>
      <c r="T34" s="45"/>
      <c r="U34" s="45"/>
      <c r="V34" s="45"/>
      <c r="W34" s="45"/>
      <c r="X34" s="45"/>
      <c r="Y34" s="45"/>
      <c r="Z34" s="56"/>
      <c r="AA34" s="95"/>
      <c r="AB34" s="55" t="s">
        <v>258</v>
      </c>
      <c r="AD34" s="55">
        <v>8</v>
      </c>
      <c r="AE34" s="55">
        <f>AD34*52</f>
        <v>416</v>
      </c>
      <c r="AF34" s="55">
        <f>AD34*12</f>
        <v>96</v>
      </c>
      <c r="AG34" s="55">
        <f>AD34*28</f>
        <v>224</v>
      </c>
      <c r="AH34" s="55">
        <f>AD34*30</f>
        <v>240</v>
      </c>
      <c r="AI34" s="55">
        <v>96</v>
      </c>
      <c r="AJ34" s="96"/>
    </row>
    <row r="35" spans="1:36" ht="15" thickBot="1">
      <c r="A35" s="4" t="s">
        <v>259</v>
      </c>
      <c r="B35" s="151" t="s">
        <v>260</v>
      </c>
      <c r="C35" s="151"/>
      <c r="D35" s="151"/>
      <c r="E35" s="151"/>
      <c r="F35" s="151"/>
      <c r="G35" s="152"/>
      <c r="H35" s="153"/>
      <c r="I35" s="154"/>
      <c r="J35" s="155"/>
      <c r="K35" s="156"/>
      <c r="L35" s="70">
        <f>SUM(K36:K43)</f>
        <v>0</v>
      </c>
      <c r="M35" s="45"/>
      <c r="N35" s="45"/>
      <c r="O35" s="45"/>
      <c r="P35" s="45"/>
      <c r="Q35" s="45"/>
      <c r="R35" s="45"/>
      <c r="S35" s="45"/>
      <c r="T35" s="45"/>
      <c r="U35" s="45"/>
      <c r="V35" s="45"/>
      <c r="W35" s="45"/>
      <c r="X35" s="45"/>
      <c r="Y35" s="45"/>
      <c r="Z35" s="56"/>
      <c r="AA35" s="137"/>
      <c r="AB35" s="138"/>
      <c r="AC35" s="138"/>
      <c r="AD35" s="138"/>
      <c r="AE35" s="170">
        <f>SUM(AE32:AE34)</f>
        <v>1180</v>
      </c>
      <c r="AF35" s="170">
        <f t="shared" ref="AF35:AI35" si="8">SUM(AF32:AF34)</f>
        <v>168</v>
      </c>
      <c r="AG35" s="170">
        <f t="shared" si="8"/>
        <v>580</v>
      </c>
      <c r="AH35" s="170">
        <f t="shared" si="8"/>
        <v>632</v>
      </c>
      <c r="AI35" s="170">
        <f t="shared" si="8"/>
        <v>168</v>
      </c>
      <c r="AJ35" s="171">
        <f>SUM(AE35:AI35)</f>
        <v>2728</v>
      </c>
    </row>
    <row r="36" spans="1:36" ht="15" thickBot="1">
      <c r="A36" s="6" t="s">
        <v>261</v>
      </c>
      <c r="B36" s="47"/>
      <c r="C36" s="47" t="s">
        <v>216</v>
      </c>
      <c r="D36" s="47"/>
      <c r="E36" s="47" t="s">
        <v>231</v>
      </c>
      <c r="F36" s="47"/>
      <c r="G36" s="42"/>
      <c r="H36" s="61"/>
      <c r="I36" s="63"/>
      <c r="J36" s="66">
        <f t="shared" ref="J36:J43" si="9">H36*(1+I36)</f>
        <v>0</v>
      </c>
      <c r="K36" s="67">
        <f t="shared" ref="K36:K43" si="10">J36*G36</f>
        <v>0</v>
      </c>
      <c r="M36" s="45"/>
      <c r="N36" s="45"/>
      <c r="O36" s="45"/>
      <c r="P36" s="45"/>
      <c r="Q36" s="45"/>
      <c r="R36" s="45"/>
      <c r="S36" s="45"/>
      <c r="T36" s="45"/>
      <c r="U36" s="45"/>
      <c r="V36" s="45"/>
      <c r="W36" s="45"/>
      <c r="X36" s="45"/>
      <c r="Y36" s="45"/>
      <c r="Z36" s="56"/>
    </row>
    <row r="37" spans="1:36">
      <c r="A37" s="7" t="s">
        <v>262</v>
      </c>
      <c r="B37" s="40"/>
      <c r="C37" s="40" t="s">
        <v>216</v>
      </c>
      <c r="D37" s="40"/>
      <c r="E37" s="40" t="s">
        <v>231</v>
      </c>
      <c r="F37" s="40"/>
      <c r="G37" s="38"/>
      <c r="H37" s="51"/>
      <c r="I37" s="53"/>
      <c r="J37" s="160">
        <f t="shared" si="9"/>
        <v>0</v>
      </c>
      <c r="K37" s="67">
        <f t="shared" si="10"/>
        <v>0</v>
      </c>
      <c r="M37" s="45"/>
      <c r="N37" s="45"/>
      <c r="O37" s="45"/>
      <c r="P37" s="45"/>
      <c r="Q37" s="45"/>
      <c r="R37" s="45"/>
      <c r="S37" s="45"/>
      <c r="T37" s="45"/>
      <c r="U37" s="45"/>
      <c r="V37" s="45"/>
      <c r="W37" s="45"/>
      <c r="X37" s="45"/>
      <c r="Y37" s="45"/>
      <c r="Z37" s="56"/>
      <c r="AA37" s="161" t="s">
        <v>0</v>
      </c>
      <c r="AB37" s="91"/>
      <c r="AC37" s="91"/>
      <c r="AD37" s="162"/>
      <c r="AE37" s="163" t="s">
        <v>40</v>
      </c>
      <c r="AF37" s="163" t="s">
        <v>41</v>
      </c>
      <c r="AG37" s="163" t="s">
        <v>43</v>
      </c>
      <c r="AH37" s="163" t="s">
        <v>45</v>
      </c>
      <c r="AI37" s="163" t="s">
        <v>247</v>
      </c>
      <c r="AJ37" s="92"/>
    </row>
    <row r="38" spans="1:36">
      <c r="A38" s="7" t="s">
        <v>263</v>
      </c>
      <c r="B38" s="40"/>
      <c r="C38" s="40" t="s">
        <v>216</v>
      </c>
      <c r="D38" s="40"/>
      <c r="E38" s="40" t="s">
        <v>231</v>
      </c>
      <c r="F38" s="40"/>
      <c r="G38" s="38"/>
      <c r="H38" s="51"/>
      <c r="I38" s="53"/>
      <c r="J38" s="160">
        <f t="shared" si="9"/>
        <v>0</v>
      </c>
      <c r="K38" s="67">
        <f t="shared" si="10"/>
        <v>0</v>
      </c>
      <c r="M38" s="45"/>
      <c r="N38" s="45"/>
      <c r="O38" s="45"/>
      <c r="P38" s="45"/>
      <c r="Q38" s="45"/>
      <c r="R38" s="45"/>
      <c r="S38" s="45"/>
      <c r="T38" s="45"/>
      <c r="U38" s="45"/>
      <c r="V38" s="45"/>
      <c r="W38" s="45"/>
      <c r="X38" s="45"/>
      <c r="Y38" s="45"/>
      <c r="Z38" s="56"/>
      <c r="AA38" s="95"/>
      <c r="AB38" s="55" t="s">
        <v>38</v>
      </c>
      <c r="AD38" s="55" t="s">
        <v>61</v>
      </c>
      <c r="AE38" s="55">
        <f>62029-860-2726</f>
        <v>58443</v>
      </c>
      <c r="AF38" s="55">
        <f>12359-669</f>
        <v>11690</v>
      </c>
      <c r="AG38" s="55">
        <f>64481-860-2888</f>
        <v>60733</v>
      </c>
      <c r="AH38" s="55">
        <f>23222-344-1206</f>
        <v>21672</v>
      </c>
      <c r="AI38" s="55">
        <f>12359-669</f>
        <v>11690</v>
      </c>
      <c r="AJ38" s="96"/>
    </row>
    <row r="39" spans="1:36">
      <c r="A39" s="7" t="s">
        <v>264</v>
      </c>
      <c r="B39" s="40"/>
      <c r="C39" s="40" t="s">
        <v>216</v>
      </c>
      <c r="D39" s="40"/>
      <c r="E39" s="40" t="s">
        <v>231</v>
      </c>
      <c r="F39" s="40"/>
      <c r="G39" s="38"/>
      <c r="H39" s="51"/>
      <c r="I39" s="53"/>
      <c r="J39" s="160">
        <f t="shared" si="9"/>
        <v>0</v>
      </c>
      <c r="K39" s="67">
        <f t="shared" si="10"/>
        <v>0</v>
      </c>
      <c r="M39" s="45"/>
      <c r="N39" s="45"/>
      <c r="O39" s="45"/>
      <c r="P39" s="45"/>
      <c r="Q39" s="45"/>
      <c r="R39" s="45"/>
      <c r="S39" s="45"/>
      <c r="T39" s="45"/>
      <c r="U39" s="45"/>
      <c r="V39" s="45"/>
      <c r="W39" s="45"/>
      <c r="X39" s="45"/>
      <c r="Y39" s="45"/>
      <c r="Z39" s="56"/>
      <c r="AA39" s="95"/>
      <c r="AB39" s="55" t="s">
        <v>39</v>
      </c>
      <c r="AD39" s="55" t="s">
        <v>61</v>
      </c>
      <c r="AE39" s="55">
        <f>62109-860-2827</f>
        <v>58422</v>
      </c>
      <c r="AF39" s="165" t="s">
        <v>231</v>
      </c>
      <c r="AG39" s="165" t="s">
        <v>231</v>
      </c>
      <c r="AH39" s="55">
        <f>23240-344-1224</f>
        <v>21672</v>
      </c>
      <c r="AI39" s="165" t="s">
        <v>231</v>
      </c>
      <c r="AJ39" s="96"/>
    </row>
    <row r="40" spans="1:36" ht="15" thickBot="1">
      <c r="A40" s="7" t="s">
        <v>265</v>
      </c>
      <c r="B40" s="40"/>
      <c r="C40" s="40" t="s">
        <v>216</v>
      </c>
      <c r="D40" s="40"/>
      <c r="E40" s="40" t="s">
        <v>231</v>
      </c>
      <c r="F40" s="40"/>
      <c r="G40" s="38"/>
      <c r="H40" s="51"/>
      <c r="I40" s="53"/>
      <c r="J40" s="160">
        <f t="shared" si="9"/>
        <v>0</v>
      </c>
      <c r="K40" s="67">
        <f t="shared" si="10"/>
        <v>0</v>
      </c>
      <c r="M40" s="45"/>
      <c r="N40" s="45"/>
      <c r="O40" s="45"/>
      <c r="P40" s="45"/>
      <c r="Q40" s="45"/>
      <c r="R40" s="45"/>
      <c r="S40" s="45"/>
      <c r="T40" s="45"/>
      <c r="U40" s="45"/>
      <c r="V40" s="45"/>
      <c r="W40" s="45"/>
      <c r="X40" s="45"/>
      <c r="Y40" s="45"/>
      <c r="Z40" s="56"/>
      <c r="AA40" s="137"/>
      <c r="AB40" s="138" t="s">
        <v>119</v>
      </c>
      <c r="AC40" s="138"/>
      <c r="AD40" s="138" t="s">
        <v>61</v>
      </c>
      <c r="AE40" s="170">
        <f>SUM(AE38:AE39)</f>
        <v>116865</v>
      </c>
      <c r="AF40" s="170">
        <f t="shared" ref="AF40:AI40" si="11">SUM(AF38:AF39)</f>
        <v>11690</v>
      </c>
      <c r="AG40" s="170">
        <f t="shared" si="11"/>
        <v>60733</v>
      </c>
      <c r="AH40" s="170">
        <f t="shared" si="11"/>
        <v>43344</v>
      </c>
      <c r="AI40" s="170">
        <f t="shared" si="11"/>
        <v>11690</v>
      </c>
      <c r="AJ40" s="171">
        <f>SUM(AE40:AI40)</f>
        <v>244322</v>
      </c>
    </row>
    <row r="41" spans="1:36">
      <c r="A41" s="7" t="s">
        <v>266</v>
      </c>
      <c r="B41" s="40"/>
      <c r="C41" s="40" t="s">
        <v>216</v>
      </c>
      <c r="D41" s="40"/>
      <c r="E41" s="40" t="s">
        <v>231</v>
      </c>
      <c r="F41" s="40"/>
      <c r="G41" s="38"/>
      <c r="H41" s="51"/>
      <c r="I41" s="53"/>
      <c r="J41" s="160">
        <f t="shared" si="9"/>
        <v>0</v>
      </c>
      <c r="K41" s="67">
        <f t="shared" si="10"/>
        <v>0</v>
      </c>
      <c r="M41" s="45"/>
      <c r="N41" s="45"/>
      <c r="O41" s="45"/>
      <c r="P41" s="45"/>
      <c r="Q41" s="45"/>
      <c r="R41" s="45"/>
      <c r="S41" s="45"/>
      <c r="T41" s="45"/>
      <c r="U41" s="45"/>
      <c r="V41" s="45"/>
      <c r="W41" s="45"/>
      <c r="X41" s="45"/>
      <c r="Y41" s="45"/>
      <c r="Z41" s="56"/>
    </row>
    <row r="42" spans="1:36">
      <c r="A42" s="7" t="s">
        <v>267</v>
      </c>
      <c r="B42" s="40"/>
      <c r="C42" s="40" t="s">
        <v>216</v>
      </c>
      <c r="D42" s="40"/>
      <c r="E42" s="40" t="s">
        <v>231</v>
      </c>
      <c r="F42" s="40"/>
      <c r="G42" s="38"/>
      <c r="H42" s="51"/>
      <c r="I42" s="53"/>
      <c r="J42" s="160">
        <f t="shared" si="9"/>
        <v>0</v>
      </c>
      <c r="K42" s="67">
        <f t="shared" si="10"/>
        <v>0</v>
      </c>
      <c r="M42" s="45"/>
      <c r="N42" s="45"/>
      <c r="O42" s="45"/>
      <c r="P42" s="45"/>
      <c r="Q42" s="45"/>
      <c r="R42" s="45"/>
      <c r="S42" s="45"/>
      <c r="T42" s="45"/>
      <c r="U42" s="45"/>
      <c r="V42" s="45"/>
      <c r="W42" s="45"/>
      <c r="X42" s="45"/>
      <c r="Y42" s="45"/>
      <c r="Z42" s="56"/>
    </row>
    <row r="43" spans="1:36">
      <c r="A43" s="8" t="s">
        <v>268</v>
      </c>
      <c r="B43" s="166"/>
      <c r="C43" s="166" t="s">
        <v>216</v>
      </c>
      <c r="D43" s="166"/>
      <c r="E43" s="166" t="s">
        <v>231</v>
      </c>
      <c r="F43" s="166"/>
      <c r="G43" s="39"/>
      <c r="H43" s="167"/>
      <c r="I43" s="168"/>
      <c r="J43" s="169">
        <f t="shared" si="9"/>
        <v>0</v>
      </c>
      <c r="K43" s="159">
        <f t="shared" si="10"/>
        <v>0</v>
      </c>
      <c r="M43" s="45"/>
      <c r="N43" s="45"/>
      <c r="O43" s="45"/>
      <c r="P43" s="45"/>
      <c r="Q43" s="45"/>
      <c r="R43" s="45"/>
      <c r="S43" s="45"/>
      <c r="T43" s="45"/>
      <c r="U43" s="45"/>
      <c r="V43" s="45"/>
      <c r="W43" s="45"/>
      <c r="X43" s="45"/>
      <c r="Y43" s="45"/>
      <c r="Z43" s="56"/>
    </row>
    <row r="44" spans="1:36">
      <c r="A44" s="4" t="s">
        <v>269</v>
      </c>
      <c r="B44" s="151" t="s">
        <v>270</v>
      </c>
      <c r="C44" s="151"/>
      <c r="D44" s="151"/>
      <c r="E44" s="151"/>
      <c r="F44" s="151"/>
      <c r="G44" s="152"/>
      <c r="H44" s="153"/>
      <c r="I44" s="154"/>
      <c r="J44" s="153"/>
      <c r="K44" s="172"/>
      <c r="L44" s="70">
        <f>SUM(K45:K49)</f>
        <v>246800</v>
      </c>
      <c r="M44" s="45"/>
      <c r="N44" s="45"/>
      <c r="O44" s="45"/>
      <c r="P44" s="45"/>
      <c r="Q44" s="45"/>
      <c r="R44" s="45"/>
      <c r="S44" s="45"/>
      <c r="T44" s="45"/>
      <c r="U44" s="45"/>
      <c r="V44" s="45"/>
      <c r="W44" s="45"/>
      <c r="X44" s="45"/>
      <c r="Y44" s="45"/>
      <c r="Z44" s="56"/>
    </row>
    <row r="45" spans="1:36">
      <c r="A45" s="6" t="s">
        <v>271</v>
      </c>
      <c r="B45" s="47" t="s">
        <v>272</v>
      </c>
      <c r="C45" s="47" t="s">
        <v>216</v>
      </c>
      <c r="D45" s="47" t="s">
        <v>228</v>
      </c>
      <c r="E45" s="47" t="s">
        <v>44</v>
      </c>
      <c r="F45" s="47" t="s">
        <v>273</v>
      </c>
      <c r="G45" s="42">
        <f>Q4</f>
        <v>16</v>
      </c>
      <c r="H45" s="61">
        <v>9500</v>
      </c>
      <c r="I45" s="63">
        <v>0</v>
      </c>
      <c r="J45" s="66">
        <f t="shared" ref="J45:J49" si="12">H45*(1+I45)</f>
        <v>9500</v>
      </c>
      <c r="K45" s="67">
        <f t="shared" ref="K45:K49" si="13">J45*G45</f>
        <v>152000</v>
      </c>
      <c r="M45" s="45"/>
      <c r="N45" s="45"/>
      <c r="O45" s="45"/>
      <c r="P45" s="45"/>
      <c r="Q45" s="45"/>
      <c r="R45" s="45"/>
      <c r="S45" s="45"/>
      <c r="T45" s="45"/>
      <c r="U45" s="45"/>
      <c r="V45" s="45"/>
      <c r="W45" s="45"/>
      <c r="X45" s="45"/>
      <c r="Y45" s="45"/>
      <c r="Z45" s="56"/>
    </row>
    <row r="46" spans="1:36">
      <c r="A46" s="7" t="s">
        <v>275</v>
      </c>
      <c r="B46" s="40" t="s">
        <v>276</v>
      </c>
      <c r="C46" s="40" t="s">
        <v>216</v>
      </c>
      <c r="D46" s="40" t="s">
        <v>238</v>
      </c>
      <c r="E46" s="40" t="s">
        <v>44</v>
      </c>
      <c r="F46" s="40" t="s">
        <v>108</v>
      </c>
      <c r="G46" s="38">
        <f>$Q$5</f>
        <v>14</v>
      </c>
      <c r="H46" s="51">
        <v>5700</v>
      </c>
      <c r="I46" s="53">
        <v>0</v>
      </c>
      <c r="J46" s="160">
        <f t="shared" si="12"/>
        <v>5700</v>
      </c>
      <c r="K46" s="67">
        <f t="shared" si="13"/>
        <v>79800</v>
      </c>
      <c r="M46" s="45"/>
      <c r="N46" s="45"/>
      <c r="O46" s="45"/>
      <c r="P46" s="45"/>
      <c r="Q46" s="45"/>
      <c r="R46" s="45"/>
      <c r="S46" s="45"/>
      <c r="T46" s="45"/>
      <c r="U46" s="45"/>
      <c r="V46" s="45"/>
      <c r="W46" s="45"/>
      <c r="X46" s="45"/>
      <c r="Y46" s="45"/>
      <c r="Z46" s="56"/>
    </row>
    <row r="47" spans="1:36">
      <c r="A47" s="7" t="s">
        <v>277</v>
      </c>
      <c r="B47" s="40" t="s">
        <v>278</v>
      </c>
      <c r="C47" s="40" t="s">
        <v>216</v>
      </c>
      <c r="D47" s="40" t="s">
        <v>223</v>
      </c>
      <c r="E47" s="40" t="s">
        <v>231</v>
      </c>
      <c r="F47" s="40"/>
      <c r="G47" s="38"/>
      <c r="H47" s="51"/>
      <c r="I47" s="53"/>
      <c r="J47" s="160">
        <f t="shared" si="12"/>
        <v>0</v>
      </c>
      <c r="K47" s="67">
        <f t="shared" si="13"/>
        <v>0</v>
      </c>
      <c r="M47" s="45"/>
      <c r="N47" s="45"/>
      <c r="O47" s="45"/>
      <c r="P47" s="45"/>
      <c r="Q47" s="45"/>
      <c r="R47" s="45"/>
      <c r="S47" s="45"/>
      <c r="T47" s="45"/>
      <c r="U47" s="45"/>
      <c r="V47" s="45"/>
      <c r="W47" s="45"/>
      <c r="X47" s="45"/>
      <c r="Y47" s="45"/>
      <c r="Z47" s="56"/>
    </row>
    <row r="48" spans="1:36">
      <c r="A48" s="7" t="s">
        <v>279</v>
      </c>
      <c r="B48" s="40" t="s">
        <v>280</v>
      </c>
      <c r="C48" s="40" t="s">
        <v>216</v>
      </c>
      <c r="D48" s="40" t="s">
        <v>242</v>
      </c>
      <c r="E48" s="40" t="s">
        <v>555</v>
      </c>
      <c r="F48" s="40" t="s">
        <v>71</v>
      </c>
      <c r="G48" s="38">
        <f>$Q$7</f>
        <v>1</v>
      </c>
      <c r="H48" s="51">
        <v>6000</v>
      </c>
      <c r="I48" s="53">
        <v>0</v>
      </c>
      <c r="J48" s="160">
        <f t="shared" si="12"/>
        <v>6000</v>
      </c>
      <c r="K48" s="67">
        <f t="shared" si="13"/>
        <v>6000</v>
      </c>
      <c r="M48" s="45"/>
      <c r="N48" s="45"/>
      <c r="O48" s="45"/>
      <c r="P48" s="45"/>
      <c r="Q48" s="45"/>
      <c r="R48" s="45"/>
      <c r="S48" s="45"/>
      <c r="T48" s="45"/>
      <c r="U48" s="45"/>
      <c r="V48" s="45"/>
      <c r="W48" s="45"/>
      <c r="X48" s="45"/>
      <c r="Y48" s="45"/>
      <c r="Z48" s="56"/>
    </row>
    <row r="49" spans="1:26">
      <c r="A49" s="7" t="s">
        <v>281</v>
      </c>
      <c r="B49" s="40" t="s">
        <v>282</v>
      </c>
      <c r="C49" s="40" t="s">
        <v>283</v>
      </c>
      <c r="D49" s="40" t="s">
        <v>250</v>
      </c>
      <c r="E49" s="40" t="s">
        <v>44</v>
      </c>
      <c r="F49" s="40" t="s">
        <v>71</v>
      </c>
      <c r="G49" s="38">
        <f>$Q$7</f>
        <v>1</v>
      </c>
      <c r="H49" s="51">
        <v>9000</v>
      </c>
      <c r="I49" s="53">
        <v>0</v>
      </c>
      <c r="J49" s="160">
        <f t="shared" si="12"/>
        <v>9000</v>
      </c>
      <c r="K49" s="67">
        <f t="shared" si="13"/>
        <v>9000</v>
      </c>
      <c r="M49" s="45"/>
      <c r="N49" s="45"/>
      <c r="O49" s="45"/>
      <c r="P49" s="45"/>
      <c r="Q49" s="45"/>
      <c r="R49" s="45"/>
      <c r="S49" s="45"/>
      <c r="T49" s="45"/>
      <c r="U49" s="45"/>
      <c r="V49" s="45"/>
      <c r="W49" s="45"/>
      <c r="X49" s="45"/>
      <c r="Y49" s="45"/>
      <c r="Z49" s="56"/>
    </row>
    <row r="50" spans="1:26">
      <c r="A50" s="4" t="s">
        <v>284</v>
      </c>
      <c r="B50" s="151" t="s">
        <v>285</v>
      </c>
      <c r="C50" s="151"/>
      <c r="D50" s="151"/>
      <c r="E50" s="151"/>
      <c r="F50" s="151"/>
      <c r="G50" s="152"/>
      <c r="H50" s="153"/>
      <c r="I50" s="154"/>
      <c r="J50" s="153"/>
      <c r="K50" s="172"/>
      <c r="L50" s="70">
        <f>SUM(K51:K58)</f>
        <v>522166</v>
      </c>
      <c r="M50" s="45"/>
      <c r="N50" s="45"/>
      <c r="O50" s="45"/>
      <c r="P50" s="45"/>
      <c r="Q50" s="45"/>
      <c r="R50" s="45"/>
      <c r="S50" s="45"/>
      <c r="T50" s="45"/>
      <c r="U50" s="45"/>
      <c r="V50" s="45"/>
      <c r="W50" s="45"/>
      <c r="X50" s="45"/>
      <c r="Y50" s="45"/>
      <c r="Z50" s="56"/>
    </row>
    <row r="51" spans="1:26">
      <c r="A51" s="6" t="s">
        <v>286</v>
      </c>
      <c r="B51" s="47" t="s">
        <v>287</v>
      </c>
      <c r="C51" s="47" t="s">
        <v>216</v>
      </c>
      <c r="D51" s="47" t="s">
        <v>228</v>
      </c>
      <c r="E51" s="47" t="s">
        <v>73</v>
      </c>
      <c r="F51" s="47" t="s">
        <v>71</v>
      </c>
      <c r="G51" s="42">
        <v>1</v>
      </c>
      <c r="H51" s="61">
        <v>125000</v>
      </c>
      <c r="I51" s="63">
        <v>0</v>
      </c>
      <c r="J51" s="66">
        <f t="shared" ref="J51:J58" si="14">H51*(1+I51)</f>
        <v>125000</v>
      </c>
      <c r="K51" s="67">
        <f t="shared" ref="K51:K58" si="15">J51*G51</f>
        <v>125000</v>
      </c>
      <c r="M51" s="45" t="s">
        <v>1091</v>
      </c>
      <c r="N51" s="45"/>
      <c r="O51" s="45"/>
      <c r="P51" s="45"/>
      <c r="Q51" s="45"/>
      <c r="R51" s="45"/>
      <c r="S51" s="45"/>
      <c r="T51" s="45"/>
      <c r="U51" s="45"/>
      <c r="V51" s="45"/>
      <c r="W51" s="45"/>
      <c r="X51" s="45"/>
      <c r="Y51" s="45"/>
      <c r="Z51" s="56"/>
    </row>
    <row r="52" spans="1:26">
      <c r="A52" s="7" t="s">
        <v>289</v>
      </c>
      <c r="B52" s="40" t="s">
        <v>290</v>
      </c>
      <c r="C52" s="40" t="s">
        <v>216</v>
      </c>
      <c r="D52" s="40" t="s">
        <v>228</v>
      </c>
      <c r="E52" s="40" t="s">
        <v>44</v>
      </c>
      <c r="F52" s="40" t="s">
        <v>108</v>
      </c>
      <c r="G52" s="38">
        <f>$Q$3</f>
        <v>6</v>
      </c>
      <c r="H52" s="51">
        <v>4040</v>
      </c>
      <c r="I52" s="53">
        <v>0</v>
      </c>
      <c r="J52" s="66">
        <f t="shared" si="14"/>
        <v>4040</v>
      </c>
      <c r="K52" s="67">
        <f t="shared" si="15"/>
        <v>24240</v>
      </c>
      <c r="M52" s="45"/>
      <c r="N52" s="45"/>
      <c r="O52" s="45"/>
      <c r="P52" s="45"/>
      <c r="Q52" s="45"/>
      <c r="R52" s="45"/>
      <c r="S52" s="45"/>
      <c r="T52" s="45"/>
      <c r="U52" s="45"/>
      <c r="V52" s="45"/>
      <c r="W52" s="45"/>
      <c r="X52" s="45"/>
      <c r="Y52" s="45"/>
      <c r="Z52" s="56"/>
    </row>
    <row r="53" spans="1:26">
      <c r="A53" s="7" t="s">
        <v>291</v>
      </c>
      <c r="B53" s="40" t="s">
        <v>292</v>
      </c>
      <c r="C53" s="40" t="s">
        <v>216</v>
      </c>
      <c r="D53" s="40" t="s">
        <v>228</v>
      </c>
      <c r="E53" s="40" t="s">
        <v>44</v>
      </c>
      <c r="F53" s="40" t="s">
        <v>1049</v>
      </c>
      <c r="G53" s="38">
        <f>Q14</f>
        <v>60</v>
      </c>
      <c r="H53" s="51">
        <v>2000</v>
      </c>
      <c r="I53" s="53">
        <v>0</v>
      </c>
      <c r="J53" s="66">
        <f t="shared" si="14"/>
        <v>2000</v>
      </c>
      <c r="K53" s="67">
        <f t="shared" si="15"/>
        <v>120000</v>
      </c>
      <c r="M53" s="45"/>
      <c r="N53" s="45"/>
      <c r="O53" s="45"/>
      <c r="P53" s="45"/>
      <c r="Q53" s="45"/>
      <c r="R53" s="45"/>
      <c r="S53" s="45"/>
      <c r="T53" s="45"/>
      <c r="U53" s="45"/>
      <c r="V53" s="45"/>
      <c r="W53" s="45"/>
      <c r="X53" s="45"/>
      <c r="Y53" s="45"/>
      <c r="Z53" s="56"/>
    </row>
    <row r="54" spans="1:26">
      <c r="A54" s="7" t="s">
        <v>293</v>
      </c>
      <c r="B54" s="40" t="s">
        <v>292</v>
      </c>
      <c r="C54" s="40" t="s">
        <v>216</v>
      </c>
      <c r="D54" s="40" t="s">
        <v>228</v>
      </c>
      <c r="E54" s="40" t="s">
        <v>231</v>
      </c>
      <c r="F54" s="40"/>
      <c r="G54" s="38"/>
      <c r="H54" s="51">
        <v>0</v>
      </c>
      <c r="I54" s="53">
        <v>0</v>
      </c>
      <c r="J54" s="66">
        <f t="shared" si="14"/>
        <v>0</v>
      </c>
      <c r="K54" s="67">
        <f t="shared" si="15"/>
        <v>0</v>
      </c>
      <c r="M54" s="45"/>
      <c r="N54" s="45"/>
      <c r="O54" s="45"/>
      <c r="P54" s="45"/>
      <c r="Q54" s="45"/>
      <c r="R54" s="45"/>
      <c r="S54" s="45"/>
      <c r="T54" s="45"/>
      <c r="U54" s="45"/>
      <c r="V54" s="45"/>
      <c r="W54" s="45"/>
      <c r="X54" s="45"/>
      <c r="Y54" s="45"/>
      <c r="Z54" s="56"/>
    </row>
    <row r="55" spans="1:26">
      <c r="A55" s="7" t="s">
        <v>294</v>
      </c>
      <c r="B55" s="40" t="s">
        <v>295</v>
      </c>
      <c r="C55" s="40" t="s">
        <v>216</v>
      </c>
      <c r="D55" s="40" t="s">
        <v>242</v>
      </c>
      <c r="E55" s="40" t="s">
        <v>231</v>
      </c>
      <c r="F55" s="40"/>
      <c r="G55" s="38"/>
      <c r="H55" s="51">
        <v>0</v>
      </c>
      <c r="I55" s="53">
        <v>0</v>
      </c>
      <c r="J55" s="66">
        <f t="shared" si="14"/>
        <v>0</v>
      </c>
      <c r="K55" s="67">
        <f t="shared" si="15"/>
        <v>0</v>
      </c>
      <c r="M55" s="45"/>
      <c r="N55" s="45"/>
      <c r="O55" s="45"/>
      <c r="P55" s="45"/>
      <c r="Q55" s="45"/>
      <c r="R55" s="45"/>
      <c r="S55" s="45"/>
      <c r="T55" s="45"/>
      <c r="U55" s="45"/>
      <c r="V55" s="45"/>
      <c r="W55" s="45"/>
      <c r="X55" s="45"/>
      <c r="Y55" s="45"/>
      <c r="Z55" s="56"/>
    </row>
    <row r="56" spans="1:26">
      <c r="A56" s="7" t="s">
        <v>296</v>
      </c>
      <c r="B56" s="40" t="s">
        <v>297</v>
      </c>
      <c r="C56" s="40" t="s">
        <v>216</v>
      </c>
      <c r="D56" s="40" t="s">
        <v>250</v>
      </c>
      <c r="E56" s="40" t="s">
        <v>44</v>
      </c>
      <c r="F56" s="40" t="s">
        <v>108</v>
      </c>
      <c r="G56" s="38">
        <f>$Q$7</f>
        <v>1</v>
      </c>
      <c r="H56" s="51">
        <v>1950</v>
      </c>
      <c r="I56" s="53">
        <v>0</v>
      </c>
      <c r="J56" s="66">
        <f t="shared" si="14"/>
        <v>1950</v>
      </c>
      <c r="K56" s="67">
        <f t="shared" si="15"/>
        <v>1950</v>
      </c>
      <c r="M56" s="45"/>
      <c r="N56" s="45"/>
      <c r="O56" s="45"/>
      <c r="P56" s="45"/>
      <c r="Q56" s="45"/>
      <c r="R56" s="45"/>
      <c r="S56" s="45"/>
      <c r="T56" s="45"/>
      <c r="U56" s="45"/>
      <c r="V56" s="45"/>
      <c r="W56" s="45"/>
      <c r="X56" s="45"/>
      <c r="Y56" s="45"/>
      <c r="Z56" s="56"/>
    </row>
    <row r="57" spans="1:26">
      <c r="A57" s="7" t="s">
        <v>298</v>
      </c>
      <c r="B57" s="40" t="s">
        <v>299</v>
      </c>
      <c r="C57" s="40" t="s">
        <v>216</v>
      </c>
      <c r="D57" s="40" t="s">
        <v>228</v>
      </c>
      <c r="E57" s="40" t="s">
        <v>44</v>
      </c>
      <c r="F57" s="40" t="s">
        <v>148</v>
      </c>
      <c r="G57" s="38">
        <f>$Q$9</f>
        <v>2728</v>
      </c>
      <c r="H57" s="51">
        <v>92</v>
      </c>
      <c r="I57" s="53">
        <v>0</v>
      </c>
      <c r="J57" s="66">
        <f t="shared" si="14"/>
        <v>92</v>
      </c>
      <c r="K57" s="67">
        <f t="shared" si="15"/>
        <v>250976</v>
      </c>
      <c r="M57" s="45"/>
      <c r="N57" s="45"/>
      <c r="O57" s="45"/>
      <c r="P57" s="45"/>
      <c r="Q57" s="45"/>
      <c r="R57" s="45"/>
      <c r="S57" s="45"/>
      <c r="T57" s="45"/>
      <c r="U57" s="45"/>
      <c r="V57" s="45"/>
      <c r="W57" s="45"/>
      <c r="X57" s="45"/>
      <c r="Y57" s="45"/>
      <c r="Z57" s="56"/>
    </row>
    <row r="58" spans="1:26">
      <c r="A58" s="7" t="s">
        <v>301</v>
      </c>
      <c r="B58" s="40" t="s">
        <v>302</v>
      </c>
      <c r="C58" s="40" t="s">
        <v>216</v>
      </c>
      <c r="D58" s="40" t="s">
        <v>303</v>
      </c>
      <c r="E58" s="40" t="s">
        <v>231</v>
      </c>
      <c r="F58" s="40"/>
      <c r="G58" s="38"/>
      <c r="H58" s="51">
        <v>0</v>
      </c>
      <c r="I58" s="53">
        <v>0</v>
      </c>
      <c r="J58" s="66">
        <f t="shared" si="14"/>
        <v>0</v>
      </c>
      <c r="K58" s="67">
        <f t="shared" si="15"/>
        <v>0</v>
      </c>
      <c r="M58" s="45"/>
      <c r="N58" s="45"/>
      <c r="O58" s="45"/>
      <c r="P58" s="45"/>
      <c r="Q58" s="45"/>
      <c r="R58" s="45"/>
      <c r="S58" s="45"/>
      <c r="T58" s="45"/>
      <c r="U58" s="45"/>
      <c r="V58" s="45"/>
      <c r="W58" s="45"/>
      <c r="X58" s="45"/>
      <c r="Y58" s="45"/>
      <c r="Z58" s="56"/>
    </row>
    <row r="59" spans="1:26">
      <c r="A59" s="4" t="s">
        <v>305</v>
      </c>
      <c r="B59" s="151" t="s">
        <v>306</v>
      </c>
      <c r="C59" s="151"/>
      <c r="D59" s="151"/>
      <c r="E59" s="151"/>
      <c r="F59" s="151"/>
      <c r="G59" s="152"/>
      <c r="H59" s="153"/>
      <c r="I59" s="154"/>
      <c r="J59" s="153"/>
      <c r="K59" s="172"/>
      <c r="L59" s="70">
        <f>SUM(K60:K71)</f>
        <v>10820813.286106404</v>
      </c>
      <c r="M59" s="45"/>
      <c r="N59" s="45"/>
      <c r="O59" s="45"/>
      <c r="P59" s="45"/>
      <c r="Q59" s="45"/>
      <c r="R59" s="45"/>
      <c r="S59" s="45"/>
      <c r="T59" s="45"/>
      <c r="U59" s="45"/>
      <c r="V59" s="45"/>
      <c r="W59" s="45"/>
      <c r="X59" s="45"/>
      <c r="Y59" s="45"/>
      <c r="Z59" s="56"/>
    </row>
    <row r="60" spans="1:26">
      <c r="A60" s="6" t="s">
        <v>307</v>
      </c>
      <c r="B60" s="47" t="s">
        <v>308</v>
      </c>
      <c r="C60" s="47" t="s">
        <v>216</v>
      </c>
      <c r="D60" s="47" t="s">
        <v>309</v>
      </c>
      <c r="E60" s="47"/>
      <c r="F60" s="47"/>
      <c r="G60" s="42"/>
      <c r="H60" s="61">
        <v>79</v>
      </c>
      <c r="I60" s="63">
        <v>0</v>
      </c>
      <c r="J60" s="66">
        <f t="shared" ref="J60:J71" si="16">H60*(1+I60)</f>
        <v>79</v>
      </c>
      <c r="K60" s="67">
        <f t="shared" ref="K60:K71" si="17">J60*G60</f>
        <v>0</v>
      </c>
      <c r="M60" s="45"/>
      <c r="N60" s="45"/>
      <c r="O60" s="45"/>
      <c r="P60" s="45"/>
      <c r="Q60" s="45"/>
      <c r="R60" s="45"/>
      <c r="S60" s="45"/>
      <c r="T60" s="45"/>
      <c r="U60" s="45"/>
      <c r="V60" s="45"/>
      <c r="W60" s="45"/>
      <c r="X60" s="45"/>
      <c r="Y60" s="45"/>
      <c r="Z60" s="56"/>
    </row>
    <row r="61" spans="1:26">
      <c r="A61" s="7" t="s">
        <v>310</v>
      </c>
      <c r="B61" s="40" t="s">
        <v>311</v>
      </c>
      <c r="C61" s="40" t="s">
        <v>216</v>
      </c>
      <c r="D61" s="40" t="s">
        <v>228</v>
      </c>
      <c r="E61" s="40" t="s">
        <v>1092</v>
      </c>
      <c r="F61" s="40" t="s">
        <v>61</v>
      </c>
      <c r="G61" s="38">
        <f>B8</f>
        <v>431911</v>
      </c>
      <c r="H61" s="51">
        <v>20.96</v>
      </c>
      <c r="I61" s="53">
        <v>0</v>
      </c>
      <c r="J61" s="66">
        <f t="shared" si="16"/>
        <v>20.96</v>
      </c>
      <c r="K61" s="67">
        <f t="shared" si="17"/>
        <v>9052854.5600000005</v>
      </c>
      <c r="M61" s="45" t="s">
        <v>1093</v>
      </c>
      <c r="N61" s="45"/>
      <c r="O61" s="45"/>
      <c r="P61" s="45"/>
      <c r="Q61" s="45"/>
      <c r="R61" s="45"/>
      <c r="S61" s="45"/>
      <c r="T61" s="45"/>
      <c r="U61" s="45"/>
      <c r="V61" s="45"/>
      <c r="W61" s="45"/>
      <c r="X61" s="45"/>
      <c r="Y61" s="45"/>
      <c r="Z61" s="56"/>
    </row>
    <row r="62" spans="1:26">
      <c r="A62" s="7" t="s">
        <v>314</v>
      </c>
      <c r="B62" s="40" t="s">
        <v>311</v>
      </c>
      <c r="C62" s="40" t="s">
        <v>216</v>
      </c>
      <c r="D62" s="40" t="s">
        <v>228</v>
      </c>
      <c r="E62" s="40" t="s">
        <v>231</v>
      </c>
      <c r="F62" s="40"/>
      <c r="G62" s="38"/>
      <c r="H62" s="51"/>
      <c r="I62" s="53">
        <v>0</v>
      </c>
      <c r="J62" s="66">
        <f t="shared" si="16"/>
        <v>0</v>
      </c>
      <c r="K62" s="67">
        <f t="shared" si="17"/>
        <v>0</v>
      </c>
      <c r="M62" s="45"/>
      <c r="N62" s="45"/>
      <c r="O62" s="45"/>
      <c r="P62" s="45"/>
      <c r="Q62" s="45"/>
      <c r="R62" s="45"/>
      <c r="S62" s="45"/>
      <c r="T62" s="45"/>
      <c r="U62" s="45"/>
      <c r="V62" s="45"/>
      <c r="W62" s="45"/>
      <c r="X62" s="45"/>
      <c r="Y62" s="45"/>
      <c r="Z62" s="56"/>
    </row>
    <row r="63" spans="1:26">
      <c r="A63" s="7" t="s">
        <v>315</v>
      </c>
      <c r="B63" s="40" t="s">
        <v>316</v>
      </c>
      <c r="C63" s="40" t="s">
        <v>216</v>
      </c>
      <c r="D63" s="40" t="s">
        <v>303</v>
      </c>
      <c r="E63" s="40" t="s">
        <v>231</v>
      </c>
      <c r="F63" s="40"/>
      <c r="G63" s="38"/>
      <c r="H63" s="51"/>
      <c r="I63" s="53">
        <v>0</v>
      </c>
      <c r="J63" s="66">
        <f t="shared" si="16"/>
        <v>0</v>
      </c>
      <c r="K63" s="67">
        <f t="shared" si="17"/>
        <v>0</v>
      </c>
      <c r="M63" s="45"/>
      <c r="N63" s="45"/>
      <c r="O63" s="45"/>
      <c r="P63" s="45"/>
      <c r="Q63" s="45"/>
      <c r="R63" s="45"/>
      <c r="S63" s="45"/>
      <c r="T63" s="45"/>
      <c r="U63" s="45"/>
      <c r="V63" s="45"/>
      <c r="W63" s="45"/>
      <c r="X63" s="45"/>
      <c r="Y63" s="45"/>
      <c r="Z63" s="56"/>
    </row>
    <row r="64" spans="1:26">
      <c r="A64" s="7" t="s">
        <v>317</v>
      </c>
      <c r="B64" s="40" t="s">
        <v>318</v>
      </c>
      <c r="C64" s="40" t="s">
        <v>216</v>
      </c>
      <c r="D64" s="40" t="s">
        <v>303</v>
      </c>
      <c r="E64" s="40" t="s">
        <v>73</v>
      </c>
      <c r="F64" s="40" t="s">
        <v>71</v>
      </c>
      <c r="G64" s="38">
        <f>$W$16</f>
        <v>6</v>
      </c>
      <c r="H64" s="51">
        <v>2500</v>
      </c>
      <c r="I64" s="53">
        <v>0</v>
      </c>
      <c r="J64" s="66">
        <f t="shared" si="16"/>
        <v>2500</v>
      </c>
      <c r="K64" s="67">
        <f t="shared" si="17"/>
        <v>15000</v>
      </c>
      <c r="M64" s="45"/>
      <c r="N64" s="45"/>
      <c r="O64" s="45"/>
      <c r="P64" s="45"/>
      <c r="Q64" s="45"/>
      <c r="R64" s="45"/>
      <c r="S64" s="45"/>
      <c r="T64" s="45"/>
      <c r="U64" s="45"/>
      <c r="V64" s="45"/>
      <c r="W64" s="45"/>
      <c r="X64" s="45"/>
      <c r="Y64" s="45"/>
      <c r="Z64" s="56"/>
    </row>
    <row r="65" spans="1:26">
      <c r="A65" s="7" t="s">
        <v>319</v>
      </c>
      <c r="B65" s="40" t="s">
        <v>320</v>
      </c>
      <c r="C65" s="40" t="s">
        <v>216</v>
      </c>
      <c r="D65" s="40" t="s">
        <v>303</v>
      </c>
      <c r="E65" s="40" t="s">
        <v>231</v>
      </c>
      <c r="F65" s="40"/>
      <c r="G65" s="38"/>
      <c r="H65" s="51"/>
      <c r="I65" s="53">
        <v>0</v>
      </c>
      <c r="J65" s="66">
        <f t="shared" si="16"/>
        <v>0</v>
      </c>
      <c r="K65" s="67">
        <f t="shared" si="17"/>
        <v>0</v>
      </c>
      <c r="M65" s="45"/>
      <c r="N65" s="45"/>
      <c r="O65" s="45"/>
      <c r="P65" s="45"/>
      <c r="Q65" s="45"/>
      <c r="R65" s="45"/>
      <c r="S65" s="45"/>
      <c r="T65" s="45"/>
      <c r="U65" s="45"/>
      <c r="V65" s="45"/>
      <c r="W65" s="45"/>
      <c r="X65" s="45"/>
      <c r="Y65" s="45"/>
      <c r="Z65" s="56"/>
    </row>
    <row r="66" spans="1:26">
      <c r="A66" s="7" t="s">
        <v>321</v>
      </c>
      <c r="B66" s="40" t="s">
        <v>322</v>
      </c>
      <c r="C66" s="40" t="s">
        <v>216</v>
      </c>
      <c r="D66" s="40" t="s">
        <v>228</v>
      </c>
      <c r="E66" s="40" t="s">
        <v>231</v>
      </c>
      <c r="F66" s="40"/>
      <c r="G66" s="38"/>
      <c r="H66" s="51"/>
      <c r="I66" s="53">
        <v>0</v>
      </c>
      <c r="J66" s="66">
        <f t="shared" si="16"/>
        <v>0</v>
      </c>
      <c r="K66" s="67">
        <f t="shared" si="17"/>
        <v>0</v>
      </c>
      <c r="M66" s="45"/>
      <c r="N66" s="45"/>
      <c r="O66" s="45"/>
      <c r="P66" s="45"/>
      <c r="Q66" s="45"/>
      <c r="R66" s="45"/>
      <c r="S66" s="45"/>
      <c r="T66" s="45"/>
      <c r="U66" s="45"/>
      <c r="V66" s="45"/>
      <c r="W66" s="45"/>
      <c r="X66" s="45"/>
      <c r="Y66" s="45"/>
      <c r="Z66" s="56"/>
    </row>
    <row r="67" spans="1:26">
      <c r="A67" s="7" t="s">
        <v>323</v>
      </c>
      <c r="B67" s="40" t="s">
        <v>322</v>
      </c>
      <c r="C67" s="40" t="s">
        <v>216</v>
      </c>
      <c r="D67" s="40" t="s">
        <v>250</v>
      </c>
      <c r="E67" s="40" t="s">
        <v>231</v>
      </c>
      <c r="F67" s="40"/>
      <c r="G67" s="38"/>
      <c r="H67" s="51"/>
      <c r="I67" s="53">
        <v>0</v>
      </c>
      <c r="J67" s="66">
        <f t="shared" si="16"/>
        <v>0</v>
      </c>
      <c r="K67" s="67">
        <f t="shared" si="17"/>
        <v>0</v>
      </c>
      <c r="M67" s="45"/>
      <c r="N67" s="45"/>
      <c r="O67" s="45"/>
      <c r="P67" s="45"/>
      <c r="Q67" s="45"/>
      <c r="R67" s="45"/>
      <c r="S67" s="45"/>
      <c r="T67" s="45"/>
      <c r="U67" s="45"/>
      <c r="V67" s="45"/>
      <c r="W67" s="45"/>
      <c r="X67" s="45"/>
      <c r="Y67" s="45"/>
      <c r="Z67" s="56"/>
    </row>
    <row r="68" spans="1:26">
      <c r="A68" s="52" t="s">
        <v>324</v>
      </c>
      <c r="B68" s="40" t="s">
        <v>325</v>
      </c>
      <c r="C68" s="40" t="s">
        <v>216</v>
      </c>
      <c r="D68" s="40" t="s">
        <v>228</v>
      </c>
      <c r="E68" s="40" t="s">
        <v>44</v>
      </c>
      <c r="F68" s="40" t="s">
        <v>1094</v>
      </c>
      <c r="G68" s="38">
        <f>Q12</f>
        <v>332276</v>
      </c>
      <c r="H68" s="51">
        <v>4.3044536538980118</v>
      </c>
      <c r="I68" s="353">
        <v>0</v>
      </c>
      <c r="J68" s="66">
        <f t="shared" si="16"/>
        <v>4.3044536538980118</v>
      </c>
      <c r="K68" s="67">
        <f t="shared" si="17"/>
        <v>1430266.6423026158</v>
      </c>
      <c r="M68" s="45"/>
      <c r="N68" s="45"/>
      <c r="O68" s="45"/>
      <c r="P68" s="45"/>
      <c r="Q68" s="45"/>
      <c r="R68" s="45"/>
      <c r="S68" s="45"/>
      <c r="T68" s="45"/>
      <c r="U68" s="45"/>
      <c r="V68" s="45"/>
      <c r="W68" s="45"/>
      <c r="X68" s="45"/>
      <c r="Y68" s="45"/>
      <c r="Z68" s="56"/>
    </row>
    <row r="69" spans="1:26">
      <c r="A69" s="7" t="s">
        <v>328</v>
      </c>
      <c r="B69" s="40" t="s">
        <v>325</v>
      </c>
      <c r="C69" s="40" t="s">
        <v>216</v>
      </c>
      <c r="D69" s="40" t="s">
        <v>303</v>
      </c>
      <c r="E69" s="40" t="s">
        <v>44</v>
      </c>
      <c r="F69" s="40" t="s">
        <v>329</v>
      </c>
      <c r="G69" s="38">
        <f>B8-Q12</f>
        <v>99635</v>
      </c>
      <c r="H69" s="51">
        <v>3.1664784845063356</v>
      </c>
      <c r="I69" s="53">
        <v>0</v>
      </c>
      <c r="J69" s="66">
        <f t="shared" si="16"/>
        <v>3.1664784845063356</v>
      </c>
      <c r="K69" s="67">
        <f t="shared" si="17"/>
        <v>315492.08380378876</v>
      </c>
      <c r="M69" s="45"/>
      <c r="N69" s="45"/>
      <c r="O69" s="45"/>
      <c r="P69" s="45"/>
      <c r="Q69" s="45"/>
      <c r="R69" s="45"/>
      <c r="S69" s="45"/>
      <c r="T69" s="45"/>
      <c r="U69" s="45"/>
      <c r="V69" s="45"/>
      <c r="W69" s="45"/>
      <c r="X69" s="45"/>
      <c r="Y69" s="45"/>
      <c r="Z69" s="56"/>
    </row>
    <row r="70" spans="1:26">
      <c r="A70" s="7" t="s">
        <v>331</v>
      </c>
      <c r="B70" s="40" t="s">
        <v>332</v>
      </c>
      <c r="C70" s="40" t="s">
        <v>216</v>
      </c>
      <c r="D70" s="40" t="s">
        <v>303</v>
      </c>
      <c r="E70" s="40" t="s">
        <v>73</v>
      </c>
      <c r="F70" s="40" t="s">
        <v>71</v>
      </c>
      <c r="G70" s="38">
        <f>$W$16</f>
        <v>6</v>
      </c>
      <c r="H70" s="51">
        <v>1200</v>
      </c>
      <c r="I70" s="53">
        <v>0</v>
      </c>
      <c r="J70" s="66">
        <f t="shared" si="16"/>
        <v>1200</v>
      </c>
      <c r="K70" s="67">
        <f t="shared" si="17"/>
        <v>7200</v>
      </c>
      <c r="M70" s="45"/>
      <c r="N70" s="45"/>
      <c r="O70" s="45"/>
      <c r="P70" s="45"/>
      <c r="Q70" s="45"/>
      <c r="R70" s="45"/>
      <c r="S70" s="45"/>
      <c r="T70" s="45"/>
      <c r="U70" s="45"/>
      <c r="V70" s="45"/>
      <c r="W70" s="45"/>
      <c r="X70" s="45"/>
      <c r="Y70" s="45"/>
      <c r="Z70" s="56"/>
    </row>
    <row r="71" spans="1:26">
      <c r="A71" s="7" t="s">
        <v>333</v>
      </c>
      <c r="B71" s="40" t="s">
        <v>334</v>
      </c>
      <c r="C71" s="40" t="s">
        <v>216</v>
      </c>
      <c r="D71" s="40" t="s">
        <v>228</v>
      </c>
      <c r="E71" s="40" t="s">
        <v>231</v>
      </c>
      <c r="F71" s="40"/>
      <c r="G71" s="38"/>
      <c r="H71" s="51"/>
      <c r="I71" s="53">
        <v>0</v>
      </c>
      <c r="J71" s="66">
        <f t="shared" si="16"/>
        <v>0</v>
      </c>
      <c r="K71" s="67">
        <f t="shared" si="17"/>
        <v>0</v>
      </c>
      <c r="M71" s="45"/>
      <c r="N71" s="45"/>
      <c r="O71" s="45"/>
      <c r="P71" s="45"/>
      <c r="Q71" s="45"/>
      <c r="R71" s="45"/>
      <c r="S71" s="45"/>
      <c r="T71" s="45"/>
      <c r="U71" s="45"/>
      <c r="V71" s="45"/>
      <c r="W71" s="45"/>
      <c r="X71" s="45"/>
      <c r="Y71" s="45"/>
      <c r="Z71" s="56"/>
    </row>
    <row r="72" spans="1:26">
      <c r="A72" s="4" t="s">
        <v>335</v>
      </c>
      <c r="B72" s="151" t="s">
        <v>336</v>
      </c>
      <c r="C72" s="151"/>
      <c r="D72" s="151"/>
      <c r="E72" s="151"/>
      <c r="F72" s="151"/>
      <c r="G72" s="152"/>
      <c r="H72" s="153"/>
      <c r="I72" s="154"/>
      <c r="J72" s="153"/>
      <c r="K72" s="172"/>
      <c r="L72" s="70">
        <f>SUM(K73:K83)</f>
        <v>2429272.5699999998</v>
      </c>
      <c r="M72" s="45"/>
      <c r="N72" s="45"/>
      <c r="O72" s="45"/>
      <c r="P72" s="45"/>
      <c r="Q72" s="45"/>
      <c r="R72" s="45"/>
      <c r="S72" s="45"/>
      <c r="T72" s="45"/>
      <c r="U72" s="45"/>
      <c r="V72" s="45"/>
      <c r="W72" s="45"/>
      <c r="X72" s="45"/>
      <c r="Y72" s="45"/>
      <c r="Z72" s="56"/>
    </row>
    <row r="73" spans="1:26">
      <c r="A73" s="6" t="s">
        <v>338</v>
      </c>
      <c r="B73" s="47" t="s">
        <v>339</v>
      </c>
      <c r="C73" s="47" t="s">
        <v>216</v>
      </c>
      <c r="D73" s="47" t="s">
        <v>228</v>
      </c>
      <c r="E73" s="47" t="s">
        <v>44</v>
      </c>
      <c r="F73" s="47" t="s">
        <v>61</v>
      </c>
      <c r="G73" s="42">
        <f>B8</f>
        <v>431911</v>
      </c>
      <c r="H73" s="61">
        <v>2.7</v>
      </c>
      <c r="I73" s="63">
        <v>0</v>
      </c>
      <c r="J73" s="66">
        <f t="shared" ref="J73:J83" si="18">H73*(1+I73)</f>
        <v>2.7</v>
      </c>
      <c r="K73" s="67">
        <f t="shared" ref="K73:K83" si="19">J73*G73</f>
        <v>1166159.7000000002</v>
      </c>
      <c r="M73" s="45"/>
      <c r="N73" s="45"/>
      <c r="O73" s="45"/>
      <c r="P73" s="45"/>
      <c r="Q73" s="45"/>
      <c r="R73" s="45"/>
      <c r="S73" s="45"/>
      <c r="T73" s="45"/>
      <c r="U73" s="45"/>
      <c r="V73" s="45"/>
      <c r="W73" s="45"/>
      <c r="X73" s="45"/>
      <c r="Y73" s="45"/>
      <c r="Z73" s="56"/>
    </row>
    <row r="74" spans="1:26">
      <c r="A74" s="7" t="s">
        <v>154</v>
      </c>
      <c r="B74" s="40" t="s">
        <v>341</v>
      </c>
      <c r="C74" s="40" t="s">
        <v>216</v>
      </c>
      <c r="D74" s="40" t="s">
        <v>228</v>
      </c>
      <c r="E74" s="40" t="s">
        <v>44</v>
      </c>
      <c r="F74" s="40" t="s">
        <v>342</v>
      </c>
      <c r="G74" s="38">
        <f>Q10</f>
        <v>1745.48</v>
      </c>
      <c r="H74" s="51">
        <v>603</v>
      </c>
      <c r="I74" s="53">
        <v>0</v>
      </c>
      <c r="J74" s="51">
        <f t="shared" si="18"/>
        <v>603</v>
      </c>
      <c r="K74" s="54">
        <f t="shared" si="19"/>
        <v>1052524.44</v>
      </c>
      <c r="M74" s="45"/>
      <c r="N74" s="45"/>
      <c r="O74" s="45"/>
      <c r="P74" s="45"/>
      <c r="Q74" s="45"/>
      <c r="R74" s="45"/>
      <c r="S74" s="45"/>
      <c r="T74" s="45"/>
      <c r="U74" s="45"/>
      <c r="V74" s="45"/>
      <c r="W74" s="45"/>
      <c r="X74" s="45"/>
      <c r="Y74" s="45"/>
      <c r="Z74" s="56"/>
    </row>
    <row r="75" spans="1:26">
      <c r="A75" s="7" t="s">
        <v>344</v>
      </c>
      <c r="B75" s="40" t="s">
        <v>345</v>
      </c>
      <c r="C75" s="40" t="s">
        <v>216</v>
      </c>
      <c r="D75" s="40" t="s">
        <v>303</v>
      </c>
      <c r="E75" s="40" t="s">
        <v>231</v>
      </c>
      <c r="F75" s="40"/>
      <c r="G75" s="38"/>
      <c r="H75" s="51"/>
      <c r="I75" s="53">
        <v>0</v>
      </c>
      <c r="J75" s="51">
        <f t="shared" si="18"/>
        <v>0</v>
      </c>
      <c r="K75" s="54">
        <f t="shared" si="19"/>
        <v>0</v>
      </c>
      <c r="M75" s="45"/>
      <c r="N75" s="45"/>
      <c r="O75" s="45"/>
      <c r="P75" s="45"/>
      <c r="Q75" s="45"/>
      <c r="R75" s="45"/>
      <c r="S75" s="45"/>
      <c r="T75" s="45"/>
      <c r="U75" s="45"/>
      <c r="V75" s="45"/>
      <c r="W75" s="45"/>
      <c r="X75" s="45"/>
      <c r="Y75" s="45"/>
      <c r="Z75" s="56"/>
    </row>
    <row r="76" spans="1:26">
      <c r="A76" s="7" t="s">
        <v>346</v>
      </c>
      <c r="B76" s="40" t="s">
        <v>345</v>
      </c>
      <c r="C76" s="40" t="s">
        <v>216</v>
      </c>
      <c r="D76" s="40" t="s">
        <v>235</v>
      </c>
      <c r="E76" s="40" t="s">
        <v>73</v>
      </c>
      <c r="F76" s="40" t="s">
        <v>71</v>
      </c>
      <c r="G76" s="38">
        <v>1</v>
      </c>
      <c r="H76" s="51">
        <v>7500</v>
      </c>
      <c r="I76" s="53">
        <v>0</v>
      </c>
      <c r="J76" s="51">
        <f t="shared" si="18"/>
        <v>7500</v>
      </c>
      <c r="K76" s="54">
        <f t="shared" si="19"/>
        <v>7500</v>
      </c>
      <c r="M76" s="45"/>
      <c r="N76" s="45"/>
      <c r="O76" s="45"/>
      <c r="P76" s="45"/>
      <c r="Q76" s="45"/>
      <c r="R76" s="45"/>
      <c r="S76" s="45"/>
      <c r="T76" s="45"/>
      <c r="U76" s="45"/>
      <c r="V76" s="45"/>
      <c r="W76" s="45"/>
      <c r="X76" s="45"/>
      <c r="Y76" s="45"/>
      <c r="Z76" s="56"/>
    </row>
    <row r="77" spans="1:26">
      <c r="A77" s="7" t="s">
        <v>347</v>
      </c>
      <c r="B77" s="40" t="s">
        <v>348</v>
      </c>
      <c r="C77" s="40" t="s">
        <v>216</v>
      </c>
      <c r="D77" s="40" t="s">
        <v>250</v>
      </c>
      <c r="E77" s="40" t="s">
        <v>73</v>
      </c>
      <c r="F77" s="40" t="s">
        <v>71</v>
      </c>
      <c r="G77" s="38">
        <f>Q7</f>
        <v>1</v>
      </c>
      <c r="H77" s="51">
        <v>7500</v>
      </c>
      <c r="I77" s="53">
        <v>0.2</v>
      </c>
      <c r="J77" s="51">
        <f t="shared" si="18"/>
        <v>9000</v>
      </c>
      <c r="K77" s="54">
        <f t="shared" si="19"/>
        <v>9000</v>
      </c>
      <c r="M77" s="45" t="s">
        <v>1095</v>
      </c>
      <c r="N77" s="45"/>
      <c r="O77" s="45"/>
      <c r="P77" s="45"/>
      <c r="Q77" s="45"/>
      <c r="R77" s="45"/>
      <c r="S77" s="45"/>
      <c r="T77" s="45"/>
      <c r="U77" s="45"/>
      <c r="V77" s="45"/>
      <c r="W77" s="45"/>
      <c r="X77" s="45"/>
      <c r="Y77" s="45"/>
      <c r="Z77" s="56"/>
    </row>
    <row r="78" spans="1:26">
      <c r="A78" s="7" t="s">
        <v>349</v>
      </c>
      <c r="B78" s="40" t="s">
        <v>350</v>
      </c>
      <c r="C78" s="40" t="s">
        <v>216</v>
      </c>
      <c r="D78" s="40" t="s">
        <v>238</v>
      </c>
      <c r="E78" s="40" t="s">
        <v>543</v>
      </c>
      <c r="F78" s="40" t="s">
        <v>108</v>
      </c>
      <c r="G78" s="38">
        <f>$Q$5</f>
        <v>14</v>
      </c>
      <c r="H78" s="51">
        <v>5800</v>
      </c>
      <c r="I78" s="53">
        <v>0.2</v>
      </c>
      <c r="J78" s="51">
        <f t="shared" si="18"/>
        <v>6960</v>
      </c>
      <c r="K78" s="54">
        <f t="shared" si="19"/>
        <v>97440</v>
      </c>
      <c r="M78" s="45" t="s">
        <v>1095</v>
      </c>
      <c r="N78" s="45"/>
      <c r="O78" s="45"/>
      <c r="P78" s="45"/>
      <c r="Q78" s="45"/>
      <c r="R78" s="45"/>
      <c r="S78" s="45"/>
      <c r="T78" s="45"/>
      <c r="U78" s="45"/>
      <c r="V78" s="45"/>
      <c r="W78" s="45"/>
      <c r="X78" s="45"/>
      <c r="Y78" s="45"/>
      <c r="Z78" s="56"/>
    </row>
    <row r="79" spans="1:26">
      <c r="A79" s="7" t="s">
        <v>351</v>
      </c>
      <c r="B79" s="40" t="s">
        <v>352</v>
      </c>
      <c r="C79" s="40" t="s">
        <v>216</v>
      </c>
      <c r="D79" s="40" t="s">
        <v>228</v>
      </c>
      <c r="E79" s="40" t="s">
        <v>44</v>
      </c>
      <c r="F79" s="40" t="s">
        <v>61</v>
      </c>
      <c r="G79" s="38">
        <f>$B$8</f>
        <v>431911</v>
      </c>
      <c r="H79" s="51">
        <v>0.08</v>
      </c>
      <c r="I79" s="53">
        <v>0</v>
      </c>
      <c r="J79" s="51">
        <f t="shared" si="18"/>
        <v>0.08</v>
      </c>
      <c r="K79" s="54">
        <f t="shared" si="19"/>
        <v>34552.879999999997</v>
      </c>
      <c r="M79" s="45"/>
      <c r="N79" s="45"/>
      <c r="O79" s="45"/>
      <c r="P79" s="45"/>
      <c r="Q79" s="45"/>
      <c r="R79" s="45"/>
      <c r="S79" s="45"/>
      <c r="T79" s="45"/>
      <c r="U79" s="45"/>
      <c r="V79" s="45"/>
      <c r="W79" s="45"/>
      <c r="X79" s="45"/>
      <c r="Y79" s="45"/>
      <c r="Z79" s="56"/>
    </row>
    <row r="80" spans="1:26">
      <c r="A80" s="7" t="s">
        <v>353</v>
      </c>
      <c r="B80" s="40" t="s">
        <v>354</v>
      </c>
      <c r="C80" s="40" t="s">
        <v>216</v>
      </c>
      <c r="D80" s="40" t="s">
        <v>228</v>
      </c>
      <c r="E80" s="40" t="s">
        <v>44</v>
      </c>
      <c r="F80" s="40" t="s">
        <v>61</v>
      </c>
      <c r="G80" s="38">
        <f>$B$8</f>
        <v>431911</v>
      </c>
      <c r="H80" s="51">
        <v>0.05</v>
      </c>
      <c r="I80" s="53">
        <v>0</v>
      </c>
      <c r="J80" s="51">
        <f t="shared" si="18"/>
        <v>0.05</v>
      </c>
      <c r="K80" s="54">
        <f t="shared" si="19"/>
        <v>21595.550000000003</v>
      </c>
      <c r="M80" s="45"/>
      <c r="N80" s="45"/>
      <c r="O80" s="45"/>
      <c r="P80" s="45"/>
      <c r="Q80" s="45"/>
      <c r="R80" s="45"/>
      <c r="S80" s="45"/>
      <c r="T80" s="45"/>
      <c r="U80" s="45"/>
      <c r="V80" s="45"/>
      <c r="W80" s="45"/>
      <c r="X80" s="45"/>
      <c r="Y80" s="45"/>
      <c r="Z80" s="56"/>
    </row>
    <row r="81" spans="1:26">
      <c r="A81" s="7" t="s">
        <v>355</v>
      </c>
      <c r="B81" s="40" t="s">
        <v>356</v>
      </c>
      <c r="C81" s="40" t="s">
        <v>216</v>
      </c>
      <c r="D81" s="40" t="s">
        <v>228</v>
      </c>
      <c r="E81" s="40" t="s">
        <v>44</v>
      </c>
      <c r="F81" s="40" t="s">
        <v>108</v>
      </c>
      <c r="G81" s="38">
        <f>2*$B$11</f>
        <v>10</v>
      </c>
      <c r="H81" s="51">
        <v>1550</v>
      </c>
      <c r="I81" s="53">
        <v>0</v>
      </c>
      <c r="J81" s="51">
        <f t="shared" si="18"/>
        <v>1550</v>
      </c>
      <c r="K81" s="54">
        <f t="shared" si="19"/>
        <v>15500</v>
      </c>
      <c r="M81" s="45" t="s">
        <v>357</v>
      </c>
      <c r="N81" s="45"/>
      <c r="O81" s="45"/>
      <c r="P81" s="45"/>
      <c r="Q81" s="45"/>
      <c r="R81" s="45"/>
      <c r="S81" s="45"/>
      <c r="T81" s="45"/>
      <c r="U81" s="45"/>
      <c r="V81" s="45"/>
      <c r="W81" s="45"/>
      <c r="X81" s="45"/>
      <c r="Y81" s="45"/>
      <c r="Z81" s="56"/>
    </row>
    <row r="82" spans="1:26">
      <c r="A82" s="7" t="s">
        <v>358</v>
      </c>
      <c r="B82" s="40" t="s">
        <v>359</v>
      </c>
      <c r="C82" s="40" t="s">
        <v>216</v>
      </c>
      <c r="D82" s="40" t="s">
        <v>228</v>
      </c>
      <c r="E82" s="40" t="s">
        <v>44</v>
      </c>
      <c r="F82" s="40" t="s">
        <v>108</v>
      </c>
      <c r="G82" s="38">
        <f>2*$B$11</f>
        <v>10</v>
      </c>
      <c r="H82" s="51">
        <v>2500</v>
      </c>
      <c r="I82" s="53">
        <v>0</v>
      </c>
      <c r="J82" s="51">
        <f t="shared" si="18"/>
        <v>2500</v>
      </c>
      <c r="K82" s="54">
        <f t="shared" si="19"/>
        <v>25000</v>
      </c>
      <c r="M82" s="45" t="s">
        <v>357</v>
      </c>
      <c r="N82" s="45"/>
      <c r="O82" s="45"/>
      <c r="P82" s="45"/>
      <c r="Q82" s="45"/>
      <c r="R82" s="45"/>
      <c r="S82" s="45"/>
      <c r="T82" s="45"/>
      <c r="U82" s="45"/>
      <c r="V82" s="45"/>
      <c r="W82" s="45"/>
      <c r="X82" s="45"/>
      <c r="Y82" s="45"/>
      <c r="Z82" s="56"/>
    </row>
    <row r="83" spans="1:26">
      <c r="A83" s="7" t="s">
        <v>360</v>
      </c>
      <c r="B83" s="40" t="s">
        <v>361</v>
      </c>
      <c r="C83" s="40" t="s">
        <v>216</v>
      </c>
      <c r="D83" s="40" t="s">
        <v>228</v>
      </c>
      <c r="E83" s="40" t="s">
        <v>231</v>
      </c>
      <c r="F83" s="40"/>
      <c r="G83" s="38"/>
      <c r="H83" s="51"/>
      <c r="I83" s="53">
        <v>0</v>
      </c>
      <c r="J83" s="51">
        <f t="shared" si="18"/>
        <v>0</v>
      </c>
      <c r="K83" s="54">
        <f t="shared" si="19"/>
        <v>0</v>
      </c>
      <c r="L83" s="14"/>
      <c r="M83" s="45"/>
      <c r="N83" s="45"/>
      <c r="O83" s="45"/>
      <c r="P83" s="45"/>
      <c r="Q83" s="45"/>
      <c r="R83" s="45"/>
      <c r="S83" s="45"/>
      <c r="T83" s="45"/>
      <c r="U83" s="45"/>
      <c r="V83" s="45"/>
      <c r="W83" s="45"/>
      <c r="X83" s="45"/>
      <c r="Y83" s="45"/>
      <c r="Z83" s="56"/>
    </row>
    <row r="84" spans="1:26">
      <c r="A84" s="4" t="s">
        <v>362</v>
      </c>
      <c r="B84" s="151" t="s">
        <v>363</v>
      </c>
      <c r="C84" s="151"/>
      <c r="D84" s="151"/>
      <c r="E84" s="151"/>
      <c r="F84" s="151"/>
      <c r="G84" s="152"/>
      <c r="H84" s="153"/>
      <c r="I84" s="154"/>
      <c r="J84" s="153"/>
      <c r="K84" s="172"/>
      <c r="L84" s="70">
        <f>SUM(K85:K99)</f>
        <v>639799.78947368404</v>
      </c>
      <c r="M84" s="45"/>
      <c r="N84" s="45"/>
      <c r="O84" s="45"/>
      <c r="P84" s="45"/>
      <c r="Q84" s="45"/>
      <c r="R84" s="45"/>
      <c r="S84" s="45"/>
      <c r="T84" s="45"/>
      <c r="U84" s="45"/>
      <c r="V84" s="45"/>
      <c r="W84" s="45"/>
      <c r="X84" s="45"/>
      <c r="Y84" s="45"/>
      <c r="Z84" s="56"/>
    </row>
    <row r="85" spans="1:26">
      <c r="A85" s="6" t="s">
        <v>307</v>
      </c>
      <c r="B85" s="47" t="s">
        <v>364</v>
      </c>
      <c r="C85" s="47" t="s">
        <v>216</v>
      </c>
      <c r="D85" s="47" t="s">
        <v>309</v>
      </c>
      <c r="E85" s="47"/>
      <c r="F85" s="47"/>
      <c r="G85" s="42"/>
      <c r="H85" s="61">
        <v>79</v>
      </c>
      <c r="I85" s="63">
        <v>0</v>
      </c>
      <c r="J85" s="66">
        <f t="shared" ref="J85:J99" si="20">H85*(1+I85)</f>
        <v>79</v>
      </c>
      <c r="K85" s="67">
        <f t="shared" ref="K85:K99" si="21">J85*G85</f>
        <v>0</v>
      </c>
      <c r="M85" s="45"/>
      <c r="N85" s="45"/>
      <c r="O85" s="45"/>
      <c r="P85" s="45"/>
      <c r="Q85" s="45"/>
      <c r="R85" s="45"/>
      <c r="S85" s="45"/>
      <c r="T85" s="45"/>
      <c r="U85" s="45"/>
      <c r="V85" s="45"/>
      <c r="W85" s="45"/>
      <c r="X85" s="45"/>
      <c r="Y85" s="45"/>
      <c r="Z85" s="56"/>
    </row>
    <row r="86" spans="1:26">
      <c r="A86" s="7" t="s">
        <v>365</v>
      </c>
      <c r="B86" s="40" t="s">
        <v>366</v>
      </c>
      <c r="C86" s="40" t="s">
        <v>216</v>
      </c>
      <c r="D86" s="40" t="s">
        <v>303</v>
      </c>
      <c r="E86" s="40" t="s">
        <v>231</v>
      </c>
      <c r="F86" s="40"/>
      <c r="G86" s="38"/>
      <c r="H86" s="51"/>
      <c r="I86" s="53">
        <v>0</v>
      </c>
      <c r="J86" s="51">
        <f t="shared" si="20"/>
        <v>0</v>
      </c>
      <c r="K86" s="54">
        <f t="shared" si="21"/>
        <v>0</v>
      </c>
      <c r="M86" s="45"/>
      <c r="N86" s="45"/>
      <c r="O86" s="45"/>
      <c r="P86" s="45"/>
      <c r="Q86" s="45"/>
      <c r="R86" s="45"/>
      <c r="S86" s="45"/>
      <c r="T86" s="45"/>
      <c r="U86" s="45"/>
      <c r="V86" s="45"/>
      <c r="W86" s="45"/>
      <c r="X86" s="45"/>
      <c r="Y86" s="45"/>
      <c r="Z86" s="56"/>
    </row>
    <row r="87" spans="1:26">
      <c r="A87" s="7" t="s">
        <v>367</v>
      </c>
      <c r="B87" s="40" t="s">
        <v>368</v>
      </c>
      <c r="C87" s="40" t="s">
        <v>216</v>
      </c>
      <c r="D87" s="40" t="s">
        <v>303</v>
      </c>
      <c r="E87" s="40" t="s">
        <v>369</v>
      </c>
      <c r="F87" s="40"/>
      <c r="G87" s="38"/>
      <c r="H87" s="51"/>
      <c r="I87" s="53">
        <v>0</v>
      </c>
      <c r="J87" s="51">
        <f t="shared" si="20"/>
        <v>0</v>
      </c>
      <c r="K87" s="54">
        <f t="shared" si="21"/>
        <v>0</v>
      </c>
      <c r="M87" s="45"/>
      <c r="N87" s="45"/>
      <c r="O87" s="45"/>
      <c r="P87" s="45"/>
      <c r="Q87" s="45"/>
      <c r="R87" s="45"/>
      <c r="S87" s="45"/>
      <c r="T87" s="45"/>
      <c r="U87" s="45"/>
      <c r="V87" s="45"/>
      <c r="W87" s="45"/>
      <c r="X87" s="45"/>
      <c r="Y87" s="45"/>
      <c r="Z87" s="56"/>
    </row>
    <row r="88" spans="1:26">
      <c r="A88" s="7" t="s">
        <v>370</v>
      </c>
      <c r="B88" s="40" t="s">
        <v>368</v>
      </c>
      <c r="C88" s="40" t="s">
        <v>216</v>
      </c>
      <c r="D88" s="40" t="s">
        <v>228</v>
      </c>
      <c r="E88" s="40" t="s">
        <v>231</v>
      </c>
      <c r="F88" s="40"/>
      <c r="G88" s="38"/>
      <c r="H88" s="51"/>
      <c r="I88" s="53">
        <v>0</v>
      </c>
      <c r="J88" s="51">
        <f t="shared" si="20"/>
        <v>0</v>
      </c>
      <c r="K88" s="54">
        <f t="shared" si="21"/>
        <v>0</v>
      </c>
      <c r="M88" s="45"/>
      <c r="N88" s="45"/>
      <c r="O88" s="45"/>
      <c r="P88" s="45"/>
      <c r="Q88" s="45"/>
      <c r="R88" s="45"/>
      <c r="S88" s="45"/>
      <c r="T88" s="45"/>
      <c r="U88" s="45"/>
      <c r="V88" s="45"/>
      <c r="W88" s="45"/>
      <c r="X88" s="45"/>
      <c r="Y88" s="45"/>
      <c r="Z88" s="56"/>
    </row>
    <row r="89" spans="1:26">
      <c r="A89" s="7" t="s">
        <v>371</v>
      </c>
      <c r="B89" s="40" t="s">
        <v>372</v>
      </c>
      <c r="C89" s="40" t="s">
        <v>216</v>
      </c>
      <c r="D89" s="40" t="s">
        <v>228</v>
      </c>
      <c r="E89" s="40" t="s">
        <v>231</v>
      </c>
      <c r="F89" s="40"/>
      <c r="G89" s="38"/>
      <c r="H89" s="51"/>
      <c r="I89" s="53">
        <v>0</v>
      </c>
      <c r="J89" s="51">
        <f t="shared" si="20"/>
        <v>0</v>
      </c>
      <c r="K89" s="54">
        <f t="shared" si="21"/>
        <v>0</v>
      </c>
      <c r="M89" s="45"/>
      <c r="N89" s="45"/>
      <c r="O89" s="45"/>
      <c r="P89" s="45"/>
      <c r="Q89" s="45"/>
      <c r="R89" s="45"/>
      <c r="S89" s="45"/>
      <c r="T89" s="45"/>
      <c r="U89" s="45"/>
      <c r="V89" s="45"/>
      <c r="W89" s="45"/>
      <c r="X89" s="45"/>
      <c r="Y89" s="45"/>
      <c r="Z89" s="56"/>
    </row>
    <row r="90" spans="1:26">
      <c r="A90" s="7" t="s">
        <v>373</v>
      </c>
      <c r="B90" s="40" t="s">
        <v>374</v>
      </c>
      <c r="C90" s="40" t="s">
        <v>216</v>
      </c>
      <c r="D90" s="40" t="s">
        <v>228</v>
      </c>
      <c r="E90" s="40" t="s">
        <v>44</v>
      </c>
      <c r="F90" s="40" t="s">
        <v>375</v>
      </c>
      <c r="G90" s="42">
        <f>$E$8</f>
        <v>390</v>
      </c>
      <c r="H90" s="51">
        <v>1157.8947368421052</v>
      </c>
      <c r="I90" s="53">
        <v>0.15</v>
      </c>
      <c r="J90" s="51">
        <f t="shared" si="20"/>
        <v>1331.5789473684208</v>
      </c>
      <c r="K90" s="54">
        <f>J90*G90</f>
        <v>519315.7894736841</v>
      </c>
      <c r="L90" s="112"/>
      <c r="M90" s="45" t="s">
        <v>1096</v>
      </c>
      <c r="N90" s="45"/>
      <c r="O90" s="45"/>
      <c r="P90" s="45"/>
      <c r="Q90" s="45"/>
      <c r="R90" s="45"/>
      <c r="S90" s="45"/>
      <c r="T90" s="45"/>
      <c r="U90" s="45"/>
      <c r="V90" s="45"/>
      <c r="W90" s="45"/>
      <c r="X90" s="45"/>
      <c r="Y90" s="45"/>
      <c r="Z90" s="56"/>
    </row>
    <row r="91" spans="1:26">
      <c r="A91" s="7" t="s">
        <v>377</v>
      </c>
      <c r="B91" s="40" t="s">
        <v>374</v>
      </c>
      <c r="C91" s="40" t="s">
        <v>233</v>
      </c>
      <c r="D91" s="40" t="s">
        <v>228</v>
      </c>
      <c r="E91" s="40" t="s">
        <v>73</v>
      </c>
      <c r="F91" s="40" t="s">
        <v>375</v>
      </c>
      <c r="G91" s="42">
        <f>$E$8</f>
        <v>390</v>
      </c>
      <c r="H91" s="51">
        <v>75</v>
      </c>
      <c r="I91" s="53">
        <v>0</v>
      </c>
      <c r="J91" s="51">
        <f t="shared" si="20"/>
        <v>75</v>
      </c>
      <c r="K91" s="54">
        <f>J91*G91</f>
        <v>29250</v>
      </c>
      <c r="M91" s="45"/>
      <c r="N91" s="45"/>
      <c r="O91" s="45"/>
      <c r="P91" s="45"/>
      <c r="Q91" s="45"/>
      <c r="R91" s="45"/>
      <c r="S91" s="45"/>
      <c r="T91" s="45"/>
      <c r="U91" s="45"/>
      <c r="V91" s="45"/>
      <c r="W91" s="45"/>
      <c r="X91" s="45"/>
      <c r="Y91" s="45"/>
      <c r="Z91" s="56"/>
    </row>
    <row r="92" spans="1:26">
      <c r="A92" s="7" t="s">
        <v>378</v>
      </c>
      <c r="B92" s="40" t="s">
        <v>379</v>
      </c>
      <c r="C92" s="40" t="s">
        <v>216</v>
      </c>
      <c r="D92" s="40" t="s">
        <v>250</v>
      </c>
      <c r="E92" s="40" t="s">
        <v>231</v>
      </c>
      <c r="F92" s="40"/>
      <c r="G92" s="38"/>
      <c r="H92" s="51"/>
      <c r="I92" s="53">
        <v>0</v>
      </c>
      <c r="J92" s="51">
        <f t="shared" si="20"/>
        <v>0</v>
      </c>
      <c r="K92" s="54">
        <f t="shared" si="21"/>
        <v>0</v>
      </c>
      <c r="M92" s="45"/>
      <c r="N92" s="45"/>
      <c r="O92" s="45"/>
      <c r="P92" s="45"/>
      <c r="Q92" s="45"/>
      <c r="R92" s="45"/>
      <c r="S92" s="45"/>
      <c r="T92" s="45"/>
      <c r="U92" s="45"/>
      <c r="V92" s="45"/>
      <c r="W92" s="45"/>
      <c r="X92" s="45"/>
      <c r="Y92" s="45"/>
      <c r="Z92" s="56"/>
    </row>
    <row r="93" spans="1:26">
      <c r="A93" s="7" t="s">
        <v>380</v>
      </c>
      <c r="B93" s="40" t="s">
        <v>381</v>
      </c>
      <c r="C93" s="40" t="s">
        <v>216</v>
      </c>
      <c r="D93" s="40" t="s">
        <v>242</v>
      </c>
      <c r="E93" s="40" t="s">
        <v>231</v>
      </c>
      <c r="F93" s="40"/>
      <c r="G93" s="38"/>
      <c r="H93" s="51"/>
      <c r="I93" s="53">
        <v>0</v>
      </c>
      <c r="J93" s="51">
        <f t="shared" si="20"/>
        <v>0</v>
      </c>
      <c r="K93" s="54">
        <f t="shared" si="21"/>
        <v>0</v>
      </c>
      <c r="M93" s="45"/>
      <c r="N93" s="45"/>
      <c r="O93" s="45"/>
      <c r="P93" s="45"/>
      <c r="Q93" s="45"/>
      <c r="R93" s="45"/>
      <c r="S93" s="45"/>
      <c r="T93" s="45"/>
      <c r="U93" s="45"/>
      <c r="V93" s="45"/>
      <c r="W93" s="45"/>
      <c r="X93" s="45"/>
      <c r="Y93" s="45"/>
      <c r="Z93" s="56"/>
    </row>
    <row r="94" spans="1:26">
      <c r="A94" s="7" t="s">
        <v>382</v>
      </c>
      <c r="B94" s="40" t="s">
        <v>383</v>
      </c>
      <c r="C94" s="40" t="s">
        <v>216</v>
      </c>
      <c r="D94" s="40" t="s">
        <v>228</v>
      </c>
      <c r="E94" s="40" t="s">
        <v>231</v>
      </c>
      <c r="F94" s="40"/>
      <c r="G94" s="38"/>
      <c r="H94" s="51"/>
      <c r="I94" s="53">
        <v>0</v>
      </c>
      <c r="J94" s="51">
        <f t="shared" si="20"/>
        <v>0</v>
      </c>
      <c r="K94" s="54">
        <f t="shared" si="21"/>
        <v>0</v>
      </c>
      <c r="M94" s="45"/>
      <c r="N94" s="45"/>
      <c r="O94" s="45"/>
      <c r="P94" s="45"/>
      <c r="Q94" s="45"/>
      <c r="R94" s="45"/>
      <c r="S94" s="45"/>
      <c r="T94" s="45"/>
      <c r="U94" s="45"/>
      <c r="V94" s="45"/>
      <c r="W94" s="45"/>
      <c r="X94" s="45"/>
      <c r="Y94" s="45"/>
      <c r="Z94" s="56"/>
    </row>
    <row r="95" spans="1:26">
      <c r="A95" s="7" t="s">
        <v>384</v>
      </c>
      <c r="B95" s="40" t="s">
        <v>385</v>
      </c>
      <c r="C95" s="40" t="s">
        <v>216</v>
      </c>
      <c r="D95" s="40" t="s">
        <v>228</v>
      </c>
      <c r="E95" s="40" t="s">
        <v>231</v>
      </c>
      <c r="F95" s="40"/>
      <c r="G95" s="38"/>
      <c r="H95" s="51"/>
      <c r="I95" s="53">
        <v>0</v>
      </c>
      <c r="J95" s="51">
        <f t="shared" si="20"/>
        <v>0</v>
      </c>
      <c r="K95" s="54">
        <f t="shared" si="21"/>
        <v>0</v>
      </c>
      <c r="M95" s="45"/>
      <c r="N95" s="45"/>
      <c r="O95" s="45"/>
      <c r="P95" s="45"/>
      <c r="Q95" s="45"/>
      <c r="R95" s="45"/>
      <c r="S95" s="45"/>
      <c r="T95" s="45"/>
      <c r="U95" s="45"/>
      <c r="V95" s="45"/>
      <c r="W95" s="45"/>
      <c r="X95" s="45"/>
      <c r="Y95" s="45"/>
      <c r="Z95" s="56"/>
    </row>
    <row r="96" spans="1:26">
      <c r="A96" s="7" t="s">
        <v>386</v>
      </c>
      <c r="B96" s="40" t="s">
        <v>387</v>
      </c>
      <c r="C96" s="40" t="s">
        <v>216</v>
      </c>
      <c r="D96" s="40" t="s">
        <v>228</v>
      </c>
      <c r="E96" s="40" t="s">
        <v>231</v>
      </c>
      <c r="F96" s="40"/>
      <c r="G96" s="38"/>
      <c r="H96" s="51"/>
      <c r="I96" s="53">
        <v>0</v>
      </c>
      <c r="J96" s="51">
        <f t="shared" si="20"/>
        <v>0</v>
      </c>
      <c r="K96" s="54">
        <f t="shared" si="21"/>
        <v>0</v>
      </c>
      <c r="M96" s="45"/>
      <c r="N96" s="45"/>
      <c r="O96" s="45"/>
      <c r="P96" s="45"/>
      <c r="Q96" s="45"/>
      <c r="R96" s="45"/>
      <c r="S96" s="45"/>
      <c r="T96" s="45"/>
      <c r="U96" s="45"/>
      <c r="V96" s="45"/>
      <c r="W96" s="45"/>
      <c r="X96" s="45"/>
      <c r="Y96" s="45"/>
      <c r="Z96" s="56"/>
    </row>
    <row r="97" spans="1:26">
      <c r="A97" s="7" t="s">
        <v>388</v>
      </c>
      <c r="B97" s="40" t="s">
        <v>385</v>
      </c>
      <c r="C97" s="40" t="s">
        <v>216</v>
      </c>
      <c r="D97" s="40" t="s">
        <v>228</v>
      </c>
      <c r="E97" s="40" t="s">
        <v>231</v>
      </c>
      <c r="F97" s="40"/>
      <c r="G97" s="38"/>
      <c r="H97" s="51"/>
      <c r="I97" s="53">
        <v>0</v>
      </c>
      <c r="J97" s="51">
        <f t="shared" si="20"/>
        <v>0</v>
      </c>
      <c r="K97" s="54">
        <f t="shared" si="21"/>
        <v>0</v>
      </c>
      <c r="M97" s="45"/>
      <c r="N97" s="45"/>
      <c r="O97" s="45"/>
      <c r="P97" s="45"/>
      <c r="Q97" s="45"/>
      <c r="R97" s="45"/>
      <c r="S97" s="45"/>
      <c r="T97" s="45"/>
      <c r="U97" s="45"/>
      <c r="V97" s="45"/>
      <c r="W97" s="45"/>
      <c r="X97" s="45"/>
      <c r="Y97" s="45"/>
      <c r="Z97" s="56"/>
    </row>
    <row r="98" spans="1:26">
      <c r="A98" s="7" t="s">
        <v>389</v>
      </c>
      <c r="B98" s="40" t="s">
        <v>385</v>
      </c>
      <c r="C98" s="40" t="s">
        <v>216</v>
      </c>
      <c r="D98" s="40" t="s">
        <v>228</v>
      </c>
      <c r="E98" s="40" t="s">
        <v>426</v>
      </c>
      <c r="F98" s="40" t="s">
        <v>403</v>
      </c>
      <c r="G98" s="42">
        <f>J8+M8+N8</f>
        <v>557</v>
      </c>
      <c r="H98" s="51">
        <v>162</v>
      </c>
      <c r="I98" s="53">
        <v>0</v>
      </c>
      <c r="J98" s="51">
        <f>H98*(1+I98)</f>
        <v>162</v>
      </c>
      <c r="K98" s="54">
        <f>J98*G98</f>
        <v>90234</v>
      </c>
      <c r="M98" s="45"/>
      <c r="N98" s="45"/>
      <c r="O98" s="45"/>
      <c r="P98" s="45"/>
      <c r="Q98" s="45"/>
      <c r="R98" s="45"/>
      <c r="S98" s="45"/>
      <c r="T98" s="45"/>
      <c r="U98" s="45"/>
      <c r="V98" s="45"/>
      <c r="W98" s="45"/>
      <c r="X98" s="45"/>
      <c r="Y98" s="45"/>
      <c r="Z98" s="56"/>
    </row>
    <row r="99" spans="1:26">
      <c r="A99" s="7" t="s">
        <v>390</v>
      </c>
      <c r="B99" s="40" t="s">
        <v>385</v>
      </c>
      <c r="C99" s="40" t="s">
        <v>216</v>
      </c>
      <c r="D99" s="40" t="s">
        <v>228</v>
      </c>
      <c r="E99" s="40" t="s">
        <v>73</v>
      </c>
      <c r="F99" s="40" t="s">
        <v>108</v>
      </c>
      <c r="G99" s="38">
        <v>4</v>
      </c>
      <c r="H99" s="51">
        <v>250</v>
      </c>
      <c r="I99" s="53">
        <v>0</v>
      </c>
      <c r="J99" s="51">
        <f t="shared" si="20"/>
        <v>250</v>
      </c>
      <c r="K99" s="54">
        <f t="shared" si="21"/>
        <v>1000</v>
      </c>
      <c r="M99" s="45"/>
      <c r="N99" s="45"/>
      <c r="O99" s="45"/>
      <c r="P99" s="45"/>
      <c r="Q99" s="45"/>
      <c r="R99" s="45"/>
      <c r="S99" s="45"/>
      <c r="T99" s="45"/>
      <c r="U99" s="45"/>
      <c r="V99" s="45"/>
      <c r="W99" s="45"/>
      <c r="X99" s="45"/>
      <c r="Y99" s="45"/>
      <c r="Z99" s="56"/>
    </row>
    <row r="100" spans="1:26">
      <c r="A100" s="4" t="s">
        <v>391</v>
      </c>
      <c r="B100" s="151" t="s">
        <v>392</v>
      </c>
      <c r="C100" s="151"/>
      <c r="D100" s="151"/>
      <c r="E100" s="151"/>
      <c r="F100" s="151"/>
      <c r="G100" s="152"/>
      <c r="H100" s="153"/>
      <c r="I100" s="154"/>
      <c r="J100" s="153"/>
      <c r="K100" s="172"/>
      <c r="L100" s="70">
        <f>SUM(K101:K136)</f>
        <v>7023592.8141822321</v>
      </c>
      <c r="M100" s="45"/>
      <c r="N100" s="45"/>
      <c r="O100" s="45"/>
      <c r="P100" s="45"/>
      <c r="Q100" s="45"/>
      <c r="R100" s="45"/>
      <c r="S100" s="45"/>
      <c r="T100" s="45"/>
      <c r="U100" s="45"/>
      <c r="V100" s="45"/>
      <c r="W100" s="45"/>
      <c r="X100" s="45"/>
      <c r="Y100" s="45"/>
      <c r="Z100" s="56"/>
    </row>
    <row r="101" spans="1:26">
      <c r="A101" s="6" t="s">
        <v>393</v>
      </c>
      <c r="B101" s="47" t="s">
        <v>394</v>
      </c>
      <c r="C101" s="47" t="s">
        <v>216</v>
      </c>
      <c r="D101" s="47" t="s">
        <v>228</v>
      </c>
      <c r="E101" s="47"/>
      <c r="F101" s="47"/>
      <c r="G101" s="42"/>
      <c r="H101" s="61">
        <v>0.05</v>
      </c>
      <c r="I101" s="63">
        <v>0</v>
      </c>
      <c r="J101" s="66">
        <f t="shared" ref="J101:J136" si="22">H101*(1+I101)</f>
        <v>0.05</v>
      </c>
      <c r="K101" s="67">
        <f t="shared" ref="K101:K136" si="23">J101*G101</f>
        <v>0</v>
      </c>
      <c r="M101" s="45"/>
      <c r="N101" s="45"/>
      <c r="O101" s="45"/>
      <c r="P101" s="45"/>
      <c r="Q101" s="45"/>
      <c r="R101" s="45"/>
      <c r="S101" s="45"/>
      <c r="T101" s="45"/>
      <c r="U101" s="45"/>
      <c r="V101" s="45"/>
      <c r="W101" s="45"/>
      <c r="X101" s="45"/>
      <c r="Y101" s="45"/>
      <c r="Z101" s="56"/>
    </row>
    <row r="102" spans="1:26">
      <c r="A102" s="7" t="s">
        <v>395</v>
      </c>
      <c r="B102" s="40" t="s">
        <v>396</v>
      </c>
      <c r="C102" s="40" t="s">
        <v>216</v>
      </c>
      <c r="D102" s="40" t="s">
        <v>228</v>
      </c>
      <c r="E102" s="40" t="s">
        <v>73</v>
      </c>
      <c r="F102" s="40" t="s">
        <v>71</v>
      </c>
      <c r="G102" s="38">
        <v>1</v>
      </c>
      <c r="H102" s="51">
        <v>25000</v>
      </c>
      <c r="I102" s="53">
        <v>0</v>
      </c>
      <c r="J102" s="51">
        <f t="shared" si="22"/>
        <v>25000</v>
      </c>
      <c r="K102" s="54">
        <f t="shared" si="23"/>
        <v>25000</v>
      </c>
      <c r="M102" s="45"/>
      <c r="N102" s="45"/>
      <c r="O102" s="45"/>
      <c r="P102" s="45"/>
      <c r="Q102" s="45"/>
      <c r="R102" s="45"/>
      <c r="S102" s="45"/>
      <c r="T102" s="45"/>
      <c r="U102" s="45"/>
      <c r="V102" s="45"/>
      <c r="W102" s="45"/>
      <c r="X102" s="45"/>
      <c r="Y102" s="45"/>
      <c r="Z102" s="56"/>
    </row>
    <row r="103" spans="1:26">
      <c r="A103" s="7" t="s">
        <v>397</v>
      </c>
      <c r="B103" s="40" t="s">
        <v>398</v>
      </c>
      <c r="C103" s="40" t="s">
        <v>216</v>
      </c>
      <c r="D103" s="40" t="s">
        <v>228</v>
      </c>
      <c r="E103" s="40" t="s">
        <v>44</v>
      </c>
      <c r="F103" s="40" t="s">
        <v>61</v>
      </c>
      <c r="G103" s="38">
        <f t="shared" ref="G103:G123" si="24">$B$8</f>
        <v>431911</v>
      </c>
      <c r="H103" s="51">
        <v>0.85</v>
      </c>
      <c r="I103" s="53">
        <v>0</v>
      </c>
      <c r="J103" s="51">
        <f t="shared" si="22"/>
        <v>0.85</v>
      </c>
      <c r="K103" s="54">
        <f t="shared" si="23"/>
        <v>367124.35</v>
      </c>
      <c r="M103" s="45"/>
      <c r="N103" s="45"/>
      <c r="O103" s="45"/>
      <c r="P103" s="45"/>
      <c r="Q103" s="45"/>
      <c r="R103" s="45"/>
      <c r="S103" s="45"/>
      <c r="T103" s="45"/>
      <c r="U103" s="45"/>
      <c r="V103" s="45"/>
      <c r="W103" s="45"/>
      <c r="X103" s="45"/>
      <c r="Y103" s="45"/>
      <c r="Z103" s="56"/>
    </row>
    <row r="104" spans="1:26">
      <c r="A104" s="7" t="s">
        <v>399</v>
      </c>
      <c r="B104" s="40" t="s">
        <v>400</v>
      </c>
      <c r="C104" s="40" t="s">
        <v>216</v>
      </c>
      <c r="D104" s="40" t="s">
        <v>228</v>
      </c>
      <c r="E104" s="40" t="s">
        <v>73</v>
      </c>
      <c r="F104" s="40" t="s">
        <v>71</v>
      </c>
      <c r="G104" s="38">
        <v>1</v>
      </c>
      <c r="H104" s="51">
        <v>75000</v>
      </c>
      <c r="I104" s="53">
        <v>0</v>
      </c>
      <c r="J104" s="51">
        <f t="shared" si="22"/>
        <v>75000</v>
      </c>
      <c r="K104" s="54">
        <f t="shared" si="23"/>
        <v>75000</v>
      </c>
      <c r="M104" s="45"/>
      <c r="N104" s="45"/>
      <c r="O104" s="45"/>
      <c r="P104" s="45"/>
      <c r="Q104" s="45"/>
      <c r="R104" s="45"/>
      <c r="S104" s="45"/>
      <c r="T104" s="45"/>
      <c r="U104" s="45"/>
      <c r="V104" s="45"/>
      <c r="W104" s="45"/>
      <c r="X104" s="45"/>
      <c r="Y104" s="45"/>
      <c r="Z104" s="56"/>
    </row>
    <row r="105" spans="1:26">
      <c r="A105" s="7" t="s">
        <v>307</v>
      </c>
      <c r="B105" s="40" t="s">
        <v>401</v>
      </c>
      <c r="C105" s="40" t="s">
        <v>216</v>
      </c>
      <c r="D105" s="40" t="s">
        <v>309</v>
      </c>
      <c r="E105" s="40" t="s">
        <v>402</v>
      </c>
      <c r="F105" s="40" t="s">
        <v>403</v>
      </c>
      <c r="G105" s="42">
        <f>$E$8</f>
        <v>390</v>
      </c>
      <c r="H105" s="51">
        <v>79</v>
      </c>
      <c r="I105" s="53">
        <v>0</v>
      </c>
      <c r="J105" s="51">
        <f t="shared" si="22"/>
        <v>79</v>
      </c>
      <c r="K105" s="54">
        <f t="shared" si="23"/>
        <v>30810</v>
      </c>
      <c r="M105" s="45"/>
      <c r="N105" s="45"/>
      <c r="O105" s="45"/>
      <c r="P105" s="45"/>
      <c r="Q105" s="45"/>
      <c r="R105" s="45"/>
      <c r="S105" s="45"/>
      <c r="T105" s="45"/>
      <c r="U105" s="45"/>
      <c r="V105" s="45"/>
      <c r="W105" s="45"/>
      <c r="X105" s="45"/>
      <c r="Y105" s="45"/>
      <c r="Z105" s="56"/>
    </row>
    <row r="106" spans="1:26">
      <c r="A106" s="7" t="s">
        <v>404</v>
      </c>
      <c r="B106" s="40" t="s">
        <v>405</v>
      </c>
      <c r="C106" s="40" t="s">
        <v>216</v>
      </c>
      <c r="D106" s="40" t="s">
        <v>223</v>
      </c>
      <c r="E106" s="40" t="s">
        <v>73</v>
      </c>
      <c r="F106" s="40" t="s">
        <v>71</v>
      </c>
      <c r="G106" s="38">
        <v>1</v>
      </c>
      <c r="H106" s="51">
        <v>10000</v>
      </c>
      <c r="I106" s="53">
        <v>0</v>
      </c>
      <c r="J106" s="51">
        <f t="shared" si="22"/>
        <v>10000</v>
      </c>
      <c r="K106" s="54">
        <f t="shared" si="23"/>
        <v>10000</v>
      </c>
      <c r="M106" s="45"/>
      <c r="N106" s="45"/>
      <c r="O106" s="45"/>
      <c r="P106" s="45"/>
      <c r="Q106" s="45"/>
      <c r="R106" s="45"/>
      <c r="S106" s="45"/>
      <c r="T106" s="45"/>
      <c r="U106" s="45"/>
      <c r="V106" s="45"/>
      <c r="W106" s="45"/>
      <c r="X106" s="45"/>
      <c r="Y106" s="45"/>
      <c r="Z106" s="56"/>
    </row>
    <row r="107" spans="1:26">
      <c r="A107" s="7" t="s">
        <v>159</v>
      </c>
      <c r="B107" s="40" t="s">
        <v>406</v>
      </c>
      <c r="C107" s="40" t="s">
        <v>216</v>
      </c>
      <c r="D107" s="40" t="s">
        <v>228</v>
      </c>
      <c r="E107" s="40" t="s">
        <v>1092</v>
      </c>
      <c r="F107" s="40" t="s">
        <v>62</v>
      </c>
      <c r="G107" s="38">
        <f>Q11</f>
        <v>26012</v>
      </c>
      <c r="H107" s="51">
        <v>42.3</v>
      </c>
      <c r="I107" s="53">
        <v>0</v>
      </c>
      <c r="J107" s="51">
        <v>40.81</v>
      </c>
      <c r="K107" s="54">
        <f t="shared" si="23"/>
        <v>1061549.72</v>
      </c>
      <c r="M107" s="45" t="s">
        <v>1097</v>
      </c>
      <c r="N107" s="45"/>
      <c r="O107" s="45"/>
      <c r="P107" s="45"/>
      <c r="Q107" s="45"/>
      <c r="R107" s="45"/>
      <c r="S107" s="45"/>
      <c r="T107" s="45"/>
      <c r="U107" s="45"/>
      <c r="V107" s="45"/>
      <c r="W107" s="45"/>
      <c r="X107" s="45"/>
      <c r="Y107" s="45"/>
      <c r="Z107" s="56"/>
    </row>
    <row r="108" spans="1:26">
      <c r="A108" s="7" t="s">
        <v>407</v>
      </c>
      <c r="B108" s="40" t="s">
        <v>406</v>
      </c>
      <c r="C108" s="40" t="s">
        <v>283</v>
      </c>
      <c r="D108" s="40" t="s">
        <v>235</v>
      </c>
      <c r="E108" s="40" t="s">
        <v>73</v>
      </c>
      <c r="F108" s="40" t="s">
        <v>71</v>
      </c>
      <c r="G108" s="38">
        <f>Q15</f>
        <v>1</v>
      </c>
      <c r="H108" s="51">
        <v>6000</v>
      </c>
      <c r="I108" s="53">
        <v>0</v>
      </c>
      <c r="J108" s="51">
        <f t="shared" si="22"/>
        <v>6000</v>
      </c>
      <c r="K108" s="54">
        <f t="shared" si="23"/>
        <v>6000</v>
      </c>
      <c r="M108" s="45"/>
      <c r="N108" s="45"/>
      <c r="O108" s="45"/>
      <c r="P108" s="45"/>
      <c r="Q108" s="45"/>
      <c r="R108" s="45"/>
      <c r="S108" s="45"/>
      <c r="T108" s="45"/>
      <c r="U108" s="45"/>
      <c r="V108" s="45"/>
      <c r="W108" s="45"/>
      <c r="X108" s="45"/>
      <c r="Y108" s="45"/>
      <c r="Z108" s="56"/>
    </row>
    <row r="109" spans="1:26">
      <c r="A109" s="7" t="s">
        <v>408</v>
      </c>
      <c r="B109" s="40" t="s">
        <v>409</v>
      </c>
      <c r="C109" s="40" t="s">
        <v>216</v>
      </c>
      <c r="D109" s="40" t="s">
        <v>242</v>
      </c>
      <c r="E109" s="40" t="s">
        <v>231</v>
      </c>
      <c r="F109" s="40"/>
      <c r="G109" s="38"/>
      <c r="H109" s="51"/>
      <c r="I109" s="53">
        <v>0</v>
      </c>
      <c r="J109" s="51">
        <f t="shared" si="22"/>
        <v>0</v>
      </c>
      <c r="K109" s="54">
        <f t="shared" si="23"/>
        <v>0</v>
      </c>
      <c r="M109" s="45"/>
      <c r="N109" s="45"/>
      <c r="O109" s="45"/>
      <c r="P109" s="45"/>
      <c r="Q109" s="45"/>
      <c r="R109" s="45"/>
      <c r="S109" s="45"/>
      <c r="T109" s="45"/>
      <c r="U109" s="45"/>
      <c r="V109" s="45"/>
      <c r="W109" s="45"/>
      <c r="X109" s="45"/>
      <c r="Y109" s="45"/>
      <c r="Z109" s="56"/>
    </row>
    <row r="110" spans="1:26">
      <c r="A110" s="7" t="s">
        <v>410</v>
      </c>
      <c r="B110" s="40" t="s">
        <v>411</v>
      </c>
      <c r="C110" s="40" t="s">
        <v>283</v>
      </c>
      <c r="D110" s="40" t="s">
        <v>242</v>
      </c>
      <c r="E110" s="40" t="s">
        <v>73</v>
      </c>
      <c r="F110" s="40" t="s">
        <v>71</v>
      </c>
      <c r="G110" s="38">
        <f>$Q$7</f>
        <v>1</v>
      </c>
      <c r="H110" s="51">
        <v>2000</v>
      </c>
      <c r="I110" s="53">
        <v>0</v>
      </c>
      <c r="J110" s="51">
        <f t="shared" si="22"/>
        <v>2000</v>
      </c>
      <c r="K110" s="54">
        <f t="shared" si="23"/>
        <v>2000</v>
      </c>
      <c r="M110" s="45"/>
      <c r="N110" s="45"/>
      <c r="O110" s="45"/>
      <c r="P110" s="45"/>
      <c r="Q110" s="45"/>
      <c r="R110" s="45"/>
      <c r="S110" s="45"/>
      <c r="T110" s="45"/>
      <c r="U110" s="45"/>
      <c r="V110" s="45"/>
      <c r="W110" s="45"/>
      <c r="X110" s="45"/>
      <c r="Y110" s="45"/>
      <c r="Z110" s="56"/>
    </row>
    <row r="111" spans="1:26">
      <c r="A111" s="7" t="s">
        <v>412</v>
      </c>
      <c r="B111" s="40" t="s">
        <v>413</v>
      </c>
      <c r="C111" s="40" t="s">
        <v>216</v>
      </c>
      <c r="D111" s="40" t="s">
        <v>242</v>
      </c>
      <c r="E111" s="40" t="s">
        <v>231</v>
      </c>
      <c r="F111" s="40"/>
      <c r="G111" s="38"/>
      <c r="H111" s="51"/>
      <c r="I111" s="53">
        <v>0</v>
      </c>
      <c r="J111" s="51">
        <f t="shared" si="22"/>
        <v>0</v>
      </c>
      <c r="K111" s="54">
        <f t="shared" si="23"/>
        <v>0</v>
      </c>
      <c r="M111" s="45"/>
      <c r="N111" s="45"/>
      <c r="O111" s="45"/>
      <c r="P111" s="45"/>
      <c r="Q111" s="45"/>
      <c r="R111" s="45"/>
      <c r="S111" s="45"/>
      <c r="T111" s="45"/>
      <c r="U111" s="45"/>
      <c r="V111" s="45"/>
      <c r="W111" s="45"/>
      <c r="X111" s="45"/>
      <c r="Y111" s="45"/>
      <c r="Z111" s="56"/>
    </row>
    <row r="112" spans="1:26">
      <c r="A112" s="7" t="s">
        <v>414</v>
      </c>
      <c r="B112" s="40" t="s">
        <v>415</v>
      </c>
      <c r="C112" s="40" t="s">
        <v>216</v>
      </c>
      <c r="D112" s="40" t="s">
        <v>250</v>
      </c>
      <c r="E112" s="40" t="s">
        <v>231</v>
      </c>
      <c r="F112" s="40"/>
      <c r="G112" s="38"/>
      <c r="H112" s="51"/>
      <c r="I112" s="53">
        <v>0</v>
      </c>
      <c r="J112" s="51">
        <f t="shared" si="22"/>
        <v>0</v>
      </c>
      <c r="K112" s="54">
        <f t="shared" si="23"/>
        <v>0</v>
      </c>
      <c r="M112" s="45"/>
      <c r="N112" s="45"/>
      <c r="O112" s="45"/>
      <c r="P112" s="45"/>
      <c r="Q112" s="45"/>
      <c r="R112" s="45"/>
      <c r="S112" s="45"/>
      <c r="T112" s="45"/>
      <c r="U112" s="45"/>
      <c r="V112" s="45"/>
      <c r="W112" s="45"/>
      <c r="X112" s="45"/>
      <c r="Y112" s="45"/>
      <c r="Z112" s="56"/>
    </row>
    <row r="113" spans="1:26">
      <c r="A113" s="7" t="s">
        <v>416</v>
      </c>
      <c r="B113" s="201" t="s">
        <v>406</v>
      </c>
      <c r="C113" s="40" t="s">
        <v>283</v>
      </c>
      <c r="D113" s="40" t="s">
        <v>228</v>
      </c>
      <c r="E113" s="40" t="s">
        <v>73</v>
      </c>
      <c r="F113" s="40" t="s">
        <v>71</v>
      </c>
      <c r="G113" s="38">
        <v>1</v>
      </c>
      <c r="H113" s="51">
        <f>1500*3</f>
        <v>4500</v>
      </c>
      <c r="I113" s="53">
        <v>0</v>
      </c>
      <c r="J113" s="51">
        <f t="shared" si="22"/>
        <v>4500</v>
      </c>
      <c r="K113" s="54">
        <f t="shared" si="23"/>
        <v>4500</v>
      </c>
      <c r="M113" s="45"/>
      <c r="N113" s="45"/>
      <c r="O113" s="45"/>
      <c r="P113" s="45"/>
      <c r="Q113" s="45"/>
      <c r="R113" s="45"/>
      <c r="S113" s="45"/>
      <c r="T113" s="45"/>
      <c r="U113" s="45"/>
      <c r="V113" s="45"/>
      <c r="W113" s="45"/>
      <c r="X113" s="45"/>
      <c r="Y113" s="45"/>
      <c r="Z113" s="56"/>
    </row>
    <row r="114" spans="1:26">
      <c r="A114" s="7" t="s">
        <v>417</v>
      </c>
      <c r="B114" s="40" t="s">
        <v>418</v>
      </c>
      <c r="C114" s="40" t="s">
        <v>216</v>
      </c>
      <c r="D114" s="40" t="s">
        <v>228</v>
      </c>
      <c r="E114" s="40" t="s">
        <v>44</v>
      </c>
      <c r="F114" s="40" t="s">
        <v>61</v>
      </c>
      <c r="G114" s="38">
        <f t="shared" ref="G114" si="25">$B$8</f>
        <v>431911</v>
      </c>
      <c r="H114" s="51">
        <v>8.02</v>
      </c>
      <c r="I114" s="53">
        <v>0</v>
      </c>
      <c r="J114" s="51">
        <f t="shared" si="22"/>
        <v>8.02</v>
      </c>
      <c r="K114" s="54">
        <f t="shared" si="23"/>
        <v>3463926.2199999997</v>
      </c>
      <c r="M114" s="45"/>
      <c r="N114" s="45"/>
      <c r="O114" s="45"/>
      <c r="P114" s="45"/>
      <c r="Q114" s="45"/>
      <c r="R114" s="45"/>
      <c r="S114" s="45"/>
      <c r="T114" s="45"/>
      <c r="U114" s="45"/>
      <c r="V114" s="45"/>
      <c r="W114" s="45"/>
      <c r="X114" s="45"/>
      <c r="Y114" s="45"/>
      <c r="Z114" s="56"/>
    </row>
    <row r="115" spans="1:26">
      <c r="A115" s="7" t="s">
        <v>421</v>
      </c>
      <c r="B115" s="201" t="s">
        <v>418</v>
      </c>
      <c r="C115" s="40" t="s">
        <v>283</v>
      </c>
      <c r="D115" s="40" t="s">
        <v>228</v>
      </c>
      <c r="E115" s="40" t="s">
        <v>73</v>
      </c>
      <c r="F115" s="40" t="s">
        <v>403</v>
      </c>
      <c r="G115" s="42">
        <f>$E$8</f>
        <v>390</v>
      </c>
      <c r="H115" s="51">
        <v>85</v>
      </c>
      <c r="I115" s="53">
        <v>0</v>
      </c>
      <c r="J115" s="51">
        <f t="shared" si="22"/>
        <v>85</v>
      </c>
      <c r="K115" s="54">
        <f t="shared" si="23"/>
        <v>33150</v>
      </c>
      <c r="M115" s="45"/>
      <c r="N115" s="45"/>
      <c r="O115" s="45"/>
      <c r="P115" s="45"/>
      <c r="Q115" s="45"/>
      <c r="R115" s="45"/>
      <c r="S115" s="45"/>
      <c r="T115" s="45"/>
      <c r="U115" s="45"/>
      <c r="V115" s="45"/>
      <c r="W115" s="45"/>
      <c r="X115" s="45"/>
      <c r="Y115" s="45"/>
      <c r="Z115" s="56"/>
    </row>
    <row r="116" spans="1:26">
      <c r="A116" s="7" t="s">
        <v>422</v>
      </c>
      <c r="B116" s="40" t="s">
        <v>423</v>
      </c>
      <c r="C116" s="40" t="s">
        <v>216</v>
      </c>
      <c r="D116" s="40" t="s">
        <v>228</v>
      </c>
      <c r="E116" s="40" t="s">
        <v>231</v>
      </c>
      <c r="F116" s="40"/>
      <c r="G116" s="38"/>
      <c r="H116" s="51"/>
      <c r="I116" s="53">
        <v>0</v>
      </c>
      <c r="J116" s="51">
        <f t="shared" si="22"/>
        <v>0</v>
      </c>
      <c r="K116" s="54">
        <f t="shared" si="23"/>
        <v>0</v>
      </c>
      <c r="M116" s="45"/>
      <c r="N116" s="45"/>
      <c r="O116" s="45"/>
      <c r="P116" s="45"/>
      <c r="Q116" s="45"/>
      <c r="R116" s="45"/>
      <c r="S116" s="45"/>
      <c r="T116" s="45"/>
      <c r="U116" s="45"/>
      <c r="V116" s="45"/>
      <c r="W116" s="45"/>
      <c r="X116" s="45"/>
      <c r="Y116" s="45"/>
      <c r="Z116" s="56"/>
    </row>
    <row r="117" spans="1:26">
      <c r="A117" s="7" t="s">
        <v>424</v>
      </c>
      <c r="B117" s="40" t="s">
        <v>425</v>
      </c>
      <c r="C117" s="40" t="s">
        <v>216</v>
      </c>
      <c r="D117" s="40" t="s">
        <v>303</v>
      </c>
      <c r="E117" s="40" t="s">
        <v>426</v>
      </c>
      <c r="F117" s="40" t="s">
        <v>71</v>
      </c>
      <c r="G117" s="38">
        <v>1</v>
      </c>
      <c r="H117" s="51">
        <v>67657</v>
      </c>
      <c r="I117" s="53">
        <v>0</v>
      </c>
      <c r="J117" s="51">
        <f t="shared" si="22"/>
        <v>67657</v>
      </c>
      <c r="K117" s="54">
        <f t="shared" si="23"/>
        <v>67657</v>
      </c>
      <c r="M117" s="45"/>
      <c r="N117" s="45"/>
      <c r="O117" s="45"/>
      <c r="P117" s="45"/>
      <c r="Q117" s="45"/>
      <c r="R117" s="45"/>
      <c r="S117" s="45"/>
      <c r="T117" s="45"/>
      <c r="U117" s="45"/>
      <c r="V117" s="45"/>
      <c r="W117" s="45"/>
      <c r="X117" s="45"/>
      <c r="Y117" s="45"/>
      <c r="Z117" s="56"/>
    </row>
    <row r="118" spans="1:26">
      <c r="A118" s="7" t="s">
        <v>427</v>
      </c>
      <c r="B118" s="40" t="s">
        <v>428</v>
      </c>
      <c r="C118" s="40" t="s">
        <v>216</v>
      </c>
      <c r="D118" s="40" t="s">
        <v>228</v>
      </c>
      <c r="E118" s="40" t="s">
        <v>231</v>
      </c>
      <c r="F118" s="40"/>
      <c r="G118" s="38"/>
      <c r="H118" s="51"/>
      <c r="I118" s="53">
        <v>0</v>
      </c>
      <c r="J118" s="51">
        <f t="shared" si="22"/>
        <v>0</v>
      </c>
      <c r="K118" s="54">
        <f t="shared" si="23"/>
        <v>0</v>
      </c>
      <c r="M118" s="45"/>
      <c r="N118" s="45"/>
      <c r="O118" s="45"/>
      <c r="P118" s="45"/>
      <c r="Q118" s="45"/>
      <c r="R118" s="45"/>
      <c r="S118" s="45"/>
      <c r="T118" s="45"/>
      <c r="U118" s="45"/>
      <c r="V118" s="45"/>
      <c r="W118" s="45"/>
      <c r="X118" s="45"/>
      <c r="Y118" s="45"/>
      <c r="Z118" s="56"/>
    </row>
    <row r="119" spans="1:26">
      <c r="A119" s="7" t="s">
        <v>429</v>
      </c>
      <c r="B119" s="40" t="s">
        <v>430</v>
      </c>
      <c r="C119" s="40" t="s">
        <v>216</v>
      </c>
      <c r="D119" s="40" t="s">
        <v>242</v>
      </c>
      <c r="E119" s="40" t="s">
        <v>231</v>
      </c>
      <c r="F119" s="40"/>
      <c r="G119" s="38"/>
      <c r="H119" s="51"/>
      <c r="I119" s="53">
        <v>0</v>
      </c>
      <c r="J119" s="51">
        <f t="shared" si="22"/>
        <v>0</v>
      </c>
      <c r="K119" s="54">
        <f t="shared" si="23"/>
        <v>0</v>
      </c>
      <c r="M119" s="45"/>
      <c r="N119" s="45"/>
      <c r="O119" s="45"/>
      <c r="P119" s="45"/>
      <c r="Q119" s="45"/>
      <c r="R119" s="45"/>
      <c r="S119" s="45"/>
      <c r="T119" s="45"/>
      <c r="U119" s="45"/>
      <c r="V119" s="45"/>
      <c r="W119" s="45"/>
      <c r="X119" s="45"/>
      <c r="Y119" s="45"/>
      <c r="Z119" s="56"/>
    </row>
    <row r="120" spans="1:26">
      <c r="A120" s="7" t="s">
        <v>431</v>
      </c>
      <c r="B120" s="40" t="s">
        <v>432</v>
      </c>
      <c r="C120" s="40" t="s">
        <v>216</v>
      </c>
      <c r="D120" s="40" t="s">
        <v>228</v>
      </c>
      <c r="E120" s="40" t="s">
        <v>543</v>
      </c>
      <c r="F120" s="40" t="s">
        <v>62</v>
      </c>
      <c r="G120" s="38">
        <f>Q12/9</f>
        <v>36919.555555555555</v>
      </c>
      <c r="H120" s="51">
        <v>18.754769220888928</v>
      </c>
      <c r="I120" s="53">
        <v>0</v>
      </c>
      <c r="J120" s="51">
        <f t="shared" si="22"/>
        <v>18.754769220888928</v>
      </c>
      <c r="K120" s="54">
        <f t="shared" si="23"/>
        <v>692417.74418223219</v>
      </c>
      <c r="M120" s="45" t="s">
        <v>1098</v>
      </c>
      <c r="N120" s="45"/>
      <c r="O120" s="45"/>
      <c r="P120" s="45"/>
      <c r="Q120" s="45"/>
      <c r="R120" s="45"/>
      <c r="S120" s="45"/>
      <c r="T120" s="45"/>
      <c r="U120" s="45"/>
      <c r="V120" s="45"/>
      <c r="W120" s="45"/>
      <c r="X120" s="45"/>
      <c r="Y120" s="45"/>
      <c r="Z120" s="56"/>
    </row>
    <row r="121" spans="1:26">
      <c r="A121" s="7" t="s">
        <v>435</v>
      </c>
      <c r="B121" s="40" t="s">
        <v>436</v>
      </c>
      <c r="C121" s="40" t="s">
        <v>216</v>
      </c>
      <c r="D121" s="40" t="s">
        <v>303</v>
      </c>
      <c r="E121" s="40"/>
      <c r="F121" s="40"/>
      <c r="G121" s="38">
        <v>0</v>
      </c>
      <c r="H121" s="51">
        <v>30184</v>
      </c>
      <c r="I121" s="53">
        <v>0</v>
      </c>
      <c r="J121" s="51">
        <f t="shared" si="22"/>
        <v>30184</v>
      </c>
      <c r="K121" s="54">
        <f t="shared" si="23"/>
        <v>0</v>
      </c>
      <c r="M121" s="45"/>
      <c r="N121" s="45"/>
      <c r="O121" s="45"/>
      <c r="P121" s="45"/>
      <c r="Q121" s="45"/>
      <c r="R121" s="45"/>
      <c r="S121" s="45"/>
      <c r="T121" s="45"/>
      <c r="U121" s="45"/>
      <c r="V121" s="45"/>
      <c r="W121" s="45"/>
      <c r="X121" s="45"/>
      <c r="Y121" s="45"/>
      <c r="Z121" s="56"/>
    </row>
    <row r="122" spans="1:26">
      <c r="A122" s="7" t="s">
        <v>437</v>
      </c>
      <c r="B122" s="40" t="s">
        <v>438</v>
      </c>
      <c r="C122" s="40" t="s">
        <v>216</v>
      </c>
      <c r="D122" s="40" t="s">
        <v>303</v>
      </c>
      <c r="E122" s="40"/>
      <c r="F122" s="40"/>
      <c r="G122" s="38">
        <v>0</v>
      </c>
      <c r="H122" s="51">
        <v>1994</v>
      </c>
      <c r="I122" s="53">
        <v>0</v>
      </c>
      <c r="J122" s="51">
        <f t="shared" si="22"/>
        <v>1994</v>
      </c>
      <c r="K122" s="54">
        <f t="shared" si="23"/>
        <v>0</v>
      </c>
      <c r="M122" s="45"/>
      <c r="N122" s="45"/>
      <c r="O122" s="45"/>
      <c r="P122" s="45"/>
      <c r="Q122" s="45"/>
      <c r="R122" s="45"/>
      <c r="S122" s="45"/>
      <c r="T122" s="45"/>
      <c r="U122" s="45"/>
      <c r="V122" s="45"/>
      <c r="W122" s="45"/>
      <c r="X122" s="45"/>
      <c r="Y122" s="45"/>
      <c r="Z122" s="56"/>
    </row>
    <row r="123" spans="1:26">
      <c r="A123" s="7" t="s">
        <v>439</v>
      </c>
      <c r="B123" s="40" t="s">
        <v>440</v>
      </c>
      <c r="C123" s="40" t="s">
        <v>216</v>
      </c>
      <c r="D123" s="40" t="s">
        <v>303</v>
      </c>
      <c r="E123" s="40" t="s">
        <v>426</v>
      </c>
      <c r="F123" s="40" t="s">
        <v>61</v>
      </c>
      <c r="G123" s="38">
        <f t="shared" si="24"/>
        <v>431911</v>
      </c>
      <c r="H123" s="51">
        <v>0.37</v>
      </c>
      <c r="I123" s="53">
        <v>0</v>
      </c>
      <c r="J123" s="51">
        <f t="shared" si="22"/>
        <v>0.37</v>
      </c>
      <c r="K123" s="54">
        <f t="shared" si="23"/>
        <v>159807.07</v>
      </c>
      <c r="M123" s="45"/>
      <c r="N123" s="45"/>
      <c r="O123" s="45"/>
      <c r="P123" s="45"/>
      <c r="Q123" s="45"/>
      <c r="R123" s="45"/>
      <c r="S123" s="45"/>
      <c r="T123" s="45"/>
      <c r="U123" s="45"/>
      <c r="V123" s="45"/>
      <c r="W123" s="45"/>
      <c r="X123" s="45"/>
      <c r="Y123" s="45"/>
      <c r="Z123" s="56"/>
    </row>
    <row r="124" spans="1:26">
      <c r="A124" s="7" t="s">
        <v>441</v>
      </c>
      <c r="B124" s="201" t="s">
        <v>440</v>
      </c>
      <c r="C124" s="40" t="s">
        <v>283</v>
      </c>
      <c r="D124" s="40" t="s">
        <v>303</v>
      </c>
      <c r="E124" s="40" t="s">
        <v>73</v>
      </c>
      <c r="F124" s="40" t="s">
        <v>108</v>
      </c>
      <c r="G124" s="38">
        <f>Q3</f>
        <v>6</v>
      </c>
      <c r="H124" s="51">
        <v>1000</v>
      </c>
      <c r="I124" s="53">
        <v>0</v>
      </c>
      <c r="J124" s="51">
        <f t="shared" si="22"/>
        <v>1000</v>
      </c>
      <c r="K124" s="54">
        <f t="shared" si="23"/>
        <v>6000</v>
      </c>
      <c r="M124" s="45"/>
      <c r="N124" s="45"/>
      <c r="O124" s="45"/>
      <c r="P124" s="45"/>
      <c r="Q124" s="45"/>
      <c r="R124" s="45"/>
      <c r="S124" s="45"/>
      <c r="T124" s="45"/>
      <c r="U124" s="45"/>
      <c r="V124" s="45"/>
      <c r="W124" s="45"/>
      <c r="X124" s="45"/>
      <c r="Y124" s="45"/>
      <c r="Z124" s="56"/>
    </row>
    <row r="125" spans="1:26">
      <c r="A125" s="7" t="s">
        <v>442</v>
      </c>
      <c r="B125" s="40" t="s">
        <v>443</v>
      </c>
      <c r="C125" s="40" t="s">
        <v>216</v>
      </c>
      <c r="D125" s="40" t="s">
        <v>303</v>
      </c>
      <c r="E125" s="40"/>
      <c r="F125" s="40" t="s">
        <v>61</v>
      </c>
      <c r="G125" s="38">
        <v>0</v>
      </c>
      <c r="H125" s="51">
        <v>9.0909000000000004E-2</v>
      </c>
      <c r="I125" s="53">
        <v>0</v>
      </c>
      <c r="J125" s="51">
        <f t="shared" si="22"/>
        <v>9.0909000000000004E-2</v>
      </c>
      <c r="K125" s="54">
        <f t="shared" si="23"/>
        <v>0</v>
      </c>
      <c r="M125" s="45"/>
      <c r="N125" s="45"/>
      <c r="O125" s="45"/>
      <c r="P125" s="45"/>
      <c r="Q125" s="45"/>
      <c r="R125" s="45"/>
      <c r="S125" s="45"/>
      <c r="T125" s="45"/>
      <c r="U125" s="45"/>
      <c r="V125" s="45"/>
      <c r="W125" s="45"/>
      <c r="X125" s="45"/>
      <c r="Y125" s="45"/>
      <c r="Z125" s="56"/>
    </row>
    <row r="126" spans="1:26">
      <c r="A126" s="7" t="s">
        <v>444</v>
      </c>
      <c r="B126" s="40" t="s">
        <v>445</v>
      </c>
      <c r="C126" s="40" t="s">
        <v>216</v>
      </c>
      <c r="D126" s="40" t="s">
        <v>303</v>
      </c>
      <c r="E126" s="40"/>
      <c r="F126" s="40" t="s">
        <v>61</v>
      </c>
      <c r="G126" s="38">
        <v>0</v>
      </c>
      <c r="H126" s="51">
        <v>0.182</v>
      </c>
      <c r="I126" s="53">
        <v>0</v>
      </c>
      <c r="J126" s="51">
        <f t="shared" si="22"/>
        <v>0.182</v>
      </c>
      <c r="K126" s="54">
        <f t="shared" si="23"/>
        <v>0</v>
      </c>
      <c r="M126" s="45"/>
      <c r="N126" s="45"/>
      <c r="O126" s="45"/>
      <c r="P126" s="45"/>
      <c r="Q126" s="45"/>
      <c r="R126" s="45"/>
      <c r="S126" s="45"/>
      <c r="T126" s="45"/>
      <c r="U126" s="45"/>
      <c r="V126" s="45"/>
      <c r="W126" s="45"/>
      <c r="X126" s="45"/>
      <c r="Y126" s="45"/>
      <c r="Z126" s="56"/>
    </row>
    <row r="127" spans="1:26">
      <c r="A127" s="7" t="s">
        <v>446</v>
      </c>
      <c r="B127" s="40" t="s">
        <v>447</v>
      </c>
      <c r="C127" s="40" t="s">
        <v>216</v>
      </c>
      <c r="D127" s="40" t="s">
        <v>303</v>
      </c>
      <c r="E127" s="40" t="s">
        <v>426</v>
      </c>
      <c r="F127" s="40" t="s">
        <v>61</v>
      </c>
      <c r="G127" s="38">
        <f>1140*2</f>
        <v>2280</v>
      </c>
      <c r="H127" s="51">
        <v>16.53</v>
      </c>
      <c r="I127" s="53">
        <v>0</v>
      </c>
      <c r="J127" s="51">
        <f t="shared" si="22"/>
        <v>16.53</v>
      </c>
      <c r="K127" s="54">
        <f t="shared" si="23"/>
        <v>37688.400000000001</v>
      </c>
      <c r="M127" s="45"/>
      <c r="N127" s="45"/>
      <c r="O127" s="45"/>
      <c r="P127" s="45"/>
      <c r="Q127" s="45"/>
      <c r="R127" s="45"/>
      <c r="S127" s="45"/>
      <c r="T127" s="45"/>
      <c r="U127" s="45"/>
      <c r="V127" s="45"/>
      <c r="W127" s="45"/>
      <c r="X127" s="45"/>
      <c r="Y127" s="45"/>
      <c r="Z127" s="56"/>
    </row>
    <row r="128" spans="1:26">
      <c r="A128" s="7" t="s">
        <v>448</v>
      </c>
      <c r="B128" s="40" t="s">
        <v>449</v>
      </c>
      <c r="C128" s="40" t="s">
        <v>216</v>
      </c>
      <c r="D128" s="40" t="s">
        <v>303</v>
      </c>
      <c r="E128" s="40" t="s">
        <v>426</v>
      </c>
      <c r="F128" s="40" t="s">
        <v>450</v>
      </c>
      <c r="G128" s="38">
        <f>4*2+6*3+4*3+7*2</f>
        <v>52</v>
      </c>
      <c r="H128" s="51">
        <f>1848.14/4</f>
        <v>462.03500000000003</v>
      </c>
      <c r="I128" s="53">
        <v>0</v>
      </c>
      <c r="J128" s="51">
        <f t="shared" si="22"/>
        <v>462.03500000000003</v>
      </c>
      <c r="K128" s="54">
        <f t="shared" si="23"/>
        <v>24025.82</v>
      </c>
      <c r="M128" s="45"/>
      <c r="N128" s="45"/>
      <c r="O128" s="45"/>
      <c r="P128" s="45"/>
      <c r="Q128" s="45"/>
      <c r="R128" s="45"/>
      <c r="S128" s="45"/>
      <c r="T128" s="45"/>
      <c r="U128" s="45"/>
      <c r="V128" s="45"/>
      <c r="W128" s="45"/>
      <c r="X128" s="45"/>
      <c r="Y128" s="45"/>
      <c r="Z128" s="56"/>
    </row>
    <row r="129" spans="1:26">
      <c r="A129" s="7" t="s">
        <v>451</v>
      </c>
      <c r="B129" s="40" t="s">
        <v>452</v>
      </c>
      <c r="C129" s="40" t="s">
        <v>216</v>
      </c>
      <c r="D129" s="40" t="s">
        <v>303</v>
      </c>
      <c r="E129" s="40" t="s">
        <v>426</v>
      </c>
      <c r="F129" s="40" t="s">
        <v>61</v>
      </c>
      <c r="G129" s="38">
        <f>SUM($W$11:$W$15)*0.25</f>
        <v>11223.5</v>
      </c>
      <c r="H129" s="51">
        <v>1.5</v>
      </c>
      <c r="I129" s="53">
        <v>0</v>
      </c>
      <c r="J129" s="51">
        <f t="shared" si="22"/>
        <v>1.5</v>
      </c>
      <c r="K129" s="54">
        <f t="shared" si="23"/>
        <v>16835.25</v>
      </c>
      <c r="M129" s="45" t="s">
        <v>1060</v>
      </c>
      <c r="N129" s="45"/>
      <c r="O129" s="45"/>
      <c r="P129" s="45"/>
      <c r="Q129" s="45"/>
      <c r="R129" s="45"/>
      <c r="S129" s="45"/>
      <c r="T129" s="45"/>
      <c r="U129" s="45"/>
      <c r="V129" s="45"/>
      <c r="W129" s="45"/>
      <c r="X129" s="45"/>
      <c r="Y129" s="45"/>
      <c r="Z129" s="56"/>
    </row>
    <row r="130" spans="1:26">
      <c r="A130" s="7" t="s">
        <v>453</v>
      </c>
      <c r="B130" s="40" t="s">
        <v>454</v>
      </c>
      <c r="C130" s="40" t="s">
        <v>216</v>
      </c>
      <c r="D130" s="40" t="s">
        <v>303</v>
      </c>
      <c r="E130" s="40" t="s">
        <v>426</v>
      </c>
      <c r="F130" s="40" t="s">
        <v>61</v>
      </c>
      <c r="G130" s="38">
        <f>SUM($W$11:$W$15)*0.25</f>
        <v>11223.5</v>
      </c>
      <c r="H130" s="51">
        <v>10</v>
      </c>
      <c r="I130" s="53">
        <v>0</v>
      </c>
      <c r="J130" s="51">
        <f t="shared" si="22"/>
        <v>10</v>
      </c>
      <c r="K130" s="54">
        <f t="shared" si="23"/>
        <v>112235</v>
      </c>
      <c r="M130" s="45" t="s">
        <v>1060</v>
      </c>
      <c r="N130" s="45"/>
      <c r="O130" s="45"/>
      <c r="P130" s="45"/>
      <c r="Q130" s="45"/>
      <c r="R130" s="45"/>
      <c r="S130" s="45"/>
      <c r="T130" s="45"/>
      <c r="U130" s="45"/>
      <c r="V130" s="45"/>
      <c r="W130" s="45"/>
      <c r="X130" s="45"/>
      <c r="Y130" s="45"/>
      <c r="Z130" s="56"/>
    </row>
    <row r="131" spans="1:26">
      <c r="A131" s="7" t="s">
        <v>455</v>
      </c>
      <c r="B131" s="201" t="s">
        <v>456</v>
      </c>
      <c r="C131" s="40" t="s">
        <v>283</v>
      </c>
      <c r="D131" s="40" t="s">
        <v>228</v>
      </c>
      <c r="E131" s="40" t="s">
        <v>73</v>
      </c>
      <c r="F131" s="40" t="s">
        <v>403</v>
      </c>
      <c r="G131" s="42">
        <f>$E$8</f>
        <v>390</v>
      </c>
      <c r="H131" s="51">
        <v>85</v>
      </c>
      <c r="I131" s="53">
        <v>0</v>
      </c>
      <c r="J131" s="51">
        <f t="shared" si="22"/>
        <v>85</v>
      </c>
      <c r="K131" s="54">
        <f t="shared" si="23"/>
        <v>33150</v>
      </c>
      <c r="M131" s="45"/>
      <c r="N131" s="45"/>
      <c r="O131" s="45"/>
      <c r="P131" s="45"/>
      <c r="Q131" s="45"/>
      <c r="R131" s="45"/>
      <c r="S131" s="45"/>
      <c r="T131" s="45"/>
      <c r="U131" s="45"/>
      <c r="V131" s="45"/>
      <c r="W131" s="45"/>
      <c r="X131" s="45"/>
      <c r="Y131" s="45"/>
      <c r="Z131" s="56"/>
    </row>
    <row r="132" spans="1:26">
      <c r="A132" s="7" t="s">
        <v>457</v>
      </c>
      <c r="B132" s="40" t="s">
        <v>456</v>
      </c>
      <c r="C132" s="40" t="s">
        <v>216</v>
      </c>
      <c r="D132" s="40" t="s">
        <v>228</v>
      </c>
      <c r="E132" s="40" t="s">
        <v>44</v>
      </c>
      <c r="F132" s="40" t="s">
        <v>61</v>
      </c>
      <c r="G132" s="38">
        <f t="shared" ref="G132" si="26">$B$8</f>
        <v>431911</v>
      </c>
      <c r="H132" s="51">
        <v>1.84</v>
      </c>
      <c r="I132" s="53">
        <v>0</v>
      </c>
      <c r="J132" s="51">
        <f t="shared" si="22"/>
        <v>1.84</v>
      </c>
      <c r="K132" s="54">
        <f t="shared" si="23"/>
        <v>794716.24</v>
      </c>
      <c r="M132" s="45"/>
      <c r="N132" s="45"/>
      <c r="O132" s="45"/>
      <c r="P132" s="45"/>
      <c r="Q132" s="45"/>
      <c r="R132" s="45"/>
      <c r="S132" s="45"/>
      <c r="T132" s="45"/>
      <c r="U132" s="45"/>
      <c r="V132" s="45"/>
      <c r="W132" s="45"/>
      <c r="X132" s="45"/>
      <c r="Y132" s="45"/>
      <c r="Z132" s="56"/>
    </row>
    <row r="133" spans="1:26">
      <c r="A133" s="7" t="s">
        <v>460</v>
      </c>
      <c r="B133" s="40" t="s">
        <v>461</v>
      </c>
      <c r="C133" s="40" t="s">
        <v>216</v>
      </c>
      <c r="D133" s="40" t="s">
        <v>228</v>
      </c>
      <c r="E133" s="40" t="s">
        <v>231</v>
      </c>
      <c r="F133" s="40"/>
      <c r="G133" s="38"/>
      <c r="H133" s="51"/>
      <c r="I133" s="53">
        <v>0</v>
      </c>
      <c r="J133" s="51">
        <f t="shared" si="22"/>
        <v>0</v>
      </c>
      <c r="K133" s="54">
        <f t="shared" si="23"/>
        <v>0</v>
      </c>
      <c r="M133" s="45"/>
      <c r="N133" s="45"/>
      <c r="O133" s="45"/>
      <c r="P133" s="45"/>
      <c r="Q133" s="45"/>
      <c r="R133" s="45"/>
      <c r="S133" s="45"/>
      <c r="T133" s="45"/>
      <c r="U133" s="45"/>
      <c r="V133" s="45"/>
      <c r="W133" s="45"/>
      <c r="X133" s="45"/>
      <c r="Y133" s="45"/>
      <c r="Z133" s="56"/>
    </row>
    <row r="134" spans="1:26">
      <c r="A134" s="7" t="s">
        <v>462</v>
      </c>
      <c r="B134" s="40" t="s">
        <v>463</v>
      </c>
      <c r="C134" s="40" t="s">
        <v>216</v>
      </c>
      <c r="D134" s="40" t="s">
        <v>242</v>
      </c>
      <c r="E134" s="40" t="s">
        <v>231</v>
      </c>
      <c r="F134" s="40"/>
      <c r="G134" s="38"/>
      <c r="H134" s="51"/>
      <c r="I134" s="53">
        <v>0</v>
      </c>
      <c r="J134" s="51">
        <f t="shared" si="22"/>
        <v>0</v>
      </c>
      <c r="K134" s="54">
        <f t="shared" si="23"/>
        <v>0</v>
      </c>
      <c r="M134" s="45"/>
      <c r="N134" s="45"/>
      <c r="O134" s="45"/>
      <c r="P134" s="45"/>
      <c r="Q134" s="45"/>
      <c r="R134" s="45"/>
      <c r="S134" s="45"/>
      <c r="T134" s="45"/>
      <c r="U134" s="45"/>
      <c r="V134" s="45"/>
      <c r="W134" s="45"/>
      <c r="X134" s="45"/>
      <c r="Y134" s="45"/>
      <c r="Z134" s="56"/>
    </row>
    <row r="135" spans="1:26">
      <c r="A135" s="7" t="s">
        <v>464</v>
      </c>
      <c r="B135" s="40"/>
      <c r="C135" s="40" t="s">
        <v>216</v>
      </c>
      <c r="D135" s="40" t="s">
        <v>303</v>
      </c>
      <c r="E135" s="40" t="s">
        <v>231</v>
      </c>
      <c r="F135" s="40"/>
      <c r="G135" s="38"/>
      <c r="H135" s="51"/>
      <c r="I135" s="53">
        <v>0</v>
      </c>
      <c r="J135" s="51">
        <f t="shared" si="22"/>
        <v>0</v>
      </c>
      <c r="K135" s="54">
        <f t="shared" si="23"/>
        <v>0</v>
      </c>
      <c r="M135" s="45"/>
      <c r="N135" s="45"/>
      <c r="O135" s="45"/>
      <c r="P135" s="45"/>
      <c r="Q135" s="45"/>
      <c r="R135" s="45"/>
      <c r="S135" s="45"/>
      <c r="T135" s="45"/>
      <c r="U135" s="45"/>
      <c r="V135" s="45"/>
      <c r="W135" s="45"/>
      <c r="X135" s="45"/>
      <c r="Y135" s="45"/>
      <c r="Z135" s="56"/>
    </row>
    <row r="136" spans="1:26">
      <c r="A136" s="7" t="s">
        <v>466</v>
      </c>
      <c r="B136" s="40" t="s">
        <v>465</v>
      </c>
      <c r="C136" s="40" t="s">
        <v>216</v>
      </c>
      <c r="D136" s="40" t="s">
        <v>303</v>
      </c>
      <c r="E136" s="40" t="s">
        <v>231</v>
      </c>
      <c r="F136" s="40"/>
      <c r="G136" s="38"/>
      <c r="H136" s="51"/>
      <c r="I136" s="53">
        <v>0</v>
      </c>
      <c r="J136" s="51">
        <f t="shared" si="22"/>
        <v>0</v>
      </c>
      <c r="K136" s="54">
        <f t="shared" si="23"/>
        <v>0</v>
      </c>
      <c r="M136" s="45"/>
      <c r="N136" s="45"/>
      <c r="O136" s="45"/>
      <c r="P136" s="45"/>
      <c r="Q136" s="45"/>
      <c r="R136" s="45"/>
      <c r="S136" s="45"/>
      <c r="T136" s="45"/>
      <c r="U136" s="45"/>
      <c r="V136" s="45"/>
      <c r="W136" s="45"/>
      <c r="X136" s="45"/>
      <c r="Y136" s="45"/>
      <c r="Z136" s="56"/>
    </row>
    <row r="137" spans="1:26">
      <c r="A137" s="4" t="s">
        <v>467</v>
      </c>
      <c r="B137" s="151" t="s">
        <v>468</v>
      </c>
      <c r="C137" s="151"/>
      <c r="D137" s="151"/>
      <c r="E137" s="151"/>
      <c r="F137" s="151"/>
      <c r="G137" s="152"/>
      <c r="H137" s="153"/>
      <c r="I137" s="154"/>
      <c r="J137" s="153"/>
      <c r="K137" s="172"/>
      <c r="L137" s="70">
        <f>SUM(K138:K153)</f>
        <v>580446</v>
      </c>
      <c r="M137" s="45"/>
      <c r="N137" s="45"/>
      <c r="O137" s="45"/>
      <c r="P137" s="45"/>
      <c r="Q137" s="45"/>
      <c r="R137" s="45"/>
      <c r="S137" s="45"/>
      <c r="T137" s="45"/>
      <c r="U137" s="45"/>
      <c r="V137" s="45"/>
      <c r="W137" s="45"/>
      <c r="X137" s="45"/>
      <c r="Y137" s="45"/>
      <c r="Z137" s="56"/>
    </row>
    <row r="138" spans="1:26">
      <c r="A138" s="6" t="s">
        <v>469</v>
      </c>
      <c r="B138" s="47" t="s">
        <v>470</v>
      </c>
      <c r="C138" s="47" t="s">
        <v>216</v>
      </c>
      <c r="D138" s="47" t="s">
        <v>223</v>
      </c>
      <c r="E138" s="47" t="s">
        <v>231</v>
      </c>
      <c r="F138" s="47"/>
      <c r="G138" s="42"/>
      <c r="H138" s="61"/>
      <c r="I138" s="63">
        <v>0</v>
      </c>
      <c r="J138" s="66">
        <f t="shared" ref="J138:J153" si="27">H138*(1+I138)</f>
        <v>0</v>
      </c>
      <c r="K138" s="67">
        <f t="shared" ref="K138:K153" si="28">J138*G138</f>
        <v>0</v>
      </c>
      <c r="M138" s="45"/>
      <c r="N138" s="45"/>
      <c r="O138" s="45"/>
      <c r="P138" s="45"/>
      <c r="Q138" s="45"/>
      <c r="R138" s="45"/>
      <c r="S138" s="45"/>
      <c r="T138" s="45"/>
      <c r="U138" s="45"/>
      <c r="V138" s="45"/>
      <c r="W138" s="45"/>
      <c r="X138" s="45"/>
      <c r="Y138" s="45"/>
      <c r="Z138" s="56"/>
    </row>
    <row r="139" spans="1:26">
      <c r="A139" s="7" t="s">
        <v>471</v>
      </c>
      <c r="B139" s="40" t="s">
        <v>472</v>
      </c>
      <c r="C139" s="40" t="s">
        <v>216</v>
      </c>
      <c r="D139" s="40" t="s">
        <v>473</v>
      </c>
      <c r="E139" s="40" t="s">
        <v>555</v>
      </c>
      <c r="F139" s="40" t="s">
        <v>88</v>
      </c>
      <c r="G139" s="42">
        <f>$E$8</f>
        <v>390</v>
      </c>
      <c r="H139" s="51">
        <v>155</v>
      </c>
      <c r="I139" s="53">
        <v>0</v>
      </c>
      <c r="J139" s="51">
        <f t="shared" si="27"/>
        <v>155</v>
      </c>
      <c r="K139" s="54">
        <f t="shared" si="28"/>
        <v>60450</v>
      </c>
      <c r="M139" s="45"/>
      <c r="N139" s="45"/>
      <c r="O139" s="45"/>
      <c r="P139" s="45"/>
      <c r="Q139" s="45"/>
      <c r="R139" s="45"/>
      <c r="S139" s="45"/>
      <c r="T139" s="45"/>
      <c r="U139" s="45"/>
      <c r="V139" s="45"/>
      <c r="W139" s="45"/>
      <c r="X139" s="45"/>
      <c r="Y139" s="45"/>
      <c r="Z139" s="56"/>
    </row>
    <row r="140" spans="1:26">
      <c r="A140" s="7" t="s">
        <v>474</v>
      </c>
      <c r="B140" s="40" t="s">
        <v>475</v>
      </c>
      <c r="C140" s="40" t="s">
        <v>216</v>
      </c>
      <c r="D140" s="40" t="s">
        <v>223</v>
      </c>
      <c r="E140" s="60" t="s">
        <v>73</v>
      </c>
      <c r="F140" s="40" t="s">
        <v>71</v>
      </c>
      <c r="G140" s="38">
        <v>1</v>
      </c>
      <c r="H140" s="51">
        <v>6000</v>
      </c>
      <c r="I140" s="53">
        <v>0</v>
      </c>
      <c r="J140" s="51">
        <f t="shared" si="27"/>
        <v>6000</v>
      </c>
      <c r="K140" s="54">
        <f t="shared" si="28"/>
        <v>6000</v>
      </c>
      <c r="M140" s="45"/>
      <c r="N140" s="45"/>
      <c r="O140" s="45"/>
      <c r="P140" s="45"/>
      <c r="Q140" s="45"/>
      <c r="R140" s="45"/>
      <c r="S140" s="45"/>
      <c r="T140" s="45"/>
      <c r="U140" s="45"/>
      <c r="V140" s="45"/>
      <c r="W140" s="45"/>
      <c r="X140" s="45"/>
      <c r="Y140" s="45"/>
      <c r="Z140" s="56"/>
    </row>
    <row r="141" spans="1:26">
      <c r="A141" s="7" t="s">
        <v>477</v>
      </c>
      <c r="B141" s="40" t="s">
        <v>478</v>
      </c>
      <c r="C141" s="40" t="s">
        <v>216</v>
      </c>
      <c r="D141" s="40" t="s">
        <v>223</v>
      </c>
      <c r="E141" s="40" t="s">
        <v>73</v>
      </c>
      <c r="F141" s="40" t="s">
        <v>71</v>
      </c>
      <c r="G141" s="38">
        <v>1</v>
      </c>
      <c r="H141" s="51">
        <v>5000</v>
      </c>
      <c r="I141" s="53">
        <v>0</v>
      </c>
      <c r="J141" s="51">
        <f t="shared" si="27"/>
        <v>5000</v>
      </c>
      <c r="K141" s="54">
        <f t="shared" si="28"/>
        <v>5000</v>
      </c>
      <c r="M141" s="45"/>
      <c r="N141" s="45"/>
      <c r="O141" s="45"/>
      <c r="P141" s="45"/>
      <c r="Q141" s="45"/>
      <c r="R141" s="45"/>
      <c r="S141" s="45"/>
      <c r="T141" s="45"/>
      <c r="U141" s="45"/>
      <c r="V141" s="45"/>
      <c r="W141" s="45"/>
      <c r="X141" s="45"/>
      <c r="Y141" s="45"/>
      <c r="Z141" s="56"/>
    </row>
    <row r="142" spans="1:26">
      <c r="A142" s="7" t="s">
        <v>479</v>
      </c>
      <c r="B142" s="40" t="s">
        <v>480</v>
      </c>
      <c r="C142" s="40" t="s">
        <v>216</v>
      </c>
      <c r="D142" s="40" t="s">
        <v>1005</v>
      </c>
      <c r="E142" s="40" t="s">
        <v>73</v>
      </c>
      <c r="F142" s="40" t="s">
        <v>71</v>
      </c>
      <c r="G142" s="38">
        <v>1</v>
      </c>
      <c r="H142" s="51">
        <v>7000</v>
      </c>
      <c r="I142" s="53">
        <v>0</v>
      </c>
      <c r="J142" s="51">
        <f t="shared" si="27"/>
        <v>7000</v>
      </c>
      <c r="K142" s="54">
        <f t="shared" si="28"/>
        <v>7000</v>
      </c>
      <c r="M142" s="45"/>
      <c r="N142" s="45"/>
      <c r="O142" s="45"/>
      <c r="P142" s="45"/>
      <c r="Q142" s="45"/>
      <c r="R142" s="45"/>
      <c r="S142" s="45"/>
      <c r="T142" s="45"/>
      <c r="U142" s="45"/>
      <c r="V142" s="45"/>
      <c r="W142" s="45"/>
      <c r="X142" s="45"/>
      <c r="Y142" s="45"/>
      <c r="Z142" s="56"/>
    </row>
    <row r="143" spans="1:26">
      <c r="A143" s="7" t="s">
        <v>482</v>
      </c>
      <c r="B143" s="40" t="s">
        <v>483</v>
      </c>
      <c r="C143" s="40" t="s">
        <v>216</v>
      </c>
      <c r="D143" s="40" t="s">
        <v>228</v>
      </c>
      <c r="E143" s="40" t="s">
        <v>555</v>
      </c>
      <c r="F143" s="40" t="s">
        <v>484</v>
      </c>
      <c r="G143" s="42">
        <f>$E$8+E6+E7</f>
        <v>557</v>
      </c>
      <c r="H143" s="51">
        <v>17</v>
      </c>
      <c r="I143" s="53">
        <v>0</v>
      </c>
      <c r="J143" s="51">
        <f t="shared" si="27"/>
        <v>17</v>
      </c>
      <c r="K143" s="54">
        <f t="shared" si="28"/>
        <v>9469</v>
      </c>
      <c r="M143" s="45"/>
      <c r="N143" s="45"/>
      <c r="O143" s="45"/>
      <c r="P143" s="45"/>
      <c r="Q143" s="45"/>
      <c r="R143" s="45"/>
      <c r="S143" s="45"/>
      <c r="T143" s="45"/>
      <c r="U143" s="45"/>
      <c r="V143" s="45"/>
      <c r="W143" s="45"/>
      <c r="X143" s="45"/>
      <c r="Y143" s="45"/>
      <c r="Z143" s="56"/>
    </row>
    <row r="144" spans="1:26">
      <c r="A144" s="7" t="s">
        <v>485</v>
      </c>
      <c r="B144" s="40" t="s">
        <v>486</v>
      </c>
      <c r="C144" s="40" t="s">
        <v>216</v>
      </c>
      <c r="D144" s="40" t="s">
        <v>228</v>
      </c>
      <c r="E144" s="40" t="s">
        <v>231</v>
      </c>
      <c r="F144" s="40"/>
      <c r="G144" s="38"/>
      <c r="H144" s="51"/>
      <c r="I144" s="53">
        <v>0</v>
      </c>
      <c r="J144" s="51">
        <f t="shared" si="27"/>
        <v>0</v>
      </c>
      <c r="K144" s="54">
        <f t="shared" si="28"/>
        <v>0</v>
      </c>
      <c r="M144" s="45"/>
      <c r="N144" s="45"/>
      <c r="O144" s="45"/>
      <c r="P144" s="45"/>
      <c r="Q144" s="45"/>
      <c r="R144" s="45"/>
      <c r="S144" s="45"/>
      <c r="T144" s="45"/>
      <c r="U144" s="45"/>
      <c r="V144" s="45"/>
      <c r="W144" s="45"/>
      <c r="X144" s="45"/>
      <c r="Y144" s="45"/>
      <c r="Z144" s="56"/>
    </row>
    <row r="145" spans="1:30">
      <c r="A145" s="7" t="s">
        <v>487</v>
      </c>
      <c r="B145" s="40" t="s">
        <v>488</v>
      </c>
      <c r="C145" s="40" t="s">
        <v>216</v>
      </c>
      <c r="D145" s="40" t="s">
        <v>228</v>
      </c>
      <c r="E145" s="40" t="s">
        <v>231</v>
      </c>
      <c r="F145" s="40"/>
      <c r="G145" s="38"/>
      <c r="H145" s="51"/>
      <c r="I145" s="53">
        <v>0</v>
      </c>
      <c r="J145" s="51">
        <f t="shared" si="27"/>
        <v>0</v>
      </c>
      <c r="K145" s="54">
        <f t="shared" si="28"/>
        <v>0</v>
      </c>
      <c r="M145" s="45"/>
      <c r="N145" s="45"/>
      <c r="O145" s="45"/>
      <c r="P145" s="45"/>
      <c r="Q145" s="45"/>
      <c r="R145" s="45"/>
      <c r="S145" s="45"/>
      <c r="T145" s="45"/>
      <c r="U145" s="45"/>
      <c r="V145" s="45"/>
      <c r="W145" s="45"/>
      <c r="X145" s="45"/>
      <c r="Y145" s="45"/>
      <c r="Z145" s="56"/>
    </row>
    <row r="146" spans="1:30">
      <c r="A146" s="7" t="s">
        <v>489</v>
      </c>
      <c r="B146" s="40" t="s">
        <v>490</v>
      </c>
      <c r="C146" s="40" t="s">
        <v>216</v>
      </c>
      <c r="D146" s="40" t="s">
        <v>242</v>
      </c>
      <c r="E146" s="40" t="s">
        <v>231</v>
      </c>
      <c r="F146" s="40"/>
      <c r="G146" s="38"/>
      <c r="H146" s="51"/>
      <c r="I146" s="53">
        <v>0</v>
      </c>
      <c r="J146" s="51">
        <f t="shared" si="27"/>
        <v>0</v>
      </c>
      <c r="K146" s="54">
        <f t="shared" si="28"/>
        <v>0</v>
      </c>
      <c r="M146" s="45"/>
      <c r="N146" s="45"/>
      <c r="O146" s="45"/>
      <c r="P146" s="45"/>
      <c r="Q146" s="45"/>
      <c r="R146" s="45"/>
      <c r="S146" s="45"/>
      <c r="T146" s="45"/>
      <c r="U146" s="45"/>
      <c r="V146" s="45"/>
      <c r="W146" s="45"/>
      <c r="X146" s="45"/>
      <c r="Y146" s="45"/>
      <c r="Z146" s="56"/>
    </row>
    <row r="147" spans="1:30">
      <c r="A147" s="7" t="s">
        <v>491</v>
      </c>
      <c r="B147" s="40" t="s">
        <v>492</v>
      </c>
      <c r="C147" s="40" t="s">
        <v>216</v>
      </c>
      <c r="D147" s="40" t="s">
        <v>242</v>
      </c>
      <c r="E147" s="40" t="s">
        <v>493</v>
      </c>
      <c r="F147" s="40" t="s">
        <v>71</v>
      </c>
      <c r="G147" s="38">
        <f>$W$16</f>
        <v>6</v>
      </c>
      <c r="H147" s="51">
        <v>3360</v>
      </c>
      <c r="I147" s="53">
        <v>0</v>
      </c>
      <c r="J147" s="51">
        <f t="shared" si="27"/>
        <v>3360</v>
      </c>
      <c r="K147" s="54">
        <f t="shared" si="28"/>
        <v>20160</v>
      </c>
      <c r="M147" s="45"/>
      <c r="N147" s="45"/>
      <c r="O147" s="45"/>
      <c r="P147" s="45"/>
      <c r="Q147" s="45"/>
      <c r="R147" s="45"/>
      <c r="S147" s="45"/>
      <c r="T147" s="45"/>
      <c r="U147" s="45"/>
      <c r="V147" s="45"/>
      <c r="W147" s="45"/>
      <c r="X147" s="45"/>
      <c r="Y147" s="45"/>
      <c r="Z147" s="56"/>
    </row>
    <row r="148" spans="1:30">
      <c r="A148" s="7" t="s">
        <v>191</v>
      </c>
      <c r="B148" s="40" t="s">
        <v>494</v>
      </c>
      <c r="C148" s="40" t="s">
        <v>216</v>
      </c>
      <c r="D148" s="40" t="s">
        <v>223</v>
      </c>
      <c r="E148" s="40" t="s">
        <v>73</v>
      </c>
      <c r="F148" s="40" t="s">
        <v>108</v>
      </c>
      <c r="G148" s="38">
        <f>$Q$16</f>
        <v>10</v>
      </c>
      <c r="H148" s="51">
        <v>600</v>
      </c>
      <c r="I148" s="53">
        <v>0</v>
      </c>
      <c r="J148" s="51">
        <f t="shared" si="27"/>
        <v>600</v>
      </c>
      <c r="K148" s="54">
        <f t="shared" si="28"/>
        <v>6000</v>
      </c>
      <c r="M148" s="45"/>
      <c r="N148" s="45"/>
      <c r="O148" s="45"/>
      <c r="P148" s="45"/>
      <c r="Q148" s="45"/>
      <c r="R148" s="45"/>
      <c r="S148" s="45"/>
      <c r="T148" s="45"/>
      <c r="U148" s="45"/>
      <c r="V148" s="45"/>
      <c r="W148" s="45"/>
      <c r="X148" s="45"/>
      <c r="Y148" s="45"/>
      <c r="Z148" s="56"/>
    </row>
    <row r="149" spans="1:30">
      <c r="A149" s="7" t="s">
        <v>495</v>
      </c>
      <c r="B149" s="40" t="s">
        <v>496</v>
      </c>
      <c r="C149" s="40" t="s">
        <v>216</v>
      </c>
      <c r="D149" s="40" t="s">
        <v>228</v>
      </c>
      <c r="E149" s="40" t="s">
        <v>73</v>
      </c>
      <c r="F149" s="40" t="s">
        <v>88</v>
      </c>
      <c r="G149" s="42">
        <f>$E$8</f>
        <v>390</v>
      </c>
      <c r="H149" s="51">
        <v>80</v>
      </c>
      <c r="I149" s="53">
        <v>0</v>
      </c>
      <c r="J149" s="51">
        <f t="shared" si="27"/>
        <v>80</v>
      </c>
      <c r="K149" s="54">
        <f t="shared" si="28"/>
        <v>31200</v>
      </c>
      <c r="M149" s="45"/>
      <c r="N149" s="45"/>
      <c r="O149" s="45"/>
      <c r="P149" s="45"/>
      <c r="Q149" s="45"/>
      <c r="R149" s="45"/>
      <c r="S149" s="45"/>
      <c r="T149" s="45"/>
      <c r="U149" s="45"/>
      <c r="V149" s="45"/>
      <c r="W149" s="45"/>
      <c r="X149" s="45"/>
      <c r="Y149" s="45"/>
      <c r="Z149" s="56"/>
    </row>
    <row r="150" spans="1:30">
      <c r="A150" s="7" t="s">
        <v>497</v>
      </c>
      <c r="B150" s="40" t="s">
        <v>498</v>
      </c>
      <c r="C150" s="40" t="s">
        <v>216</v>
      </c>
      <c r="D150" s="40" t="s">
        <v>228</v>
      </c>
      <c r="E150" s="40" t="s">
        <v>1061</v>
      </c>
      <c r="F150" s="40" t="s">
        <v>88</v>
      </c>
      <c r="G150" s="42">
        <f>$E$8</f>
        <v>390</v>
      </c>
      <c r="H150" s="51">
        <v>153</v>
      </c>
      <c r="I150" s="53">
        <v>0.1</v>
      </c>
      <c r="J150" s="51">
        <f t="shared" si="27"/>
        <v>168.3</v>
      </c>
      <c r="K150" s="54">
        <f t="shared" si="28"/>
        <v>65637</v>
      </c>
      <c r="M150" s="45" t="s">
        <v>1099</v>
      </c>
      <c r="N150" s="45"/>
      <c r="O150" s="45"/>
      <c r="P150" s="45"/>
      <c r="Q150" s="45"/>
      <c r="R150" s="45"/>
      <c r="S150" s="45"/>
      <c r="T150" s="45"/>
      <c r="U150" s="45"/>
      <c r="V150" s="45"/>
      <c r="W150" s="45"/>
      <c r="X150" s="45"/>
      <c r="Y150" s="45"/>
      <c r="Z150" s="56"/>
    </row>
    <row r="151" spans="1:30">
      <c r="A151" s="7" t="s">
        <v>499</v>
      </c>
      <c r="B151" s="40" t="s">
        <v>500</v>
      </c>
      <c r="C151" s="40" t="s">
        <v>216</v>
      </c>
      <c r="D151" s="40" t="s">
        <v>228</v>
      </c>
      <c r="E151" s="40" t="s">
        <v>44</v>
      </c>
      <c r="F151" s="40" t="s">
        <v>88</v>
      </c>
      <c r="G151" s="42">
        <f>$E$8</f>
        <v>390</v>
      </c>
      <c r="H151" s="51">
        <v>220</v>
      </c>
      <c r="I151" s="53">
        <v>0.1</v>
      </c>
      <c r="J151" s="51">
        <f t="shared" si="27"/>
        <v>242.00000000000003</v>
      </c>
      <c r="K151" s="54">
        <f t="shared" si="28"/>
        <v>94380.000000000015</v>
      </c>
      <c r="M151" s="45" t="s">
        <v>1063</v>
      </c>
      <c r="N151" s="45"/>
      <c r="O151" s="45"/>
      <c r="P151" s="45"/>
      <c r="Q151" s="45"/>
      <c r="R151" s="45"/>
      <c r="S151" s="45"/>
      <c r="T151" s="45"/>
      <c r="U151" s="45"/>
      <c r="V151" s="45"/>
      <c r="W151" s="45"/>
      <c r="X151" s="45"/>
      <c r="Y151" s="45"/>
      <c r="Z151" s="56"/>
    </row>
    <row r="152" spans="1:30">
      <c r="A152" s="7" t="s">
        <v>502</v>
      </c>
      <c r="B152" s="40" t="s">
        <v>503</v>
      </c>
      <c r="C152" s="40" t="s">
        <v>216</v>
      </c>
      <c r="D152" s="40" t="s">
        <v>228</v>
      </c>
      <c r="E152" s="40" t="s">
        <v>44</v>
      </c>
      <c r="F152" s="40" t="s">
        <v>148</v>
      </c>
      <c r="G152" s="38">
        <f>$Q$17</f>
        <v>72</v>
      </c>
      <c r="H152" s="51">
        <f>250*10</f>
        <v>2500</v>
      </c>
      <c r="I152" s="53">
        <v>0</v>
      </c>
      <c r="J152" s="51">
        <f t="shared" si="27"/>
        <v>2500</v>
      </c>
      <c r="K152" s="54">
        <f t="shared" si="28"/>
        <v>180000</v>
      </c>
      <c r="M152" s="45" t="s">
        <v>1064</v>
      </c>
      <c r="N152" s="45"/>
      <c r="O152" s="45"/>
      <c r="P152" s="45"/>
      <c r="Q152" s="45"/>
      <c r="R152" s="45"/>
      <c r="S152" s="45"/>
      <c r="T152" s="45"/>
      <c r="U152" s="45"/>
      <c r="V152" s="45"/>
      <c r="W152" s="45"/>
      <c r="X152" s="45"/>
      <c r="Y152" s="45"/>
      <c r="Z152" s="56"/>
      <c r="AB152" s="55">
        <f>2*3</f>
        <v>6</v>
      </c>
      <c r="AC152" s="55">
        <v>35546.666666666664</v>
      </c>
      <c r="AD152" s="55">
        <f>AC152*AB152</f>
        <v>213280</v>
      </c>
    </row>
    <row r="153" spans="1:30">
      <c r="A153" s="7" t="s">
        <v>504</v>
      </c>
      <c r="B153" s="40" t="s">
        <v>503</v>
      </c>
      <c r="C153" s="40" t="s">
        <v>216</v>
      </c>
      <c r="D153" s="40" t="s">
        <v>228</v>
      </c>
      <c r="E153" s="40" t="s">
        <v>44</v>
      </c>
      <c r="F153" s="40" t="s">
        <v>148</v>
      </c>
      <c r="G153" s="38">
        <f>$Q$18</f>
        <v>11</v>
      </c>
      <c r="H153" s="51">
        <v>8650</v>
      </c>
      <c r="I153" s="53">
        <v>0</v>
      </c>
      <c r="J153" s="51">
        <f t="shared" si="27"/>
        <v>8650</v>
      </c>
      <c r="K153" s="54">
        <f t="shared" si="28"/>
        <v>95150</v>
      </c>
      <c r="M153" s="45" t="s">
        <v>1064</v>
      </c>
      <c r="N153" s="45"/>
      <c r="O153" s="45"/>
      <c r="P153" s="45"/>
      <c r="Q153" s="45"/>
      <c r="R153" s="45"/>
      <c r="S153" s="45"/>
      <c r="T153" s="45"/>
      <c r="U153" s="45"/>
      <c r="V153" s="45"/>
      <c r="W153" s="45"/>
      <c r="X153" s="45"/>
      <c r="Y153" s="45"/>
      <c r="Z153" s="56"/>
      <c r="AB153" s="55">
        <f>2*3</f>
        <v>6</v>
      </c>
      <c r="AC153" s="55">
        <v>35546.666666666664</v>
      </c>
      <c r="AD153" s="55">
        <f t="shared" ref="AD153:AD154" si="29">AC153*AB153</f>
        <v>213280</v>
      </c>
    </row>
    <row r="154" spans="1:30">
      <c r="A154" s="4" t="s">
        <v>505</v>
      </c>
      <c r="B154" s="151" t="s">
        <v>506</v>
      </c>
      <c r="C154" s="151"/>
      <c r="D154" s="151"/>
      <c r="E154" s="151"/>
      <c r="F154" s="151"/>
      <c r="G154" s="152"/>
      <c r="H154" s="153"/>
      <c r="I154" s="154"/>
      <c r="J154" s="153"/>
      <c r="K154" s="172"/>
      <c r="L154" s="70">
        <f>SUM(K155:K156)</f>
        <v>1248584</v>
      </c>
      <c r="M154" s="45"/>
      <c r="N154" s="45"/>
      <c r="O154" s="45"/>
      <c r="P154" s="45"/>
      <c r="Q154" s="45"/>
      <c r="R154" s="45"/>
      <c r="S154" s="45"/>
      <c r="T154" s="45"/>
      <c r="U154" s="45"/>
      <c r="V154" s="45"/>
      <c r="W154" s="45"/>
      <c r="X154" s="45"/>
      <c r="Y154" s="45"/>
      <c r="Z154" s="56"/>
      <c r="AB154" s="55">
        <f>2*2</f>
        <v>4</v>
      </c>
      <c r="AC154" s="55">
        <v>35546.666666666664</v>
      </c>
      <c r="AD154" s="55">
        <f t="shared" si="29"/>
        <v>142186.66666666666</v>
      </c>
    </row>
    <row r="155" spans="1:30">
      <c r="A155" s="7" t="s">
        <v>507</v>
      </c>
      <c r="B155" s="40" t="s">
        <v>508</v>
      </c>
      <c r="C155" s="40" t="s">
        <v>216</v>
      </c>
      <c r="D155" s="40" t="s">
        <v>228</v>
      </c>
      <c r="E155" s="40" t="s">
        <v>426</v>
      </c>
      <c r="F155" s="40" t="s">
        <v>88</v>
      </c>
      <c r="G155" s="38">
        <f>$E$8</f>
        <v>390</v>
      </c>
      <c r="H155" s="51">
        <v>3201.4974358974359</v>
      </c>
      <c r="I155" s="53">
        <v>0</v>
      </c>
      <c r="J155" s="51">
        <f>H155*(1+I155)</f>
        <v>3201.4974358974359</v>
      </c>
      <c r="K155" s="54">
        <f>J155*G155</f>
        <v>1248584</v>
      </c>
      <c r="M155" s="45"/>
      <c r="N155" s="45"/>
      <c r="O155" s="45"/>
      <c r="P155" s="45"/>
      <c r="Q155" s="45"/>
      <c r="R155" s="45"/>
      <c r="S155" s="45"/>
      <c r="T155" s="45"/>
      <c r="U155" s="45"/>
      <c r="V155" s="45"/>
      <c r="W155" s="45"/>
      <c r="X155" s="45"/>
      <c r="Y155" s="45"/>
      <c r="Z155" s="56"/>
      <c r="AD155" s="55">
        <f>SUM(AD152:AD154)</f>
        <v>568746.66666666663</v>
      </c>
    </row>
    <row r="156" spans="1:30">
      <c r="A156" s="7" t="s">
        <v>509</v>
      </c>
      <c r="B156" s="40" t="s">
        <v>508</v>
      </c>
      <c r="C156" s="40" t="s">
        <v>216</v>
      </c>
      <c r="D156" s="40" t="s">
        <v>228</v>
      </c>
      <c r="E156" s="40"/>
      <c r="F156" s="40"/>
      <c r="G156" s="38"/>
      <c r="H156" s="51"/>
      <c r="I156" s="53">
        <v>0</v>
      </c>
      <c r="J156" s="51">
        <f>H156*(1+I156)</f>
        <v>0</v>
      </c>
      <c r="K156" s="54">
        <f>J156*G156</f>
        <v>0</v>
      </c>
      <c r="M156" s="45"/>
      <c r="N156" s="45"/>
      <c r="O156" s="45"/>
      <c r="P156" s="45"/>
      <c r="Q156" s="45"/>
      <c r="R156" s="45"/>
      <c r="S156" s="45"/>
      <c r="T156" s="45"/>
      <c r="U156" s="45"/>
      <c r="V156" s="45"/>
      <c r="W156" s="45"/>
      <c r="X156" s="45"/>
      <c r="Y156" s="45"/>
      <c r="Z156" s="56"/>
    </row>
    <row r="157" spans="1:30">
      <c r="A157" s="4" t="s">
        <v>510</v>
      </c>
      <c r="B157" s="151" t="s">
        <v>511</v>
      </c>
      <c r="C157" s="151"/>
      <c r="D157" s="151"/>
      <c r="E157" s="151"/>
      <c r="F157" s="151"/>
      <c r="G157" s="152"/>
      <c r="H157" s="153"/>
      <c r="I157" s="154"/>
      <c r="J157" s="153"/>
      <c r="K157" s="172"/>
      <c r="L157" s="70">
        <f>SUM(K158:K165)</f>
        <v>2373780.1008403362</v>
      </c>
      <c r="M157" s="45"/>
      <c r="N157" s="45"/>
      <c r="O157" s="45"/>
      <c r="P157" s="45"/>
      <c r="Q157" s="45"/>
      <c r="R157" s="45"/>
      <c r="S157" s="45"/>
      <c r="T157" s="45"/>
      <c r="U157" s="45"/>
      <c r="V157" s="45"/>
      <c r="W157" s="45"/>
      <c r="X157" s="45"/>
      <c r="Y157" s="45"/>
      <c r="Z157" s="56"/>
      <c r="AD157" s="55">
        <f>AD155/16</f>
        <v>35546.666666666664</v>
      </c>
    </row>
    <row r="158" spans="1:30">
      <c r="A158" s="6" t="s">
        <v>307</v>
      </c>
      <c r="B158" s="47" t="s">
        <v>512</v>
      </c>
      <c r="C158" s="47" t="s">
        <v>216</v>
      </c>
      <c r="D158" s="47" t="s">
        <v>309</v>
      </c>
      <c r="E158" s="47"/>
      <c r="F158" s="47" t="s">
        <v>88</v>
      </c>
      <c r="G158" s="42">
        <v>0</v>
      </c>
      <c r="H158" s="61">
        <v>79</v>
      </c>
      <c r="I158" s="63">
        <v>0</v>
      </c>
      <c r="J158" s="66">
        <f t="shared" ref="J158:J165" si="30">H158*(1+I158)</f>
        <v>79</v>
      </c>
      <c r="K158" s="67">
        <f t="shared" ref="K158:K165" si="31">J158*G158</f>
        <v>0</v>
      </c>
      <c r="M158" s="45"/>
      <c r="N158" s="45"/>
      <c r="O158" s="45"/>
      <c r="P158" s="45"/>
      <c r="Q158" s="45"/>
      <c r="R158" s="45"/>
      <c r="S158" s="45"/>
      <c r="T158" s="45"/>
      <c r="U158" s="45"/>
      <c r="V158" s="45"/>
      <c r="W158" s="45"/>
      <c r="X158" s="45"/>
      <c r="Y158" s="45"/>
      <c r="Z158" s="56"/>
    </row>
    <row r="159" spans="1:30">
      <c r="A159" s="7" t="s">
        <v>513</v>
      </c>
      <c r="B159" s="40" t="s">
        <v>514</v>
      </c>
      <c r="C159" s="40" t="s">
        <v>216</v>
      </c>
      <c r="D159" s="40" t="s">
        <v>228</v>
      </c>
      <c r="E159" s="40" t="s">
        <v>543</v>
      </c>
      <c r="F159" s="40" t="s">
        <v>375</v>
      </c>
      <c r="G159" s="38">
        <f>$E$8</f>
        <v>390</v>
      </c>
      <c r="H159" s="51">
        <v>377.77731092436977</v>
      </c>
      <c r="I159" s="53">
        <v>0.15</v>
      </c>
      <c r="J159" s="51">
        <f t="shared" si="30"/>
        <v>434.44390756302522</v>
      </c>
      <c r="K159" s="54">
        <f t="shared" si="31"/>
        <v>169433.12394957984</v>
      </c>
      <c r="M159" s="45" t="s">
        <v>1066</v>
      </c>
      <c r="N159" s="45"/>
      <c r="O159" s="45"/>
      <c r="P159" s="45"/>
      <c r="Q159" s="45"/>
      <c r="R159" s="45"/>
      <c r="S159" s="45"/>
      <c r="T159" s="45"/>
      <c r="U159" s="45"/>
      <c r="V159" s="45"/>
      <c r="W159" s="45"/>
      <c r="X159" s="45"/>
      <c r="Y159" s="45"/>
      <c r="Z159" s="56"/>
    </row>
    <row r="160" spans="1:30">
      <c r="A160" s="7" t="s">
        <v>516</v>
      </c>
      <c r="B160" s="40" t="s">
        <v>517</v>
      </c>
      <c r="C160" s="40" t="s">
        <v>216</v>
      </c>
      <c r="D160" s="40" t="s">
        <v>228</v>
      </c>
      <c r="E160" s="40" t="s">
        <v>543</v>
      </c>
      <c r="F160" s="40" t="s">
        <v>88</v>
      </c>
      <c r="G160" s="42">
        <f>$E$8</f>
        <v>390</v>
      </c>
      <c r="H160" s="51">
        <v>3148</v>
      </c>
      <c r="I160" s="53">
        <v>0.15</v>
      </c>
      <c r="J160" s="51">
        <f>H160*(1+I160)</f>
        <v>3620.2</v>
      </c>
      <c r="K160" s="54">
        <f>J160*G160</f>
        <v>1411878</v>
      </c>
      <c r="M160" s="45" t="s">
        <v>1067</v>
      </c>
      <c r="N160" s="45"/>
      <c r="O160" s="45"/>
      <c r="P160" s="45"/>
      <c r="Q160" s="45"/>
      <c r="R160" s="45"/>
      <c r="S160" s="45"/>
      <c r="T160" s="45"/>
      <c r="U160" s="45"/>
      <c r="V160" s="45"/>
      <c r="W160" s="45"/>
      <c r="X160" s="45"/>
      <c r="Y160" s="45"/>
      <c r="Z160" s="56"/>
    </row>
    <row r="161" spans="1:26">
      <c r="A161" s="7" t="s">
        <v>520</v>
      </c>
      <c r="B161" s="40" t="s">
        <v>521</v>
      </c>
      <c r="C161" s="40" t="s">
        <v>216</v>
      </c>
      <c r="D161" s="40" t="s">
        <v>228</v>
      </c>
      <c r="E161" s="40" t="s">
        <v>426</v>
      </c>
      <c r="F161" s="40" t="s">
        <v>71</v>
      </c>
      <c r="G161" s="38">
        <v>2</v>
      </c>
      <c r="H161" s="51">
        <v>15700</v>
      </c>
      <c r="I161" s="53">
        <v>0</v>
      </c>
      <c r="J161" s="51">
        <f t="shared" si="30"/>
        <v>15700</v>
      </c>
      <c r="K161" s="54">
        <f t="shared" si="31"/>
        <v>31400</v>
      </c>
      <c r="M161" s="45" t="s">
        <v>1100</v>
      </c>
      <c r="N161" s="45"/>
      <c r="O161" s="45"/>
      <c r="P161" s="45"/>
      <c r="Q161" s="45"/>
      <c r="R161" s="45"/>
      <c r="S161" s="45"/>
      <c r="T161" s="45"/>
      <c r="U161" s="45"/>
      <c r="V161" s="45"/>
      <c r="W161" s="45"/>
      <c r="X161" s="45"/>
      <c r="Y161" s="45"/>
      <c r="Z161" s="56"/>
    </row>
    <row r="162" spans="1:26">
      <c r="A162" s="7" t="s">
        <v>523</v>
      </c>
      <c r="B162" s="40" t="s">
        <v>524</v>
      </c>
      <c r="C162" s="40" t="s">
        <v>216</v>
      </c>
      <c r="D162" s="40" t="s">
        <v>228</v>
      </c>
      <c r="E162" s="40" t="s">
        <v>543</v>
      </c>
      <c r="F162" s="40" t="s">
        <v>88</v>
      </c>
      <c r="G162" s="42">
        <f>$E$8</f>
        <v>390</v>
      </c>
      <c r="H162" s="51">
        <v>1567.6008403361345</v>
      </c>
      <c r="I162" s="53">
        <v>0.15</v>
      </c>
      <c r="J162" s="51">
        <f t="shared" si="30"/>
        <v>1802.7409663865546</v>
      </c>
      <c r="K162" s="54">
        <f t="shared" si="31"/>
        <v>703068.97689075628</v>
      </c>
      <c r="M162" s="45" t="s">
        <v>1068</v>
      </c>
      <c r="N162" s="45"/>
      <c r="O162" s="45"/>
      <c r="P162" s="45"/>
      <c r="Q162" s="45"/>
      <c r="R162" s="45"/>
      <c r="S162" s="45"/>
      <c r="T162" s="45"/>
      <c r="U162" s="45"/>
      <c r="V162" s="45"/>
      <c r="W162" s="45"/>
      <c r="X162" s="45"/>
      <c r="Y162" s="45"/>
      <c r="Z162" s="56"/>
    </row>
    <row r="163" spans="1:26">
      <c r="A163" s="7" t="s">
        <v>526</v>
      </c>
      <c r="B163" s="40" t="s">
        <v>527</v>
      </c>
      <c r="C163" s="40" t="s">
        <v>283</v>
      </c>
      <c r="D163" s="40" t="s">
        <v>228</v>
      </c>
      <c r="E163" s="40" t="s">
        <v>73</v>
      </c>
      <c r="F163" s="40" t="s">
        <v>71</v>
      </c>
      <c r="G163" s="38">
        <v>2</v>
      </c>
      <c r="H163" s="51">
        <v>20000</v>
      </c>
      <c r="I163" s="53">
        <v>0</v>
      </c>
      <c r="J163" s="51">
        <f t="shared" si="30"/>
        <v>20000</v>
      </c>
      <c r="K163" s="54">
        <f t="shared" si="31"/>
        <v>40000</v>
      </c>
      <c r="M163" s="45" t="s">
        <v>1101</v>
      </c>
      <c r="N163" s="45"/>
      <c r="O163" s="45"/>
      <c r="P163" s="45"/>
      <c r="Q163" s="45"/>
      <c r="R163" s="45"/>
      <c r="S163" s="45"/>
      <c r="T163" s="45"/>
      <c r="U163" s="45"/>
      <c r="V163" s="45"/>
      <c r="W163" s="45"/>
      <c r="X163" s="45"/>
      <c r="Y163" s="45"/>
      <c r="Z163" s="56"/>
    </row>
    <row r="164" spans="1:26">
      <c r="A164" s="7" t="s">
        <v>529</v>
      </c>
      <c r="B164" s="40" t="s">
        <v>530</v>
      </c>
      <c r="C164" s="40" t="s">
        <v>216</v>
      </c>
      <c r="D164" s="40" t="s">
        <v>242</v>
      </c>
      <c r="E164" s="40" t="s">
        <v>231</v>
      </c>
      <c r="F164" s="40"/>
      <c r="G164" s="38"/>
      <c r="H164" s="51"/>
      <c r="I164" s="53">
        <v>0</v>
      </c>
      <c r="J164" s="51">
        <f t="shared" si="30"/>
        <v>0</v>
      </c>
      <c r="K164" s="54">
        <f t="shared" si="31"/>
        <v>0</v>
      </c>
      <c r="M164" s="45"/>
      <c r="N164" s="45"/>
      <c r="O164" s="45"/>
      <c r="P164" s="45"/>
      <c r="Q164" s="45"/>
      <c r="R164" s="45"/>
      <c r="S164" s="45"/>
      <c r="T164" s="45"/>
      <c r="U164" s="45"/>
      <c r="V164" s="45"/>
      <c r="W164" s="45"/>
      <c r="X164" s="45"/>
      <c r="Y164" s="45"/>
      <c r="Z164" s="56"/>
    </row>
    <row r="165" spans="1:26">
      <c r="A165" s="7" t="s">
        <v>531</v>
      </c>
      <c r="B165" s="40" t="s">
        <v>532</v>
      </c>
      <c r="C165" s="40" t="s">
        <v>216</v>
      </c>
      <c r="D165" s="40" t="s">
        <v>242</v>
      </c>
      <c r="E165" s="40" t="s">
        <v>73</v>
      </c>
      <c r="F165" s="40" t="s">
        <v>71</v>
      </c>
      <c r="G165" s="38">
        <v>3</v>
      </c>
      <c r="H165" s="51">
        <v>6000</v>
      </c>
      <c r="I165" s="53">
        <v>0</v>
      </c>
      <c r="J165" s="51">
        <f t="shared" si="30"/>
        <v>6000</v>
      </c>
      <c r="K165" s="54">
        <f t="shared" si="31"/>
        <v>18000</v>
      </c>
      <c r="M165" s="45" t="s">
        <v>533</v>
      </c>
      <c r="N165" s="45"/>
      <c r="O165" s="45"/>
      <c r="P165" s="45"/>
      <c r="Q165" s="45"/>
      <c r="R165" s="45"/>
      <c r="S165" s="45"/>
      <c r="T165" s="45"/>
      <c r="U165" s="45"/>
      <c r="V165" s="45"/>
      <c r="W165" s="45"/>
      <c r="X165" s="45"/>
      <c r="Y165" s="45"/>
      <c r="Z165" s="56"/>
    </row>
    <row r="166" spans="1:26">
      <c r="A166" s="4" t="s">
        <v>534</v>
      </c>
      <c r="B166" s="151" t="s">
        <v>535</v>
      </c>
      <c r="C166" s="151"/>
      <c r="D166" s="151"/>
      <c r="E166" s="151"/>
      <c r="F166" s="151"/>
      <c r="G166" s="152"/>
      <c r="H166" s="153"/>
      <c r="I166" s="154"/>
      <c r="J166" s="153"/>
      <c r="K166" s="172"/>
      <c r="L166" s="70">
        <f>SUM(K167:K169)</f>
        <v>1538212.8068965515</v>
      </c>
      <c r="M166" s="45"/>
      <c r="N166" s="45"/>
      <c r="O166" s="45"/>
      <c r="P166" s="45"/>
      <c r="Q166" s="45"/>
      <c r="R166" s="45"/>
      <c r="S166" s="45"/>
      <c r="T166" s="45"/>
      <c r="U166" s="45"/>
      <c r="V166" s="45"/>
      <c r="W166" s="45"/>
      <c r="X166" s="45"/>
      <c r="Y166" s="45"/>
      <c r="Z166" s="56"/>
    </row>
    <row r="167" spans="1:26">
      <c r="A167" s="6" t="s">
        <v>536</v>
      </c>
      <c r="B167" s="47" t="s">
        <v>537</v>
      </c>
      <c r="C167" s="47" t="s">
        <v>216</v>
      </c>
      <c r="D167" s="47" t="s">
        <v>242</v>
      </c>
      <c r="E167" s="47" t="s">
        <v>44</v>
      </c>
      <c r="F167" s="47" t="s">
        <v>71</v>
      </c>
      <c r="G167" s="42">
        <f>$Q$7</f>
        <v>1</v>
      </c>
      <c r="H167" s="61">
        <v>245000</v>
      </c>
      <c r="I167" s="63">
        <v>0</v>
      </c>
      <c r="J167" s="66">
        <f t="shared" ref="J167:J169" si="32">H167*(1+I167)</f>
        <v>245000</v>
      </c>
      <c r="K167" s="67">
        <f t="shared" ref="K167:K169" si="33">J167*G167</f>
        <v>245000</v>
      </c>
      <c r="M167" s="45"/>
      <c r="N167" s="45"/>
      <c r="O167" s="45"/>
      <c r="P167" s="45"/>
      <c r="Q167" s="45"/>
      <c r="R167" s="45"/>
      <c r="S167" s="45"/>
      <c r="T167" s="45"/>
      <c r="U167" s="45"/>
      <c r="V167" s="45"/>
      <c r="W167" s="45"/>
      <c r="X167" s="45"/>
      <c r="Y167" s="45"/>
      <c r="Z167" s="56"/>
    </row>
    <row r="168" spans="1:26">
      <c r="A168" s="7" t="s">
        <v>172</v>
      </c>
      <c r="B168" s="40" t="s">
        <v>539</v>
      </c>
      <c r="C168" s="40" t="s">
        <v>216</v>
      </c>
      <c r="D168" s="40" t="s">
        <v>473</v>
      </c>
      <c r="E168" s="40" t="s">
        <v>426</v>
      </c>
      <c r="F168" s="40" t="s">
        <v>108</v>
      </c>
      <c r="G168" s="38">
        <f>Q13</f>
        <v>388</v>
      </c>
      <c r="H168" s="51">
        <v>2762.3793103448274</v>
      </c>
      <c r="I168" s="53">
        <v>0.2</v>
      </c>
      <c r="J168" s="51">
        <f t="shared" si="32"/>
        <v>3314.8551724137928</v>
      </c>
      <c r="K168" s="54">
        <f>J168*G168</f>
        <v>1286163.8068965515</v>
      </c>
      <c r="M168" s="45" t="s">
        <v>1102</v>
      </c>
      <c r="N168" s="45"/>
      <c r="O168" s="45"/>
      <c r="P168" s="45"/>
      <c r="Q168" s="45"/>
      <c r="R168" s="45"/>
      <c r="S168" s="45"/>
      <c r="T168" s="45"/>
      <c r="U168" s="45"/>
      <c r="V168" s="45"/>
      <c r="W168" s="45"/>
      <c r="X168" s="45"/>
      <c r="Y168" s="45"/>
      <c r="Z168" s="56"/>
    </row>
    <row r="169" spans="1:26">
      <c r="A169" s="7" t="s">
        <v>541</v>
      </c>
      <c r="B169" s="40" t="s">
        <v>542</v>
      </c>
      <c r="C169" s="40" t="s">
        <v>216</v>
      </c>
      <c r="D169" s="40" t="s">
        <v>250</v>
      </c>
      <c r="E169" s="40" t="s">
        <v>543</v>
      </c>
      <c r="F169" s="40" t="s">
        <v>108</v>
      </c>
      <c r="G169" s="38">
        <f>$Q$7</f>
        <v>1</v>
      </c>
      <c r="H169" s="51">
        <v>7049</v>
      </c>
      <c r="I169" s="53">
        <v>0</v>
      </c>
      <c r="J169" s="51">
        <f t="shared" si="32"/>
        <v>7049</v>
      </c>
      <c r="K169" s="54">
        <f t="shared" si="33"/>
        <v>7049</v>
      </c>
      <c r="M169" s="45"/>
      <c r="N169" s="45"/>
      <c r="O169" s="45"/>
      <c r="P169" s="45"/>
      <c r="Q169" s="45"/>
      <c r="R169" s="45"/>
      <c r="S169" s="45"/>
      <c r="T169" s="45"/>
      <c r="U169" s="45"/>
      <c r="V169" s="45"/>
      <c r="W169" s="45"/>
      <c r="X169" s="45"/>
      <c r="Y169" s="45"/>
      <c r="Z169" s="56"/>
    </row>
    <row r="170" spans="1:26">
      <c r="A170" s="4" t="s">
        <v>547</v>
      </c>
      <c r="B170" s="151" t="s">
        <v>548</v>
      </c>
      <c r="C170" s="151"/>
      <c r="D170" s="151"/>
      <c r="E170" s="151"/>
      <c r="F170" s="151"/>
      <c r="G170" s="152"/>
      <c r="H170" s="153"/>
      <c r="I170" s="154"/>
      <c r="J170" s="153"/>
      <c r="K170" s="172"/>
      <c r="L170" s="70">
        <f>SUM(K171:K172)</f>
        <v>581746.66666666663</v>
      </c>
      <c r="M170" s="45"/>
      <c r="N170" s="45"/>
      <c r="O170" s="45"/>
      <c r="P170" s="45"/>
      <c r="Q170" s="45"/>
      <c r="R170" s="45"/>
      <c r="S170" s="45"/>
      <c r="T170" s="45"/>
      <c r="U170" s="45"/>
      <c r="V170" s="45"/>
      <c r="W170" s="45"/>
      <c r="X170" s="45"/>
      <c r="Y170" s="45"/>
      <c r="Z170" s="56"/>
    </row>
    <row r="171" spans="1:26">
      <c r="A171" s="6" t="s">
        <v>549</v>
      </c>
      <c r="B171" s="47" t="s">
        <v>550</v>
      </c>
      <c r="C171" s="47" t="s">
        <v>216</v>
      </c>
      <c r="D171" s="47" t="s">
        <v>228</v>
      </c>
      <c r="E171" s="47" t="s">
        <v>543</v>
      </c>
      <c r="F171" s="47" t="s">
        <v>551</v>
      </c>
      <c r="G171" s="42">
        <f>Q4</f>
        <v>16</v>
      </c>
      <c r="H171" s="61">
        <v>35546.666666666664</v>
      </c>
      <c r="I171" s="63">
        <v>0</v>
      </c>
      <c r="J171" s="66">
        <f t="shared" ref="J171:J172" si="34">H171*(1+I171)</f>
        <v>35546.666666666664</v>
      </c>
      <c r="K171" s="67">
        <f t="shared" ref="K171:K172" si="35">J171*G171</f>
        <v>568746.66666666663</v>
      </c>
      <c r="M171" s="45" t="s">
        <v>1069</v>
      </c>
      <c r="N171" s="45"/>
      <c r="O171" s="45"/>
      <c r="P171" s="45"/>
      <c r="Q171" s="45"/>
      <c r="R171" s="45"/>
      <c r="S171" s="45"/>
      <c r="T171" s="45"/>
      <c r="U171" s="45"/>
      <c r="V171" s="45"/>
      <c r="W171" s="45"/>
      <c r="X171" s="45"/>
      <c r="Y171" s="45"/>
      <c r="Z171" s="56"/>
    </row>
    <row r="172" spans="1:26">
      <c r="A172" s="7" t="s">
        <v>553</v>
      </c>
      <c r="B172" s="40" t="s">
        <v>554</v>
      </c>
      <c r="C172" s="40" t="s">
        <v>216</v>
      </c>
      <c r="D172" s="40" t="s">
        <v>242</v>
      </c>
      <c r="E172" s="40" t="s">
        <v>555</v>
      </c>
      <c r="F172" s="40" t="s">
        <v>108</v>
      </c>
      <c r="G172" s="38">
        <f>$Q$7*2</f>
        <v>2</v>
      </c>
      <c r="H172" s="51">
        <v>6500</v>
      </c>
      <c r="I172" s="53">
        <v>0</v>
      </c>
      <c r="J172" s="51">
        <f t="shared" si="34"/>
        <v>6500</v>
      </c>
      <c r="K172" s="54">
        <f t="shared" si="35"/>
        <v>13000</v>
      </c>
      <c r="M172" s="45"/>
      <c r="N172" s="45"/>
      <c r="O172" s="45"/>
      <c r="P172" s="45"/>
      <c r="Q172" s="45"/>
      <c r="R172" s="45"/>
      <c r="S172" s="45"/>
      <c r="T172" s="45"/>
      <c r="U172" s="45"/>
      <c r="V172" s="45"/>
      <c r="W172" s="45"/>
      <c r="X172" s="45"/>
      <c r="Y172" s="45"/>
      <c r="Z172" s="56"/>
    </row>
    <row r="173" spans="1:26">
      <c r="A173" s="4" t="s">
        <v>556</v>
      </c>
      <c r="B173" s="151" t="s">
        <v>557</v>
      </c>
      <c r="C173" s="151"/>
      <c r="D173" s="151"/>
      <c r="E173" s="151"/>
      <c r="F173" s="151"/>
      <c r="G173" s="152"/>
      <c r="H173" s="153"/>
      <c r="I173" s="154"/>
      <c r="J173" s="153"/>
      <c r="K173" s="172"/>
      <c r="L173" s="70">
        <f>SUM(K174:K176)</f>
        <v>1217096.6100000001</v>
      </c>
      <c r="M173" s="45"/>
      <c r="N173" s="45"/>
      <c r="O173" s="45"/>
      <c r="P173" s="45"/>
      <c r="Q173" s="45"/>
      <c r="R173" s="45"/>
      <c r="S173" s="45"/>
      <c r="T173" s="45"/>
      <c r="U173" s="45"/>
      <c r="V173" s="45"/>
      <c r="W173" s="45"/>
      <c r="X173" s="45"/>
      <c r="Y173" s="45"/>
      <c r="Z173" s="56"/>
    </row>
    <row r="174" spans="1:26">
      <c r="A174" s="6" t="s">
        <v>558</v>
      </c>
      <c r="B174" s="47" t="s">
        <v>559</v>
      </c>
      <c r="C174" s="47" t="s">
        <v>216</v>
      </c>
      <c r="D174" s="47" t="s">
        <v>228</v>
      </c>
      <c r="E174" s="47" t="s">
        <v>73</v>
      </c>
      <c r="F174" s="47" t="s">
        <v>61</v>
      </c>
      <c r="G174" s="42">
        <f t="shared" ref="G174:G186" si="36">$B$8</f>
        <v>431911</v>
      </c>
      <c r="H174" s="61">
        <v>0.06</v>
      </c>
      <c r="I174" s="63">
        <v>0</v>
      </c>
      <c r="J174" s="66">
        <f t="shared" ref="J174:J176" si="37">H174*(1+I174)</f>
        <v>0.06</v>
      </c>
      <c r="K174" s="67">
        <f t="shared" ref="K174:K176" si="38">J174*G174</f>
        <v>25914.66</v>
      </c>
      <c r="M174" s="45"/>
      <c r="N174" s="45"/>
      <c r="O174" s="45"/>
      <c r="P174" s="45"/>
      <c r="Q174" s="45"/>
      <c r="R174" s="45"/>
      <c r="S174" s="45"/>
      <c r="T174" s="45"/>
      <c r="U174" s="45"/>
      <c r="V174" s="45"/>
      <c r="W174" s="45"/>
      <c r="X174" s="45"/>
      <c r="Y174" s="45"/>
      <c r="Z174" s="56"/>
    </row>
    <row r="175" spans="1:26">
      <c r="A175" s="7" t="s">
        <v>560</v>
      </c>
      <c r="B175" s="40" t="s">
        <v>561</v>
      </c>
      <c r="C175" s="40" t="s">
        <v>216</v>
      </c>
      <c r="D175" s="40" t="s">
        <v>228</v>
      </c>
      <c r="E175" s="40" t="s">
        <v>44</v>
      </c>
      <c r="F175" s="40" t="s">
        <v>61</v>
      </c>
      <c r="G175" s="38">
        <f t="shared" si="36"/>
        <v>431911</v>
      </c>
      <c r="H175" s="51">
        <v>2.4500000000000002</v>
      </c>
      <c r="I175" s="53">
        <v>0</v>
      </c>
      <c r="J175" s="51">
        <f t="shared" si="37"/>
        <v>2.4500000000000002</v>
      </c>
      <c r="K175" s="54">
        <f t="shared" si="38"/>
        <v>1058181.9500000002</v>
      </c>
      <c r="M175" s="45"/>
      <c r="N175" s="45"/>
      <c r="O175" s="45"/>
      <c r="P175" s="45"/>
      <c r="Q175" s="45"/>
      <c r="R175" s="45"/>
      <c r="S175" s="45"/>
      <c r="T175" s="45"/>
      <c r="U175" s="45"/>
      <c r="V175" s="45"/>
      <c r="W175" s="45"/>
      <c r="X175" s="45"/>
      <c r="Y175" s="45"/>
      <c r="Z175" s="56"/>
    </row>
    <row r="176" spans="1:26">
      <c r="A176" s="7" t="s">
        <v>562</v>
      </c>
      <c r="B176" s="40" t="s">
        <v>563</v>
      </c>
      <c r="C176" s="40" t="s">
        <v>216</v>
      </c>
      <c r="D176" s="40" t="s">
        <v>235</v>
      </c>
      <c r="E176" s="40" t="s">
        <v>44</v>
      </c>
      <c r="F176" s="40" t="s">
        <v>108</v>
      </c>
      <c r="G176" s="38">
        <f>$W$17</f>
        <v>1</v>
      </c>
      <c r="H176" s="51">
        <v>133000</v>
      </c>
      <c r="I176" s="53">
        <v>0</v>
      </c>
      <c r="J176" s="51">
        <f t="shared" si="37"/>
        <v>133000</v>
      </c>
      <c r="K176" s="54">
        <f t="shared" si="38"/>
        <v>133000</v>
      </c>
      <c r="M176" s="45"/>
      <c r="N176" s="45"/>
      <c r="O176" s="45"/>
      <c r="P176" s="45"/>
      <c r="Q176" s="45"/>
      <c r="R176" s="45"/>
      <c r="S176" s="45"/>
      <c r="T176" s="45"/>
      <c r="U176" s="45"/>
      <c r="V176" s="45"/>
      <c r="W176" s="45"/>
      <c r="X176" s="45"/>
      <c r="Y176" s="45"/>
      <c r="Z176" s="56"/>
    </row>
    <row r="177" spans="1:30">
      <c r="A177" s="4" t="s">
        <v>564</v>
      </c>
      <c r="B177" s="151" t="s">
        <v>565</v>
      </c>
      <c r="C177" s="151"/>
      <c r="D177" s="151"/>
      <c r="E177" s="151"/>
      <c r="F177" s="151"/>
      <c r="G177" s="152"/>
      <c r="H177" s="153"/>
      <c r="I177" s="154"/>
      <c r="J177" s="153"/>
      <c r="K177" s="172"/>
      <c r="L177" s="70">
        <f>SUM(K178:K182)</f>
        <v>4668056.9812639821</v>
      </c>
      <c r="M177" s="45"/>
      <c r="N177" s="45"/>
      <c r="O177" s="45"/>
      <c r="P177" s="45"/>
      <c r="Q177" s="45"/>
      <c r="R177" s="45"/>
      <c r="S177" s="45"/>
      <c r="T177" s="45"/>
      <c r="U177" s="45"/>
      <c r="V177" s="45"/>
      <c r="W177" s="45"/>
      <c r="X177" s="45"/>
      <c r="Y177" s="45"/>
      <c r="Z177" s="56"/>
    </row>
    <row r="178" spans="1:30">
      <c r="A178" s="6" t="s">
        <v>566</v>
      </c>
      <c r="B178" s="47" t="s">
        <v>567</v>
      </c>
      <c r="C178" s="47" t="s">
        <v>216</v>
      </c>
      <c r="D178" s="47" t="s">
        <v>228</v>
      </c>
      <c r="E178" s="47" t="s">
        <v>44</v>
      </c>
      <c r="F178" s="47" t="s">
        <v>108</v>
      </c>
      <c r="G178" s="42">
        <f>SUM(E3:E5)</f>
        <v>223</v>
      </c>
      <c r="H178" s="61">
        <v>10526</v>
      </c>
      <c r="I178" s="63">
        <v>0</v>
      </c>
      <c r="J178" s="66">
        <f t="shared" ref="J178:J182" si="39">H178*(1+I178)</f>
        <v>10526</v>
      </c>
      <c r="K178" s="67">
        <f t="shared" ref="K178:K182" si="40">J178*G178</f>
        <v>2347298</v>
      </c>
      <c r="M178" s="45" t="s">
        <v>1103</v>
      </c>
      <c r="N178" s="45"/>
      <c r="O178" s="45"/>
      <c r="P178" s="45"/>
      <c r="Q178" s="45"/>
      <c r="R178" s="45"/>
      <c r="S178" s="45"/>
      <c r="T178" s="45"/>
      <c r="U178" s="45"/>
      <c r="V178" s="45"/>
      <c r="W178" s="45"/>
      <c r="X178" s="45"/>
      <c r="Y178" s="45"/>
      <c r="Z178" s="56"/>
    </row>
    <row r="179" spans="1:30">
      <c r="A179" s="7" t="s">
        <v>569</v>
      </c>
      <c r="B179" s="40" t="s">
        <v>567</v>
      </c>
      <c r="C179" s="40" t="s">
        <v>216</v>
      </c>
      <c r="D179" s="40" t="s">
        <v>228</v>
      </c>
      <c r="E179" s="47" t="s">
        <v>742</v>
      </c>
      <c r="F179" s="40" t="s">
        <v>108</v>
      </c>
      <c r="G179" s="38">
        <f>SUM(E6:E7)</f>
        <v>167</v>
      </c>
      <c r="H179" s="51">
        <v>13713.454977628635</v>
      </c>
      <c r="I179" s="53">
        <v>0</v>
      </c>
      <c r="J179" s="51">
        <f t="shared" si="39"/>
        <v>13713.454977628635</v>
      </c>
      <c r="K179" s="54">
        <f t="shared" si="40"/>
        <v>2290146.9812639821</v>
      </c>
      <c r="M179" s="45"/>
      <c r="N179" s="45"/>
      <c r="O179" s="45"/>
      <c r="P179" s="45"/>
      <c r="Q179" s="45"/>
      <c r="R179" s="45"/>
      <c r="S179" s="45"/>
      <c r="T179" s="45"/>
      <c r="U179" s="45"/>
      <c r="V179" s="45"/>
      <c r="W179" s="45"/>
      <c r="X179" s="45"/>
      <c r="Y179" s="45"/>
      <c r="Z179" s="56"/>
    </row>
    <row r="180" spans="1:30">
      <c r="A180" s="7" t="s">
        <v>1104</v>
      </c>
      <c r="B180" s="40"/>
      <c r="C180" s="40" t="s">
        <v>216</v>
      </c>
      <c r="D180" s="40" t="s">
        <v>228</v>
      </c>
      <c r="E180" s="40" t="s">
        <v>231</v>
      </c>
      <c r="F180" s="40"/>
      <c r="G180" s="38"/>
      <c r="H180" s="51"/>
      <c r="I180" s="53">
        <v>0</v>
      </c>
      <c r="J180" s="51">
        <f t="shared" si="39"/>
        <v>0</v>
      </c>
      <c r="K180" s="54">
        <f t="shared" si="40"/>
        <v>0</v>
      </c>
      <c r="M180" s="45"/>
      <c r="N180" s="45"/>
      <c r="O180" s="45"/>
      <c r="P180" s="45"/>
      <c r="Q180" s="45"/>
      <c r="R180" s="45"/>
      <c r="S180" s="45"/>
      <c r="T180" s="45"/>
      <c r="U180" s="45"/>
      <c r="V180" s="45"/>
      <c r="W180" s="45"/>
      <c r="X180" s="45"/>
      <c r="Y180" s="45"/>
      <c r="Z180" s="56"/>
    </row>
    <row r="181" spans="1:30">
      <c r="A181" s="7" t="s">
        <v>572</v>
      </c>
      <c r="B181" s="40" t="s">
        <v>573</v>
      </c>
      <c r="C181" s="40" t="s">
        <v>216</v>
      </c>
      <c r="D181" s="40" t="s">
        <v>242</v>
      </c>
      <c r="E181" s="40" t="s">
        <v>44</v>
      </c>
      <c r="F181" s="40" t="s">
        <v>71</v>
      </c>
      <c r="G181" s="38">
        <v>1</v>
      </c>
      <c r="H181" s="51">
        <v>24612</v>
      </c>
      <c r="I181" s="53">
        <v>0</v>
      </c>
      <c r="J181" s="51">
        <f t="shared" si="39"/>
        <v>24612</v>
      </c>
      <c r="K181" s="54">
        <f t="shared" si="40"/>
        <v>24612</v>
      </c>
      <c r="M181" s="45" t="s">
        <v>574</v>
      </c>
      <c r="N181" s="45"/>
      <c r="O181" s="45"/>
      <c r="P181" s="45"/>
      <c r="Q181" s="45"/>
      <c r="R181" s="45"/>
      <c r="S181" s="45"/>
      <c r="T181" s="45"/>
      <c r="U181" s="45"/>
      <c r="V181" s="45"/>
      <c r="W181" s="45"/>
      <c r="X181" s="45"/>
      <c r="Y181" s="45"/>
      <c r="Z181" s="56"/>
    </row>
    <row r="182" spans="1:30" ht="15" thickBot="1">
      <c r="A182" s="7" t="s">
        <v>575</v>
      </c>
      <c r="B182" s="40" t="s">
        <v>576</v>
      </c>
      <c r="C182" s="40" t="s">
        <v>216</v>
      </c>
      <c r="D182" s="40" t="s">
        <v>250</v>
      </c>
      <c r="E182" s="40" t="s">
        <v>73</v>
      </c>
      <c r="F182" s="40" t="s">
        <v>71</v>
      </c>
      <c r="G182" s="38">
        <f>$Q$7</f>
        <v>1</v>
      </c>
      <c r="H182" s="51">
        <v>6000</v>
      </c>
      <c r="I182" s="53">
        <v>0</v>
      </c>
      <c r="J182" s="51">
        <f t="shared" si="39"/>
        <v>6000</v>
      </c>
      <c r="K182" s="54">
        <f t="shared" si="40"/>
        <v>6000</v>
      </c>
      <c r="M182" s="45" t="s">
        <v>574</v>
      </c>
      <c r="N182" s="45"/>
      <c r="O182" s="45"/>
      <c r="P182" s="45"/>
      <c r="Q182" s="45"/>
      <c r="R182" s="45"/>
      <c r="S182" s="45"/>
      <c r="T182" s="45"/>
      <c r="U182" s="45"/>
      <c r="V182" s="45"/>
      <c r="W182" s="45"/>
      <c r="X182" s="45"/>
      <c r="Y182" s="45"/>
      <c r="Z182" s="56"/>
    </row>
    <row r="183" spans="1:30">
      <c r="A183" s="4" t="s">
        <v>577</v>
      </c>
      <c r="B183" s="151" t="s">
        <v>578</v>
      </c>
      <c r="C183" s="151"/>
      <c r="D183" s="151"/>
      <c r="E183" s="151"/>
      <c r="F183" s="151"/>
      <c r="G183" s="152"/>
      <c r="H183" s="153"/>
      <c r="I183" s="154"/>
      <c r="J183" s="153"/>
      <c r="K183" s="172"/>
      <c r="L183" s="70">
        <f>SUM(K184)</f>
        <v>4216723.68</v>
      </c>
      <c r="M183" s="45"/>
      <c r="N183" s="45"/>
      <c r="O183" s="45"/>
      <c r="P183" s="45"/>
      <c r="Q183" s="45"/>
      <c r="R183" s="45"/>
      <c r="S183" s="45"/>
      <c r="T183" s="45"/>
      <c r="U183" s="45"/>
      <c r="V183" s="45"/>
      <c r="W183" s="45"/>
      <c r="X183" s="45"/>
      <c r="Y183" s="45"/>
      <c r="Z183" s="56"/>
      <c r="AA183" s="173" t="s">
        <v>579</v>
      </c>
      <c r="AB183" s="163" t="s">
        <v>580</v>
      </c>
      <c r="AC183" s="163" t="s">
        <v>209</v>
      </c>
      <c r="AD183" s="174" t="s">
        <v>581</v>
      </c>
    </row>
    <row r="184" spans="1:30" ht="15.6">
      <c r="A184" s="5" t="s">
        <v>582</v>
      </c>
      <c r="B184" s="65" t="s">
        <v>583</v>
      </c>
      <c r="C184" s="65" t="s">
        <v>216</v>
      </c>
      <c r="D184" s="65" t="s">
        <v>228</v>
      </c>
      <c r="E184" s="65" t="s">
        <v>1105</v>
      </c>
      <c r="F184" s="65" t="s">
        <v>88</v>
      </c>
      <c r="G184" s="43">
        <f>$E$8</f>
        <v>390</v>
      </c>
      <c r="H184" s="64">
        <v>10812.111999999999</v>
      </c>
      <c r="I184" s="157">
        <v>0</v>
      </c>
      <c r="J184" s="158">
        <f>H184*(1+I184)</f>
        <v>10812.111999999999</v>
      </c>
      <c r="K184" s="159">
        <f>J184*G184</f>
        <v>4216723.68</v>
      </c>
      <c r="M184" s="45" t="s">
        <v>1106</v>
      </c>
      <c r="N184" s="45"/>
      <c r="O184" s="45"/>
      <c r="P184" s="45"/>
      <c r="Q184" s="45"/>
      <c r="R184" s="45"/>
      <c r="S184" s="45"/>
      <c r="T184" s="45"/>
      <c r="U184" s="45"/>
      <c r="V184" s="45"/>
      <c r="W184" s="45"/>
      <c r="X184" s="45"/>
      <c r="Y184" s="45"/>
      <c r="Z184" s="56"/>
      <c r="AA184" s="175" t="s">
        <v>585</v>
      </c>
      <c r="AB184" s="176">
        <v>52</v>
      </c>
      <c r="AC184" s="176">
        <v>250</v>
      </c>
      <c r="AD184" s="177">
        <f>AB184*AC184</f>
        <v>13000</v>
      </c>
    </row>
    <row r="185" spans="1:30" ht="15.6">
      <c r="A185" s="4" t="s">
        <v>587</v>
      </c>
      <c r="B185" s="151" t="s">
        <v>588</v>
      </c>
      <c r="C185" s="151"/>
      <c r="D185" s="151"/>
      <c r="E185" s="151"/>
      <c r="F185" s="151"/>
      <c r="G185" s="152"/>
      <c r="H185" s="153"/>
      <c r="I185" s="154"/>
      <c r="J185" s="153"/>
      <c r="K185" s="172"/>
      <c r="L185" s="70">
        <f>SUM(K186:K202)</f>
        <v>5075012.7184999995</v>
      </c>
      <c r="M185" s="45"/>
      <c r="N185" s="45"/>
      <c r="O185" s="45"/>
      <c r="P185" s="45"/>
      <c r="Q185" s="45"/>
      <c r="R185" s="45"/>
      <c r="S185" s="45"/>
      <c r="T185" s="45"/>
      <c r="U185" s="45"/>
      <c r="V185" s="45"/>
      <c r="W185" s="45"/>
      <c r="X185" s="45"/>
      <c r="Y185" s="45"/>
      <c r="Z185" s="56"/>
      <c r="AA185" s="175" t="s">
        <v>589</v>
      </c>
      <c r="AB185" s="176">
        <v>118</v>
      </c>
      <c r="AC185" s="176">
        <v>500</v>
      </c>
      <c r="AD185" s="177">
        <f t="shared" ref="AD185:AD186" si="41">AB185*AC185</f>
        <v>59000</v>
      </c>
    </row>
    <row r="186" spans="1:30" ht="15.6">
      <c r="A186" s="6" t="s">
        <v>590</v>
      </c>
      <c r="B186" s="47" t="s">
        <v>591</v>
      </c>
      <c r="C186" s="47" t="s">
        <v>216</v>
      </c>
      <c r="D186" s="47" t="s">
        <v>228</v>
      </c>
      <c r="E186" s="47" t="s">
        <v>44</v>
      </c>
      <c r="F186" s="47" t="s">
        <v>61</v>
      </c>
      <c r="G186" s="42">
        <f t="shared" si="36"/>
        <v>431911</v>
      </c>
      <c r="H186" s="61">
        <v>9.27</v>
      </c>
      <c r="I186" s="63">
        <v>0.05</v>
      </c>
      <c r="J186" s="66">
        <f t="shared" ref="J186:J202" si="42">H186*(1+I186)</f>
        <v>9.7334999999999994</v>
      </c>
      <c r="K186" s="67">
        <f t="shared" ref="K186:K202" si="43">J186*G186</f>
        <v>4204005.7184999995</v>
      </c>
      <c r="M186" s="45" t="s">
        <v>1107</v>
      </c>
      <c r="N186" s="178"/>
      <c r="O186" s="178"/>
      <c r="P186" s="45"/>
      <c r="Q186" s="45"/>
      <c r="R186" s="45"/>
      <c r="S186" s="45"/>
      <c r="T186" s="45"/>
      <c r="U186" s="45"/>
      <c r="V186" s="45"/>
      <c r="W186" s="45"/>
      <c r="X186" s="45"/>
      <c r="Y186" s="45"/>
      <c r="Z186" s="56"/>
      <c r="AA186" s="175" t="s">
        <v>592</v>
      </c>
      <c r="AB186" s="176">
        <v>50</v>
      </c>
      <c r="AC186" s="176">
        <v>750</v>
      </c>
      <c r="AD186" s="177">
        <f t="shared" si="41"/>
        <v>37500</v>
      </c>
    </row>
    <row r="187" spans="1:30" ht="15.6">
      <c r="A187" s="7" t="s">
        <v>594</v>
      </c>
      <c r="B187" s="40" t="s">
        <v>595</v>
      </c>
      <c r="C187" s="40" t="s">
        <v>216</v>
      </c>
      <c r="D187" s="40" t="s">
        <v>228</v>
      </c>
      <c r="E187" s="40" t="s">
        <v>426</v>
      </c>
      <c r="F187" s="40" t="s">
        <v>88</v>
      </c>
      <c r="G187" s="38">
        <f>$E$8</f>
        <v>390</v>
      </c>
      <c r="H187" s="51">
        <v>594</v>
      </c>
      <c r="I187" s="53">
        <v>0.15</v>
      </c>
      <c r="J187" s="51">
        <f t="shared" si="42"/>
        <v>683.09999999999991</v>
      </c>
      <c r="K187" s="54">
        <f t="shared" si="43"/>
        <v>266408.99999999994</v>
      </c>
      <c r="M187" s="45" t="s">
        <v>596</v>
      </c>
      <c r="N187" s="45"/>
      <c r="O187" s="45"/>
      <c r="P187" s="45"/>
      <c r="Q187" s="45"/>
      <c r="R187" s="45"/>
      <c r="S187" s="45"/>
      <c r="T187" s="45"/>
      <c r="U187" s="45"/>
      <c r="V187" s="45"/>
      <c r="W187" s="45"/>
      <c r="X187" s="45"/>
      <c r="Y187" s="45"/>
      <c r="Z187" s="56"/>
      <c r="AA187" s="179"/>
      <c r="AB187" s="176"/>
      <c r="AC187" s="176"/>
      <c r="AD187" s="177">
        <f>SUM(AD184:AD186)</f>
        <v>109500</v>
      </c>
    </row>
    <row r="188" spans="1:30" ht="16.149999999999999" thickBot="1">
      <c r="A188" s="7" t="s">
        <v>597</v>
      </c>
      <c r="B188" s="40" t="s">
        <v>598</v>
      </c>
      <c r="C188" s="40" t="s">
        <v>216</v>
      </c>
      <c r="D188" s="40" t="s">
        <v>228</v>
      </c>
      <c r="E188" s="40" t="s">
        <v>555</v>
      </c>
      <c r="F188" s="40" t="s">
        <v>88</v>
      </c>
      <c r="G188" s="38">
        <f>$E$8</f>
        <v>390</v>
      </c>
      <c r="H188" s="51">
        <v>119</v>
      </c>
      <c r="I188" s="53">
        <v>0</v>
      </c>
      <c r="J188" s="51">
        <f t="shared" si="42"/>
        <v>119</v>
      </c>
      <c r="K188" s="54">
        <f t="shared" si="43"/>
        <v>46410</v>
      </c>
      <c r="L188" s="190"/>
      <c r="M188" s="45"/>
      <c r="N188" s="45"/>
      <c r="O188" s="45"/>
      <c r="P188" s="45"/>
      <c r="Q188" s="45"/>
      <c r="R188" s="45"/>
      <c r="S188" s="45"/>
      <c r="T188" s="45"/>
      <c r="U188" s="45"/>
      <c r="V188" s="45"/>
      <c r="W188" s="45"/>
      <c r="X188" s="45"/>
      <c r="Y188" s="45"/>
      <c r="Z188" s="56"/>
      <c r="AA188" s="180"/>
      <c r="AB188" s="181"/>
      <c r="AC188" s="181"/>
      <c r="AD188" s="182">
        <f>AD187/391</f>
        <v>280.05115089514067</v>
      </c>
    </row>
    <row r="189" spans="1:30" ht="15" thickBot="1">
      <c r="A189" s="7" t="s">
        <v>599</v>
      </c>
      <c r="B189" s="40" t="s">
        <v>600</v>
      </c>
      <c r="C189" s="40" t="s">
        <v>216</v>
      </c>
      <c r="D189" s="40" t="s">
        <v>228</v>
      </c>
      <c r="E189" s="40" t="s">
        <v>555</v>
      </c>
      <c r="F189" s="40" t="s">
        <v>88</v>
      </c>
      <c r="G189" s="38">
        <f>$E$8</f>
        <v>390</v>
      </c>
      <c r="H189" s="51">
        <v>112</v>
      </c>
      <c r="I189" s="53">
        <v>0</v>
      </c>
      <c r="J189" s="51">
        <f t="shared" si="42"/>
        <v>112</v>
      </c>
      <c r="K189" s="54">
        <f t="shared" si="43"/>
        <v>43680</v>
      </c>
      <c r="L189" s="112"/>
      <c r="M189" s="45"/>
      <c r="N189" s="45"/>
      <c r="O189" s="45"/>
      <c r="P189" s="45"/>
      <c r="Q189" s="45"/>
      <c r="R189" s="45"/>
      <c r="S189" s="45"/>
      <c r="T189" s="45"/>
      <c r="U189" s="45"/>
      <c r="V189" s="45"/>
      <c r="W189" s="45"/>
      <c r="X189" s="45"/>
      <c r="Y189" s="45"/>
      <c r="Z189" s="56"/>
    </row>
    <row r="190" spans="1:30">
      <c r="A190" s="7" t="s">
        <v>601</v>
      </c>
      <c r="B190" s="40" t="s">
        <v>591</v>
      </c>
      <c r="C190" s="40" t="s">
        <v>216</v>
      </c>
      <c r="D190" s="40" t="s">
        <v>473</v>
      </c>
      <c r="E190" s="40" t="s">
        <v>555</v>
      </c>
      <c r="F190" s="40" t="s">
        <v>602</v>
      </c>
      <c r="G190" s="38">
        <f>$Q$13</f>
        <v>388</v>
      </c>
      <c r="H190" s="51">
        <v>138</v>
      </c>
      <c r="I190" s="53">
        <v>0</v>
      </c>
      <c r="J190" s="51">
        <f t="shared" si="42"/>
        <v>138</v>
      </c>
      <c r="K190" s="54">
        <f t="shared" si="43"/>
        <v>53544</v>
      </c>
      <c r="M190" s="45"/>
      <c r="N190" s="45"/>
      <c r="O190" s="45"/>
      <c r="P190" s="45"/>
      <c r="Q190" s="45"/>
      <c r="R190" s="45"/>
      <c r="S190" s="45"/>
      <c r="T190" s="45"/>
      <c r="U190" s="45"/>
      <c r="V190" s="45"/>
      <c r="W190" s="45"/>
      <c r="X190" s="45"/>
      <c r="Y190" s="45"/>
      <c r="Z190" s="56"/>
      <c r="AA190" s="173" t="s">
        <v>603</v>
      </c>
      <c r="AB190" s="163" t="s">
        <v>580</v>
      </c>
      <c r="AC190" s="163" t="s">
        <v>209</v>
      </c>
      <c r="AD190" s="174" t="s">
        <v>581</v>
      </c>
    </row>
    <row r="191" spans="1:30" ht="15.6">
      <c r="A191" s="7" t="s">
        <v>604</v>
      </c>
      <c r="B191" s="40" t="s">
        <v>595</v>
      </c>
      <c r="C191" s="40" t="s">
        <v>216</v>
      </c>
      <c r="D191" s="40" t="s">
        <v>473</v>
      </c>
      <c r="E191" s="40" t="s">
        <v>555</v>
      </c>
      <c r="F191" s="40" t="s">
        <v>602</v>
      </c>
      <c r="G191" s="38">
        <f>$Q$13</f>
        <v>388</v>
      </c>
      <c r="H191" s="51">
        <v>24</v>
      </c>
      <c r="I191" s="53">
        <v>0</v>
      </c>
      <c r="J191" s="51">
        <f t="shared" si="42"/>
        <v>24</v>
      </c>
      <c r="K191" s="54">
        <f t="shared" si="43"/>
        <v>9312</v>
      </c>
      <c r="M191" s="45"/>
      <c r="N191" s="45"/>
      <c r="O191" s="45"/>
      <c r="P191" s="45"/>
      <c r="Q191" s="45"/>
      <c r="R191" s="45"/>
      <c r="S191" s="45"/>
      <c r="T191" s="45"/>
      <c r="U191" s="45"/>
      <c r="V191" s="45"/>
      <c r="W191" s="45"/>
      <c r="X191" s="45"/>
      <c r="Y191" s="45"/>
      <c r="Z191" s="56"/>
      <c r="AA191" s="175" t="s">
        <v>585</v>
      </c>
      <c r="AB191" s="176">
        <v>52</v>
      </c>
      <c r="AC191" s="176">
        <f>25*2</f>
        <v>50</v>
      </c>
      <c r="AD191" s="177">
        <f>AB191*AC191</f>
        <v>2600</v>
      </c>
    </row>
    <row r="192" spans="1:30" ht="15.6">
      <c r="A192" s="7" t="s">
        <v>605</v>
      </c>
      <c r="B192" s="40" t="s">
        <v>591</v>
      </c>
      <c r="C192" s="40" t="s">
        <v>216</v>
      </c>
      <c r="D192" s="40" t="s">
        <v>242</v>
      </c>
      <c r="E192" s="40" t="s">
        <v>231</v>
      </c>
      <c r="F192" s="40"/>
      <c r="G192" s="38"/>
      <c r="H192" s="51"/>
      <c r="I192" s="53">
        <v>0</v>
      </c>
      <c r="J192" s="51">
        <f t="shared" si="42"/>
        <v>0</v>
      </c>
      <c r="K192" s="54">
        <f t="shared" si="43"/>
        <v>0</v>
      </c>
      <c r="M192" s="45"/>
      <c r="N192" s="45"/>
      <c r="O192" s="45"/>
      <c r="P192" s="45"/>
      <c r="Q192" s="45"/>
      <c r="R192" s="45"/>
      <c r="S192" s="45"/>
      <c r="T192" s="45"/>
      <c r="U192" s="45"/>
      <c r="V192" s="45"/>
      <c r="W192" s="45"/>
      <c r="X192" s="45"/>
      <c r="Y192" s="45"/>
      <c r="Z192" s="56"/>
      <c r="AA192" s="175" t="s">
        <v>589</v>
      </c>
      <c r="AB192" s="176">
        <v>118</v>
      </c>
      <c r="AC192" s="176">
        <f>150+25*2</f>
        <v>200</v>
      </c>
      <c r="AD192" s="177">
        <f t="shared" ref="AD192:AD193" si="44">AB192*AC192</f>
        <v>23600</v>
      </c>
    </row>
    <row r="193" spans="1:30" ht="15.6">
      <c r="A193" s="7" t="s">
        <v>606</v>
      </c>
      <c r="B193" s="40" t="s">
        <v>607</v>
      </c>
      <c r="C193" s="40" t="s">
        <v>216</v>
      </c>
      <c r="D193" s="40" t="s">
        <v>242</v>
      </c>
      <c r="E193" s="40" t="s">
        <v>231</v>
      </c>
      <c r="F193" s="40"/>
      <c r="G193" s="38"/>
      <c r="H193" s="51"/>
      <c r="I193" s="53">
        <v>0</v>
      </c>
      <c r="J193" s="51">
        <f t="shared" si="42"/>
        <v>0</v>
      </c>
      <c r="K193" s="54">
        <f t="shared" si="43"/>
        <v>0</v>
      </c>
      <c r="M193" s="45"/>
      <c r="N193" s="45"/>
      <c r="O193" s="45"/>
      <c r="P193" s="45"/>
      <c r="Q193" s="45"/>
      <c r="R193" s="45"/>
      <c r="S193" s="45"/>
      <c r="T193" s="45"/>
      <c r="U193" s="45"/>
      <c r="V193" s="45"/>
      <c r="W193" s="45"/>
      <c r="X193" s="45"/>
      <c r="Y193" s="45"/>
      <c r="Z193" s="56"/>
      <c r="AA193" s="175" t="s">
        <v>592</v>
      </c>
      <c r="AB193" s="176">
        <v>50</v>
      </c>
      <c r="AC193" s="176">
        <f>150+150+25*2</f>
        <v>350</v>
      </c>
      <c r="AD193" s="177">
        <f t="shared" si="44"/>
        <v>17500</v>
      </c>
    </row>
    <row r="194" spans="1:30" ht="15.6">
      <c r="A194" s="7" t="s">
        <v>608</v>
      </c>
      <c r="B194" s="40" t="s">
        <v>609</v>
      </c>
      <c r="C194" s="40" t="s">
        <v>216</v>
      </c>
      <c r="D194" s="40" t="s">
        <v>1005</v>
      </c>
      <c r="E194" s="40" t="s">
        <v>71</v>
      </c>
      <c r="F194" s="40" t="s">
        <v>71</v>
      </c>
      <c r="G194" s="38">
        <v>1</v>
      </c>
      <c r="H194" s="51">
        <f>275000</f>
        <v>275000</v>
      </c>
      <c r="I194" s="53">
        <v>0</v>
      </c>
      <c r="J194" s="51">
        <f>H194*(1+I194)</f>
        <v>275000</v>
      </c>
      <c r="K194" s="54">
        <f>J194*G194</f>
        <v>275000</v>
      </c>
      <c r="M194" s="45" t="s">
        <v>1072</v>
      </c>
      <c r="N194" s="45"/>
      <c r="O194" s="45"/>
      <c r="P194" s="45"/>
      <c r="Q194" s="45"/>
      <c r="R194" s="45"/>
      <c r="S194" s="45"/>
      <c r="T194" s="45"/>
      <c r="U194" s="45"/>
      <c r="V194" s="45"/>
      <c r="W194" s="45"/>
      <c r="X194" s="45"/>
      <c r="Y194" s="45"/>
      <c r="Z194" s="56"/>
      <c r="AA194" s="179" t="s">
        <v>611</v>
      </c>
      <c r="AB194" s="176"/>
      <c r="AC194" s="176"/>
      <c r="AD194" s="177">
        <f>SUM(AD191:AD193)</f>
        <v>43700</v>
      </c>
    </row>
    <row r="195" spans="1:30" ht="15.6">
      <c r="A195" s="7" t="s">
        <v>612</v>
      </c>
      <c r="B195" s="40" t="s">
        <v>609</v>
      </c>
      <c r="C195" s="40" t="s">
        <v>216</v>
      </c>
      <c r="D195" s="40" t="s">
        <v>1005</v>
      </c>
      <c r="E195" s="40" t="s">
        <v>71</v>
      </c>
      <c r="F195" s="40" t="s">
        <v>71</v>
      </c>
      <c r="G195" s="38">
        <v>1</v>
      </c>
      <c r="H195" s="51">
        <v>100000</v>
      </c>
      <c r="I195" s="53">
        <v>0</v>
      </c>
      <c r="J195" s="51">
        <f>H195*(1+I195)</f>
        <v>100000</v>
      </c>
      <c r="K195" s="54">
        <f>J195*G195</f>
        <v>100000</v>
      </c>
      <c r="M195" s="45" t="s">
        <v>1073</v>
      </c>
      <c r="N195" s="45"/>
      <c r="O195" s="45"/>
      <c r="P195" s="45"/>
      <c r="Q195" s="45"/>
      <c r="R195" s="45"/>
      <c r="S195" s="45"/>
      <c r="T195" s="45"/>
      <c r="U195" s="45"/>
      <c r="V195" s="45"/>
      <c r="W195" s="45"/>
      <c r="X195" s="45"/>
      <c r="Y195" s="45"/>
      <c r="Z195" s="56"/>
      <c r="AA195" s="179"/>
      <c r="AB195" s="176"/>
      <c r="AC195" s="176"/>
      <c r="AD195" s="177"/>
    </row>
    <row r="196" spans="1:30" ht="16.149999999999999" thickBot="1">
      <c r="A196" s="7" t="s">
        <v>613</v>
      </c>
      <c r="B196" s="40" t="s">
        <v>614</v>
      </c>
      <c r="C196" s="40" t="s">
        <v>216</v>
      </c>
      <c r="D196" s="40" t="s">
        <v>223</v>
      </c>
      <c r="E196" s="40" t="s">
        <v>555</v>
      </c>
      <c r="F196" s="40" t="s">
        <v>615</v>
      </c>
      <c r="G196" s="183">
        <f>$B$9</f>
        <v>15.826000000000001</v>
      </c>
      <c r="H196" s="51">
        <v>1000</v>
      </c>
      <c r="I196" s="53">
        <v>0</v>
      </c>
      <c r="J196" s="51">
        <f t="shared" si="42"/>
        <v>1000</v>
      </c>
      <c r="K196" s="54">
        <f t="shared" si="43"/>
        <v>15826</v>
      </c>
      <c r="M196" s="45"/>
      <c r="N196" s="45"/>
      <c r="O196" s="45"/>
      <c r="P196" s="45"/>
      <c r="Q196" s="45"/>
      <c r="R196" s="45"/>
      <c r="S196" s="45"/>
      <c r="T196" s="45"/>
      <c r="U196" s="45"/>
      <c r="V196" s="45"/>
      <c r="W196" s="45"/>
      <c r="X196" s="45"/>
      <c r="Y196" s="45"/>
      <c r="Z196" s="56"/>
      <c r="AA196" s="180" t="s">
        <v>616</v>
      </c>
      <c r="AB196" s="181"/>
      <c r="AC196" s="181"/>
      <c r="AD196" s="184">
        <f>AD194/391</f>
        <v>111.76470588235294</v>
      </c>
    </row>
    <row r="197" spans="1:30">
      <c r="A197" s="7" t="s">
        <v>617</v>
      </c>
      <c r="B197" s="40" t="s">
        <v>618</v>
      </c>
      <c r="C197" s="40" t="s">
        <v>216</v>
      </c>
      <c r="D197" s="40" t="s">
        <v>223</v>
      </c>
      <c r="E197" s="40" t="s">
        <v>555</v>
      </c>
      <c r="F197" s="40" t="s">
        <v>615</v>
      </c>
      <c r="G197" s="183">
        <f>$B$9</f>
        <v>15.826000000000001</v>
      </c>
      <c r="H197" s="51">
        <v>1000</v>
      </c>
      <c r="I197" s="53">
        <v>0</v>
      </c>
      <c r="J197" s="51">
        <f t="shared" si="42"/>
        <v>1000</v>
      </c>
      <c r="K197" s="54">
        <f t="shared" si="43"/>
        <v>15826</v>
      </c>
      <c r="M197" s="45"/>
      <c r="N197" s="45"/>
      <c r="O197" s="45"/>
      <c r="P197" s="45"/>
      <c r="Q197" s="45"/>
      <c r="R197" s="45"/>
      <c r="S197" s="45"/>
      <c r="T197" s="45"/>
      <c r="U197" s="45"/>
      <c r="V197" s="45"/>
      <c r="W197" s="45"/>
      <c r="X197" s="45"/>
      <c r="Y197" s="45"/>
      <c r="Z197" s="56"/>
    </row>
    <row r="198" spans="1:30">
      <c r="A198" s="7" t="s">
        <v>619</v>
      </c>
      <c r="B198" s="40" t="s">
        <v>620</v>
      </c>
      <c r="C198" s="40" t="s">
        <v>216</v>
      </c>
      <c r="D198" s="40" t="s">
        <v>242</v>
      </c>
      <c r="E198" s="40" t="s">
        <v>555</v>
      </c>
      <c r="F198" s="40" t="s">
        <v>71</v>
      </c>
      <c r="G198" s="38">
        <f>$Q$7</f>
        <v>1</v>
      </c>
      <c r="H198" s="51">
        <v>17000</v>
      </c>
      <c r="I198" s="53">
        <v>0</v>
      </c>
      <c r="J198" s="51">
        <f t="shared" si="42"/>
        <v>17000</v>
      </c>
      <c r="K198" s="54">
        <f t="shared" si="43"/>
        <v>17000</v>
      </c>
      <c r="M198" s="45"/>
      <c r="N198" s="45"/>
      <c r="O198" s="45"/>
      <c r="P198" s="45"/>
      <c r="Q198" s="45"/>
      <c r="R198" s="45"/>
      <c r="S198" s="45"/>
      <c r="T198" s="45"/>
      <c r="U198" s="45"/>
      <c r="V198" s="45"/>
      <c r="W198" s="45"/>
      <c r="X198" s="45"/>
      <c r="Y198" s="45"/>
      <c r="Z198" s="56"/>
    </row>
    <row r="199" spans="1:30">
      <c r="A199" s="7" t="s">
        <v>621</v>
      </c>
      <c r="B199" s="40" t="s">
        <v>622</v>
      </c>
      <c r="C199" s="40" t="s">
        <v>216</v>
      </c>
      <c r="D199" s="40" t="s">
        <v>242</v>
      </c>
      <c r="E199" s="40" t="s">
        <v>555</v>
      </c>
      <c r="F199" s="40" t="s">
        <v>71</v>
      </c>
      <c r="G199" s="38">
        <f>$Q$7</f>
        <v>1</v>
      </c>
      <c r="H199" s="51">
        <v>11000</v>
      </c>
      <c r="I199" s="53">
        <v>0</v>
      </c>
      <c r="J199" s="51">
        <f t="shared" si="42"/>
        <v>11000</v>
      </c>
      <c r="K199" s="54">
        <f t="shared" si="43"/>
        <v>11000</v>
      </c>
      <c r="M199" s="45"/>
      <c r="N199" s="45"/>
      <c r="O199" s="45"/>
      <c r="P199" s="45"/>
      <c r="Q199" s="45"/>
      <c r="R199" s="45"/>
      <c r="S199" s="45"/>
      <c r="T199" s="45"/>
      <c r="U199" s="45"/>
      <c r="V199" s="45"/>
      <c r="W199" s="45"/>
      <c r="X199" s="45"/>
      <c r="Y199" s="45"/>
      <c r="Z199" s="56"/>
    </row>
    <row r="200" spans="1:30">
      <c r="A200" s="7" t="s">
        <v>623</v>
      </c>
      <c r="B200" s="40" t="s">
        <v>624</v>
      </c>
      <c r="C200" s="40" t="s">
        <v>216</v>
      </c>
      <c r="D200" s="40" t="s">
        <v>250</v>
      </c>
      <c r="E200" s="40" t="s">
        <v>555</v>
      </c>
      <c r="F200" s="40" t="s">
        <v>71</v>
      </c>
      <c r="G200" s="38">
        <f>$Q$7</f>
        <v>1</v>
      </c>
      <c r="H200" s="51">
        <v>2000</v>
      </c>
      <c r="I200" s="53">
        <v>0</v>
      </c>
      <c r="J200" s="51">
        <f t="shared" si="42"/>
        <v>2000</v>
      </c>
      <c r="K200" s="54">
        <f t="shared" si="43"/>
        <v>2000</v>
      </c>
      <c r="M200" s="45"/>
      <c r="N200" s="45"/>
      <c r="O200" s="45"/>
      <c r="P200" s="45"/>
      <c r="Q200" s="45"/>
      <c r="R200" s="45"/>
      <c r="S200" s="45"/>
      <c r="T200" s="45"/>
      <c r="U200" s="45"/>
      <c r="V200" s="45"/>
      <c r="W200" s="45"/>
      <c r="X200" s="45"/>
      <c r="Y200" s="45"/>
      <c r="Z200" s="56"/>
    </row>
    <row r="201" spans="1:30">
      <c r="A201" s="7" t="s">
        <v>625</v>
      </c>
      <c r="B201" s="40" t="s">
        <v>591</v>
      </c>
      <c r="C201" s="40" t="s">
        <v>216</v>
      </c>
      <c r="D201" s="40" t="s">
        <v>235</v>
      </c>
      <c r="E201" s="40" t="s">
        <v>555</v>
      </c>
      <c r="F201" s="40" t="s">
        <v>71</v>
      </c>
      <c r="G201" s="38">
        <f>$W$17</f>
        <v>1</v>
      </c>
      <c r="H201" s="51">
        <v>14250</v>
      </c>
      <c r="I201" s="53">
        <v>0</v>
      </c>
      <c r="J201" s="51">
        <f t="shared" si="42"/>
        <v>14250</v>
      </c>
      <c r="K201" s="54">
        <f t="shared" si="43"/>
        <v>14250</v>
      </c>
      <c r="M201" s="45"/>
      <c r="N201" s="45"/>
      <c r="O201" s="45"/>
      <c r="P201" s="45"/>
      <c r="Q201" s="45"/>
      <c r="R201" s="45"/>
      <c r="S201" s="45"/>
      <c r="T201" s="45"/>
      <c r="U201" s="45"/>
      <c r="V201" s="45"/>
      <c r="W201" s="45"/>
      <c r="X201" s="45"/>
      <c r="Y201" s="45"/>
      <c r="Z201" s="56"/>
    </row>
    <row r="202" spans="1:30">
      <c r="A202" s="7" t="s">
        <v>626</v>
      </c>
      <c r="B202" s="40" t="s">
        <v>595</v>
      </c>
      <c r="C202" s="40" t="s">
        <v>216</v>
      </c>
      <c r="D202" s="40" t="s">
        <v>235</v>
      </c>
      <c r="E202" s="40" t="s">
        <v>555</v>
      </c>
      <c r="F202" s="40" t="s">
        <v>71</v>
      </c>
      <c r="G202" s="38">
        <f>$W$17</f>
        <v>1</v>
      </c>
      <c r="H202" s="51">
        <v>750</v>
      </c>
      <c r="I202" s="53">
        <v>0</v>
      </c>
      <c r="J202" s="51">
        <f t="shared" si="42"/>
        <v>750</v>
      </c>
      <c r="K202" s="54">
        <f t="shared" si="43"/>
        <v>750</v>
      </c>
      <c r="M202" s="45"/>
      <c r="N202" s="45"/>
      <c r="O202" s="45"/>
      <c r="P202" s="45"/>
      <c r="Q202" s="45"/>
      <c r="R202" s="45"/>
      <c r="S202" s="45"/>
      <c r="T202" s="45"/>
      <c r="U202" s="45"/>
      <c r="V202" s="45"/>
      <c r="W202" s="45"/>
      <c r="X202" s="45"/>
      <c r="Y202" s="45"/>
      <c r="Z202" s="56"/>
    </row>
    <row r="203" spans="1:30">
      <c r="A203" s="4" t="s">
        <v>627</v>
      </c>
      <c r="B203" s="151" t="s">
        <v>628</v>
      </c>
      <c r="C203" s="151"/>
      <c r="D203" s="151"/>
      <c r="E203" s="151"/>
      <c r="F203" s="151"/>
      <c r="G203" s="152"/>
      <c r="H203" s="153"/>
      <c r="I203" s="154"/>
      <c r="J203" s="153"/>
      <c r="K203" s="172"/>
      <c r="L203" s="70">
        <f>SUM(K204:K206)</f>
        <v>260127.49</v>
      </c>
      <c r="M203" s="45"/>
      <c r="N203" s="45"/>
      <c r="O203" s="45"/>
      <c r="P203" s="45"/>
      <c r="Q203" s="45"/>
      <c r="R203" s="45"/>
      <c r="S203" s="45"/>
      <c r="T203" s="45"/>
      <c r="U203" s="45"/>
      <c r="V203" s="45"/>
      <c r="W203" s="45"/>
      <c r="X203" s="45"/>
      <c r="Y203" s="45"/>
      <c r="Z203" s="56"/>
    </row>
    <row r="204" spans="1:30">
      <c r="A204" s="6" t="s">
        <v>629</v>
      </c>
      <c r="B204" s="47" t="s">
        <v>630</v>
      </c>
      <c r="C204" s="47" t="s">
        <v>283</v>
      </c>
      <c r="D204" s="47" t="s">
        <v>228</v>
      </c>
      <c r="E204" s="47" t="s">
        <v>73</v>
      </c>
      <c r="F204" s="47" t="s">
        <v>71</v>
      </c>
      <c r="G204" s="42">
        <f>$B$11</f>
        <v>5</v>
      </c>
      <c r="H204" s="61">
        <v>900</v>
      </c>
      <c r="I204" s="63">
        <v>0</v>
      </c>
      <c r="J204" s="66">
        <f t="shared" ref="J204:J206" si="45">H204*(1+I204)</f>
        <v>900</v>
      </c>
      <c r="K204" s="67">
        <f t="shared" ref="K204:K206" si="46">J204*G204</f>
        <v>4500</v>
      </c>
      <c r="M204" s="45" t="s">
        <v>631</v>
      </c>
      <c r="N204" s="45"/>
      <c r="O204" s="45"/>
      <c r="P204" s="45"/>
      <c r="Q204" s="45"/>
      <c r="R204" s="45"/>
      <c r="S204" s="45"/>
      <c r="T204" s="45"/>
      <c r="U204" s="45"/>
      <c r="V204" s="45"/>
      <c r="W204" s="45"/>
      <c r="X204" s="45"/>
      <c r="Y204" s="45"/>
      <c r="Z204" s="56"/>
    </row>
    <row r="205" spans="1:30">
      <c r="A205" s="7" t="s">
        <v>632</v>
      </c>
      <c r="B205" s="40" t="s">
        <v>633</v>
      </c>
      <c r="C205" s="40" t="s">
        <v>216</v>
      </c>
      <c r="D205" s="40" t="s">
        <v>228</v>
      </c>
      <c r="E205" s="40" t="s">
        <v>426</v>
      </c>
      <c r="F205" s="40" t="s">
        <v>61</v>
      </c>
      <c r="G205" s="38">
        <f t="shared" ref="G205" si="47">$B$8</f>
        <v>431911</v>
      </c>
      <c r="H205" s="51">
        <v>0.59</v>
      </c>
      <c r="I205" s="53">
        <v>0</v>
      </c>
      <c r="J205" s="51">
        <f t="shared" si="45"/>
        <v>0.59</v>
      </c>
      <c r="K205" s="54">
        <f t="shared" si="46"/>
        <v>254827.49</v>
      </c>
      <c r="M205" s="45"/>
      <c r="N205" s="45"/>
      <c r="O205" s="45"/>
      <c r="P205" s="45"/>
      <c r="Q205" s="45"/>
      <c r="R205" s="45"/>
      <c r="S205" s="45"/>
      <c r="T205" s="45"/>
      <c r="U205" s="45"/>
      <c r="V205" s="45"/>
      <c r="W205" s="45"/>
      <c r="X205" s="45"/>
      <c r="Y205" s="45"/>
      <c r="Z205" s="56"/>
    </row>
    <row r="206" spans="1:30">
      <c r="A206" s="7" t="s">
        <v>634</v>
      </c>
      <c r="B206" s="40" t="s">
        <v>635</v>
      </c>
      <c r="C206" s="40" t="s">
        <v>216</v>
      </c>
      <c r="D206" s="40" t="s">
        <v>242</v>
      </c>
      <c r="E206" s="40" t="s">
        <v>231</v>
      </c>
      <c r="F206" s="40" t="s">
        <v>71</v>
      </c>
      <c r="G206" s="38">
        <f>$Q$7</f>
        <v>1</v>
      </c>
      <c r="H206" s="51">
        <v>800</v>
      </c>
      <c r="I206" s="53">
        <v>0</v>
      </c>
      <c r="J206" s="51">
        <f t="shared" si="45"/>
        <v>800</v>
      </c>
      <c r="K206" s="54">
        <f t="shared" si="46"/>
        <v>800</v>
      </c>
      <c r="M206" s="45" t="s">
        <v>1074</v>
      </c>
      <c r="N206" s="45"/>
      <c r="O206" s="45"/>
      <c r="P206" s="45"/>
      <c r="Q206" s="45"/>
      <c r="R206" s="45"/>
      <c r="S206" s="45"/>
      <c r="T206" s="45"/>
      <c r="U206" s="45"/>
      <c r="V206" s="45"/>
      <c r="W206" s="45"/>
      <c r="X206" s="45"/>
      <c r="Y206" s="45"/>
      <c r="Z206" s="56"/>
    </row>
    <row r="207" spans="1:30">
      <c r="A207" s="4" t="s">
        <v>636</v>
      </c>
      <c r="B207" s="151" t="s">
        <v>637</v>
      </c>
      <c r="C207" s="151"/>
      <c r="D207" s="151"/>
      <c r="E207" s="151"/>
      <c r="F207" s="151"/>
      <c r="G207" s="152"/>
      <c r="H207" s="153"/>
      <c r="I207" s="154"/>
      <c r="J207" s="153"/>
      <c r="K207" s="172"/>
      <c r="L207" s="70">
        <f>SUM(K208:K210)</f>
        <v>1236018.7376499989</v>
      </c>
      <c r="M207" s="45"/>
      <c r="N207" s="45"/>
      <c r="O207" s="45"/>
      <c r="P207" s="45"/>
      <c r="Q207" s="45"/>
      <c r="R207" s="45"/>
      <c r="S207" s="45"/>
      <c r="T207" s="45"/>
      <c r="U207" s="45"/>
      <c r="V207" s="45"/>
      <c r="W207" s="45"/>
      <c r="X207" s="45"/>
      <c r="Y207" s="45"/>
      <c r="Z207" s="56"/>
    </row>
    <row r="208" spans="1:30">
      <c r="A208" s="41" t="s">
        <v>638</v>
      </c>
      <c r="B208" s="47" t="s">
        <v>639</v>
      </c>
      <c r="C208" s="47" t="s">
        <v>216</v>
      </c>
      <c r="D208" s="47" t="s">
        <v>228</v>
      </c>
      <c r="E208" s="47" t="s">
        <v>543</v>
      </c>
      <c r="F208" s="47" t="s">
        <v>88</v>
      </c>
      <c r="G208" s="42">
        <f>$E$8</f>
        <v>390</v>
      </c>
      <c r="H208" s="61">
        <v>581</v>
      </c>
      <c r="I208" s="63">
        <v>0</v>
      </c>
      <c r="J208" s="66">
        <f t="shared" ref="J208:J210" si="48">H208*(1+I208)</f>
        <v>581</v>
      </c>
      <c r="K208" s="67">
        <f t="shared" ref="K208:K210" si="49">J208*G208</f>
        <v>226590</v>
      </c>
      <c r="M208" s="45"/>
      <c r="N208" s="45"/>
      <c r="O208" s="45"/>
      <c r="P208" s="45"/>
      <c r="Q208" s="45"/>
      <c r="R208" s="45"/>
      <c r="S208" s="45"/>
      <c r="T208" s="45"/>
      <c r="U208" s="45"/>
      <c r="V208" s="45"/>
      <c r="W208" s="45"/>
      <c r="X208" s="45"/>
      <c r="Y208" s="45"/>
      <c r="Z208" s="56"/>
    </row>
    <row r="209" spans="1:26">
      <c r="A209" s="7" t="s">
        <v>640</v>
      </c>
      <c r="B209" s="40" t="s">
        <v>641</v>
      </c>
      <c r="C209" s="40" t="s">
        <v>216</v>
      </c>
      <c r="D209" s="40" t="s">
        <v>223</v>
      </c>
      <c r="E209" s="40" t="s">
        <v>426</v>
      </c>
      <c r="F209" s="40" t="s">
        <v>88</v>
      </c>
      <c r="G209" s="38">
        <f>$E$8</f>
        <v>390</v>
      </c>
      <c r="H209" s="51">
        <v>442</v>
      </c>
      <c r="I209" s="53">
        <v>0</v>
      </c>
      <c r="J209" s="51">
        <f t="shared" si="48"/>
        <v>442</v>
      </c>
      <c r="K209" s="54">
        <f t="shared" si="49"/>
        <v>172380</v>
      </c>
      <c r="M209" s="45"/>
      <c r="N209" s="45"/>
      <c r="O209" s="45"/>
      <c r="P209" s="45"/>
      <c r="Q209" s="45"/>
      <c r="R209" s="45"/>
      <c r="S209" s="45"/>
      <c r="T209" s="45"/>
      <c r="U209" s="45"/>
      <c r="V209" s="45"/>
      <c r="W209" s="45"/>
      <c r="X209" s="45"/>
      <c r="Y209" s="45"/>
      <c r="Z209" s="56"/>
    </row>
    <row r="210" spans="1:26">
      <c r="A210" s="7" t="s">
        <v>642</v>
      </c>
      <c r="B210" s="40" t="s">
        <v>643</v>
      </c>
      <c r="C210" s="40" t="s">
        <v>216</v>
      </c>
      <c r="D210" s="40" t="s">
        <v>228</v>
      </c>
      <c r="E210" s="40" t="s">
        <v>543</v>
      </c>
      <c r="F210" s="40" t="s">
        <v>61</v>
      </c>
      <c r="G210" s="38">
        <f>$B$8</f>
        <v>431911</v>
      </c>
      <c r="H210" s="51">
        <v>1.9380120850128819</v>
      </c>
      <c r="I210" s="53">
        <v>0</v>
      </c>
      <c r="J210" s="51">
        <f t="shared" si="48"/>
        <v>1.9380120850128819</v>
      </c>
      <c r="K210" s="54">
        <f t="shared" si="49"/>
        <v>837048.73764999886</v>
      </c>
      <c r="M210" s="45" t="s">
        <v>1075</v>
      </c>
      <c r="N210" s="45"/>
      <c r="O210" s="45"/>
      <c r="P210" s="45"/>
      <c r="Q210" s="45"/>
      <c r="R210" s="45"/>
      <c r="S210" s="45"/>
      <c r="T210" s="45"/>
      <c r="U210" s="45"/>
      <c r="V210" s="45"/>
      <c r="W210" s="45"/>
      <c r="X210" s="45"/>
      <c r="Y210" s="45"/>
      <c r="Z210" s="56"/>
    </row>
    <row r="211" spans="1:26">
      <c r="A211" s="4" t="s">
        <v>644</v>
      </c>
      <c r="B211" s="151" t="s">
        <v>645</v>
      </c>
      <c r="C211" s="151"/>
      <c r="D211" s="151"/>
      <c r="E211" s="151"/>
      <c r="F211" s="151"/>
      <c r="G211" s="152"/>
      <c r="H211" s="153"/>
      <c r="I211" s="154"/>
      <c r="J211" s="153"/>
      <c r="K211" s="172"/>
      <c r="L211" s="70">
        <f>SUM(K212:K220)</f>
        <v>2009333.5559</v>
      </c>
      <c r="M211" s="45"/>
      <c r="N211" s="45"/>
      <c r="O211" s="45"/>
      <c r="P211" s="45"/>
      <c r="Q211" s="45"/>
      <c r="R211" s="45"/>
      <c r="S211" s="45"/>
      <c r="T211" s="45"/>
      <c r="U211" s="45"/>
      <c r="V211" s="45"/>
      <c r="W211" s="45"/>
      <c r="X211" s="45"/>
      <c r="Y211" s="45"/>
      <c r="Z211" s="56"/>
    </row>
    <row r="212" spans="1:26">
      <c r="A212" s="6" t="s">
        <v>646</v>
      </c>
      <c r="B212" s="47" t="s">
        <v>647</v>
      </c>
      <c r="C212" s="47" t="s">
        <v>216</v>
      </c>
      <c r="D212" s="47" t="s">
        <v>223</v>
      </c>
      <c r="E212" s="47" t="s">
        <v>782</v>
      </c>
      <c r="F212" s="47" t="s">
        <v>615</v>
      </c>
      <c r="G212" s="185">
        <f>$B$9</f>
        <v>15.826000000000001</v>
      </c>
      <c r="H212" s="61">
        <v>6331.5499999999993</v>
      </c>
      <c r="I212" s="63">
        <v>0</v>
      </c>
      <c r="J212" s="66">
        <f t="shared" ref="J212:J220" si="50">H212*(1+I212)</f>
        <v>6331.5499999999993</v>
      </c>
      <c r="K212" s="67">
        <f t="shared" ref="K212:K220" si="51">J212*G212</f>
        <v>100203.11029999999</v>
      </c>
      <c r="M212" s="45"/>
      <c r="N212" s="45"/>
      <c r="O212" s="45"/>
      <c r="P212" s="45"/>
      <c r="Q212" s="45"/>
      <c r="R212" s="45"/>
      <c r="S212" s="45"/>
      <c r="T212" s="45"/>
      <c r="U212" s="45"/>
      <c r="V212" s="45"/>
      <c r="W212" s="45"/>
      <c r="X212" s="45"/>
      <c r="Y212" s="45"/>
      <c r="Z212" s="56"/>
    </row>
    <row r="213" spans="1:26">
      <c r="A213" s="7" t="s">
        <v>648</v>
      </c>
      <c r="B213" s="40" t="s">
        <v>649</v>
      </c>
      <c r="C213" s="40" t="s">
        <v>216</v>
      </c>
      <c r="D213" s="40" t="s">
        <v>223</v>
      </c>
      <c r="E213" s="40" t="s">
        <v>782</v>
      </c>
      <c r="F213" s="40" t="s">
        <v>615</v>
      </c>
      <c r="G213" s="183">
        <f>$B$9</f>
        <v>15.826000000000001</v>
      </c>
      <c r="H213" s="51">
        <v>3485.6</v>
      </c>
      <c r="I213" s="53">
        <v>0</v>
      </c>
      <c r="J213" s="51">
        <f t="shared" si="50"/>
        <v>3485.6</v>
      </c>
      <c r="K213" s="54">
        <f t="shared" si="51"/>
        <v>55163.105600000003</v>
      </c>
      <c r="M213" s="45"/>
      <c r="N213" s="45"/>
      <c r="O213" s="45"/>
      <c r="P213" s="45"/>
      <c r="Q213" s="45"/>
      <c r="R213" s="45"/>
      <c r="S213" s="45"/>
      <c r="T213" s="45"/>
      <c r="U213" s="45"/>
      <c r="V213" s="45"/>
      <c r="W213" s="45"/>
      <c r="X213" s="45"/>
      <c r="Y213" s="45"/>
      <c r="Z213" s="56"/>
    </row>
    <row r="214" spans="1:26">
      <c r="A214" s="7" t="s">
        <v>650</v>
      </c>
      <c r="B214" s="40" t="s">
        <v>651</v>
      </c>
      <c r="C214" s="40" t="s">
        <v>216</v>
      </c>
      <c r="D214" s="40" t="s">
        <v>223</v>
      </c>
      <c r="E214" s="40" t="s">
        <v>231</v>
      </c>
      <c r="F214" s="40"/>
      <c r="G214" s="38"/>
      <c r="H214" s="51">
        <v>0</v>
      </c>
      <c r="I214" s="53">
        <v>0</v>
      </c>
      <c r="J214" s="51">
        <f t="shared" si="50"/>
        <v>0</v>
      </c>
      <c r="K214" s="54">
        <f t="shared" si="51"/>
        <v>0</v>
      </c>
      <c r="M214" s="45"/>
      <c r="N214" s="45"/>
      <c r="O214" s="45"/>
      <c r="P214" s="45"/>
      <c r="Q214" s="45"/>
      <c r="R214" s="45"/>
      <c r="S214" s="45"/>
      <c r="T214" s="45"/>
      <c r="U214" s="45"/>
      <c r="V214" s="45"/>
      <c r="W214" s="45"/>
      <c r="X214" s="45"/>
      <c r="Y214" s="45"/>
      <c r="Z214" s="56"/>
    </row>
    <row r="215" spans="1:26">
      <c r="A215" s="7" t="s">
        <v>652</v>
      </c>
      <c r="B215" s="40" t="s">
        <v>653</v>
      </c>
      <c r="C215" s="40" t="s">
        <v>216</v>
      </c>
      <c r="D215" s="40" t="s">
        <v>223</v>
      </c>
      <c r="E215" s="40" t="s">
        <v>6</v>
      </c>
      <c r="F215" s="40" t="s">
        <v>71</v>
      </c>
      <c r="G215" s="38">
        <v>1</v>
      </c>
      <c r="H215" s="51">
        <v>100000</v>
      </c>
      <c r="I215" s="53">
        <v>0</v>
      </c>
      <c r="J215" s="51">
        <f t="shared" si="50"/>
        <v>100000</v>
      </c>
      <c r="K215" s="54">
        <f t="shared" si="51"/>
        <v>100000</v>
      </c>
      <c r="M215" s="45" t="s">
        <v>654</v>
      </c>
      <c r="N215" s="45"/>
      <c r="O215" s="45"/>
      <c r="P215" s="45"/>
      <c r="Q215" s="45"/>
      <c r="R215" s="45"/>
      <c r="S215" s="45"/>
      <c r="T215" s="45"/>
      <c r="U215" s="45"/>
      <c r="V215" s="45"/>
      <c r="W215" s="45"/>
      <c r="X215" s="45"/>
      <c r="Y215" s="45"/>
      <c r="Z215" s="56"/>
    </row>
    <row r="216" spans="1:26">
      <c r="A216" s="7" t="s">
        <v>655</v>
      </c>
      <c r="B216" s="40" t="s">
        <v>656</v>
      </c>
      <c r="C216" s="40" t="s">
        <v>216</v>
      </c>
      <c r="D216" s="40" t="s">
        <v>223</v>
      </c>
      <c r="E216" s="40" t="s">
        <v>6</v>
      </c>
      <c r="F216" s="40" t="s">
        <v>71</v>
      </c>
      <c r="G216" s="38">
        <v>1</v>
      </c>
      <c r="H216" s="51">
        <v>1319548</v>
      </c>
      <c r="I216" s="53">
        <v>0</v>
      </c>
      <c r="J216" s="51">
        <f t="shared" si="50"/>
        <v>1319548</v>
      </c>
      <c r="K216" s="54">
        <f t="shared" si="51"/>
        <v>1319548</v>
      </c>
      <c r="M216" s="45" t="s">
        <v>1076</v>
      </c>
      <c r="N216" s="45"/>
      <c r="O216" s="45"/>
      <c r="P216" s="45"/>
      <c r="Q216" s="45"/>
      <c r="R216" s="45"/>
      <c r="S216" s="45"/>
      <c r="T216" s="45"/>
      <c r="U216" s="45"/>
      <c r="V216" s="45"/>
      <c r="W216" s="45"/>
      <c r="X216" s="45"/>
      <c r="Y216" s="45"/>
      <c r="Z216" s="56"/>
    </row>
    <row r="217" spans="1:26">
      <c r="A217" s="7" t="s">
        <v>658</v>
      </c>
      <c r="B217" s="40" t="s">
        <v>659</v>
      </c>
      <c r="C217" s="40" t="s">
        <v>216</v>
      </c>
      <c r="D217" s="40" t="s">
        <v>223</v>
      </c>
      <c r="E217" s="40" t="s">
        <v>6</v>
      </c>
      <c r="F217" s="40" t="s">
        <v>71</v>
      </c>
      <c r="G217" s="38">
        <v>1</v>
      </c>
      <c r="H217" s="51">
        <v>43430</v>
      </c>
      <c r="I217" s="53">
        <v>0</v>
      </c>
      <c r="J217" s="51">
        <f t="shared" si="50"/>
        <v>43430</v>
      </c>
      <c r="K217" s="54">
        <f t="shared" si="51"/>
        <v>43430</v>
      </c>
      <c r="M217" s="45" t="s">
        <v>654</v>
      </c>
      <c r="N217" s="45"/>
      <c r="O217" s="45"/>
      <c r="P217" s="45"/>
      <c r="Q217" s="45"/>
      <c r="R217" s="45"/>
      <c r="S217" s="45"/>
      <c r="T217" s="45"/>
      <c r="U217" s="45"/>
      <c r="V217" s="45"/>
      <c r="W217" s="45"/>
      <c r="X217" s="45"/>
      <c r="Y217" s="45"/>
      <c r="Z217" s="56"/>
    </row>
    <row r="218" spans="1:26">
      <c r="A218" s="7" t="s">
        <v>660</v>
      </c>
      <c r="B218" s="40" t="s">
        <v>661</v>
      </c>
      <c r="C218" s="40" t="s">
        <v>216</v>
      </c>
      <c r="D218" s="40" t="s">
        <v>223</v>
      </c>
      <c r="E218" s="40" t="s">
        <v>6</v>
      </c>
      <c r="F218" s="40" t="s">
        <v>71</v>
      </c>
      <c r="G218" s="38">
        <v>1</v>
      </c>
      <c r="H218" s="51">
        <v>350000</v>
      </c>
      <c r="I218" s="53">
        <v>0</v>
      </c>
      <c r="J218" s="51">
        <f t="shared" si="50"/>
        <v>350000</v>
      </c>
      <c r="K218" s="54">
        <f t="shared" si="51"/>
        <v>350000</v>
      </c>
      <c r="M218" s="45" t="s">
        <v>1077</v>
      </c>
      <c r="N218" s="45"/>
      <c r="O218" s="45"/>
      <c r="P218" s="45"/>
      <c r="Q218" s="45"/>
      <c r="R218" s="45"/>
      <c r="S218" s="45"/>
      <c r="T218" s="45"/>
      <c r="U218" s="45"/>
      <c r="V218" s="45"/>
      <c r="W218" s="45"/>
      <c r="X218" s="45"/>
      <c r="Y218" s="45"/>
      <c r="Z218" s="56"/>
    </row>
    <row r="219" spans="1:26">
      <c r="A219" s="7" t="s">
        <v>662</v>
      </c>
      <c r="B219" s="40" t="s">
        <v>663</v>
      </c>
      <c r="C219" s="40" t="s">
        <v>216</v>
      </c>
      <c r="D219" s="40" t="s">
        <v>223</v>
      </c>
      <c r="E219" s="40" t="s">
        <v>231</v>
      </c>
      <c r="F219" s="40"/>
      <c r="G219" s="38"/>
      <c r="H219" s="51">
        <v>0</v>
      </c>
      <c r="I219" s="53">
        <v>0</v>
      </c>
      <c r="J219" s="51">
        <f t="shared" si="50"/>
        <v>0</v>
      </c>
      <c r="K219" s="54">
        <f t="shared" si="51"/>
        <v>0</v>
      </c>
      <c r="M219" s="45"/>
      <c r="N219" s="45"/>
      <c r="O219" s="45"/>
      <c r="P219" s="45"/>
      <c r="Q219" s="45"/>
      <c r="R219" s="45"/>
      <c r="S219" s="45"/>
      <c r="T219" s="45"/>
      <c r="U219" s="45"/>
      <c r="V219" s="45"/>
      <c r="W219" s="45"/>
      <c r="X219" s="45"/>
      <c r="Y219" s="45"/>
      <c r="Z219" s="56"/>
    </row>
    <row r="220" spans="1:26">
      <c r="A220" s="7" t="s">
        <v>664</v>
      </c>
      <c r="B220" s="40" t="s">
        <v>665</v>
      </c>
      <c r="C220" s="40" t="s">
        <v>216</v>
      </c>
      <c r="D220" s="40" t="s">
        <v>223</v>
      </c>
      <c r="E220" s="40" t="s">
        <v>782</v>
      </c>
      <c r="F220" s="40" t="s">
        <v>615</v>
      </c>
      <c r="G220" s="183">
        <f>$B$9</f>
        <v>15.826000000000001</v>
      </c>
      <c r="H220" s="51">
        <v>2590</v>
      </c>
      <c r="I220" s="53">
        <v>0</v>
      </c>
      <c r="J220" s="51">
        <f t="shared" si="50"/>
        <v>2590</v>
      </c>
      <c r="K220" s="54">
        <f t="shared" si="51"/>
        <v>40989.340000000004</v>
      </c>
      <c r="M220" s="45"/>
      <c r="N220" s="45"/>
      <c r="O220" s="45"/>
      <c r="P220" s="45"/>
      <c r="Q220" s="45"/>
      <c r="R220" s="45"/>
      <c r="S220" s="45"/>
      <c r="T220" s="45"/>
      <c r="U220" s="45"/>
      <c r="V220" s="45"/>
      <c r="W220" s="45"/>
      <c r="X220" s="45"/>
      <c r="Y220" s="45"/>
      <c r="Z220" s="56"/>
    </row>
    <row r="221" spans="1:26">
      <c r="A221" s="4" t="s">
        <v>666</v>
      </c>
      <c r="B221" s="151" t="s">
        <v>667</v>
      </c>
      <c r="C221" s="151"/>
      <c r="D221" s="151"/>
      <c r="E221" s="151"/>
      <c r="F221" s="151"/>
      <c r="G221" s="152"/>
      <c r="H221" s="153"/>
      <c r="I221" s="154"/>
      <c r="J221" s="153"/>
      <c r="K221" s="172"/>
      <c r="L221" s="70">
        <f>SUM(K222:K257)</f>
        <v>7935480.5860000001</v>
      </c>
      <c r="M221" s="45"/>
      <c r="N221" s="45"/>
      <c r="O221" s="45"/>
      <c r="P221" s="45"/>
      <c r="Q221" s="45"/>
      <c r="R221" s="45"/>
      <c r="S221" s="45"/>
      <c r="T221" s="45"/>
      <c r="U221" s="45"/>
      <c r="V221" s="45"/>
      <c r="W221" s="45"/>
      <c r="X221" s="45"/>
      <c r="Y221" s="45"/>
      <c r="Z221" s="56"/>
    </row>
    <row r="222" spans="1:26">
      <c r="A222" s="6" t="s">
        <v>668</v>
      </c>
      <c r="B222" s="47" t="s">
        <v>669</v>
      </c>
      <c r="C222" s="47" t="s">
        <v>233</v>
      </c>
      <c r="D222" s="47" t="s">
        <v>223</v>
      </c>
      <c r="E222" s="47" t="s">
        <v>555</v>
      </c>
      <c r="F222" s="47" t="s">
        <v>71</v>
      </c>
      <c r="G222" s="42">
        <v>1</v>
      </c>
      <c r="H222" s="61">
        <v>5000</v>
      </c>
      <c r="I222" s="63">
        <v>0</v>
      </c>
      <c r="J222" s="66">
        <f t="shared" ref="J222:J257" si="52">H222*(1+I222)</f>
        <v>5000</v>
      </c>
      <c r="K222" s="67">
        <f t="shared" ref="K222:K257" si="53">J222*G222</f>
        <v>5000</v>
      </c>
      <c r="M222" s="45"/>
      <c r="N222" s="45"/>
      <c r="O222" s="45"/>
      <c r="P222" s="45"/>
      <c r="Q222" s="45"/>
      <c r="R222" s="45"/>
      <c r="S222" s="45"/>
      <c r="T222" s="45"/>
      <c r="U222" s="45"/>
      <c r="V222" s="45"/>
      <c r="W222" s="45"/>
      <c r="X222" s="45"/>
      <c r="Y222" s="45"/>
      <c r="Z222" s="56"/>
    </row>
    <row r="223" spans="1:26">
      <c r="A223" s="7" t="s">
        <v>670</v>
      </c>
      <c r="B223" s="40" t="s">
        <v>671</v>
      </c>
      <c r="C223" s="40" t="s">
        <v>216</v>
      </c>
      <c r="D223" s="40" t="s">
        <v>238</v>
      </c>
      <c r="E223" s="40" t="s">
        <v>555</v>
      </c>
      <c r="F223" s="40" t="s">
        <v>71</v>
      </c>
      <c r="G223" s="38">
        <v>1</v>
      </c>
      <c r="H223" s="51">
        <v>7500</v>
      </c>
      <c r="I223" s="53">
        <v>0</v>
      </c>
      <c r="J223" s="51">
        <f t="shared" si="52"/>
        <v>7500</v>
      </c>
      <c r="K223" s="54">
        <f t="shared" si="53"/>
        <v>7500</v>
      </c>
      <c r="M223" s="45"/>
      <c r="N223" s="45"/>
      <c r="O223" s="45"/>
      <c r="P223" s="45"/>
      <c r="Q223" s="45"/>
      <c r="R223" s="45"/>
      <c r="S223" s="45"/>
      <c r="T223" s="45"/>
      <c r="U223" s="45"/>
      <c r="V223" s="45"/>
      <c r="W223" s="45"/>
      <c r="X223" s="45"/>
      <c r="Y223" s="45"/>
      <c r="Z223" s="56"/>
    </row>
    <row r="224" spans="1:26">
      <c r="A224" s="7" t="s">
        <v>672</v>
      </c>
      <c r="B224" s="40" t="s">
        <v>673</v>
      </c>
      <c r="C224" s="40" t="s">
        <v>216</v>
      </c>
      <c r="D224" s="40" t="s">
        <v>223</v>
      </c>
      <c r="E224" s="40" t="s">
        <v>6</v>
      </c>
      <c r="F224" s="40" t="s">
        <v>71</v>
      </c>
      <c r="G224" s="38">
        <v>1</v>
      </c>
      <c r="H224" s="51">
        <v>15000</v>
      </c>
      <c r="I224" s="53">
        <v>0</v>
      </c>
      <c r="J224" s="51">
        <f t="shared" si="52"/>
        <v>15000</v>
      </c>
      <c r="K224" s="54">
        <f t="shared" si="53"/>
        <v>15000</v>
      </c>
      <c r="M224" s="45" t="s">
        <v>654</v>
      </c>
      <c r="N224" s="45"/>
      <c r="O224" s="45"/>
      <c r="P224" s="45"/>
      <c r="Q224" s="45"/>
      <c r="R224" s="45"/>
      <c r="S224" s="45"/>
      <c r="T224" s="45"/>
      <c r="U224" s="45"/>
      <c r="V224" s="45"/>
      <c r="W224" s="45"/>
      <c r="X224" s="45"/>
      <c r="Y224" s="45"/>
      <c r="Z224" s="56"/>
    </row>
    <row r="225" spans="1:26">
      <c r="A225" s="7" t="s">
        <v>674</v>
      </c>
      <c r="B225" s="40" t="s">
        <v>675</v>
      </c>
      <c r="C225" s="40" t="s">
        <v>216</v>
      </c>
      <c r="D225" s="40" t="s">
        <v>223</v>
      </c>
      <c r="E225" s="40" t="s">
        <v>6</v>
      </c>
      <c r="F225" s="40" t="s">
        <v>71</v>
      </c>
      <c r="G225" s="38">
        <v>1</v>
      </c>
      <c r="H225" s="51">
        <v>708863.2</v>
      </c>
      <c r="I225" s="53">
        <v>0</v>
      </c>
      <c r="J225" s="51">
        <f t="shared" si="52"/>
        <v>708863.2</v>
      </c>
      <c r="K225" s="54">
        <f t="shared" si="53"/>
        <v>708863.2</v>
      </c>
      <c r="M225" s="45" t="s">
        <v>654</v>
      </c>
      <c r="N225" s="45"/>
      <c r="O225" s="45"/>
      <c r="P225" s="45"/>
      <c r="Q225" s="45"/>
      <c r="R225" s="45"/>
      <c r="S225" s="45"/>
      <c r="T225" s="45"/>
      <c r="U225" s="45"/>
      <c r="V225" s="45"/>
      <c r="W225" s="45"/>
      <c r="X225" s="45"/>
      <c r="Y225" s="45"/>
      <c r="Z225" s="56"/>
    </row>
    <row r="226" spans="1:26">
      <c r="A226" s="7" t="s">
        <v>676</v>
      </c>
      <c r="B226" s="40" t="s">
        <v>677</v>
      </c>
      <c r="C226" s="40" t="s">
        <v>216</v>
      </c>
      <c r="D226" s="40" t="s">
        <v>223</v>
      </c>
      <c r="E226" s="40" t="s">
        <v>555</v>
      </c>
      <c r="F226" s="40" t="s">
        <v>61</v>
      </c>
      <c r="G226" s="38">
        <v>272443</v>
      </c>
      <c r="H226" s="51">
        <v>0.15</v>
      </c>
      <c r="I226" s="53">
        <v>0</v>
      </c>
      <c r="J226" s="51">
        <f t="shared" si="52"/>
        <v>0.15</v>
      </c>
      <c r="K226" s="54">
        <f t="shared" si="53"/>
        <v>40866.449999999997</v>
      </c>
      <c r="M226" s="45"/>
      <c r="N226" s="45"/>
      <c r="O226" s="45"/>
      <c r="P226" s="45"/>
      <c r="Q226" s="45"/>
      <c r="R226" s="45"/>
      <c r="S226" s="45"/>
      <c r="T226" s="45"/>
      <c r="U226" s="45"/>
      <c r="V226" s="45"/>
      <c r="W226" s="45"/>
      <c r="X226" s="45"/>
      <c r="Y226" s="45"/>
      <c r="Z226" s="56"/>
    </row>
    <row r="227" spans="1:26">
      <c r="A227" s="7" t="s">
        <v>149</v>
      </c>
      <c r="B227" s="40" t="s">
        <v>678</v>
      </c>
      <c r="C227" s="40" t="s">
        <v>216</v>
      </c>
      <c r="D227" s="40" t="s">
        <v>238</v>
      </c>
      <c r="E227" s="40" t="s">
        <v>555</v>
      </c>
      <c r="F227" s="40" t="s">
        <v>148</v>
      </c>
      <c r="G227" s="38">
        <f>T9</f>
        <v>900</v>
      </c>
      <c r="H227" s="51">
        <v>7.5</v>
      </c>
      <c r="I227" s="53">
        <v>0</v>
      </c>
      <c r="J227" s="51">
        <f t="shared" si="52"/>
        <v>7.5</v>
      </c>
      <c r="K227" s="54">
        <f t="shared" si="53"/>
        <v>6750</v>
      </c>
      <c r="M227" s="45"/>
      <c r="N227" s="45"/>
      <c r="O227" s="45"/>
      <c r="P227" s="45"/>
      <c r="Q227" s="45"/>
      <c r="R227" s="45"/>
      <c r="S227" s="45"/>
      <c r="T227" s="45"/>
      <c r="U227" s="45"/>
      <c r="V227" s="45"/>
      <c r="W227" s="45"/>
      <c r="X227" s="45"/>
      <c r="Y227" s="45"/>
      <c r="Z227" s="56"/>
    </row>
    <row r="228" spans="1:26">
      <c r="A228" s="7" t="s">
        <v>679</v>
      </c>
      <c r="B228" s="40" t="s">
        <v>680</v>
      </c>
      <c r="C228" s="40" t="s">
        <v>216</v>
      </c>
      <c r="D228" s="40" t="s">
        <v>242</v>
      </c>
      <c r="E228" s="40" t="s">
        <v>555</v>
      </c>
      <c r="F228" s="40" t="s">
        <v>61</v>
      </c>
      <c r="G228" s="38">
        <f>T10</f>
        <v>7964</v>
      </c>
      <c r="H228" s="51">
        <v>7.5</v>
      </c>
      <c r="I228" s="53">
        <v>0</v>
      </c>
      <c r="J228" s="51">
        <f t="shared" si="52"/>
        <v>7.5</v>
      </c>
      <c r="K228" s="54">
        <f t="shared" si="53"/>
        <v>59730</v>
      </c>
      <c r="M228" s="45"/>
      <c r="N228" s="45"/>
      <c r="O228" s="45"/>
      <c r="P228" s="45"/>
      <c r="Q228" s="45"/>
      <c r="R228" s="45"/>
      <c r="S228" s="45"/>
      <c r="T228" s="45"/>
      <c r="U228" s="45"/>
      <c r="V228" s="45"/>
      <c r="W228" s="45"/>
      <c r="X228" s="45"/>
      <c r="Y228" s="45"/>
      <c r="Z228" s="56"/>
    </row>
    <row r="229" spans="1:26">
      <c r="A229" s="7" t="s">
        <v>681</v>
      </c>
      <c r="B229" s="40" t="s">
        <v>682</v>
      </c>
      <c r="C229" s="40" t="s">
        <v>216</v>
      </c>
      <c r="D229" s="40" t="s">
        <v>223</v>
      </c>
      <c r="E229" s="40" t="s">
        <v>6</v>
      </c>
      <c r="F229" s="40" t="s">
        <v>71</v>
      </c>
      <c r="G229" s="38">
        <v>1</v>
      </c>
      <c r="H229" s="51">
        <f>94530+78000</f>
        <v>172530</v>
      </c>
      <c r="I229" s="53">
        <v>0</v>
      </c>
      <c r="J229" s="51">
        <f t="shared" si="52"/>
        <v>172530</v>
      </c>
      <c r="K229" s="54">
        <f t="shared" si="53"/>
        <v>172530</v>
      </c>
      <c r="M229" s="45" t="s">
        <v>654</v>
      </c>
      <c r="N229" s="45"/>
      <c r="O229" s="45"/>
      <c r="P229" s="45"/>
      <c r="Q229" s="45"/>
      <c r="R229" s="45"/>
      <c r="S229" s="45"/>
      <c r="T229" s="45"/>
      <c r="U229" s="45"/>
      <c r="V229" s="45"/>
      <c r="W229" s="45"/>
      <c r="X229" s="45"/>
      <c r="Y229" s="45"/>
      <c r="Z229" s="56"/>
    </row>
    <row r="230" spans="1:26">
      <c r="A230" s="7" t="s">
        <v>683</v>
      </c>
      <c r="B230" s="40" t="s">
        <v>684</v>
      </c>
      <c r="C230" s="40" t="s">
        <v>216</v>
      </c>
      <c r="D230" s="40" t="s">
        <v>223</v>
      </c>
      <c r="E230" s="40" t="s">
        <v>6</v>
      </c>
      <c r="F230" s="40" t="s">
        <v>71</v>
      </c>
      <c r="G230" s="38">
        <v>1</v>
      </c>
      <c r="H230" s="51">
        <f>206646</f>
        <v>206646</v>
      </c>
      <c r="I230" s="53">
        <v>0</v>
      </c>
      <c r="J230" s="51">
        <f t="shared" si="52"/>
        <v>206646</v>
      </c>
      <c r="K230" s="54">
        <f t="shared" si="53"/>
        <v>206646</v>
      </c>
      <c r="M230" s="45" t="s">
        <v>654</v>
      </c>
      <c r="N230" s="45"/>
      <c r="O230" s="45"/>
      <c r="P230" s="45"/>
      <c r="Q230" s="45"/>
      <c r="R230" s="45"/>
      <c r="S230" s="45"/>
      <c r="T230" s="45"/>
      <c r="U230" s="45"/>
      <c r="V230" s="45"/>
      <c r="W230" s="45"/>
      <c r="X230" s="45"/>
      <c r="Y230" s="45"/>
      <c r="Z230" s="56"/>
    </row>
    <row r="231" spans="1:26">
      <c r="A231" s="52" t="s">
        <v>685</v>
      </c>
      <c r="B231" s="40" t="s">
        <v>686</v>
      </c>
      <c r="C231" s="40" t="s">
        <v>216</v>
      </c>
      <c r="D231" s="40" t="s">
        <v>223</v>
      </c>
      <c r="E231" s="40" t="s">
        <v>6</v>
      </c>
      <c r="F231" s="40" t="s">
        <v>71</v>
      </c>
      <c r="G231" s="38">
        <v>1</v>
      </c>
      <c r="H231" s="51">
        <f>735412-H229-H230-35000-10000-2000</f>
        <v>309236</v>
      </c>
      <c r="I231" s="53">
        <v>0</v>
      </c>
      <c r="J231" s="51">
        <f t="shared" si="52"/>
        <v>309236</v>
      </c>
      <c r="K231" s="54">
        <f t="shared" si="53"/>
        <v>309236</v>
      </c>
      <c r="M231" s="45" t="s">
        <v>654</v>
      </c>
      <c r="N231" s="45"/>
      <c r="O231" s="45"/>
      <c r="P231" s="45"/>
      <c r="Q231" s="45"/>
      <c r="R231" s="45"/>
      <c r="S231" s="45"/>
      <c r="T231" s="45"/>
      <c r="U231" s="45"/>
      <c r="V231" s="45"/>
      <c r="W231" s="45"/>
      <c r="X231" s="45"/>
      <c r="Y231" s="45"/>
      <c r="Z231" s="56"/>
    </row>
    <row r="232" spans="1:26">
      <c r="A232" s="7" t="s">
        <v>687</v>
      </c>
      <c r="B232" s="40" t="s">
        <v>688</v>
      </c>
      <c r="C232" s="40" t="s">
        <v>216</v>
      </c>
      <c r="D232" s="40" t="s">
        <v>238</v>
      </c>
      <c r="E232" s="40" t="s">
        <v>231</v>
      </c>
      <c r="F232" s="40"/>
      <c r="G232" s="38"/>
      <c r="H232" s="51"/>
      <c r="I232" s="53">
        <v>0</v>
      </c>
      <c r="J232" s="51">
        <f t="shared" si="52"/>
        <v>0</v>
      </c>
      <c r="K232" s="54">
        <f t="shared" si="53"/>
        <v>0</v>
      </c>
      <c r="M232" s="45"/>
      <c r="N232" s="45"/>
      <c r="O232" s="45"/>
      <c r="P232" s="45"/>
      <c r="Q232" s="45"/>
      <c r="R232" s="45"/>
      <c r="S232" s="45"/>
      <c r="T232" s="45"/>
      <c r="U232" s="45"/>
      <c r="V232" s="45"/>
      <c r="W232" s="45"/>
      <c r="X232" s="45"/>
      <c r="Y232" s="45"/>
      <c r="Z232" s="56"/>
    </row>
    <row r="233" spans="1:26" ht="14.25" customHeight="1">
      <c r="A233" s="7" t="s">
        <v>689</v>
      </c>
      <c r="B233" s="40" t="s">
        <v>690</v>
      </c>
      <c r="C233" s="40" t="s">
        <v>216</v>
      </c>
      <c r="D233" s="40" t="s">
        <v>242</v>
      </c>
      <c r="E233" s="40" t="s">
        <v>555</v>
      </c>
      <c r="F233" s="40" t="s">
        <v>71</v>
      </c>
      <c r="G233" s="38">
        <f>$Q$7</f>
        <v>1</v>
      </c>
      <c r="H233" s="51">
        <v>9660</v>
      </c>
      <c r="I233" s="53">
        <v>0</v>
      </c>
      <c r="J233" s="51">
        <f t="shared" si="52"/>
        <v>9660</v>
      </c>
      <c r="K233" s="54">
        <f t="shared" si="53"/>
        <v>9660</v>
      </c>
      <c r="M233" s="45"/>
      <c r="N233" s="45"/>
      <c r="O233" s="45"/>
      <c r="P233" s="45"/>
      <c r="Q233" s="45"/>
      <c r="R233" s="45"/>
      <c r="S233" s="45"/>
      <c r="T233" s="45"/>
      <c r="U233" s="45"/>
      <c r="V233" s="45"/>
      <c r="W233" s="45"/>
      <c r="X233" s="45"/>
      <c r="Y233" s="45"/>
      <c r="Z233" s="56"/>
    </row>
    <row r="234" spans="1:26">
      <c r="A234" s="7" t="s">
        <v>691</v>
      </c>
      <c r="B234" s="40" t="s">
        <v>692</v>
      </c>
      <c r="C234" s="40" t="s">
        <v>216</v>
      </c>
      <c r="D234" s="40" t="s">
        <v>223</v>
      </c>
      <c r="E234" s="40" t="s">
        <v>555</v>
      </c>
      <c r="F234" s="40" t="s">
        <v>615</v>
      </c>
      <c r="G234" s="183">
        <f>$B$9</f>
        <v>15.826000000000001</v>
      </c>
      <c r="H234" s="51">
        <v>2476</v>
      </c>
      <c r="I234" s="53">
        <v>0</v>
      </c>
      <c r="J234" s="51">
        <f t="shared" si="52"/>
        <v>2476</v>
      </c>
      <c r="K234" s="54">
        <f t="shared" si="53"/>
        <v>39185.175999999999</v>
      </c>
      <c r="M234" s="45"/>
      <c r="N234" s="45"/>
      <c r="O234" s="45"/>
      <c r="P234" s="45"/>
      <c r="Q234" s="45"/>
      <c r="R234" s="45"/>
      <c r="S234" s="45"/>
      <c r="T234" s="45"/>
      <c r="U234" s="45"/>
      <c r="V234" s="45"/>
      <c r="W234" s="45"/>
      <c r="X234" s="45"/>
      <c r="Y234" s="45"/>
      <c r="Z234" s="56"/>
    </row>
    <row r="235" spans="1:26">
      <c r="A235" s="7" t="s">
        <v>693</v>
      </c>
      <c r="B235" s="40" t="s">
        <v>694</v>
      </c>
      <c r="C235" s="40" t="s">
        <v>216</v>
      </c>
      <c r="D235" s="40" t="s">
        <v>223</v>
      </c>
      <c r="E235" s="40" t="s">
        <v>6</v>
      </c>
      <c r="F235" s="40" t="s">
        <v>71</v>
      </c>
      <c r="G235" s="38">
        <v>1</v>
      </c>
      <c r="H235" s="51">
        <f>283022-11482-3300-37100-30000-7050-9800-17840-2800</f>
        <v>163650</v>
      </c>
      <c r="I235" s="53">
        <v>0</v>
      </c>
      <c r="J235" s="51">
        <f t="shared" si="52"/>
        <v>163650</v>
      </c>
      <c r="K235" s="54">
        <f t="shared" si="53"/>
        <v>163650</v>
      </c>
      <c r="M235" s="45" t="s">
        <v>695</v>
      </c>
      <c r="N235" s="45"/>
      <c r="O235" s="45"/>
      <c r="P235" s="45"/>
      <c r="Q235" s="45"/>
      <c r="R235" s="45"/>
      <c r="S235" s="45"/>
      <c r="T235" s="45"/>
      <c r="U235" s="45"/>
      <c r="V235" s="45"/>
      <c r="W235" s="45"/>
      <c r="X235" s="45"/>
      <c r="Y235" s="45"/>
      <c r="Z235" s="56"/>
    </row>
    <row r="236" spans="1:26">
      <c r="A236" s="7" t="s">
        <v>696</v>
      </c>
      <c r="B236" s="40" t="s">
        <v>697</v>
      </c>
      <c r="C236" s="40" t="s">
        <v>216</v>
      </c>
      <c r="D236" s="40" t="s">
        <v>238</v>
      </c>
      <c r="E236" s="40" t="s">
        <v>6</v>
      </c>
      <c r="F236" s="40" t="s">
        <v>108</v>
      </c>
      <c r="G236" s="38">
        <f>$Q$5</f>
        <v>14</v>
      </c>
      <c r="H236" s="51">
        <v>2485</v>
      </c>
      <c r="I236" s="53">
        <v>0</v>
      </c>
      <c r="J236" s="51">
        <f t="shared" si="52"/>
        <v>2485</v>
      </c>
      <c r="K236" s="54">
        <f t="shared" si="53"/>
        <v>34790</v>
      </c>
      <c r="M236" s="45"/>
      <c r="N236" s="45"/>
      <c r="O236" s="45"/>
      <c r="P236" s="45"/>
      <c r="Q236" s="45"/>
      <c r="R236" s="45"/>
      <c r="S236" s="45"/>
      <c r="T236" s="45"/>
      <c r="U236" s="45"/>
      <c r="V236" s="45"/>
      <c r="W236" s="45"/>
      <c r="X236" s="45"/>
      <c r="Y236" s="45"/>
      <c r="Z236" s="56"/>
    </row>
    <row r="237" spans="1:26">
      <c r="A237" s="7" t="s">
        <v>698</v>
      </c>
      <c r="B237" s="40" t="s">
        <v>699</v>
      </c>
      <c r="C237" s="40" t="s">
        <v>283</v>
      </c>
      <c r="D237" s="40" t="s">
        <v>238</v>
      </c>
      <c r="E237" s="40" t="s">
        <v>73</v>
      </c>
      <c r="F237" s="40" t="s">
        <v>71</v>
      </c>
      <c r="G237" s="38">
        <v>1</v>
      </c>
      <c r="H237" s="51">
        <v>15000</v>
      </c>
      <c r="I237" s="53">
        <v>0</v>
      </c>
      <c r="J237" s="51">
        <f t="shared" si="52"/>
        <v>15000</v>
      </c>
      <c r="K237" s="54">
        <f t="shared" si="53"/>
        <v>15000</v>
      </c>
      <c r="M237" s="45"/>
      <c r="N237" s="45"/>
      <c r="O237" s="45"/>
      <c r="P237" s="45"/>
      <c r="Q237" s="45"/>
      <c r="R237" s="45"/>
      <c r="S237" s="45"/>
      <c r="T237" s="45"/>
      <c r="U237" s="45"/>
      <c r="V237" s="45"/>
      <c r="W237" s="45"/>
      <c r="X237" s="45"/>
      <c r="Y237" s="45"/>
      <c r="Z237" s="56"/>
    </row>
    <row r="238" spans="1:26">
      <c r="A238" s="7" t="s">
        <v>700</v>
      </c>
      <c r="B238" s="40" t="s">
        <v>701</v>
      </c>
      <c r="C238" s="40" t="s">
        <v>216</v>
      </c>
      <c r="D238" s="40" t="s">
        <v>223</v>
      </c>
      <c r="E238" s="40" t="s">
        <v>44</v>
      </c>
      <c r="F238" s="40" t="s">
        <v>148</v>
      </c>
      <c r="G238" s="38">
        <f>T12</f>
        <v>400</v>
      </c>
      <c r="H238" s="51">
        <v>70</v>
      </c>
      <c r="I238" s="53">
        <v>0</v>
      </c>
      <c r="J238" s="51">
        <f t="shared" si="52"/>
        <v>70</v>
      </c>
      <c r="K238" s="54">
        <f t="shared" si="53"/>
        <v>28000</v>
      </c>
      <c r="M238" s="45" t="s">
        <v>702</v>
      </c>
      <c r="N238" s="45"/>
      <c r="O238" s="45"/>
      <c r="P238" s="45"/>
      <c r="Q238" s="45"/>
      <c r="R238" s="45"/>
      <c r="S238" s="45"/>
      <c r="T238" s="45"/>
      <c r="U238" s="45"/>
      <c r="V238" s="45"/>
      <c r="W238" s="45"/>
      <c r="X238" s="45"/>
      <c r="Y238" s="45"/>
      <c r="Z238" s="56"/>
    </row>
    <row r="239" spans="1:26">
      <c r="A239" s="7" t="s">
        <v>161</v>
      </c>
      <c r="B239" s="40" t="s">
        <v>703</v>
      </c>
      <c r="C239" s="40" t="s">
        <v>216</v>
      </c>
      <c r="D239" s="40" t="s">
        <v>242</v>
      </c>
      <c r="E239" s="40" t="s">
        <v>6</v>
      </c>
      <c r="F239" s="40" t="s">
        <v>148</v>
      </c>
      <c r="G239" s="38">
        <f>Q7*T11</f>
        <v>437</v>
      </c>
      <c r="H239" s="51">
        <v>75</v>
      </c>
      <c r="I239" s="53">
        <v>0</v>
      </c>
      <c r="J239" s="51">
        <f t="shared" si="52"/>
        <v>75</v>
      </c>
      <c r="K239" s="54">
        <f t="shared" si="53"/>
        <v>32775</v>
      </c>
      <c r="M239" s="45"/>
      <c r="N239" s="45"/>
      <c r="O239" s="45"/>
      <c r="P239" s="45"/>
      <c r="Q239" s="45"/>
      <c r="R239" s="45"/>
      <c r="S239" s="45"/>
      <c r="T239" s="45"/>
      <c r="U239" s="45"/>
      <c r="V239" s="45"/>
      <c r="W239" s="45"/>
      <c r="X239" s="45"/>
      <c r="Y239" s="45"/>
      <c r="Z239" s="56"/>
    </row>
    <row r="240" spans="1:26">
      <c r="A240" s="7" t="s">
        <v>704</v>
      </c>
      <c r="B240" s="40" t="s">
        <v>703</v>
      </c>
      <c r="C240" s="40" t="s">
        <v>216</v>
      </c>
      <c r="D240" s="40" t="s">
        <v>242</v>
      </c>
      <c r="E240" s="40" t="s">
        <v>6</v>
      </c>
      <c r="F240" s="40" t="s">
        <v>108</v>
      </c>
      <c r="G240" s="38">
        <f>$Q$7*2</f>
        <v>2</v>
      </c>
      <c r="H240" s="51">
        <v>1950</v>
      </c>
      <c r="I240" s="53">
        <v>0</v>
      </c>
      <c r="J240" s="51">
        <f t="shared" si="52"/>
        <v>1950</v>
      </c>
      <c r="K240" s="54">
        <f t="shared" si="53"/>
        <v>3900</v>
      </c>
      <c r="M240" s="45"/>
      <c r="N240" s="45"/>
      <c r="O240" s="45"/>
      <c r="P240" s="45"/>
      <c r="Q240" s="45"/>
      <c r="R240" s="45"/>
      <c r="S240" s="45"/>
      <c r="T240" s="45"/>
      <c r="U240" s="45"/>
      <c r="V240" s="45"/>
      <c r="W240" s="45"/>
      <c r="X240" s="45"/>
      <c r="Y240" s="45"/>
      <c r="Z240" s="56"/>
    </row>
    <row r="241" spans="1:26">
      <c r="A241" s="7" t="s">
        <v>705</v>
      </c>
      <c r="B241" s="40" t="s">
        <v>706</v>
      </c>
      <c r="C241" s="40" t="s">
        <v>216</v>
      </c>
      <c r="D241" s="40" t="s">
        <v>223</v>
      </c>
      <c r="E241" s="40" t="s">
        <v>71</v>
      </c>
      <c r="F241" s="40" t="s">
        <v>108</v>
      </c>
      <c r="G241" s="38">
        <v>2</v>
      </c>
      <c r="H241" s="51">
        <v>96000</v>
      </c>
      <c r="I241" s="53">
        <v>0</v>
      </c>
      <c r="J241" s="51">
        <f t="shared" si="52"/>
        <v>96000</v>
      </c>
      <c r="K241" s="54">
        <f t="shared" si="53"/>
        <v>192000</v>
      </c>
      <c r="M241" s="45" t="s">
        <v>1078</v>
      </c>
      <c r="N241" s="45"/>
      <c r="O241" s="45"/>
      <c r="P241" s="45"/>
      <c r="Q241" s="45"/>
      <c r="R241" s="45"/>
      <c r="S241" s="45"/>
      <c r="T241" s="45"/>
      <c r="U241" s="45"/>
      <c r="V241" s="45"/>
      <c r="W241" s="45"/>
      <c r="X241" s="45"/>
      <c r="Y241" s="45"/>
      <c r="Z241" s="56"/>
    </row>
    <row r="242" spans="1:26">
      <c r="A242" s="7" t="s">
        <v>707</v>
      </c>
      <c r="B242" s="40" t="s">
        <v>708</v>
      </c>
      <c r="C242" s="40" t="s">
        <v>216</v>
      </c>
      <c r="D242" s="40" t="s">
        <v>223</v>
      </c>
      <c r="E242" s="40" t="s">
        <v>71</v>
      </c>
      <c r="F242" s="40" t="s">
        <v>108</v>
      </c>
      <c r="G242" s="38">
        <v>2</v>
      </c>
      <c r="H242" s="51">
        <v>3555</v>
      </c>
      <c r="I242" s="53">
        <v>0</v>
      </c>
      <c r="J242" s="51">
        <f t="shared" si="52"/>
        <v>3555</v>
      </c>
      <c r="K242" s="54">
        <f t="shared" si="53"/>
        <v>7110</v>
      </c>
      <c r="M242" s="45" t="s">
        <v>1078</v>
      </c>
      <c r="N242" s="45"/>
      <c r="O242" s="45"/>
      <c r="P242" s="45"/>
      <c r="Q242" s="45"/>
      <c r="R242" s="45"/>
      <c r="S242" s="45"/>
      <c r="T242" s="45"/>
      <c r="U242" s="45"/>
      <c r="V242" s="45"/>
      <c r="W242" s="45"/>
      <c r="X242" s="45"/>
      <c r="Y242" s="45"/>
      <c r="Z242" s="56"/>
    </row>
    <row r="243" spans="1:26">
      <c r="A243" s="7" t="s">
        <v>709</v>
      </c>
      <c r="B243" s="40" t="s">
        <v>710</v>
      </c>
      <c r="C243" s="40" t="s">
        <v>216</v>
      </c>
      <c r="D243" s="40" t="s">
        <v>223</v>
      </c>
      <c r="E243" s="40" t="s">
        <v>231</v>
      </c>
      <c r="F243" s="40"/>
      <c r="G243" s="38"/>
      <c r="H243" s="51">
        <v>44</v>
      </c>
      <c r="I243" s="53">
        <v>0</v>
      </c>
      <c r="J243" s="51">
        <f t="shared" si="52"/>
        <v>44</v>
      </c>
      <c r="K243" s="54">
        <f t="shared" si="53"/>
        <v>0</v>
      </c>
      <c r="M243" s="45"/>
      <c r="N243" s="45"/>
      <c r="O243" s="45"/>
      <c r="P243" s="45"/>
      <c r="Q243" s="45"/>
      <c r="R243" s="45"/>
      <c r="S243" s="45"/>
      <c r="T243" s="45"/>
      <c r="U243" s="45"/>
      <c r="V243" s="45"/>
      <c r="W243" s="45"/>
      <c r="X243" s="45"/>
      <c r="Y243" s="45"/>
      <c r="Z243" s="56"/>
    </row>
    <row r="244" spans="1:26">
      <c r="A244" s="7" t="s">
        <v>711</v>
      </c>
      <c r="B244" s="40" t="s">
        <v>712</v>
      </c>
      <c r="C244" s="40" t="s">
        <v>216</v>
      </c>
      <c r="D244" s="40" t="s">
        <v>223</v>
      </c>
      <c r="E244" s="40" t="s">
        <v>231</v>
      </c>
      <c r="F244" s="40"/>
      <c r="G244" s="38"/>
      <c r="H244" s="51">
        <v>1950</v>
      </c>
      <c r="I244" s="53">
        <v>0</v>
      </c>
      <c r="J244" s="51">
        <f t="shared" si="52"/>
        <v>1950</v>
      </c>
      <c r="K244" s="54">
        <f t="shared" si="53"/>
        <v>0</v>
      </c>
      <c r="M244" s="45"/>
      <c r="N244" s="45"/>
      <c r="O244" s="45"/>
      <c r="P244" s="45"/>
      <c r="Q244" s="45"/>
      <c r="R244" s="45"/>
      <c r="S244" s="45"/>
      <c r="T244" s="45"/>
      <c r="U244" s="45"/>
      <c r="V244" s="45"/>
      <c r="W244" s="45"/>
      <c r="X244" s="45"/>
      <c r="Y244" s="45"/>
      <c r="Z244" s="56"/>
    </row>
    <row r="245" spans="1:26">
      <c r="A245" s="7" t="s">
        <v>713</v>
      </c>
      <c r="B245" s="40" t="s">
        <v>714</v>
      </c>
      <c r="C245" s="40" t="s">
        <v>216</v>
      </c>
      <c r="D245" s="40" t="s">
        <v>223</v>
      </c>
      <c r="E245" s="40" t="s">
        <v>555</v>
      </c>
      <c r="F245" s="40" t="s">
        <v>615</v>
      </c>
      <c r="G245" s="183">
        <f>$B$9</f>
        <v>15.826000000000001</v>
      </c>
      <c r="H245" s="51">
        <v>2500</v>
      </c>
      <c r="I245" s="53">
        <v>0</v>
      </c>
      <c r="J245" s="51">
        <f t="shared" si="52"/>
        <v>2500</v>
      </c>
      <c r="K245" s="54">
        <f t="shared" si="53"/>
        <v>39565</v>
      </c>
      <c r="M245" s="45"/>
      <c r="N245" s="45"/>
      <c r="O245" s="45"/>
      <c r="P245" s="45"/>
      <c r="Q245" s="45"/>
      <c r="R245" s="45"/>
      <c r="S245" s="45"/>
      <c r="T245" s="45"/>
      <c r="U245" s="45"/>
      <c r="V245" s="45"/>
      <c r="W245" s="45"/>
      <c r="X245" s="45"/>
      <c r="Y245" s="45"/>
      <c r="Z245" s="56"/>
    </row>
    <row r="246" spans="1:26">
      <c r="A246" s="7" t="s">
        <v>715</v>
      </c>
      <c r="B246" s="40" t="s">
        <v>716</v>
      </c>
      <c r="C246" s="40" t="s">
        <v>216</v>
      </c>
      <c r="D246" s="40" t="s">
        <v>223</v>
      </c>
      <c r="E246" s="40" t="s">
        <v>6</v>
      </c>
      <c r="F246" s="40" t="s">
        <v>71</v>
      </c>
      <c r="G246" s="38">
        <v>1</v>
      </c>
      <c r="H246" s="51">
        <f>495312.68+50000</f>
        <v>545312.67999999993</v>
      </c>
      <c r="I246" s="53">
        <v>0</v>
      </c>
      <c r="J246" s="51">
        <f t="shared" si="52"/>
        <v>545312.67999999993</v>
      </c>
      <c r="K246" s="54">
        <f t="shared" si="53"/>
        <v>545312.67999999993</v>
      </c>
      <c r="M246" s="45" t="s">
        <v>717</v>
      </c>
      <c r="N246" s="45"/>
      <c r="O246" s="45"/>
      <c r="P246" s="45"/>
      <c r="Q246" s="45"/>
      <c r="R246" s="45"/>
      <c r="S246" s="45"/>
      <c r="T246" s="45"/>
      <c r="U246" s="45"/>
      <c r="V246" s="45"/>
      <c r="W246" s="45"/>
      <c r="X246" s="45"/>
      <c r="Y246" s="45"/>
      <c r="Z246" s="56"/>
    </row>
    <row r="247" spans="1:26">
      <c r="A247" s="7" t="s">
        <v>718</v>
      </c>
      <c r="B247" s="40" t="s">
        <v>719</v>
      </c>
      <c r="C247" s="40" t="s">
        <v>216</v>
      </c>
      <c r="D247" s="40" t="s">
        <v>223</v>
      </c>
      <c r="E247" s="40" t="s">
        <v>369</v>
      </c>
      <c r="F247" s="40" t="s">
        <v>71</v>
      </c>
      <c r="G247" s="38">
        <v>1</v>
      </c>
      <c r="H247" s="51">
        <v>0</v>
      </c>
      <c r="I247" s="53">
        <v>0</v>
      </c>
      <c r="J247" s="51">
        <f t="shared" si="52"/>
        <v>0</v>
      </c>
      <c r="K247" s="54">
        <f t="shared" si="53"/>
        <v>0</v>
      </c>
      <c r="M247" s="45" t="s">
        <v>654</v>
      </c>
      <c r="N247" s="45"/>
      <c r="O247" s="45"/>
      <c r="P247" s="45"/>
      <c r="Q247" s="45"/>
      <c r="R247" s="45"/>
      <c r="S247" s="45"/>
      <c r="T247" s="45"/>
      <c r="U247" s="45"/>
      <c r="V247" s="45"/>
      <c r="W247" s="45"/>
      <c r="X247" s="45"/>
      <c r="Y247" s="45"/>
      <c r="Z247" s="56"/>
    </row>
    <row r="248" spans="1:26">
      <c r="A248" s="7" t="s">
        <v>720</v>
      </c>
      <c r="B248" s="40" t="s">
        <v>721</v>
      </c>
      <c r="C248" s="40" t="s">
        <v>216</v>
      </c>
      <c r="D248" s="40" t="s">
        <v>223</v>
      </c>
      <c r="E248" s="40" t="s">
        <v>73</v>
      </c>
      <c r="F248" s="40" t="s">
        <v>71</v>
      </c>
      <c r="G248" s="38">
        <v>1</v>
      </c>
      <c r="H248" s="51">
        <v>125000</v>
      </c>
      <c r="I248" s="53">
        <v>0</v>
      </c>
      <c r="J248" s="51">
        <f t="shared" si="52"/>
        <v>125000</v>
      </c>
      <c r="K248" s="54">
        <f t="shared" si="53"/>
        <v>125000</v>
      </c>
      <c r="M248" s="45" t="s">
        <v>1079</v>
      </c>
      <c r="N248" s="45"/>
      <c r="O248" s="45"/>
      <c r="P248" s="45"/>
      <c r="Q248" s="45"/>
      <c r="R248" s="45"/>
      <c r="S248" s="45"/>
      <c r="T248" s="45"/>
      <c r="U248" s="45"/>
      <c r="V248" s="45"/>
      <c r="W248" s="45"/>
      <c r="X248" s="45"/>
      <c r="Y248" s="45"/>
      <c r="Z248" s="56"/>
    </row>
    <row r="249" spans="1:26">
      <c r="A249" s="7" t="s">
        <v>722</v>
      </c>
      <c r="B249" s="40" t="s">
        <v>723</v>
      </c>
      <c r="C249" s="40" t="s">
        <v>283</v>
      </c>
      <c r="D249" s="40" t="s">
        <v>242</v>
      </c>
      <c r="E249" s="40" t="s">
        <v>73</v>
      </c>
      <c r="F249" s="40" t="s">
        <v>71</v>
      </c>
      <c r="G249" s="38">
        <v>1</v>
      </c>
      <c r="H249" s="51">
        <v>11000</v>
      </c>
      <c r="I249" s="53">
        <v>0</v>
      </c>
      <c r="J249" s="51">
        <f t="shared" si="52"/>
        <v>11000</v>
      </c>
      <c r="K249" s="54">
        <f t="shared" si="53"/>
        <v>11000</v>
      </c>
      <c r="M249" s="45"/>
      <c r="N249" s="45"/>
      <c r="O249" s="45"/>
      <c r="P249" s="45"/>
      <c r="Q249" s="45"/>
      <c r="R249" s="45"/>
      <c r="S249" s="45"/>
      <c r="T249" s="45"/>
      <c r="U249" s="45"/>
      <c r="V249" s="45"/>
      <c r="W249" s="45"/>
      <c r="X249" s="45"/>
      <c r="Y249" s="45"/>
      <c r="Z249" s="56"/>
    </row>
    <row r="250" spans="1:26">
      <c r="A250" s="7" t="s">
        <v>724</v>
      </c>
      <c r="B250" s="40" t="s">
        <v>725</v>
      </c>
      <c r="C250" s="40" t="s">
        <v>283</v>
      </c>
      <c r="D250" s="40" t="s">
        <v>228</v>
      </c>
      <c r="E250" s="40" t="s">
        <v>73</v>
      </c>
      <c r="F250" s="40" t="s">
        <v>71</v>
      </c>
      <c r="G250" s="38">
        <v>1</v>
      </c>
      <c r="H250" s="51">
        <v>7000</v>
      </c>
      <c r="I250" s="53">
        <v>0</v>
      </c>
      <c r="J250" s="51">
        <f t="shared" si="52"/>
        <v>7000</v>
      </c>
      <c r="K250" s="54">
        <f t="shared" si="53"/>
        <v>7000</v>
      </c>
      <c r="M250" s="45"/>
      <c r="N250" s="45"/>
      <c r="O250" s="45"/>
      <c r="P250" s="45"/>
      <c r="Q250" s="45"/>
      <c r="R250" s="45"/>
      <c r="S250" s="45"/>
      <c r="T250" s="45"/>
      <c r="U250" s="45"/>
      <c r="V250" s="45"/>
      <c r="W250" s="45"/>
      <c r="X250" s="45"/>
      <c r="Y250" s="45"/>
      <c r="Z250" s="56"/>
    </row>
    <row r="251" spans="1:26">
      <c r="A251" s="7" t="s">
        <v>726</v>
      </c>
      <c r="B251" s="40" t="s">
        <v>727</v>
      </c>
      <c r="C251" s="40" t="s">
        <v>216</v>
      </c>
      <c r="D251" s="40" t="s">
        <v>223</v>
      </c>
      <c r="E251" s="40" t="s">
        <v>44</v>
      </c>
      <c r="F251" s="40" t="s">
        <v>61</v>
      </c>
      <c r="G251" s="38">
        <v>187517</v>
      </c>
      <c r="H251" s="51">
        <v>16.34</v>
      </c>
      <c r="I251" s="53">
        <v>0</v>
      </c>
      <c r="J251" s="51">
        <f t="shared" si="52"/>
        <v>16.34</v>
      </c>
      <c r="K251" s="54">
        <f t="shared" si="53"/>
        <v>3064027.78</v>
      </c>
      <c r="M251" s="45" t="s">
        <v>1108</v>
      </c>
      <c r="N251" s="45"/>
      <c r="O251" s="45"/>
      <c r="P251" s="45"/>
      <c r="Q251" s="45"/>
      <c r="R251" s="45"/>
      <c r="S251" s="45"/>
      <c r="T251" s="45"/>
      <c r="U251" s="45"/>
      <c r="V251" s="45"/>
      <c r="W251" s="45"/>
      <c r="X251" s="45"/>
      <c r="Y251" s="45"/>
      <c r="Z251" s="56"/>
    </row>
    <row r="252" spans="1:26">
      <c r="A252" s="7" t="s">
        <v>729</v>
      </c>
      <c r="B252" s="40" t="s">
        <v>727</v>
      </c>
      <c r="C252" s="40" t="s">
        <v>216</v>
      </c>
      <c r="D252" s="40" t="s">
        <v>223</v>
      </c>
      <c r="E252" s="40" t="s">
        <v>231</v>
      </c>
      <c r="F252" s="40"/>
      <c r="G252" s="38"/>
      <c r="H252" s="51"/>
      <c r="I252" s="53">
        <v>0</v>
      </c>
      <c r="J252" s="51">
        <f t="shared" si="52"/>
        <v>0</v>
      </c>
      <c r="K252" s="54">
        <f t="shared" si="53"/>
        <v>0</v>
      </c>
      <c r="M252" s="45"/>
      <c r="N252" s="45"/>
      <c r="O252" s="45"/>
      <c r="P252" s="45"/>
      <c r="Q252" s="45"/>
      <c r="R252" s="45"/>
      <c r="S252" s="45"/>
      <c r="T252" s="45"/>
      <c r="U252" s="45"/>
      <c r="V252" s="45"/>
      <c r="W252" s="45"/>
      <c r="X252" s="45"/>
      <c r="Y252" s="45"/>
      <c r="Z252" s="56"/>
    </row>
    <row r="253" spans="1:26">
      <c r="A253" s="7" t="s">
        <v>730</v>
      </c>
      <c r="B253" s="40" t="s">
        <v>731</v>
      </c>
      <c r="C253" s="40" t="s">
        <v>216</v>
      </c>
      <c r="D253" s="40" t="s">
        <v>223</v>
      </c>
      <c r="E253" s="40" t="s">
        <v>231</v>
      </c>
      <c r="F253" s="40"/>
      <c r="G253" s="38"/>
      <c r="H253" s="51"/>
      <c r="I253" s="53">
        <v>0</v>
      </c>
      <c r="J253" s="51">
        <f t="shared" si="52"/>
        <v>0</v>
      </c>
      <c r="K253" s="54">
        <f t="shared" si="53"/>
        <v>0</v>
      </c>
      <c r="M253" s="45"/>
      <c r="N253" s="45"/>
      <c r="O253" s="45"/>
      <c r="P253" s="45"/>
      <c r="Q253" s="45"/>
      <c r="R253" s="45"/>
      <c r="S253" s="45"/>
      <c r="T253" s="45"/>
      <c r="U253" s="45"/>
      <c r="V253" s="45"/>
      <c r="W253" s="45"/>
      <c r="X253" s="45"/>
      <c r="Y253" s="45"/>
      <c r="Z253" s="56"/>
    </row>
    <row r="254" spans="1:26">
      <c r="A254" s="7" t="s">
        <v>732</v>
      </c>
      <c r="B254" s="40" t="s">
        <v>673</v>
      </c>
      <c r="C254" s="40" t="s">
        <v>216</v>
      </c>
      <c r="D254" s="40" t="s">
        <v>1005</v>
      </c>
      <c r="E254" s="40" t="s">
        <v>733</v>
      </c>
      <c r="F254" s="40" t="s">
        <v>71</v>
      </c>
      <c r="G254" s="38">
        <v>1</v>
      </c>
      <c r="H254" s="51">
        <v>25000</v>
      </c>
      <c r="I254" s="53">
        <v>0</v>
      </c>
      <c r="J254" s="51">
        <f t="shared" si="52"/>
        <v>25000</v>
      </c>
      <c r="K254" s="54">
        <f t="shared" si="53"/>
        <v>25000</v>
      </c>
      <c r="M254" s="45"/>
      <c r="N254" s="45"/>
      <c r="O254" s="45"/>
      <c r="P254" s="45"/>
      <c r="Q254" s="45"/>
      <c r="R254" s="45"/>
      <c r="S254" s="45"/>
      <c r="T254" s="45"/>
      <c r="U254" s="45"/>
      <c r="V254" s="45"/>
      <c r="W254" s="45"/>
      <c r="X254" s="45"/>
      <c r="Y254" s="45"/>
      <c r="Z254" s="56"/>
    </row>
    <row r="255" spans="1:26">
      <c r="A255" s="7" t="s">
        <v>734</v>
      </c>
      <c r="B255" s="40" t="s">
        <v>675</v>
      </c>
      <c r="C255" s="40" t="s">
        <v>216</v>
      </c>
      <c r="D255" s="40" t="s">
        <v>1005</v>
      </c>
      <c r="E255" s="40" t="s">
        <v>6</v>
      </c>
      <c r="F255" s="40" t="s">
        <v>71</v>
      </c>
      <c r="G255" s="38">
        <v>1</v>
      </c>
      <c r="H255" s="51">
        <v>1843875.2999999998</v>
      </c>
      <c r="I255" s="53">
        <v>0</v>
      </c>
      <c r="J255" s="51">
        <f t="shared" si="52"/>
        <v>1843875.2999999998</v>
      </c>
      <c r="K255" s="54">
        <f t="shared" si="53"/>
        <v>1843875.2999999998</v>
      </c>
      <c r="M255" s="45" t="s">
        <v>1109</v>
      </c>
      <c r="N255" s="45"/>
      <c r="O255" s="45"/>
      <c r="P255" s="45"/>
      <c r="Q255" s="45"/>
      <c r="R255" s="45"/>
      <c r="S255" s="45"/>
      <c r="T255" s="45"/>
      <c r="U255" s="45"/>
      <c r="V255" s="45"/>
      <c r="W255" s="45"/>
      <c r="X255" s="45"/>
      <c r="Y255" s="45"/>
      <c r="Z255" s="56"/>
    </row>
    <row r="256" spans="1:26">
      <c r="A256" s="7" t="s">
        <v>736</v>
      </c>
      <c r="B256" s="40" t="s">
        <v>682</v>
      </c>
      <c r="C256" s="40" t="s">
        <v>216</v>
      </c>
      <c r="D256" s="40" t="s">
        <v>1005</v>
      </c>
      <c r="E256" s="40" t="s">
        <v>6</v>
      </c>
      <c r="F256" s="40" t="s">
        <v>71</v>
      </c>
      <c r="G256" s="38">
        <v>1</v>
      </c>
      <c r="H256" s="51">
        <v>124911</v>
      </c>
      <c r="I256" s="53">
        <v>0</v>
      </c>
      <c r="J256" s="51">
        <f t="shared" si="52"/>
        <v>124911</v>
      </c>
      <c r="K256" s="54">
        <f t="shared" si="53"/>
        <v>124911</v>
      </c>
      <c r="M256" s="45" t="s">
        <v>1110</v>
      </c>
      <c r="N256" s="45"/>
      <c r="O256" s="45"/>
      <c r="P256" s="45"/>
      <c r="Q256" s="45"/>
      <c r="R256" s="45"/>
      <c r="S256" s="45"/>
      <c r="T256" s="45"/>
      <c r="U256" s="45"/>
      <c r="V256" s="45"/>
      <c r="W256" s="45"/>
      <c r="X256" s="45"/>
      <c r="Y256" s="45"/>
      <c r="Z256" s="56"/>
    </row>
    <row r="257" spans="1:26">
      <c r="A257" s="7" t="s">
        <v>737</v>
      </c>
      <c r="B257" s="40" t="s">
        <v>686</v>
      </c>
      <c r="C257" s="40" t="s">
        <v>216</v>
      </c>
      <c r="D257" s="40" t="s">
        <v>1005</v>
      </c>
      <c r="E257" s="40" t="s">
        <v>6</v>
      </c>
      <c r="F257" s="40" t="s">
        <v>71</v>
      </c>
      <c r="G257" s="38">
        <v>1</v>
      </c>
      <c r="H257" s="51">
        <v>91597</v>
      </c>
      <c r="I257" s="53">
        <v>0</v>
      </c>
      <c r="J257" s="51">
        <f t="shared" si="52"/>
        <v>91597</v>
      </c>
      <c r="K257" s="54">
        <f t="shared" si="53"/>
        <v>91597</v>
      </c>
      <c r="M257" s="45"/>
      <c r="N257" s="45"/>
      <c r="O257" s="45"/>
      <c r="P257" s="45"/>
      <c r="Q257" s="45"/>
      <c r="R257" s="45"/>
      <c r="S257" s="45"/>
      <c r="T257" s="45"/>
      <c r="U257" s="45"/>
      <c r="V257" s="45"/>
      <c r="W257" s="45"/>
      <c r="X257" s="45"/>
      <c r="Y257" s="45"/>
      <c r="Z257" s="56"/>
    </row>
    <row r="258" spans="1:26">
      <c r="A258" s="4" t="s">
        <v>738</v>
      </c>
      <c r="B258" s="151" t="s">
        <v>739</v>
      </c>
      <c r="C258" s="151"/>
      <c r="D258" s="151"/>
      <c r="E258" s="151"/>
      <c r="F258" s="151"/>
      <c r="G258" s="152"/>
      <c r="H258" s="153"/>
      <c r="I258" s="154"/>
      <c r="J258" s="153"/>
      <c r="K258" s="172"/>
      <c r="L258" s="70">
        <f>SUM(K259:K274)</f>
        <v>7586858.175714286</v>
      </c>
      <c r="M258" s="45"/>
      <c r="N258" s="45"/>
      <c r="O258" s="45"/>
      <c r="P258" s="45"/>
      <c r="Q258" s="45"/>
      <c r="R258" s="45"/>
      <c r="S258" s="45"/>
      <c r="T258" s="45"/>
      <c r="U258" s="45"/>
      <c r="V258" s="178"/>
      <c r="W258" s="45"/>
      <c r="X258" s="45"/>
      <c r="Y258" s="45"/>
      <c r="Z258" s="56"/>
    </row>
    <row r="259" spans="1:26">
      <c r="A259" s="6" t="s">
        <v>740</v>
      </c>
      <c r="B259" s="47" t="s">
        <v>741</v>
      </c>
      <c r="C259" s="47" t="s">
        <v>283</v>
      </c>
      <c r="D259" s="47"/>
      <c r="E259" s="47" t="s">
        <v>742</v>
      </c>
      <c r="F259" s="47" t="s">
        <v>88</v>
      </c>
      <c r="G259" s="42">
        <f>$E$8</f>
        <v>390</v>
      </c>
      <c r="H259" s="61">
        <f>112356/312</f>
        <v>360.11538461538464</v>
      </c>
      <c r="I259" s="63">
        <v>0</v>
      </c>
      <c r="J259" s="66">
        <f t="shared" ref="J259:J274" si="54">H259*(1+I259)</f>
        <v>360.11538461538464</v>
      </c>
      <c r="K259" s="67">
        <f t="shared" ref="K259:K274" si="55">J259*G259</f>
        <v>140445</v>
      </c>
      <c r="M259" s="45" t="s">
        <v>743</v>
      </c>
      <c r="N259" s="45"/>
      <c r="O259" s="45"/>
      <c r="P259" s="45"/>
      <c r="Q259" s="45"/>
      <c r="R259" s="45"/>
      <c r="S259" s="45"/>
      <c r="T259" s="45"/>
      <c r="U259" s="45"/>
      <c r="V259" s="199"/>
      <c r="W259" s="45"/>
      <c r="X259" s="45"/>
      <c r="Y259" s="45"/>
      <c r="Z259" s="56"/>
    </row>
    <row r="260" spans="1:26">
      <c r="A260" s="7" t="s">
        <v>744</v>
      </c>
      <c r="B260" s="40" t="s">
        <v>745</v>
      </c>
      <c r="C260" s="40" t="s">
        <v>283</v>
      </c>
      <c r="D260" s="40" t="s">
        <v>1005</v>
      </c>
      <c r="E260" s="40" t="s">
        <v>231</v>
      </c>
      <c r="F260" s="40"/>
      <c r="G260" s="38"/>
      <c r="H260" s="51"/>
      <c r="I260" s="53">
        <v>0</v>
      </c>
      <c r="J260" s="51">
        <f t="shared" si="54"/>
        <v>0</v>
      </c>
      <c r="K260" s="54">
        <f t="shared" si="55"/>
        <v>0</v>
      </c>
      <c r="M260" s="45"/>
      <c r="N260" s="45"/>
      <c r="O260" s="45"/>
      <c r="P260" s="45"/>
      <c r="Q260" s="45"/>
      <c r="R260" s="45"/>
      <c r="S260" s="45"/>
      <c r="T260" s="45"/>
      <c r="U260" s="45"/>
      <c r="V260" s="45"/>
      <c r="W260" s="45"/>
      <c r="X260" s="45"/>
      <c r="Y260" s="45"/>
      <c r="Z260" s="56"/>
    </row>
    <row r="261" spans="1:26">
      <c r="A261" s="7" t="s">
        <v>746</v>
      </c>
      <c r="B261" s="40" t="s">
        <v>745</v>
      </c>
      <c r="C261" s="40" t="s">
        <v>216</v>
      </c>
      <c r="D261" s="206" t="s">
        <v>223</v>
      </c>
      <c r="E261" s="206" t="s">
        <v>6</v>
      </c>
      <c r="F261" s="206" t="s">
        <v>71</v>
      </c>
      <c r="G261" s="207">
        <v>1</v>
      </c>
      <c r="H261" s="208">
        <v>832918.12</v>
      </c>
      <c r="I261" s="209">
        <v>0</v>
      </c>
      <c r="J261" s="208">
        <f t="shared" si="54"/>
        <v>832918.12</v>
      </c>
      <c r="K261" s="210">
        <f t="shared" si="55"/>
        <v>832918.12</v>
      </c>
      <c r="M261" s="45" t="s">
        <v>1082</v>
      </c>
      <c r="N261" s="45"/>
      <c r="O261" s="45"/>
      <c r="P261" s="45"/>
      <c r="Q261" s="45"/>
      <c r="R261" s="45"/>
      <c r="S261" s="45"/>
      <c r="T261" s="45"/>
      <c r="U261" s="45"/>
      <c r="V261" s="45"/>
      <c r="W261" s="45"/>
      <c r="X261" s="45"/>
      <c r="Y261" s="45"/>
      <c r="Z261" s="56"/>
    </row>
    <row r="262" spans="1:26">
      <c r="A262" s="7" t="s">
        <v>748</v>
      </c>
      <c r="B262" s="40" t="s">
        <v>749</v>
      </c>
      <c r="C262" s="40" t="s">
        <v>216</v>
      </c>
      <c r="D262" s="206" t="s">
        <v>223</v>
      </c>
      <c r="E262" s="206" t="s">
        <v>6</v>
      </c>
      <c r="F262" s="206" t="s">
        <v>71</v>
      </c>
      <c r="G262" s="207">
        <v>1</v>
      </c>
      <c r="H262" s="208">
        <v>394942</v>
      </c>
      <c r="I262" s="209">
        <v>0</v>
      </c>
      <c r="J262" s="208">
        <f t="shared" si="54"/>
        <v>394942</v>
      </c>
      <c r="K262" s="210">
        <f t="shared" si="55"/>
        <v>394942</v>
      </c>
      <c r="M262" s="45" t="s">
        <v>1083</v>
      </c>
      <c r="N262" s="45"/>
      <c r="O262" s="45"/>
      <c r="P262" s="45"/>
      <c r="Q262" s="45"/>
      <c r="R262" s="45"/>
      <c r="S262" s="45"/>
      <c r="T262" s="45"/>
      <c r="U262" s="45"/>
      <c r="V262" s="45"/>
      <c r="W262" s="45"/>
      <c r="X262" s="45"/>
      <c r="Y262" s="45"/>
      <c r="Z262" s="56"/>
    </row>
    <row r="263" spans="1:26">
      <c r="A263" s="7" t="s">
        <v>751</v>
      </c>
      <c r="B263" s="40" t="s">
        <v>752</v>
      </c>
      <c r="C263" s="40" t="s">
        <v>216</v>
      </c>
      <c r="D263" s="40"/>
      <c r="E263" s="40" t="s">
        <v>231</v>
      </c>
      <c r="F263" s="40"/>
      <c r="G263" s="38"/>
      <c r="H263" s="51"/>
      <c r="I263" s="53">
        <v>0</v>
      </c>
      <c r="J263" s="51">
        <f t="shared" si="54"/>
        <v>0</v>
      </c>
      <c r="K263" s="54">
        <f t="shared" si="55"/>
        <v>0</v>
      </c>
      <c r="M263" s="45"/>
      <c r="N263" s="45"/>
      <c r="O263" s="45"/>
      <c r="P263" s="45"/>
      <c r="Q263" s="45"/>
      <c r="R263" s="45"/>
      <c r="S263" s="45"/>
      <c r="T263" s="45"/>
      <c r="U263" s="45"/>
      <c r="V263" s="45"/>
      <c r="W263" s="45"/>
      <c r="X263" s="45"/>
      <c r="Y263" s="45"/>
      <c r="Z263" s="56"/>
    </row>
    <row r="264" spans="1:26">
      <c r="A264" s="7" t="s">
        <v>753</v>
      </c>
      <c r="B264" s="40" t="s">
        <v>754</v>
      </c>
      <c r="C264" s="40" t="s">
        <v>283</v>
      </c>
      <c r="D264" s="40"/>
      <c r="E264" s="40" t="s">
        <v>73</v>
      </c>
      <c r="F264" s="40" t="s">
        <v>71</v>
      </c>
      <c r="G264" s="38">
        <v>1</v>
      </c>
      <c r="H264" s="51">
        <f>5000*3</f>
        <v>15000</v>
      </c>
      <c r="I264" s="53">
        <v>0</v>
      </c>
      <c r="J264" s="51">
        <f t="shared" si="54"/>
        <v>15000</v>
      </c>
      <c r="K264" s="54">
        <f t="shared" si="55"/>
        <v>15000</v>
      </c>
      <c r="M264" s="45"/>
      <c r="N264" s="45"/>
      <c r="O264" s="45"/>
      <c r="P264" s="45"/>
      <c r="Q264" s="45"/>
      <c r="R264" s="45"/>
      <c r="S264" s="45"/>
      <c r="T264" s="45"/>
      <c r="U264" s="45"/>
      <c r="V264" s="45"/>
      <c r="W264" s="45"/>
      <c r="X264" s="45"/>
      <c r="Y264" s="45"/>
      <c r="Z264" s="56"/>
    </row>
    <row r="265" spans="1:26">
      <c r="A265" s="7" t="s">
        <v>755</v>
      </c>
      <c r="B265" s="40" t="s">
        <v>756</v>
      </c>
      <c r="C265" s="40" t="s">
        <v>216</v>
      </c>
      <c r="D265" s="40" t="s">
        <v>1005</v>
      </c>
      <c r="E265" s="40" t="s">
        <v>6</v>
      </c>
      <c r="F265" s="40" t="s">
        <v>71</v>
      </c>
      <c r="G265" s="38">
        <v>1</v>
      </c>
      <c r="H265" s="51">
        <v>112000</v>
      </c>
      <c r="I265" s="53">
        <v>0</v>
      </c>
      <c r="J265" s="51">
        <f t="shared" ref="J265" si="56">H265*(1+I265)</f>
        <v>112000</v>
      </c>
      <c r="K265" s="54">
        <f t="shared" ref="K265" si="57">J265*G265</f>
        <v>112000</v>
      </c>
      <c r="M265" s="45" t="s">
        <v>1084</v>
      </c>
      <c r="N265" s="45"/>
      <c r="O265" s="45"/>
      <c r="P265" s="45"/>
      <c r="Q265" s="45"/>
      <c r="R265" s="45"/>
      <c r="S265" s="45"/>
      <c r="T265" s="45"/>
      <c r="U265" s="45"/>
      <c r="V265" s="45"/>
      <c r="W265" s="45"/>
      <c r="X265" s="45"/>
      <c r="Y265" s="45"/>
      <c r="Z265" s="56"/>
    </row>
    <row r="266" spans="1:26">
      <c r="A266" s="7" t="s">
        <v>759</v>
      </c>
      <c r="B266" s="40" t="s">
        <v>760</v>
      </c>
      <c r="C266" s="40" t="s">
        <v>216</v>
      </c>
      <c r="D266" s="206" t="s">
        <v>223</v>
      </c>
      <c r="E266" s="206" t="s">
        <v>6</v>
      </c>
      <c r="F266" s="206" t="s">
        <v>71</v>
      </c>
      <c r="G266" s="207">
        <v>1</v>
      </c>
      <c r="H266" s="208">
        <v>432813</v>
      </c>
      <c r="I266" s="209">
        <v>0</v>
      </c>
      <c r="J266" s="208">
        <f t="shared" si="54"/>
        <v>432813</v>
      </c>
      <c r="K266" s="210">
        <f t="shared" si="55"/>
        <v>432813</v>
      </c>
      <c r="M266" s="45" t="s">
        <v>1111</v>
      </c>
      <c r="N266" s="45"/>
      <c r="O266" s="45"/>
      <c r="P266" s="45"/>
      <c r="Q266" s="45"/>
      <c r="R266" s="45"/>
      <c r="S266" s="45"/>
      <c r="T266" s="45"/>
      <c r="U266" s="45"/>
      <c r="V266" s="45"/>
      <c r="W266" s="45"/>
      <c r="X266" s="45"/>
      <c r="Y266" s="45"/>
      <c r="Z266" s="56"/>
    </row>
    <row r="267" spans="1:26">
      <c r="A267" s="7" t="s">
        <v>762</v>
      </c>
      <c r="B267" s="40" t="s">
        <v>763</v>
      </c>
      <c r="C267" s="40" t="s">
        <v>283</v>
      </c>
      <c r="D267" s="40"/>
      <c r="E267" s="40" t="s">
        <v>73</v>
      </c>
      <c r="F267" s="40" t="s">
        <v>71</v>
      </c>
      <c r="G267" s="38">
        <v>1</v>
      </c>
      <c r="H267" s="51">
        <f>5000*5</f>
        <v>25000</v>
      </c>
      <c r="I267" s="53">
        <v>0</v>
      </c>
      <c r="J267" s="51">
        <f t="shared" si="54"/>
        <v>25000</v>
      </c>
      <c r="K267" s="54">
        <f t="shared" si="55"/>
        <v>25000</v>
      </c>
      <c r="M267" s="45"/>
      <c r="N267" s="45"/>
      <c r="O267" s="45"/>
      <c r="P267" s="45"/>
      <c r="Q267" s="45"/>
      <c r="R267" s="45"/>
      <c r="S267" s="45"/>
      <c r="T267" s="45"/>
      <c r="U267" s="45"/>
      <c r="V267" s="45"/>
      <c r="W267" s="45"/>
      <c r="X267" s="45"/>
      <c r="Y267" s="45"/>
      <c r="Z267" s="56"/>
    </row>
    <row r="268" spans="1:26">
      <c r="A268" s="7" t="s">
        <v>764</v>
      </c>
      <c r="B268" s="40" t="s">
        <v>765</v>
      </c>
      <c r="C268" s="40" t="s">
        <v>216</v>
      </c>
      <c r="D268" s="40"/>
      <c r="E268" s="40" t="s">
        <v>231</v>
      </c>
      <c r="F268" s="40"/>
      <c r="G268" s="38"/>
      <c r="H268" s="51"/>
      <c r="I268" s="53">
        <v>0</v>
      </c>
      <c r="J268" s="51">
        <f t="shared" si="54"/>
        <v>0</v>
      </c>
      <c r="K268" s="54">
        <f t="shared" si="55"/>
        <v>0</v>
      </c>
      <c r="M268" s="45"/>
      <c r="N268" s="45"/>
      <c r="O268" s="45"/>
      <c r="P268" s="45"/>
      <c r="Q268" s="45"/>
      <c r="R268" s="45"/>
      <c r="S268" s="45"/>
      <c r="T268" s="45"/>
      <c r="U268" s="45"/>
      <c r="V268" s="45"/>
      <c r="W268" s="45"/>
      <c r="X268" s="45"/>
      <c r="Y268" s="45"/>
      <c r="Z268" s="56"/>
    </row>
    <row r="269" spans="1:26">
      <c r="A269" s="7" t="s">
        <v>766</v>
      </c>
      <c r="B269" s="40" t="s">
        <v>767</v>
      </c>
      <c r="C269" s="40" t="s">
        <v>216</v>
      </c>
      <c r="D269" s="40"/>
      <c r="E269" s="40" t="s">
        <v>231</v>
      </c>
      <c r="F269" s="40"/>
      <c r="G269" s="38"/>
      <c r="H269" s="51"/>
      <c r="I269" s="53">
        <v>0</v>
      </c>
      <c r="J269" s="51">
        <f t="shared" si="54"/>
        <v>0</v>
      </c>
      <c r="K269" s="54">
        <f t="shared" si="55"/>
        <v>0</v>
      </c>
      <c r="M269" s="45"/>
      <c r="N269" s="45"/>
      <c r="O269" s="45"/>
      <c r="P269" s="45"/>
      <c r="Q269" s="45"/>
      <c r="R269" s="45"/>
      <c r="S269" s="45"/>
      <c r="T269" s="45"/>
      <c r="U269" s="45"/>
      <c r="V269" s="45"/>
      <c r="W269" s="45"/>
      <c r="X269" s="45"/>
      <c r="Y269" s="45"/>
      <c r="Z269" s="56"/>
    </row>
    <row r="270" spans="1:26">
      <c r="A270" s="7" t="s">
        <v>768</v>
      </c>
      <c r="B270" s="40" t="s">
        <v>769</v>
      </c>
      <c r="C270" s="40" t="s">
        <v>216</v>
      </c>
      <c r="D270" s="40"/>
      <c r="E270" s="40" t="s">
        <v>231</v>
      </c>
      <c r="F270" s="40"/>
      <c r="G270" s="38"/>
      <c r="H270" s="51"/>
      <c r="I270" s="53">
        <v>0</v>
      </c>
      <c r="J270" s="51">
        <f t="shared" si="54"/>
        <v>0</v>
      </c>
      <c r="K270" s="54">
        <f t="shared" si="55"/>
        <v>0</v>
      </c>
      <c r="M270" s="45"/>
      <c r="N270" s="45"/>
      <c r="O270" s="45"/>
      <c r="P270" s="45"/>
      <c r="Q270" s="45"/>
      <c r="R270" s="45"/>
      <c r="S270" s="45"/>
      <c r="T270" s="45"/>
      <c r="U270" s="45"/>
      <c r="V270" s="45"/>
      <c r="W270" s="45"/>
      <c r="X270" s="45"/>
      <c r="Y270" s="45"/>
      <c r="Z270" s="56"/>
    </row>
    <row r="271" spans="1:26">
      <c r="A271" s="7" t="s">
        <v>770</v>
      </c>
      <c r="B271" s="40" t="s">
        <v>745</v>
      </c>
      <c r="C271" s="40" t="s">
        <v>216</v>
      </c>
      <c r="D271" s="206" t="s">
        <v>1005</v>
      </c>
      <c r="E271" s="206" t="s">
        <v>6</v>
      </c>
      <c r="F271" s="206" t="s">
        <v>71</v>
      </c>
      <c r="G271" s="207">
        <v>1</v>
      </c>
      <c r="H271" s="208">
        <v>2200067.3966666665</v>
      </c>
      <c r="I271" s="209">
        <v>0</v>
      </c>
      <c r="J271" s="208">
        <f t="shared" si="54"/>
        <v>2200067.3966666665</v>
      </c>
      <c r="K271" s="210">
        <f t="shared" si="55"/>
        <v>2200067.3966666665</v>
      </c>
      <c r="M271" s="45" t="s">
        <v>1112</v>
      </c>
      <c r="N271" s="45"/>
      <c r="O271" s="45"/>
      <c r="P271" s="45"/>
      <c r="Q271" s="45"/>
      <c r="R271" s="45"/>
      <c r="S271" s="45"/>
      <c r="T271" s="45"/>
      <c r="U271" s="45"/>
      <c r="V271" s="45"/>
      <c r="W271" s="45"/>
      <c r="X271" s="45"/>
      <c r="Y271" s="45"/>
      <c r="Z271" s="56"/>
    </row>
    <row r="272" spans="1:26">
      <c r="A272" s="7" t="s">
        <v>771</v>
      </c>
      <c r="B272" s="40" t="s">
        <v>749</v>
      </c>
      <c r="C272" s="40" t="s">
        <v>216</v>
      </c>
      <c r="D272" s="206" t="s">
        <v>1005</v>
      </c>
      <c r="E272" s="206" t="s">
        <v>6</v>
      </c>
      <c r="F272" s="206" t="s">
        <v>71</v>
      </c>
      <c r="G272" s="207">
        <v>1</v>
      </c>
      <c r="H272" s="208">
        <v>1474233.6057142857</v>
      </c>
      <c r="I272" s="209">
        <v>0</v>
      </c>
      <c r="J272" s="208">
        <f t="shared" si="54"/>
        <v>1474233.6057142857</v>
      </c>
      <c r="K272" s="210">
        <f t="shared" si="55"/>
        <v>1474233.6057142857</v>
      </c>
      <c r="M272" s="45" t="s">
        <v>1112</v>
      </c>
      <c r="N272" s="45"/>
      <c r="O272" s="45"/>
      <c r="P272" s="45"/>
      <c r="Q272" s="45"/>
      <c r="R272" s="45"/>
      <c r="S272" s="45"/>
      <c r="T272" s="45"/>
      <c r="U272" s="45"/>
      <c r="V272" s="45"/>
      <c r="W272" s="45"/>
      <c r="X272" s="45"/>
      <c r="Y272" s="45"/>
      <c r="Z272" s="56"/>
    </row>
    <row r="273" spans="1:26">
      <c r="A273" s="7" t="s">
        <v>772</v>
      </c>
      <c r="B273" s="40" t="s">
        <v>752</v>
      </c>
      <c r="C273" s="40" t="s">
        <v>216</v>
      </c>
      <c r="D273" s="206" t="s">
        <v>1005</v>
      </c>
      <c r="E273" s="206" t="s">
        <v>6</v>
      </c>
      <c r="F273" s="206" t="s">
        <v>71</v>
      </c>
      <c r="G273" s="207">
        <v>1</v>
      </c>
      <c r="H273" s="208">
        <v>649389</v>
      </c>
      <c r="I273" s="209">
        <v>0</v>
      </c>
      <c r="J273" s="208">
        <f t="shared" si="54"/>
        <v>649389</v>
      </c>
      <c r="K273" s="210">
        <f t="shared" si="55"/>
        <v>649389</v>
      </c>
      <c r="M273" s="45" t="s">
        <v>1115</v>
      </c>
      <c r="N273" s="45"/>
      <c r="O273" s="45"/>
      <c r="P273" s="45"/>
      <c r="Q273" s="45"/>
      <c r="R273" s="45"/>
      <c r="S273" s="45"/>
      <c r="T273" s="45"/>
      <c r="U273" s="45"/>
      <c r="V273" s="45"/>
      <c r="W273" s="45"/>
      <c r="X273" s="45"/>
      <c r="Y273" s="45"/>
      <c r="Z273" s="56"/>
    </row>
    <row r="274" spans="1:26">
      <c r="A274" s="7" t="s">
        <v>773</v>
      </c>
      <c r="B274" s="40" t="s">
        <v>760</v>
      </c>
      <c r="C274" s="40" t="s">
        <v>216</v>
      </c>
      <c r="D274" s="206" t="s">
        <v>1005</v>
      </c>
      <c r="E274" s="206" t="s">
        <v>6</v>
      </c>
      <c r="F274" s="206" t="s">
        <v>71</v>
      </c>
      <c r="G274" s="207">
        <v>1</v>
      </c>
      <c r="H274" s="208">
        <v>1310050.0533333332</v>
      </c>
      <c r="I274" s="209">
        <v>0</v>
      </c>
      <c r="J274" s="208">
        <f t="shared" si="54"/>
        <v>1310050.0533333332</v>
      </c>
      <c r="K274" s="210">
        <f t="shared" si="55"/>
        <v>1310050.0533333332</v>
      </c>
      <c r="M274" s="346" t="s">
        <v>1116</v>
      </c>
      <c r="N274" s="45"/>
      <c r="O274" s="45"/>
      <c r="P274" s="45"/>
      <c r="Q274" s="45"/>
      <c r="R274" s="45"/>
      <c r="S274" s="45"/>
      <c r="T274" s="45"/>
      <c r="U274" s="45"/>
      <c r="V274" s="45"/>
      <c r="W274" s="45"/>
      <c r="X274" s="45"/>
      <c r="Y274" s="45"/>
      <c r="Z274" s="56"/>
    </row>
    <row r="275" spans="1:26">
      <c r="A275" s="4" t="s">
        <v>774</v>
      </c>
      <c r="B275" s="151" t="s">
        <v>775</v>
      </c>
      <c r="C275" s="151"/>
      <c r="D275" s="151"/>
      <c r="E275" s="151"/>
      <c r="F275" s="151"/>
      <c r="G275" s="152"/>
      <c r="H275" s="153"/>
      <c r="I275" s="154"/>
      <c r="J275" s="153"/>
      <c r="K275" s="172"/>
      <c r="L275" s="70">
        <f>SUM(K276)</f>
        <v>15000</v>
      </c>
      <c r="M275" s="45"/>
      <c r="N275" s="45"/>
      <c r="O275" s="45"/>
      <c r="P275" s="45"/>
      <c r="Q275" s="45"/>
      <c r="R275" s="45"/>
      <c r="S275" s="45"/>
      <c r="T275" s="45"/>
      <c r="U275" s="45"/>
      <c r="V275" s="45"/>
      <c r="W275" s="45"/>
      <c r="X275" s="45"/>
      <c r="Y275" s="45"/>
      <c r="Z275" s="56"/>
    </row>
    <row r="276" spans="1:26">
      <c r="A276" s="5" t="s">
        <v>776</v>
      </c>
      <c r="B276" s="65" t="s">
        <v>777</v>
      </c>
      <c r="C276" s="65" t="s">
        <v>283</v>
      </c>
      <c r="D276" s="65" t="s">
        <v>1005</v>
      </c>
      <c r="E276" s="65" t="s">
        <v>73</v>
      </c>
      <c r="F276" s="65" t="s">
        <v>71</v>
      </c>
      <c r="G276" s="43">
        <v>1</v>
      </c>
      <c r="H276" s="64">
        <v>15000</v>
      </c>
      <c r="I276" s="157">
        <v>0</v>
      </c>
      <c r="J276" s="158">
        <f>H276*(1+I276)</f>
        <v>15000</v>
      </c>
      <c r="K276" s="159">
        <f>J276*G276</f>
        <v>15000</v>
      </c>
      <c r="M276" s="45"/>
      <c r="N276" s="45"/>
      <c r="O276" s="45"/>
      <c r="P276" s="45"/>
      <c r="Q276" s="45"/>
      <c r="R276" s="45"/>
      <c r="S276" s="45"/>
      <c r="T276" s="45"/>
      <c r="U276" s="45"/>
      <c r="V276" s="45"/>
      <c r="W276" s="45"/>
      <c r="X276" s="45"/>
      <c r="Y276" s="45"/>
      <c r="Z276" s="56"/>
    </row>
    <row r="277" spans="1:26">
      <c r="A277" s="4" t="s">
        <v>778</v>
      </c>
      <c r="B277" s="151" t="s">
        <v>779</v>
      </c>
      <c r="C277" s="151"/>
      <c r="D277" s="151"/>
      <c r="E277" s="151"/>
      <c r="F277" s="151"/>
      <c r="G277" s="152"/>
      <c r="H277" s="153"/>
      <c r="I277" s="154"/>
      <c r="J277" s="153"/>
      <c r="K277" s="172"/>
      <c r="L277" s="70">
        <f>SUM(K278:K280)</f>
        <v>469750</v>
      </c>
      <c r="M277" s="45"/>
      <c r="N277" s="45"/>
      <c r="O277" s="45"/>
      <c r="P277" s="45"/>
      <c r="Q277" s="45"/>
      <c r="R277" s="45"/>
      <c r="S277" s="45"/>
      <c r="T277" s="45"/>
      <c r="U277" s="45"/>
      <c r="V277" s="45"/>
      <c r="W277" s="45"/>
      <c r="X277" s="45"/>
      <c r="Y277" s="45"/>
      <c r="Z277" s="56"/>
    </row>
    <row r="278" spans="1:26">
      <c r="A278" s="374" t="s">
        <v>780</v>
      </c>
      <c r="B278" s="375" t="s">
        <v>781</v>
      </c>
      <c r="C278" s="375" t="s">
        <v>216</v>
      </c>
      <c r="D278" s="375"/>
      <c r="E278" s="375" t="s">
        <v>782</v>
      </c>
      <c r="F278" s="375" t="s">
        <v>88</v>
      </c>
      <c r="G278" s="376">
        <f>$E$8</f>
        <v>390</v>
      </c>
      <c r="H278" s="377">
        <v>1025</v>
      </c>
      <c r="I278" s="378">
        <v>0</v>
      </c>
      <c r="J278" s="379">
        <f t="shared" ref="J278:J280" si="58">H278*(1+I278)</f>
        <v>1025</v>
      </c>
      <c r="K278" s="380">
        <f t="shared" ref="K278:K280" si="59">J278*G278</f>
        <v>399750</v>
      </c>
      <c r="M278" s="45"/>
      <c r="N278" s="45"/>
      <c r="O278" s="45"/>
      <c r="P278" s="45"/>
      <c r="Q278" s="45"/>
      <c r="R278" s="45"/>
      <c r="S278" s="45"/>
      <c r="T278" s="45"/>
      <c r="U278" s="45"/>
      <c r="V278" s="45"/>
      <c r="W278" s="45"/>
      <c r="X278" s="45"/>
      <c r="Y278" s="45"/>
      <c r="Z278" s="56"/>
    </row>
    <row r="279" spans="1:26">
      <c r="A279" s="7" t="s">
        <v>783</v>
      </c>
      <c r="B279" s="40" t="s">
        <v>784</v>
      </c>
      <c r="C279" s="40" t="s">
        <v>283</v>
      </c>
      <c r="D279" s="40"/>
      <c r="E279" s="40" t="s">
        <v>73</v>
      </c>
      <c r="F279" s="40" t="s">
        <v>71</v>
      </c>
      <c r="G279" s="38">
        <v>1</v>
      </c>
      <c r="H279" s="51">
        <v>50000</v>
      </c>
      <c r="I279" s="53">
        <v>0</v>
      </c>
      <c r="J279" s="51">
        <f t="shared" si="58"/>
        <v>50000</v>
      </c>
      <c r="K279" s="54">
        <f t="shared" si="59"/>
        <v>50000</v>
      </c>
      <c r="M279" s="45" t="s">
        <v>785</v>
      </c>
      <c r="N279" s="45"/>
      <c r="O279" s="45"/>
      <c r="P279" s="45"/>
      <c r="Q279" s="45"/>
      <c r="R279" s="45"/>
      <c r="S279" s="45"/>
      <c r="T279" s="45"/>
      <c r="U279" s="45"/>
      <c r="V279" s="45"/>
      <c r="W279" s="45"/>
      <c r="X279" s="45"/>
      <c r="Y279" s="45"/>
      <c r="Z279" s="56"/>
    </row>
    <row r="280" spans="1:26">
      <c r="A280" s="7" t="s">
        <v>786</v>
      </c>
      <c r="B280" s="40" t="s">
        <v>787</v>
      </c>
      <c r="C280" s="40" t="s">
        <v>283</v>
      </c>
      <c r="D280" s="40"/>
      <c r="E280" s="40" t="s">
        <v>73</v>
      </c>
      <c r="F280" s="40" t="s">
        <v>71</v>
      </c>
      <c r="G280" s="38">
        <v>1</v>
      </c>
      <c r="H280" s="51">
        <v>20000</v>
      </c>
      <c r="I280" s="53">
        <v>0</v>
      </c>
      <c r="J280" s="51">
        <f t="shared" si="58"/>
        <v>20000</v>
      </c>
      <c r="K280" s="54">
        <f t="shared" si="59"/>
        <v>20000</v>
      </c>
      <c r="M280" s="45"/>
      <c r="N280" s="45"/>
      <c r="O280" s="45"/>
      <c r="P280" s="45"/>
      <c r="Q280" s="45"/>
      <c r="R280" s="45"/>
      <c r="S280" s="45"/>
      <c r="T280" s="45"/>
      <c r="U280" s="45"/>
      <c r="V280" s="45"/>
      <c r="W280" s="45"/>
      <c r="X280" s="45"/>
      <c r="Y280" s="45"/>
      <c r="Z280" s="56"/>
    </row>
    <row r="281" spans="1:26">
      <c r="A281" s="4" t="s">
        <v>788</v>
      </c>
      <c r="B281" s="151" t="s">
        <v>789</v>
      </c>
      <c r="C281" s="151"/>
      <c r="D281" s="151"/>
      <c r="E281" s="151"/>
      <c r="F281" s="151"/>
      <c r="G281" s="152"/>
      <c r="H281" s="153"/>
      <c r="I281" s="154"/>
      <c r="J281" s="153"/>
      <c r="K281" s="172"/>
      <c r="L281" s="70">
        <f>SUM(K282:K290)</f>
        <v>427358.97360000003</v>
      </c>
      <c r="M281" s="45"/>
      <c r="N281" s="45"/>
      <c r="O281" s="45"/>
      <c r="P281" s="45"/>
      <c r="Q281" s="45"/>
      <c r="R281" s="45"/>
      <c r="S281" s="45"/>
      <c r="T281" s="45"/>
      <c r="U281" s="45"/>
      <c r="V281" s="45"/>
      <c r="W281" s="45"/>
      <c r="X281" s="45"/>
      <c r="Y281" s="45"/>
      <c r="Z281" s="56"/>
    </row>
    <row r="282" spans="1:26">
      <c r="A282" s="6" t="s">
        <v>790</v>
      </c>
      <c r="B282" s="47" t="s">
        <v>791</v>
      </c>
      <c r="C282" s="47" t="s">
        <v>216</v>
      </c>
      <c r="D282" s="47"/>
      <c r="E282" s="47" t="s">
        <v>782</v>
      </c>
      <c r="F282" s="47" t="s">
        <v>71</v>
      </c>
      <c r="G282" s="185">
        <f>$B$9</f>
        <v>15.826000000000001</v>
      </c>
      <c r="H282" s="61">
        <v>2914</v>
      </c>
      <c r="I282" s="63">
        <v>0</v>
      </c>
      <c r="J282" s="66">
        <f t="shared" ref="J282:J290" si="60">H282*(1+I282)</f>
        <v>2914</v>
      </c>
      <c r="K282" s="67">
        <f t="shared" ref="K282:K290" si="61">J282*G282</f>
        <v>46116.964</v>
      </c>
      <c r="M282" s="45"/>
      <c r="N282" s="45"/>
      <c r="O282" s="45"/>
      <c r="P282" s="45"/>
      <c r="Q282" s="45"/>
      <c r="R282" s="45"/>
      <c r="S282" s="45"/>
      <c r="T282" s="45"/>
      <c r="U282" s="45"/>
      <c r="V282" s="45"/>
      <c r="W282" s="45"/>
      <c r="X282" s="45"/>
      <c r="Y282" s="45"/>
      <c r="Z282" s="56"/>
    </row>
    <row r="283" spans="1:26">
      <c r="A283" s="7" t="s">
        <v>792</v>
      </c>
      <c r="B283" s="40" t="s">
        <v>793</v>
      </c>
      <c r="C283" s="40" t="s">
        <v>216</v>
      </c>
      <c r="D283" s="40"/>
      <c r="E283" s="40" t="s">
        <v>782</v>
      </c>
      <c r="F283" s="40" t="s">
        <v>71</v>
      </c>
      <c r="G283" s="183">
        <f t="shared" ref="G283:G290" si="62">$B$9</f>
        <v>15.826000000000001</v>
      </c>
      <c r="H283" s="51">
        <v>1542</v>
      </c>
      <c r="I283" s="53">
        <v>0</v>
      </c>
      <c r="J283" s="51">
        <f t="shared" si="60"/>
        <v>1542</v>
      </c>
      <c r="K283" s="54">
        <f t="shared" si="61"/>
        <v>24403.691999999999</v>
      </c>
      <c r="M283" s="45"/>
      <c r="N283" s="45"/>
      <c r="O283" s="45"/>
      <c r="P283" s="45"/>
      <c r="Q283" s="45"/>
      <c r="R283" s="45"/>
      <c r="S283" s="45"/>
      <c r="T283" s="45"/>
      <c r="U283" s="45"/>
      <c r="V283" s="45"/>
      <c r="W283" s="45"/>
      <c r="X283" s="45"/>
      <c r="Y283" s="45"/>
      <c r="Z283" s="56"/>
    </row>
    <row r="284" spans="1:26">
      <c r="A284" s="7" t="s">
        <v>795</v>
      </c>
      <c r="B284" s="40" t="s">
        <v>796</v>
      </c>
      <c r="C284" s="40" t="s">
        <v>216</v>
      </c>
      <c r="D284" s="40"/>
      <c r="E284" s="40" t="s">
        <v>782</v>
      </c>
      <c r="F284" s="40" t="s">
        <v>71</v>
      </c>
      <c r="G284" s="183">
        <f t="shared" si="62"/>
        <v>15.826000000000001</v>
      </c>
      <c r="H284" s="51">
        <v>1870</v>
      </c>
      <c r="I284" s="53">
        <v>0</v>
      </c>
      <c r="J284" s="51">
        <f t="shared" si="60"/>
        <v>1870</v>
      </c>
      <c r="K284" s="54">
        <f t="shared" si="61"/>
        <v>29594.620000000003</v>
      </c>
      <c r="M284" s="45"/>
      <c r="N284" s="45"/>
      <c r="O284" s="45"/>
      <c r="P284" s="45"/>
      <c r="Q284" s="45"/>
      <c r="R284" s="45"/>
      <c r="S284" s="45"/>
      <c r="T284" s="45"/>
      <c r="U284" s="45"/>
      <c r="V284" s="45"/>
      <c r="W284" s="45"/>
      <c r="X284" s="45"/>
      <c r="Y284" s="45"/>
      <c r="Z284" s="56"/>
    </row>
    <row r="285" spans="1:26">
      <c r="A285" s="7" t="s">
        <v>797</v>
      </c>
      <c r="B285" s="40" t="s">
        <v>798</v>
      </c>
      <c r="C285" s="40" t="s">
        <v>216</v>
      </c>
      <c r="D285" s="40"/>
      <c r="E285" s="40" t="s">
        <v>782</v>
      </c>
      <c r="F285" s="40" t="s">
        <v>71</v>
      </c>
      <c r="G285" s="183">
        <f t="shared" si="62"/>
        <v>15.826000000000001</v>
      </c>
      <c r="H285" s="51">
        <v>6618.4</v>
      </c>
      <c r="I285" s="53">
        <v>0</v>
      </c>
      <c r="J285" s="51">
        <f t="shared" si="60"/>
        <v>6618.4</v>
      </c>
      <c r="K285" s="54">
        <f t="shared" si="61"/>
        <v>104742.7984</v>
      </c>
      <c r="M285" s="45"/>
      <c r="N285" s="45"/>
      <c r="O285" s="45"/>
      <c r="P285" s="45"/>
      <c r="Q285" s="45"/>
      <c r="R285" s="45"/>
      <c r="S285" s="45"/>
      <c r="T285" s="45"/>
      <c r="U285" s="45"/>
      <c r="V285" s="45"/>
      <c r="W285" s="45"/>
      <c r="X285" s="45"/>
      <c r="Y285" s="45"/>
      <c r="Z285" s="56"/>
    </row>
    <row r="286" spans="1:26">
      <c r="A286" s="7" t="s">
        <v>799</v>
      </c>
      <c r="B286" s="40" t="s">
        <v>800</v>
      </c>
      <c r="C286" s="40" t="s">
        <v>216</v>
      </c>
      <c r="D286" s="40"/>
      <c r="E286" s="40" t="s">
        <v>782</v>
      </c>
      <c r="F286" s="40" t="s">
        <v>71</v>
      </c>
      <c r="G286" s="183">
        <f t="shared" si="62"/>
        <v>15.826000000000001</v>
      </c>
      <c r="H286" s="51">
        <v>4006</v>
      </c>
      <c r="I286" s="53">
        <v>0</v>
      </c>
      <c r="J286" s="51">
        <f t="shared" si="60"/>
        <v>4006</v>
      </c>
      <c r="K286" s="54">
        <f t="shared" si="61"/>
        <v>63398.956000000006</v>
      </c>
      <c r="M286" s="45"/>
      <c r="N286" s="45"/>
      <c r="O286" s="45"/>
      <c r="P286" s="45"/>
      <c r="Q286" s="45"/>
      <c r="R286" s="45"/>
      <c r="S286" s="45"/>
      <c r="T286" s="45"/>
      <c r="U286" s="45"/>
      <c r="V286" s="45"/>
      <c r="W286" s="45"/>
      <c r="X286" s="45"/>
      <c r="Y286" s="45"/>
      <c r="Z286" s="56"/>
    </row>
    <row r="287" spans="1:26">
      <c r="A287" s="7" t="s">
        <v>801</v>
      </c>
      <c r="B287" s="40" t="s">
        <v>802</v>
      </c>
      <c r="C287" s="40" t="s">
        <v>216</v>
      </c>
      <c r="D287" s="40"/>
      <c r="E287" s="40" t="s">
        <v>782</v>
      </c>
      <c r="F287" s="40" t="s">
        <v>71</v>
      </c>
      <c r="G287" s="183">
        <f t="shared" si="62"/>
        <v>15.826000000000001</v>
      </c>
      <c r="H287" s="51">
        <v>3544.2</v>
      </c>
      <c r="I287" s="53">
        <v>0</v>
      </c>
      <c r="J287" s="51">
        <f t="shared" si="60"/>
        <v>3544.2</v>
      </c>
      <c r="K287" s="54">
        <f t="shared" si="61"/>
        <v>56090.5092</v>
      </c>
      <c r="M287" s="45"/>
      <c r="N287" s="45"/>
      <c r="O287" s="45"/>
      <c r="P287" s="45"/>
      <c r="Q287" s="45"/>
      <c r="R287" s="45"/>
      <c r="S287" s="45"/>
      <c r="T287" s="45"/>
      <c r="U287" s="45"/>
      <c r="V287" s="45"/>
      <c r="W287" s="45"/>
      <c r="X287" s="45"/>
      <c r="Y287" s="45"/>
      <c r="Z287" s="56"/>
    </row>
    <row r="288" spans="1:26">
      <c r="A288" s="7" t="s">
        <v>803</v>
      </c>
      <c r="B288" s="40" t="s">
        <v>804</v>
      </c>
      <c r="C288" s="40" t="s">
        <v>216</v>
      </c>
      <c r="D288" s="40"/>
      <c r="E288" s="40" t="s">
        <v>782</v>
      </c>
      <c r="F288" s="40" t="s">
        <v>71</v>
      </c>
      <c r="G288" s="183">
        <f t="shared" si="62"/>
        <v>15.826000000000001</v>
      </c>
      <c r="H288" s="51">
        <v>816</v>
      </c>
      <c r="I288" s="53">
        <v>0</v>
      </c>
      <c r="J288" s="51">
        <f t="shared" si="60"/>
        <v>816</v>
      </c>
      <c r="K288" s="54">
        <f t="shared" si="61"/>
        <v>12914.016</v>
      </c>
      <c r="M288" s="45"/>
      <c r="N288" s="45"/>
      <c r="O288" s="45"/>
      <c r="P288" s="45"/>
      <c r="Q288" s="45"/>
      <c r="R288" s="45"/>
      <c r="S288" s="45"/>
      <c r="T288" s="45"/>
      <c r="U288" s="45"/>
      <c r="V288" s="45"/>
      <c r="W288" s="45"/>
      <c r="X288" s="45"/>
      <c r="Y288" s="45"/>
      <c r="Z288" s="56"/>
    </row>
    <row r="289" spans="1:26">
      <c r="A289" s="7" t="s">
        <v>805</v>
      </c>
      <c r="B289" s="40" t="s">
        <v>806</v>
      </c>
      <c r="C289" s="40" t="s">
        <v>216</v>
      </c>
      <c r="D289" s="40"/>
      <c r="E289" s="40" t="s">
        <v>782</v>
      </c>
      <c r="F289" s="40" t="s">
        <v>71</v>
      </c>
      <c r="G289" s="183">
        <f t="shared" si="62"/>
        <v>15.826000000000001</v>
      </c>
      <c r="H289" s="51">
        <v>716.4</v>
      </c>
      <c r="I289" s="53">
        <v>0</v>
      </c>
      <c r="J289" s="51">
        <f t="shared" si="60"/>
        <v>716.4</v>
      </c>
      <c r="K289" s="54">
        <f t="shared" si="61"/>
        <v>11337.7464</v>
      </c>
      <c r="M289" s="45"/>
      <c r="N289" s="45"/>
      <c r="O289" s="45"/>
      <c r="P289" s="45"/>
      <c r="Q289" s="45"/>
      <c r="R289" s="45"/>
      <c r="S289" s="45"/>
      <c r="T289" s="45"/>
      <c r="U289" s="45"/>
      <c r="V289" s="45"/>
      <c r="W289" s="45"/>
      <c r="X289" s="45"/>
      <c r="Y289" s="45"/>
      <c r="Z289" s="56"/>
    </row>
    <row r="290" spans="1:26">
      <c r="A290" s="7" t="s">
        <v>807</v>
      </c>
      <c r="B290" s="40" t="s">
        <v>808</v>
      </c>
      <c r="C290" s="40" t="s">
        <v>216</v>
      </c>
      <c r="D290" s="40"/>
      <c r="E290" s="40" t="s">
        <v>782</v>
      </c>
      <c r="F290" s="40" t="s">
        <v>71</v>
      </c>
      <c r="G290" s="183">
        <f t="shared" si="62"/>
        <v>15.826000000000001</v>
      </c>
      <c r="H290" s="51">
        <v>4976.6000000000004</v>
      </c>
      <c r="I290" s="53">
        <v>0</v>
      </c>
      <c r="J290" s="51">
        <f t="shared" si="60"/>
        <v>4976.6000000000004</v>
      </c>
      <c r="K290" s="54">
        <f t="shared" si="61"/>
        <v>78759.671600000001</v>
      </c>
      <c r="M290" s="45"/>
      <c r="N290" s="45"/>
      <c r="O290" s="45"/>
      <c r="P290" s="45"/>
      <c r="Q290" s="45"/>
      <c r="R290" s="45"/>
      <c r="S290" s="45"/>
      <c r="T290" s="45"/>
      <c r="U290" s="45"/>
      <c r="V290" s="45"/>
      <c r="W290" s="45"/>
      <c r="X290" s="45"/>
      <c r="Y290" s="45"/>
      <c r="Z290" s="56"/>
    </row>
    <row r="291" spans="1:26">
      <c r="A291" s="4" t="s">
        <v>809</v>
      </c>
      <c r="B291" s="151"/>
      <c r="C291" s="151"/>
      <c r="D291" s="151"/>
      <c r="E291" s="151"/>
      <c r="F291" s="151"/>
      <c r="G291" s="152"/>
      <c r="H291" s="153"/>
      <c r="I291" s="154"/>
      <c r="J291" s="153"/>
      <c r="K291" s="172"/>
      <c r="L291" s="70">
        <f>SUM(K292:K299)</f>
        <v>0</v>
      </c>
      <c r="M291" s="45"/>
      <c r="N291" s="45"/>
      <c r="O291" s="45"/>
      <c r="P291" s="45"/>
      <c r="Q291" s="45"/>
      <c r="R291" s="45"/>
      <c r="S291" s="45"/>
      <c r="T291" s="45"/>
      <c r="U291" s="45"/>
      <c r="V291" s="45"/>
      <c r="W291" s="45"/>
      <c r="X291" s="45"/>
      <c r="Y291" s="45"/>
      <c r="Z291" s="56"/>
    </row>
    <row r="292" spans="1:26">
      <c r="A292" s="6" t="s">
        <v>809</v>
      </c>
      <c r="B292" s="47"/>
      <c r="C292" s="47"/>
      <c r="D292" s="47"/>
      <c r="E292" s="47" t="s">
        <v>231</v>
      </c>
      <c r="F292" s="47"/>
      <c r="G292" s="42"/>
      <c r="H292" s="61"/>
      <c r="I292" s="63">
        <v>0</v>
      </c>
      <c r="J292" s="66">
        <f t="shared" ref="J292:J299" si="63">H292*(1+I292)</f>
        <v>0</v>
      </c>
      <c r="K292" s="67">
        <f t="shared" ref="K292:K299" si="64">J292*G292</f>
        <v>0</v>
      </c>
      <c r="M292" s="45"/>
      <c r="N292" s="45"/>
      <c r="O292" s="45"/>
      <c r="P292" s="45"/>
      <c r="Q292" s="45"/>
      <c r="R292" s="45"/>
      <c r="S292" s="45"/>
      <c r="T292" s="45"/>
      <c r="U292" s="45"/>
      <c r="V292" s="45"/>
      <c r="W292" s="45"/>
      <c r="X292" s="45"/>
      <c r="Y292" s="45"/>
      <c r="Z292" s="56"/>
    </row>
    <row r="293" spans="1:26">
      <c r="A293" s="7" t="s">
        <v>810</v>
      </c>
      <c r="B293" s="40"/>
      <c r="C293" s="40"/>
      <c r="D293" s="40"/>
      <c r="E293" s="40" t="s">
        <v>231</v>
      </c>
      <c r="F293" s="40"/>
      <c r="G293" s="38"/>
      <c r="H293" s="51"/>
      <c r="I293" s="53">
        <v>0</v>
      </c>
      <c r="J293" s="51">
        <f t="shared" si="63"/>
        <v>0</v>
      </c>
      <c r="K293" s="54">
        <f t="shared" si="64"/>
        <v>0</v>
      </c>
      <c r="M293" s="45"/>
      <c r="N293" s="45"/>
      <c r="O293" s="45"/>
      <c r="P293" s="45"/>
      <c r="Q293" s="45"/>
      <c r="R293" s="45"/>
      <c r="S293" s="45"/>
      <c r="T293" s="45"/>
      <c r="U293" s="45"/>
      <c r="V293" s="45"/>
      <c r="W293" s="45"/>
      <c r="X293" s="45"/>
      <c r="Y293" s="45"/>
      <c r="Z293" s="56"/>
    </row>
    <row r="294" spans="1:26">
      <c r="A294" s="7" t="s">
        <v>811</v>
      </c>
      <c r="B294" s="40"/>
      <c r="C294" s="40"/>
      <c r="D294" s="40"/>
      <c r="E294" s="40" t="s">
        <v>231</v>
      </c>
      <c r="F294" s="40"/>
      <c r="G294" s="38"/>
      <c r="H294" s="51"/>
      <c r="I294" s="53">
        <v>0</v>
      </c>
      <c r="J294" s="51">
        <f t="shared" si="63"/>
        <v>0</v>
      </c>
      <c r="K294" s="54">
        <f t="shared" si="64"/>
        <v>0</v>
      </c>
      <c r="M294" s="45"/>
      <c r="N294" s="45"/>
      <c r="O294" s="45"/>
      <c r="P294" s="45"/>
      <c r="Q294" s="45"/>
      <c r="R294" s="45"/>
      <c r="S294" s="45"/>
      <c r="T294" s="45"/>
      <c r="U294" s="45"/>
      <c r="V294" s="45"/>
      <c r="W294" s="45"/>
      <c r="X294" s="45"/>
      <c r="Y294" s="45"/>
      <c r="Z294" s="56"/>
    </row>
    <row r="295" spans="1:26">
      <c r="A295" s="7" t="s">
        <v>812</v>
      </c>
      <c r="B295" s="40"/>
      <c r="C295" s="40"/>
      <c r="D295" s="40"/>
      <c r="E295" s="40" t="s">
        <v>231</v>
      </c>
      <c r="F295" s="40"/>
      <c r="G295" s="38"/>
      <c r="H295" s="51"/>
      <c r="I295" s="53">
        <v>0</v>
      </c>
      <c r="J295" s="51">
        <f t="shared" si="63"/>
        <v>0</v>
      </c>
      <c r="K295" s="54">
        <f t="shared" si="64"/>
        <v>0</v>
      </c>
      <c r="M295" s="45"/>
      <c r="N295" s="45"/>
      <c r="O295" s="45"/>
      <c r="P295" s="45"/>
      <c r="Q295" s="45"/>
      <c r="R295" s="45"/>
      <c r="S295" s="45"/>
      <c r="T295" s="45"/>
      <c r="U295" s="45"/>
      <c r="V295" s="45"/>
      <c r="W295" s="45"/>
      <c r="X295" s="45"/>
      <c r="Y295" s="45"/>
      <c r="Z295" s="56"/>
    </row>
    <row r="296" spans="1:26">
      <c r="A296" s="7" t="s">
        <v>813</v>
      </c>
      <c r="B296" s="40"/>
      <c r="C296" s="40"/>
      <c r="D296" s="40"/>
      <c r="E296" s="40" t="s">
        <v>231</v>
      </c>
      <c r="F296" s="40"/>
      <c r="G296" s="38"/>
      <c r="H296" s="51"/>
      <c r="I296" s="53">
        <v>0</v>
      </c>
      <c r="J296" s="51">
        <f t="shared" si="63"/>
        <v>0</v>
      </c>
      <c r="K296" s="54">
        <f t="shared" si="64"/>
        <v>0</v>
      </c>
      <c r="M296" s="45"/>
      <c r="N296" s="45"/>
      <c r="O296" s="45"/>
      <c r="P296" s="45"/>
      <c r="Q296" s="45"/>
      <c r="R296" s="45"/>
      <c r="S296" s="45"/>
      <c r="T296" s="45"/>
      <c r="U296" s="45"/>
      <c r="V296" s="45"/>
      <c r="W296" s="45"/>
      <c r="X296" s="45"/>
      <c r="Y296" s="45"/>
      <c r="Z296" s="56"/>
    </row>
    <row r="297" spans="1:26">
      <c r="A297" s="7" t="s">
        <v>814</v>
      </c>
      <c r="B297" s="40"/>
      <c r="C297" s="40"/>
      <c r="D297" s="40"/>
      <c r="E297" s="40" t="s">
        <v>231</v>
      </c>
      <c r="F297" s="40"/>
      <c r="G297" s="38"/>
      <c r="H297" s="51"/>
      <c r="I297" s="53">
        <v>0</v>
      </c>
      <c r="J297" s="51">
        <f t="shared" si="63"/>
        <v>0</v>
      </c>
      <c r="K297" s="54">
        <f t="shared" si="64"/>
        <v>0</v>
      </c>
      <c r="M297" s="45"/>
      <c r="N297" s="45"/>
      <c r="O297" s="45"/>
      <c r="P297" s="45"/>
      <c r="Q297" s="45"/>
      <c r="R297" s="45"/>
      <c r="S297" s="45"/>
      <c r="T297" s="45"/>
      <c r="U297" s="45"/>
      <c r="V297" s="45"/>
      <c r="W297" s="45"/>
      <c r="X297" s="45"/>
      <c r="Y297" s="45"/>
      <c r="Z297" s="56"/>
    </row>
    <row r="298" spans="1:26">
      <c r="A298" s="7" t="s">
        <v>815</v>
      </c>
      <c r="B298" s="40"/>
      <c r="C298" s="40"/>
      <c r="D298" s="40"/>
      <c r="E298" s="40" t="s">
        <v>231</v>
      </c>
      <c r="F298" s="40"/>
      <c r="G298" s="38"/>
      <c r="H298" s="51"/>
      <c r="I298" s="53">
        <v>0</v>
      </c>
      <c r="J298" s="51">
        <f t="shared" si="63"/>
        <v>0</v>
      </c>
      <c r="K298" s="54">
        <f t="shared" si="64"/>
        <v>0</v>
      </c>
      <c r="M298" s="45"/>
      <c r="N298" s="45"/>
      <c r="O298" s="45"/>
      <c r="P298" s="45"/>
      <c r="Q298" s="45"/>
      <c r="R298" s="45"/>
      <c r="S298" s="45"/>
      <c r="T298" s="45"/>
      <c r="U298" s="45"/>
      <c r="V298" s="45"/>
      <c r="W298" s="45"/>
      <c r="X298" s="45"/>
      <c r="Y298" s="45"/>
      <c r="Z298" s="56"/>
    </row>
    <row r="299" spans="1:26">
      <c r="A299" s="7" t="s">
        <v>816</v>
      </c>
      <c r="B299" s="40"/>
      <c r="C299" s="40"/>
      <c r="D299" s="40"/>
      <c r="E299" s="40" t="s">
        <v>231</v>
      </c>
      <c r="F299" s="40"/>
      <c r="G299" s="38"/>
      <c r="H299" s="51"/>
      <c r="I299" s="53">
        <v>0</v>
      </c>
      <c r="J299" s="51">
        <f t="shared" si="63"/>
        <v>0</v>
      </c>
      <c r="K299" s="54">
        <f t="shared" si="64"/>
        <v>0</v>
      </c>
      <c r="M299" s="45"/>
      <c r="N299" s="45"/>
      <c r="O299" s="45"/>
      <c r="P299" s="45"/>
      <c r="Q299" s="45"/>
      <c r="R299" s="45"/>
      <c r="S299" s="45"/>
      <c r="T299" s="45"/>
      <c r="U299" s="45"/>
      <c r="V299" s="45"/>
      <c r="W299" s="45"/>
      <c r="X299" s="45"/>
      <c r="Y299" s="45"/>
      <c r="Z299" s="56"/>
    </row>
    <row r="300" spans="1:26">
      <c r="A300" s="4" t="s">
        <v>817</v>
      </c>
      <c r="B300" s="151" t="s">
        <v>817</v>
      </c>
      <c r="C300" s="151"/>
      <c r="D300" s="151"/>
      <c r="E300" s="151"/>
      <c r="F300" s="151"/>
      <c r="G300" s="152"/>
      <c r="H300" s="153"/>
      <c r="I300" s="154"/>
      <c r="J300" s="153"/>
      <c r="K300" s="172"/>
      <c r="L300" s="70">
        <f>SUM(K301:K302)</f>
        <v>1321372.7348558828</v>
      </c>
      <c r="M300" s="45"/>
      <c r="N300" s="45"/>
      <c r="O300" s="45"/>
      <c r="P300" s="45"/>
      <c r="Q300" s="45"/>
      <c r="R300" s="45"/>
      <c r="S300" s="45"/>
      <c r="T300" s="45"/>
      <c r="U300" s="45"/>
      <c r="V300" s="45"/>
      <c r="W300" s="45"/>
      <c r="X300" s="45"/>
      <c r="Y300" s="45"/>
      <c r="Z300" s="56"/>
    </row>
    <row r="301" spans="1:26">
      <c r="A301" s="6" t="s">
        <v>818</v>
      </c>
      <c r="B301" s="47"/>
      <c r="C301" s="47"/>
      <c r="D301" s="47"/>
      <c r="E301" s="47"/>
      <c r="F301" s="47"/>
      <c r="G301" s="198">
        <v>0</v>
      </c>
      <c r="H301" s="61"/>
      <c r="I301" s="63"/>
      <c r="J301" s="66"/>
      <c r="K301" s="67">
        <f>G301*SUM(K22:K299)</f>
        <v>0</v>
      </c>
      <c r="M301" s="45"/>
      <c r="N301" s="45"/>
      <c r="O301" s="45"/>
      <c r="P301" s="45"/>
      <c r="Q301" s="45"/>
      <c r="R301" s="45"/>
      <c r="S301" s="45"/>
      <c r="T301" s="45"/>
      <c r="U301" s="45"/>
      <c r="V301" s="45"/>
      <c r="W301" s="45"/>
      <c r="X301" s="45"/>
      <c r="Y301" s="45"/>
      <c r="Z301" s="56"/>
    </row>
    <row r="302" spans="1:26">
      <c r="A302" s="5" t="s">
        <v>817</v>
      </c>
      <c r="B302" s="65"/>
      <c r="C302" s="65"/>
      <c r="D302" s="65"/>
      <c r="E302" s="65"/>
      <c r="F302" s="65"/>
      <c r="G302" s="186">
        <v>0.02</v>
      </c>
      <c r="H302" s="64"/>
      <c r="I302" s="157"/>
      <c r="J302" s="158"/>
      <c r="K302" s="159">
        <f>G302*SUM(K23:K300)</f>
        <v>1321372.7348558828</v>
      </c>
      <c r="M302" s="45" t="s">
        <v>819</v>
      </c>
      <c r="N302" s="45"/>
      <c r="O302" s="45"/>
      <c r="P302" s="45"/>
      <c r="Q302" s="45"/>
      <c r="R302" s="45"/>
      <c r="S302" s="45"/>
      <c r="T302" s="45"/>
      <c r="U302" s="45"/>
      <c r="V302" s="45"/>
      <c r="W302" s="45"/>
      <c r="X302" s="45"/>
      <c r="Y302" s="45"/>
      <c r="Z302" s="56"/>
    </row>
    <row r="303" spans="1:26">
      <c r="A303" s="4" t="s">
        <v>820</v>
      </c>
      <c r="B303" s="151" t="s">
        <v>821</v>
      </c>
      <c r="C303" s="151"/>
      <c r="D303" s="151"/>
      <c r="E303" s="151"/>
      <c r="F303" s="151"/>
      <c r="G303" s="152"/>
      <c r="H303" s="153"/>
      <c r="I303" s="154"/>
      <c r="J303" s="153"/>
      <c r="K303" s="172"/>
      <c r="L303" s="70">
        <f>SUM(K304:K317)</f>
        <v>1675126.8</v>
      </c>
      <c r="M303" s="45"/>
      <c r="N303" s="45"/>
      <c r="O303" s="45"/>
      <c r="P303" s="45"/>
      <c r="Q303" s="45"/>
      <c r="R303" s="45"/>
      <c r="S303" s="45"/>
      <c r="T303" s="45"/>
      <c r="U303" s="45"/>
      <c r="V303" s="45"/>
      <c r="W303" s="45"/>
      <c r="X303" s="45"/>
      <c r="Y303" s="45"/>
      <c r="Z303" s="56"/>
    </row>
    <row r="304" spans="1:26">
      <c r="A304" s="6" t="s">
        <v>822</v>
      </c>
      <c r="B304" s="47" t="s">
        <v>823</v>
      </c>
      <c r="C304" s="47" t="s">
        <v>216</v>
      </c>
      <c r="D304" s="47"/>
      <c r="E304" s="47" t="s">
        <v>824</v>
      </c>
      <c r="F304" s="47" t="s">
        <v>71</v>
      </c>
      <c r="G304" s="42">
        <v>1</v>
      </c>
      <c r="H304" s="61">
        <v>10000</v>
      </c>
      <c r="I304" s="63">
        <v>0</v>
      </c>
      <c r="J304" s="66">
        <f t="shared" ref="J304:J317" si="65">H304*(1+I304)</f>
        <v>10000</v>
      </c>
      <c r="K304" s="67">
        <f t="shared" ref="K304:K317" si="66">J304*G304</f>
        <v>10000</v>
      </c>
      <c r="M304" s="45"/>
      <c r="N304" s="45"/>
      <c r="O304" s="45"/>
      <c r="P304" s="45"/>
      <c r="Q304" s="45"/>
      <c r="R304" s="45"/>
      <c r="S304" s="45"/>
      <c r="T304" s="45"/>
      <c r="U304" s="45"/>
      <c r="V304" s="45"/>
      <c r="W304" s="45"/>
      <c r="X304" s="45"/>
      <c r="Y304" s="45"/>
      <c r="Z304" s="56"/>
    </row>
    <row r="305" spans="1:26">
      <c r="A305" s="7" t="s">
        <v>825</v>
      </c>
      <c r="B305" s="40" t="s">
        <v>826</v>
      </c>
      <c r="C305" s="40" t="s">
        <v>216</v>
      </c>
      <c r="D305" s="40"/>
      <c r="E305" s="40" t="s">
        <v>231</v>
      </c>
      <c r="F305" s="40"/>
      <c r="G305" s="38"/>
      <c r="H305" s="51"/>
      <c r="I305" s="53">
        <v>0</v>
      </c>
      <c r="J305" s="51">
        <f t="shared" si="65"/>
        <v>0</v>
      </c>
      <c r="K305" s="54">
        <f t="shared" si="66"/>
        <v>0</v>
      </c>
      <c r="M305" s="45"/>
      <c r="N305" s="45"/>
      <c r="O305" s="45"/>
      <c r="P305" s="45"/>
      <c r="Q305" s="45"/>
      <c r="R305" s="45"/>
      <c r="S305" s="45"/>
      <c r="T305" s="45"/>
      <c r="U305" s="45"/>
      <c r="V305" s="45"/>
      <c r="W305" s="45"/>
      <c r="X305" s="45"/>
      <c r="Y305" s="45"/>
      <c r="Z305" s="56"/>
    </row>
    <row r="306" spans="1:26">
      <c r="A306" s="7" t="s">
        <v>827</v>
      </c>
      <c r="B306" s="40" t="s">
        <v>828</v>
      </c>
      <c r="C306" s="40" t="s">
        <v>216</v>
      </c>
      <c r="D306" s="40"/>
      <c r="E306" s="40" t="s">
        <v>824</v>
      </c>
      <c r="F306" s="40" t="s">
        <v>71</v>
      </c>
      <c r="G306" s="38">
        <v>1</v>
      </c>
      <c r="H306" s="51">
        <v>21000</v>
      </c>
      <c r="I306" s="53">
        <v>0</v>
      </c>
      <c r="J306" s="51">
        <f t="shared" si="65"/>
        <v>21000</v>
      </c>
      <c r="K306" s="54">
        <f t="shared" si="66"/>
        <v>21000</v>
      </c>
      <c r="M306" s="45"/>
      <c r="N306" s="45"/>
      <c r="O306" s="45"/>
      <c r="P306" s="45"/>
      <c r="Q306" s="45"/>
      <c r="R306" s="45"/>
      <c r="S306" s="45"/>
      <c r="T306" s="45"/>
      <c r="U306" s="45"/>
      <c r="V306" s="45"/>
      <c r="W306" s="45"/>
      <c r="X306" s="45"/>
      <c r="Y306" s="45"/>
      <c r="Z306" s="56"/>
    </row>
    <row r="307" spans="1:26">
      <c r="A307" s="7" t="s">
        <v>829</v>
      </c>
      <c r="B307" s="40" t="s">
        <v>830</v>
      </c>
      <c r="C307" s="40" t="s">
        <v>216</v>
      </c>
      <c r="D307" s="40"/>
      <c r="E307" s="40" t="s">
        <v>555</v>
      </c>
      <c r="F307" s="40" t="s">
        <v>71</v>
      </c>
      <c r="G307" s="38">
        <v>1</v>
      </c>
      <c r="H307" s="51">
        <v>21900</v>
      </c>
      <c r="I307" s="53">
        <v>0</v>
      </c>
      <c r="J307" s="51">
        <f t="shared" si="65"/>
        <v>21900</v>
      </c>
      <c r="K307" s="54">
        <f t="shared" si="66"/>
        <v>21900</v>
      </c>
      <c r="M307" s="45"/>
      <c r="N307" s="45"/>
      <c r="O307" s="45"/>
      <c r="P307" s="45"/>
      <c r="Q307" s="45"/>
      <c r="R307" s="45"/>
      <c r="S307" s="45"/>
      <c r="T307" s="45"/>
      <c r="U307" s="45"/>
      <c r="V307" s="45"/>
      <c r="W307" s="45"/>
      <c r="X307" s="45"/>
      <c r="Y307" s="45"/>
      <c r="Z307" s="56"/>
    </row>
    <row r="308" spans="1:26">
      <c r="A308" s="9" t="s">
        <v>831</v>
      </c>
      <c r="B308" s="40" t="s">
        <v>832</v>
      </c>
      <c r="C308" s="40" t="s">
        <v>216</v>
      </c>
      <c r="D308" s="40"/>
      <c r="E308" s="40" t="s">
        <v>555</v>
      </c>
      <c r="F308" s="40" t="s">
        <v>1088</v>
      </c>
      <c r="G308" s="38">
        <f>1140*2</f>
        <v>2280</v>
      </c>
      <c r="H308" s="50">
        <v>56.81</v>
      </c>
      <c r="I308" s="53">
        <v>0</v>
      </c>
      <c r="J308" s="51">
        <f t="shared" si="65"/>
        <v>56.81</v>
      </c>
      <c r="K308" s="54">
        <f t="shared" si="66"/>
        <v>129526.8</v>
      </c>
      <c r="M308" s="45"/>
      <c r="N308" s="45"/>
      <c r="O308" s="45"/>
      <c r="P308" s="45"/>
      <c r="Q308" s="45"/>
      <c r="R308" s="45"/>
      <c r="S308" s="45"/>
      <c r="T308" s="45"/>
      <c r="U308" s="45"/>
      <c r="V308" s="45"/>
      <c r="W308" s="45"/>
      <c r="X308" s="45"/>
      <c r="Y308" s="45"/>
      <c r="Z308" s="56"/>
    </row>
    <row r="309" spans="1:26">
      <c r="A309" s="9" t="s">
        <v>939</v>
      </c>
      <c r="B309" s="40" t="s">
        <v>834</v>
      </c>
      <c r="C309" s="40" t="s">
        <v>216</v>
      </c>
      <c r="D309" s="40"/>
      <c r="E309" s="40" t="s">
        <v>231</v>
      </c>
      <c r="F309" s="40"/>
      <c r="G309" s="38"/>
      <c r="H309" s="51"/>
      <c r="I309" s="53">
        <v>0</v>
      </c>
      <c r="J309" s="51">
        <f t="shared" si="65"/>
        <v>0</v>
      </c>
      <c r="K309" s="54">
        <f t="shared" si="66"/>
        <v>0</v>
      </c>
      <c r="M309" s="45"/>
      <c r="N309" s="45"/>
      <c r="O309" s="45"/>
      <c r="P309" s="45"/>
      <c r="Q309" s="45"/>
      <c r="R309" s="45"/>
      <c r="S309" s="45"/>
      <c r="T309" s="45"/>
      <c r="U309" s="45"/>
      <c r="V309" s="45"/>
      <c r="W309" s="45"/>
      <c r="X309" s="45"/>
      <c r="Y309" s="45"/>
      <c r="Z309" s="56"/>
    </row>
    <row r="310" spans="1:26">
      <c r="A310" s="9" t="s">
        <v>835</v>
      </c>
      <c r="B310" s="40" t="s">
        <v>836</v>
      </c>
      <c r="C310" s="40" t="s">
        <v>216</v>
      </c>
      <c r="D310" s="40"/>
      <c r="E310" s="40" t="s">
        <v>555</v>
      </c>
      <c r="F310" s="40" t="s">
        <v>71</v>
      </c>
      <c r="G310" s="38">
        <v>1</v>
      </c>
      <c r="H310" s="51">
        <v>15000</v>
      </c>
      <c r="I310" s="53">
        <v>0</v>
      </c>
      <c r="J310" s="51">
        <f t="shared" si="65"/>
        <v>15000</v>
      </c>
      <c r="K310" s="54">
        <f t="shared" si="66"/>
        <v>15000</v>
      </c>
      <c r="M310" s="45"/>
      <c r="N310" s="45"/>
      <c r="O310" s="45"/>
      <c r="P310" s="45"/>
      <c r="Q310" s="45"/>
      <c r="R310" s="45"/>
      <c r="S310" s="45"/>
      <c r="T310" s="45"/>
      <c r="U310" s="45"/>
      <c r="V310" s="45"/>
      <c r="W310" s="45"/>
      <c r="X310" s="45"/>
      <c r="Y310" s="45"/>
      <c r="Z310" s="56"/>
    </row>
    <row r="311" spans="1:26">
      <c r="A311" s="9" t="s">
        <v>837</v>
      </c>
      <c r="B311" s="40" t="s">
        <v>838</v>
      </c>
      <c r="C311" s="40" t="s">
        <v>216</v>
      </c>
      <c r="D311" s="40"/>
      <c r="E311" s="40" t="s">
        <v>555</v>
      </c>
      <c r="F311" s="40" t="s">
        <v>71</v>
      </c>
      <c r="G311" s="38">
        <v>1</v>
      </c>
      <c r="H311" s="51">
        <v>5000</v>
      </c>
      <c r="I311" s="53">
        <v>0</v>
      </c>
      <c r="J311" s="51">
        <f t="shared" si="65"/>
        <v>5000</v>
      </c>
      <c r="K311" s="54">
        <f t="shared" si="66"/>
        <v>5000</v>
      </c>
      <c r="M311" s="45"/>
      <c r="N311" s="45"/>
      <c r="O311" s="45"/>
      <c r="P311" s="45"/>
      <c r="Q311" s="45"/>
      <c r="R311" s="45"/>
      <c r="S311" s="45"/>
      <c r="T311" s="45"/>
      <c r="U311" s="45"/>
      <c r="V311" s="45"/>
      <c r="W311" s="45"/>
      <c r="X311" s="45"/>
      <c r="Y311" s="45"/>
      <c r="Z311" s="56"/>
    </row>
    <row r="312" spans="1:26">
      <c r="A312" s="9" t="s">
        <v>839</v>
      </c>
      <c r="B312" s="40" t="s">
        <v>840</v>
      </c>
      <c r="C312" s="40" t="s">
        <v>216</v>
      </c>
      <c r="D312" s="40"/>
      <c r="E312" s="40" t="s">
        <v>231</v>
      </c>
      <c r="F312" s="40"/>
      <c r="G312" s="38"/>
      <c r="H312" s="51"/>
      <c r="I312" s="53">
        <v>0</v>
      </c>
      <c r="J312" s="51">
        <f t="shared" si="65"/>
        <v>0</v>
      </c>
      <c r="K312" s="54">
        <f t="shared" si="66"/>
        <v>0</v>
      </c>
      <c r="M312" s="45"/>
      <c r="N312" s="45"/>
      <c r="O312" s="45"/>
      <c r="P312" s="45"/>
      <c r="Q312" s="45"/>
      <c r="R312" s="45"/>
      <c r="S312" s="45"/>
      <c r="T312" s="45"/>
      <c r="U312" s="45"/>
      <c r="V312" s="45"/>
      <c r="W312" s="45"/>
      <c r="X312" s="45"/>
      <c r="Y312" s="45"/>
      <c r="Z312" s="56"/>
    </row>
    <row r="313" spans="1:26">
      <c r="A313" s="7" t="s">
        <v>841</v>
      </c>
      <c r="B313" s="40" t="s">
        <v>842</v>
      </c>
      <c r="C313" s="40" t="s">
        <v>216</v>
      </c>
      <c r="D313" s="40"/>
      <c r="E313" s="40" t="s">
        <v>73</v>
      </c>
      <c r="F313" s="40" t="s">
        <v>71</v>
      </c>
      <c r="G313" s="38">
        <v>1</v>
      </c>
      <c r="H313" s="51">
        <v>1250000</v>
      </c>
      <c r="I313" s="53">
        <v>0</v>
      </c>
      <c r="J313" s="51">
        <f t="shared" si="65"/>
        <v>1250000</v>
      </c>
      <c r="K313" s="54">
        <f t="shared" si="66"/>
        <v>1250000</v>
      </c>
      <c r="M313" s="45"/>
      <c r="N313" s="45"/>
      <c r="O313" s="45"/>
      <c r="P313" s="45"/>
      <c r="Q313" s="45"/>
      <c r="R313" s="45"/>
      <c r="S313" s="45"/>
      <c r="T313" s="45"/>
      <c r="U313" s="45"/>
      <c r="V313" s="45"/>
      <c r="W313" s="45"/>
      <c r="X313" s="45"/>
      <c r="Y313" s="45"/>
      <c r="Z313" s="56"/>
    </row>
    <row r="314" spans="1:26">
      <c r="A314" s="7" t="s">
        <v>843</v>
      </c>
      <c r="B314" s="40" t="s">
        <v>844</v>
      </c>
      <c r="C314" s="40" t="s">
        <v>216</v>
      </c>
      <c r="D314" s="40"/>
      <c r="E314" s="40" t="s">
        <v>733</v>
      </c>
      <c r="F314" s="40" t="s">
        <v>71</v>
      </c>
      <c r="G314" s="38">
        <v>1</v>
      </c>
      <c r="H314" s="51">
        <v>200000</v>
      </c>
      <c r="I314" s="53">
        <v>0</v>
      </c>
      <c r="J314" s="51">
        <f t="shared" si="65"/>
        <v>200000</v>
      </c>
      <c r="K314" s="54">
        <f t="shared" si="66"/>
        <v>200000</v>
      </c>
      <c r="M314" s="45" t="s">
        <v>845</v>
      </c>
      <c r="N314" s="45"/>
      <c r="O314" s="45"/>
      <c r="P314" s="45"/>
      <c r="Q314" s="45"/>
      <c r="R314" s="45"/>
      <c r="S314" s="45"/>
      <c r="T314" s="45"/>
      <c r="U314" s="45"/>
      <c r="V314" s="45"/>
      <c r="W314" s="45"/>
      <c r="X314" s="45"/>
      <c r="Y314" s="45"/>
      <c r="Z314" s="56"/>
    </row>
    <row r="315" spans="1:26">
      <c r="A315" s="9" t="s">
        <v>846</v>
      </c>
      <c r="B315" s="40" t="s">
        <v>630</v>
      </c>
      <c r="C315" s="40" t="s">
        <v>216</v>
      </c>
      <c r="D315" s="40"/>
      <c r="E315" s="40" t="s">
        <v>555</v>
      </c>
      <c r="F315" s="40" t="s">
        <v>71</v>
      </c>
      <c r="G315" s="38">
        <v>1</v>
      </c>
      <c r="H315" s="51">
        <v>19500</v>
      </c>
      <c r="I315" s="53">
        <v>0</v>
      </c>
      <c r="J315" s="51">
        <f t="shared" si="65"/>
        <v>19500</v>
      </c>
      <c r="K315" s="54">
        <f t="shared" si="66"/>
        <v>19500</v>
      </c>
      <c r="M315" s="45"/>
      <c r="N315" s="45"/>
      <c r="O315" s="45"/>
      <c r="P315" s="45"/>
      <c r="Q315" s="45"/>
      <c r="R315" s="45"/>
      <c r="S315" s="45"/>
      <c r="T315" s="45"/>
      <c r="U315" s="45"/>
      <c r="V315" s="45"/>
      <c r="W315" s="45"/>
      <c r="X315" s="45"/>
      <c r="Y315" s="45"/>
      <c r="Z315" s="56"/>
    </row>
    <row r="316" spans="1:26">
      <c r="A316" s="9" t="s">
        <v>847</v>
      </c>
      <c r="B316" s="40" t="s">
        <v>848</v>
      </c>
      <c r="C316" s="40" t="s">
        <v>216</v>
      </c>
      <c r="D316" s="40"/>
      <c r="E316" s="40" t="s">
        <v>555</v>
      </c>
      <c r="F316" s="40" t="s">
        <v>71</v>
      </c>
      <c r="G316" s="38">
        <v>1</v>
      </c>
      <c r="H316" s="51">
        <v>2000</v>
      </c>
      <c r="I316" s="53">
        <v>0</v>
      </c>
      <c r="J316" s="51">
        <f t="shared" si="65"/>
        <v>2000</v>
      </c>
      <c r="K316" s="54">
        <f t="shared" si="66"/>
        <v>2000</v>
      </c>
      <c r="M316" s="45"/>
      <c r="N316" s="45"/>
      <c r="O316" s="45"/>
      <c r="P316" s="45"/>
      <c r="Q316" s="45"/>
      <c r="R316" s="45"/>
      <c r="S316" s="45"/>
      <c r="T316" s="45"/>
      <c r="U316" s="45"/>
      <c r="V316" s="45"/>
      <c r="W316" s="45"/>
      <c r="X316" s="45"/>
      <c r="Y316" s="45"/>
      <c r="Z316" s="56"/>
    </row>
    <row r="317" spans="1:26">
      <c r="A317" s="9" t="s">
        <v>849</v>
      </c>
      <c r="B317" s="40" t="s">
        <v>850</v>
      </c>
      <c r="C317" s="40" t="s">
        <v>216</v>
      </c>
      <c r="D317" s="40"/>
      <c r="E317" s="40" t="s">
        <v>555</v>
      </c>
      <c r="F317" s="40" t="s">
        <v>71</v>
      </c>
      <c r="G317" s="38">
        <v>1</v>
      </c>
      <c r="H317" s="51">
        <v>1200</v>
      </c>
      <c r="I317" s="53">
        <v>0</v>
      </c>
      <c r="J317" s="51">
        <f t="shared" si="65"/>
        <v>1200</v>
      </c>
      <c r="K317" s="54">
        <f t="shared" si="66"/>
        <v>1200</v>
      </c>
      <c r="M317" s="45"/>
      <c r="N317" s="45"/>
      <c r="O317" s="45"/>
      <c r="P317" s="45"/>
      <c r="Q317" s="45"/>
      <c r="R317" s="45"/>
      <c r="S317" s="45"/>
      <c r="T317" s="45"/>
      <c r="U317" s="45"/>
      <c r="V317" s="45"/>
      <c r="W317" s="45"/>
      <c r="X317" s="45"/>
      <c r="Y317" s="45"/>
      <c r="Z317" s="56"/>
    </row>
    <row r="318" spans="1:26">
      <c r="A318" s="4" t="s">
        <v>851</v>
      </c>
      <c r="B318" s="151" t="s">
        <v>852</v>
      </c>
      <c r="C318" s="151"/>
      <c r="D318" s="151"/>
      <c r="E318" s="151"/>
      <c r="F318" s="151"/>
      <c r="G318" s="152"/>
      <c r="H318" s="153"/>
      <c r="I318" s="154"/>
      <c r="J318" s="153"/>
      <c r="K318" s="172"/>
      <c r="L318" s="70">
        <f>SUM(K319)</f>
        <v>4028141.9913367699</v>
      </c>
      <c r="M318" s="45"/>
      <c r="N318" s="45"/>
      <c r="O318" s="45"/>
      <c r="P318" s="45"/>
      <c r="Q318" s="45"/>
      <c r="R318" s="45"/>
      <c r="S318" s="45"/>
      <c r="T318" s="45"/>
      <c r="U318" s="45"/>
      <c r="V318" s="45"/>
      <c r="W318" s="45"/>
      <c r="X318" s="45"/>
      <c r="Y318" s="45"/>
      <c r="Z318" s="56"/>
    </row>
    <row r="319" spans="1:26">
      <c r="A319" s="5" t="s">
        <v>851</v>
      </c>
      <c r="B319" s="65" t="s">
        <v>853</v>
      </c>
      <c r="C319" s="65"/>
      <c r="D319" s="65"/>
      <c r="E319" s="65"/>
      <c r="F319" s="65"/>
      <c r="G319" s="186">
        <v>0.05</v>
      </c>
      <c r="H319" s="64"/>
      <c r="I319" s="157"/>
      <c r="J319" s="158"/>
      <c r="K319" s="159">
        <v>4028141.9913367699</v>
      </c>
      <c r="M319" s="45" t="s">
        <v>854</v>
      </c>
      <c r="N319" s="45"/>
      <c r="O319" s="45"/>
      <c r="P319" s="45"/>
      <c r="Q319" s="45"/>
      <c r="R319" s="45"/>
      <c r="S319" s="45"/>
      <c r="T319" s="45"/>
      <c r="U319" s="45"/>
      <c r="V319" s="45"/>
      <c r="W319" s="45"/>
      <c r="X319" s="45"/>
      <c r="Y319" s="45"/>
      <c r="Z319" s="56"/>
    </row>
    <row r="320" spans="1:26">
      <c r="A320" s="4" t="s">
        <v>855</v>
      </c>
      <c r="B320" s="151" t="s">
        <v>856</v>
      </c>
      <c r="C320" s="151"/>
      <c r="D320" s="151"/>
      <c r="E320" s="151"/>
      <c r="F320" s="151"/>
      <c r="G320" s="152"/>
      <c r="H320" s="153"/>
      <c r="I320" s="154"/>
      <c r="J320" s="153"/>
      <c r="K320" s="172"/>
      <c r="L320" s="70">
        <f>SUM(K321)</f>
        <v>858892.27765632374</v>
      </c>
      <c r="M320" s="45"/>
      <c r="N320" s="45"/>
      <c r="O320" s="45"/>
      <c r="P320" s="45"/>
      <c r="Q320" s="45"/>
      <c r="R320" s="45"/>
      <c r="S320" s="45"/>
      <c r="T320" s="45"/>
      <c r="U320" s="45"/>
      <c r="V320" s="45"/>
      <c r="W320" s="45"/>
      <c r="X320" s="45"/>
      <c r="Y320" s="45"/>
      <c r="Z320" s="56"/>
    </row>
    <row r="321" spans="1:26">
      <c r="A321" s="5" t="s">
        <v>855</v>
      </c>
      <c r="B321" s="65" t="s">
        <v>857</v>
      </c>
      <c r="C321" s="65" t="s">
        <v>858</v>
      </c>
      <c r="D321" s="65"/>
      <c r="E321" s="65"/>
      <c r="F321" s="65"/>
      <c r="G321" s="186">
        <v>1.2999999999999999E-2</v>
      </c>
      <c r="H321" s="64"/>
      <c r="I321" s="157"/>
      <c r="J321" s="158"/>
      <c r="K321" s="159">
        <v>858892.27765632374</v>
      </c>
      <c r="M321" s="45" t="s">
        <v>854</v>
      </c>
      <c r="N321" s="45"/>
      <c r="O321" s="45"/>
      <c r="P321" s="45"/>
      <c r="Q321" s="45"/>
      <c r="R321" s="45"/>
      <c r="S321" s="45"/>
      <c r="T321" s="45"/>
      <c r="U321" s="45"/>
      <c r="V321" s="45"/>
      <c r="W321" s="45"/>
      <c r="X321" s="45"/>
      <c r="Y321" s="45"/>
      <c r="Z321" s="56"/>
    </row>
    <row r="322" spans="1:26">
      <c r="A322" s="4" t="s">
        <v>859</v>
      </c>
      <c r="B322" s="151" t="s">
        <v>856</v>
      </c>
      <c r="C322" s="151"/>
      <c r="D322" s="151"/>
      <c r="E322" s="151"/>
      <c r="F322" s="151"/>
      <c r="G322" s="152"/>
      <c r="H322" s="153"/>
      <c r="I322" s="154"/>
      <c r="J322" s="153"/>
      <c r="K322" s="172"/>
      <c r="L322" s="70">
        <f>SUM(K323:K325)</f>
        <v>745129.18744399119</v>
      </c>
      <c r="M322" s="45"/>
      <c r="N322" s="45"/>
      <c r="O322" s="45"/>
      <c r="P322" s="45"/>
      <c r="Q322" s="45"/>
      <c r="R322" s="45"/>
      <c r="S322" s="45"/>
      <c r="T322" s="45"/>
      <c r="U322" s="45"/>
      <c r="V322" s="45"/>
      <c r="W322" s="45"/>
      <c r="X322" s="45"/>
      <c r="Y322" s="45"/>
      <c r="Z322" s="56"/>
    </row>
    <row r="323" spans="1:26">
      <c r="A323" s="6" t="s">
        <v>860</v>
      </c>
      <c r="B323" s="47" t="s">
        <v>861</v>
      </c>
      <c r="C323" s="47"/>
      <c r="D323" s="47"/>
      <c r="E323" s="47"/>
      <c r="F323" s="47" t="s">
        <v>862</v>
      </c>
      <c r="G323" s="187">
        <v>3.03</v>
      </c>
      <c r="H323" s="61"/>
      <c r="I323" s="63"/>
      <c r="J323" s="66"/>
      <c r="K323" s="67">
        <v>372564.5937219956</v>
      </c>
      <c r="M323" s="45" t="s">
        <v>854</v>
      </c>
      <c r="N323" s="45"/>
      <c r="O323" s="45"/>
      <c r="P323" s="45"/>
      <c r="Q323" s="45"/>
      <c r="R323" s="45"/>
      <c r="S323" s="45"/>
      <c r="T323" s="45"/>
      <c r="U323" s="45"/>
      <c r="V323" s="45"/>
      <c r="W323" s="45"/>
      <c r="X323" s="45"/>
      <c r="Y323" s="45"/>
      <c r="Z323" s="56"/>
    </row>
    <row r="324" spans="1:26">
      <c r="A324" s="9" t="s">
        <v>863</v>
      </c>
      <c r="B324" s="40" t="s">
        <v>861</v>
      </c>
      <c r="C324" s="40"/>
      <c r="D324" s="40"/>
      <c r="E324" s="40"/>
      <c r="F324" s="40" t="s">
        <v>864</v>
      </c>
      <c r="G324" s="53">
        <v>0.05</v>
      </c>
      <c r="H324" s="51"/>
      <c r="I324" s="53"/>
      <c r="J324" s="51"/>
      <c r="K324" s="54">
        <v>18628.229686099781</v>
      </c>
      <c r="M324" s="45" t="s">
        <v>854</v>
      </c>
      <c r="N324" s="45"/>
      <c r="O324" s="45"/>
      <c r="P324" s="45"/>
      <c r="Q324" s="45"/>
      <c r="R324" s="45"/>
      <c r="S324" s="45"/>
      <c r="T324" s="45"/>
      <c r="U324" s="45"/>
      <c r="V324" s="45"/>
      <c r="W324" s="45"/>
      <c r="X324" s="45"/>
      <c r="Y324" s="45"/>
      <c r="Z324" s="56"/>
    </row>
    <row r="325" spans="1:26">
      <c r="A325" s="9" t="s">
        <v>865</v>
      </c>
      <c r="B325" s="40" t="s">
        <v>861</v>
      </c>
      <c r="C325" s="40"/>
      <c r="D325" s="40"/>
      <c r="E325" s="40"/>
      <c r="F325" s="40" t="s">
        <v>866</v>
      </c>
      <c r="G325" s="53">
        <v>0.95</v>
      </c>
      <c r="H325" s="51"/>
      <c r="I325" s="53"/>
      <c r="J325" s="51"/>
      <c r="K325" s="54">
        <v>353936.36403589579</v>
      </c>
      <c r="M325" s="45" t="s">
        <v>854</v>
      </c>
      <c r="N325" s="45"/>
      <c r="O325" s="45"/>
      <c r="P325" s="45"/>
      <c r="Q325" s="45"/>
      <c r="R325" s="45"/>
      <c r="S325" s="45"/>
      <c r="T325" s="45"/>
      <c r="U325" s="45"/>
      <c r="V325" s="45"/>
      <c r="W325" s="45"/>
      <c r="X325" s="45"/>
      <c r="Y325" s="45"/>
      <c r="Z325" s="56"/>
    </row>
    <row r="326" spans="1:26">
      <c r="A326" s="4" t="s">
        <v>867</v>
      </c>
      <c r="B326" s="151" t="s">
        <v>868</v>
      </c>
      <c r="C326" s="151"/>
      <c r="D326" s="151"/>
      <c r="E326" s="151"/>
      <c r="F326" s="151"/>
      <c r="G326" s="152"/>
      <c r="H326" s="153"/>
      <c r="I326" s="154"/>
      <c r="J326" s="153"/>
      <c r="K326" s="172"/>
      <c r="L326" s="70">
        <f>SUM(K327:K328)</f>
        <v>5653532.6194200255</v>
      </c>
      <c r="M326" s="45"/>
      <c r="N326" s="45"/>
      <c r="O326" s="45"/>
      <c r="P326" s="45"/>
      <c r="Q326" s="45"/>
      <c r="R326" s="45"/>
      <c r="S326" s="45"/>
      <c r="T326" s="45"/>
      <c r="U326" s="45"/>
      <c r="V326" s="45"/>
      <c r="W326" s="45"/>
      <c r="X326" s="45"/>
      <c r="Y326" s="45"/>
      <c r="Z326" s="56"/>
    </row>
    <row r="327" spans="1:26">
      <c r="A327" s="3" t="s">
        <v>869</v>
      </c>
      <c r="B327" s="60" t="s">
        <v>868</v>
      </c>
      <c r="C327" s="60"/>
      <c r="D327" s="60"/>
      <c r="E327" s="60"/>
      <c r="F327" s="60"/>
      <c r="G327" s="188">
        <v>0.02</v>
      </c>
      <c r="H327" s="147"/>
      <c r="I327" s="148"/>
      <c r="J327" s="149"/>
      <c r="K327" s="150">
        <f>SUM(K23:K317,K321:K325)*G327</f>
        <v>1413383.1548550064</v>
      </c>
      <c r="M327" s="45"/>
      <c r="N327" s="45"/>
      <c r="O327" s="45"/>
      <c r="P327" s="45"/>
      <c r="Q327" s="45"/>
      <c r="R327" s="45"/>
      <c r="S327" s="45"/>
      <c r="T327" s="45"/>
      <c r="U327" s="45"/>
      <c r="V327" s="45"/>
      <c r="W327" s="45"/>
      <c r="X327" s="45"/>
      <c r="Y327" s="45"/>
      <c r="Z327" s="56"/>
    </row>
    <row r="328" spans="1:26">
      <c r="A328" s="3" t="s">
        <v>867</v>
      </c>
      <c r="B328" s="60" t="s">
        <v>868</v>
      </c>
      <c r="C328" s="60"/>
      <c r="D328" s="60"/>
      <c r="E328" s="60"/>
      <c r="F328" s="60"/>
      <c r="G328" s="188">
        <v>0.06</v>
      </c>
      <c r="H328" s="147"/>
      <c r="I328" s="148"/>
      <c r="J328" s="149"/>
      <c r="K328" s="150">
        <f>SUM(K23:K317,K321:K325)*G328</f>
        <v>4240149.4645650191</v>
      </c>
      <c r="M328" s="45"/>
      <c r="N328" s="45"/>
      <c r="O328" s="45"/>
      <c r="P328" s="45"/>
      <c r="Q328" s="45"/>
      <c r="R328" s="45"/>
      <c r="S328" s="45"/>
      <c r="T328" s="45"/>
      <c r="U328" s="45"/>
      <c r="V328" s="45"/>
      <c r="W328" s="45"/>
      <c r="X328" s="45"/>
      <c r="Y328" s="45"/>
      <c r="Z328" s="56"/>
    </row>
    <row r="329" spans="1:26" ht="15" thickBot="1">
      <c r="A329" s="16" t="s">
        <v>870</v>
      </c>
      <c r="B329" s="17"/>
      <c r="C329" s="17"/>
      <c r="D329" s="17"/>
      <c r="E329" s="17"/>
      <c r="F329" s="17"/>
      <c r="G329" s="17"/>
      <c r="H329" s="18"/>
      <c r="I329" s="19"/>
      <c r="J329" s="20"/>
      <c r="K329" s="20"/>
      <c r="L329" s="21">
        <f>SUM(L20:L328)</f>
        <v>84590981.353507102</v>
      </c>
      <c r="M329" s="15"/>
      <c r="N329" s="15"/>
      <c r="O329" s="15"/>
      <c r="P329" s="15"/>
      <c r="Q329" s="15"/>
      <c r="R329" s="15"/>
      <c r="S329" s="15"/>
      <c r="T329" s="15"/>
      <c r="U329" s="15"/>
      <c r="V329" s="15"/>
      <c r="W329" s="15"/>
      <c r="X329" s="15"/>
      <c r="Y329" s="15"/>
      <c r="Z329" s="56"/>
    </row>
    <row r="330" spans="1:26" ht="15" thickBot="1">
      <c r="G330" s="56"/>
      <c r="H330" s="56"/>
      <c r="I330" s="189"/>
      <c r="L330" s="190">
        <f>SUM(K20:K329)-L329</f>
        <v>0</v>
      </c>
      <c r="M330" s="190"/>
    </row>
    <row r="331" spans="1:26">
      <c r="A331" s="10" t="s">
        <v>214</v>
      </c>
      <c r="B331" s="88" t="s">
        <v>215</v>
      </c>
      <c r="C331" s="88"/>
      <c r="D331" s="88"/>
      <c r="E331" s="191">
        <f t="shared" ref="E331:E366" si="67">_xlfn.XLOOKUP(A331,$A$20:$A$329,$L$20:$L$329)</f>
        <v>4240149</v>
      </c>
      <c r="P331" s="161" t="s">
        <v>871</v>
      </c>
      <c r="Q331" s="92"/>
    </row>
    <row r="332" spans="1:26">
      <c r="A332" s="11" t="s">
        <v>219</v>
      </c>
      <c r="B332" s="86" t="s">
        <v>220</v>
      </c>
      <c r="C332" s="86"/>
      <c r="D332" s="86"/>
      <c r="E332" s="192">
        <f t="shared" si="67"/>
        <v>12000</v>
      </c>
      <c r="P332" s="196">
        <f>SUM(K303:K317,K23:K299)</f>
        <v>67743763.542794153</v>
      </c>
      <c r="Q332" s="96"/>
    </row>
    <row r="333" spans="1:26">
      <c r="A333" s="11" t="s">
        <v>224</v>
      </c>
      <c r="B333" s="86" t="s">
        <v>225</v>
      </c>
      <c r="C333" s="86"/>
      <c r="D333" s="86"/>
      <c r="E333" s="192">
        <f t="shared" si="67"/>
        <v>2934605.2</v>
      </c>
      <c r="K333" s="194"/>
      <c r="L333" s="190"/>
      <c r="M333" s="200"/>
      <c r="P333" s="196">
        <f>P332*0.06</f>
        <v>4064625.8125676489</v>
      </c>
      <c r="Q333" s="96"/>
    </row>
    <row r="334" spans="1:26" ht="15" thickBot="1">
      <c r="A334" s="11" t="s">
        <v>259</v>
      </c>
      <c r="B334" s="86" t="s">
        <v>260</v>
      </c>
      <c r="C334" s="86"/>
      <c r="D334" s="86"/>
      <c r="E334" s="192">
        <f t="shared" si="67"/>
        <v>0</v>
      </c>
      <c r="L334" s="190"/>
      <c r="P334" s="197">
        <f>P333/B6</f>
        <v>156331.76202183266</v>
      </c>
      <c r="Q334" s="139"/>
    </row>
    <row r="335" spans="1:26">
      <c r="A335" s="11" t="s">
        <v>269</v>
      </c>
      <c r="B335" s="86" t="s">
        <v>270</v>
      </c>
      <c r="C335" s="86"/>
      <c r="D335" s="86"/>
      <c r="E335" s="192">
        <f t="shared" si="67"/>
        <v>246800</v>
      </c>
      <c r="K335" s="358">
        <f>K319/G319</f>
        <v>80562839.826735392</v>
      </c>
      <c r="L335" s="190"/>
    </row>
    <row r="336" spans="1:26">
      <c r="A336" s="11" t="s">
        <v>284</v>
      </c>
      <c r="B336" s="86" t="s">
        <v>285</v>
      </c>
      <c r="C336" s="86"/>
      <c r="D336" s="86"/>
      <c r="E336" s="192">
        <f t="shared" si="67"/>
        <v>522166</v>
      </c>
      <c r="L336" s="190"/>
    </row>
    <row r="337" spans="1:12">
      <c r="A337" s="11" t="s">
        <v>305</v>
      </c>
      <c r="B337" s="86" t="s">
        <v>306</v>
      </c>
      <c r="C337" s="86"/>
      <c r="D337" s="86"/>
      <c r="E337" s="192">
        <f t="shared" si="67"/>
        <v>10820813.286106404</v>
      </c>
      <c r="L337" s="190"/>
    </row>
    <row r="338" spans="1:12">
      <c r="A338" s="11" t="s">
        <v>335</v>
      </c>
      <c r="B338" s="86" t="s">
        <v>336</v>
      </c>
      <c r="C338" s="86"/>
      <c r="D338" s="86"/>
      <c r="E338" s="192">
        <f t="shared" si="67"/>
        <v>2429272.5699999998</v>
      </c>
      <c r="L338" s="112"/>
    </row>
    <row r="339" spans="1:12">
      <c r="A339" s="11" t="s">
        <v>362</v>
      </c>
      <c r="B339" s="86" t="s">
        <v>363</v>
      </c>
      <c r="C339" s="86"/>
      <c r="D339" s="86"/>
      <c r="E339" s="192">
        <f t="shared" si="67"/>
        <v>639799.78947368404</v>
      </c>
      <c r="L339" s="112"/>
    </row>
    <row r="340" spans="1:12">
      <c r="A340" s="11" t="s">
        <v>391</v>
      </c>
      <c r="B340" s="86" t="s">
        <v>392</v>
      </c>
      <c r="C340" s="86"/>
      <c r="D340" s="86"/>
      <c r="E340" s="192">
        <f t="shared" si="67"/>
        <v>7023592.8141822321</v>
      </c>
      <c r="K340" s="194"/>
      <c r="L340" s="112"/>
    </row>
    <row r="341" spans="1:12">
      <c r="A341" s="11" t="s">
        <v>467</v>
      </c>
      <c r="B341" s="86" t="s">
        <v>468</v>
      </c>
      <c r="C341" s="86"/>
      <c r="D341" s="86"/>
      <c r="E341" s="192">
        <f t="shared" si="67"/>
        <v>580446</v>
      </c>
      <c r="K341" s="194"/>
    </row>
    <row r="342" spans="1:12">
      <c r="A342" s="13" t="s">
        <v>505</v>
      </c>
      <c r="B342" s="101" t="s">
        <v>506</v>
      </c>
      <c r="C342" s="101"/>
      <c r="D342" s="101"/>
      <c r="E342" s="193">
        <f t="shared" si="67"/>
        <v>1248584</v>
      </c>
      <c r="K342" s="194"/>
    </row>
    <row r="343" spans="1:12">
      <c r="A343" s="10" t="s">
        <v>510</v>
      </c>
      <c r="B343" s="88" t="s">
        <v>511</v>
      </c>
      <c r="C343" s="88"/>
      <c r="D343" s="88"/>
      <c r="E343" s="191">
        <f t="shared" si="67"/>
        <v>2373780.1008403362</v>
      </c>
    </row>
    <row r="344" spans="1:12">
      <c r="A344" s="11" t="s">
        <v>534</v>
      </c>
      <c r="B344" s="86" t="s">
        <v>535</v>
      </c>
      <c r="C344" s="86"/>
      <c r="D344" s="86"/>
      <c r="E344" s="192">
        <f t="shared" si="67"/>
        <v>1538212.8068965515</v>
      </c>
    </row>
    <row r="345" spans="1:12">
      <c r="A345" s="11" t="s">
        <v>546</v>
      </c>
      <c r="B345" s="86" t="s">
        <v>545</v>
      </c>
      <c r="C345" s="86"/>
      <c r="D345" s="86"/>
      <c r="E345" s="192" t="e">
        <f t="shared" si="67"/>
        <v>#N/A</v>
      </c>
    </row>
    <row r="346" spans="1:12">
      <c r="A346" s="11" t="s">
        <v>547</v>
      </c>
      <c r="B346" s="86" t="s">
        <v>548</v>
      </c>
      <c r="C346" s="86"/>
      <c r="D346" s="86"/>
      <c r="E346" s="192">
        <f t="shared" si="67"/>
        <v>581746.66666666663</v>
      </c>
    </row>
    <row r="347" spans="1:12">
      <c r="A347" s="11" t="s">
        <v>556</v>
      </c>
      <c r="B347" s="86" t="s">
        <v>557</v>
      </c>
      <c r="C347" s="86"/>
      <c r="D347" s="86"/>
      <c r="E347" s="192">
        <f t="shared" si="67"/>
        <v>1217096.6100000001</v>
      </c>
    </row>
    <row r="348" spans="1:12">
      <c r="A348" s="11" t="s">
        <v>564</v>
      </c>
      <c r="B348" s="86" t="s">
        <v>565</v>
      </c>
      <c r="C348" s="86"/>
      <c r="D348" s="86"/>
      <c r="E348" s="192">
        <f t="shared" si="67"/>
        <v>4668056.9812639821</v>
      </c>
    </row>
    <row r="349" spans="1:12">
      <c r="A349" s="11" t="s">
        <v>577</v>
      </c>
      <c r="B349" s="86" t="s">
        <v>578</v>
      </c>
      <c r="C349" s="86"/>
      <c r="D349" s="86"/>
      <c r="E349" s="192">
        <f t="shared" si="67"/>
        <v>4216723.68</v>
      </c>
    </row>
    <row r="350" spans="1:12">
      <c r="A350" s="11" t="s">
        <v>587</v>
      </c>
      <c r="B350" s="86" t="s">
        <v>588</v>
      </c>
      <c r="C350" s="86"/>
      <c r="D350" s="86"/>
      <c r="E350" s="192">
        <f t="shared" si="67"/>
        <v>5075012.7184999995</v>
      </c>
    </row>
    <row r="351" spans="1:12">
      <c r="A351" s="11" t="s">
        <v>627</v>
      </c>
      <c r="B351" s="86" t="s">
        <v>628</v>
      </c>
      <c r="C351" s="86"/>
      <c r="D351" s="86"/>
      <c r="E351" s="192">
        <f t="shared" si="67"/>
        <v>260127.49</v>
      </c>
    </row>
    <row r="352" spans="1:12">
      <c r="A352" s="11" t="s">
        <v>636</v>
      </c>
      <c r="B352" s="86" t="s">
        <v>637</v>
      </c>
      <c r="C352" s="86"/>
      <c r="D352" s="86"/>
      <c r="E352" s="192">
        <f t="shared" si="67"/>
        <v>1236018.7376499989</v>
      </c>
    </row>
    <row r="353" spans="1:5">
      <c r="A353" s="11" t="s">
        <v>644</v>
      </c>
      <c r="B353" s="86" t="s">
        <v>645</v>
      </c>
      <c r="C353" s="86"/>
      <c r="D353" s="86"/>
      <c r="E353" s="192">
        <f t="shared" si="67"/>
        <v>2009333.5559</v>
      </c>
    </row>
    <row r="354" spans="1:5">
      <c r="A354" s="13" t="s">
        <v>666</v>
      </c>
      <c r="B354" s="101" t="s">
        <v>667</v>
      </c>
      <c r="C354" s="101"/>
      <c r="D354" s="101"/>
      <c r="E354" s="193">
        <f t="shared" si="67"/>
        <v>7935480.5860000001</v>
      </c>
    </row>
    <row r="355" spans="1:5">
      <c r="A355" s="10" t="s">
        <v>738</v>
      </c>
      <c r="B355" s="88" t="s">
        <v>739</v>
      </c>
      <c r="C355" s="88"/>
      <c r="D355" s="88"/>
      <c r="E355" s="191">
        <f t="shared" si="67"/>
        <v>7586858.175714286</v>
      </c>
    </row>
    <row r="356" spans="1:5">
      <c r="A356" s="11" t="s">
        <v>774</v>
      </c>
      <c r="B356" s="86" t="s">
        <v>775</v>
      </c>
      <c r="C356" s="86"/>
      <c r="D356" s="86"/>
      <c r="E356" s="192">
        <f t="shared" si="67"/>
        <v>15000</v>
      </c>
    </row>
    <row r="357" spans="1:5">
      <c r="A357" s="11" t="s">
        <v>778</v>
      </c>
      <c r="B357" s="86" t="s">
        <v>779</v>
      </c>
      <c r="C357" s="86"/>
      <c r="D357" s="86"/>
      <c r="E357" s="192">
        <f t="shared" si="67"/>
        <v>469750</v>
      </c>
    </row>
    <row r="358" spans="1:5">
      <c r="A358" s="11" t="s">
        <v>788</v>
      </c>
      <c r="B358" s="86" t="s">
        <v>789</v>
      </c>
      <c r="C358" s="86"/>
      <c r="D358" s="86"/>
      <c r="E358" s="192">
        <f t="shared" si="67"/>
        <v>427358.97360000003</v>
      </c>
    </row>
    <row r="359" spans="1:5">
      <c r="A359" s="11" t="s">
        <v>809</v>
      </c>
      <c r="B359" s="86"/>
      <c r="C359" s="86"/>
      <c r="D359" s="86"/>
      <c r="E359" s="192">
        <f t="shared" si="67"/>
        <v>0</v>
      </c>
    </row>
    <row r="360" spans="1:5">
      <c r="A360" s="11" t="s">
        <v>817</v>
      </c>
      <c r="B360" s="86"/>
      <c r="C360" s="86"/>
      <c r="D360" s="86"/>
      <c r="E360" s="192">
        <f t="shared" si="67"/>
        <v>1321372.7348558828</v>
      </c>
    </row>
    <row r="361" spans="1:5">
      <c r="A361" s="11" t="s">
        <v>820</v>
      </c>
      <c r="B361" s="86"/>
      <c r="C361" s="86"/>
      <c r="D361" s="86"/>
      <c r="E361" s="192">
        <f t="shared" si="67"/>
        <v>1675126.8</v>
      </c>
    </row>
    <row r="362" spans="1:5">
      <c r="A362" s="11" t="s">
        <v>851</v>
      </c>
      <c r="B362" s="86" t="s">
        <v>852</v>
      </c>
      <c r="C362" s="86"/>
      <c r="D362" s="86"/>
      <c r="E362" s="192">
        <f t="shared" si="67"/>
        <v>4028141.9913367699</v>
      </c>
    </row>
    <row r="363" spans="1:5">
      <c r="A363" s="11" t="s">
        <v>855</v>
      </c>
      <c r="B363" s="86" t="s">
        <v>856</v>
      </c>
      <c r="C363" s="86"/>
      <c r="D363" s="86"/>
      <c r="E363" s="192">
        <f t="shared" si="67"/>
        <v>858892.27765632374</v>
      </c>
    </row>
    <row r="364" spans="1:5">
      <c r="A364" s="11" t="s">
        <v>859</v>
      </c>
      <c r="B364" s="86" t="s">
        <v>856</v>
      </c>
      <c r="C364" s="86"/>
      <c r="D364" s="86"/>
      <c r="E364" s="192">
        <f t="shared" si="67"/>
        <v>745129.18744399119</v>
      </c>
    </row>
    <row r="365" spans="1:5">
      <c r="A365" s="11" t="s">
        <v>867</v>
      </c>
      <c r="B365" s="86" t="s">
        <v>868</v>
      </c>
      <c r="C365" s="86"/>
      <c r="D365" s="86"/>
      <c r="E365" s="192">
        <f t="shared" si="67"/>
        <v>5653532.6194200255</v>
      </c>
    </row>
    <row r="366" spans="1:5">
      <c r="A366" s="12" t="s">
        <v>870</v>
      </c>
      <c r="B366" s="101"/>
      <c r="C366" s="101"/>
      <c r="D366" s="101"/>
      <c r="E366" s="193">
        <f t="shared" si="67"/>
        <v>84590981.353507102</v>
      </c>
    </row>
    <row r="367" spans="1:5">
      <c r="B367" s="55"/>
      <c r="C367" s="55"/>
      <c r="D367" s="55"/>
      <c r="E367" s="194" t="e">
        <f>SUM(E331:E342,E343:E354,E355:E365)-E366</f>
        <v>#N/A</v>
      </c>
    </row>
    <row r="371" spans="1:6">
      <c r="F371" s="23" t="s">
        <v>203</v>
      </c>
    </row>
    <row r="372" spans="1:6">
      <c r="A372" s="14"/>
      <c r="B372" s="22"/>
      <c r="C372" s="22"/>
      <c r="D372" s="22"/>
      <c r="E372" s="22"/>
      <c r="F372" s="23" t="s">
        <v>119</v>
      </c>
    </row>
    <row r="373" spans="1:6">
      <c r="A373" s="14" t="s">
        <v>872</v>
      </c>
      <c r="B373" s="22" t="s">
        <v>215</v>
      </c>
      <c r="C373" s="22"/>
      <c r="D373" s="22"/>
      <c r="E373" s="22"/>
      <c r="F373" s="24">
        <f t="shared" ref="F373:F403" si="68">SUMIF($B$20:$B$329,B373,$L$20:$L$329)</f>
        <v>4240149</v>
      </c>
    </row>
    <row r="374" spans="1:6">
      <c r="A374" s="14" t="s">
        <v>873</v>
      </c>
      <c r="B374" s="22" t="s">
        <v>220</v>
      </c>
      <c r="C374" s="22"/>
      <c r="D374" s="22"/>
      <c r="E374" s="22"/>
      <c r="F374" s="24">
        <f t="shared" si="68"/>
        <v>12000</v>
      </c>
    </row>
    <row r="375" spans="1:6">
      <c r="A375" s="14" t="s">
        <v>874</v>
      </c>
      <c r="B375" s="22" t="s">
        <v>225</v>
      </c>
      <c r="C375" s="22"/>
      <c r="D375" s="22"/>
      <c r="E375" s="22"/>
      <c r="F375" s="24">
        <f t="shared" si="68"/>
        <v>2934605.2</v>
      </c>
    </row>
    <row r="376" spans="1:6">
      <c r="A376" s="14" t="s">
        <v>875</v>
      </c>
      <c r="B376" s="22" t="s">
        <v>270</v>
      </c>
      <c r="C376" s="22"/>
      <c r="D376" s="22"/>
      <c r="E376" s="22"/>
      <c r="F376" s="24">
        <f t="shared" si="68"/>
        <v>246800</v>
      </c>
    </row>
    <row r="377" spans="1:6">
      <c r="A377" s="14" t="s">
        <v>876</v>
      </c>
      <c r="B377" s="22" t="s">
        <v>285</v>
      </c>
      <c r="C377" s="22"/>
      <c r="D377" s="22"/>
      <c r="E377" s="22"/>
      <c r="F377" s="24">
        <f t="shared" si="68"/>
        <v>522166</v>
      </c>
    </row>
    <row r="378" spans="1:6">
      <c r="A378" s="14" t="s">
        <v>877</v>
      </c>
      <c r="B378" s="22" t="s">
        <v>306</v>
      </c>
      <c r="C378" s="22"/>
      <c r="D378" s="22"/>
      <c r="E378" s="22"/>
      <c r="F378" s="24">
        <f t="shared" si="68"/>
        <v>10820813.286106404</v>
      </c>
    </row>
    <row r="379" spans="1:6">
      <c r="A379" s="14" t="s">
        <v>878</v>
      </c>
      <c r="B379" s="22" t="s">
        <v>336</v>
      </c>
      <c r="C379" s="22"/>
      <c r="D379" s="22"/>
      <c r="E379" s="22"/>
      <c r="F379" s="24">
        <f t="shared" si="68"/>
        <v>2429272.5699999998</v>
      </c>
    </row>
    <row r="380" spans="1:6">
      <c r="A380" s="14" t="s">
        <v>879</v>
      </c>
      <c r="B380" s="22" t="s">
        <v>363</v>
      </c>
      <c r="C380" s="22"/>
      <c r="D380" s="22"/>
      <c r="E380" s="22"/>
      <c r="F380" s="24">
        <f t="shared" si="68"/>
        <v>639799.78947368404</v>
      </c>
    </row>
    <row r="381" spans="1:6">
      <c r="A381" s="14" t="s">
        <v>880</v>
      </c>
      <c r="B381" s="22" t="s">
        <v>392</v>
      </c>
      <c r="C381" s="22"/>
      <c r="D381" s="22"/>
      <c r="E381" s="22"/>
      <c r="F381" s="24">
        <f t="shared" si="68"/>
        <v>7023592.8141822321</v>
      </c>
    </row>
    <row r="382" spans="1:6">
      <c r="A382" s="14" t="s">
        <v>881</v>
      </c>
      <c r="B382" s="22" t="s">
        <v>468</v>
      </c>
      <c r="C382" s="22"/>
      <c r="D382" s="22"/>
      <c r="E382" s="22"/>
      <c r="F382" s="24">
        <f t="shared" si="68"/>
        <v>580446</v>
      </c>
    </row>
    <row r="383" spans="1:6">
      <c r="A383" s="14" t="s">
        <v>882</v>
      </c>
      <c r="B383" s="22" t="s">
        <v>506</v>
      </c>
      <c r="C383" s="22"/>
      <c r="D383" s="22"/>
      <c r="E383" s="22"/>
      <c r="F383" s="24">
        <f t="shared" si="68"/>
        <v>1248584</v>
      </c>
    </row>
    <row r="384" spans="1:6">
      <c r="A384" s="14" t="s">
        <v>883</v>
      </c>
      <c r="B384" s="22" t="s">
        <v>511</v>
      </c>
      <c r="C384" s="22"/>
      <c r="D384" s="22"/>
      <c r="E384" s="22"/>
      <c r="F384" s="24">
        <f t="shared" si="68"/>
        <v>2373780.1008403362</v>
      </c>
    </row>
    <row r="385" spans="1:6">
      <c r="A385" s="14" t="s">
        <v>884</v>
      </c>
      <c r="B385" s="22" t="s">
        <v>535</v>
      </c>
      <c r="C385" s="22"/>
      <c r="D385" s="22"/>
      <c r="E385" s="22"/>
      <c r="F385" s="24">
        <f t="shared" si="68"/>
        <v>1538212.8068965515</v>
      </c>
    </row>
    <row r="386" spans="1:6">
      <c r="A386" s="14" t="s">
        <v>885</v>
      </c>
      <c r="B386" s="22" t="s">
        <v>548</v>
      </c>
      <c r="C386" s="22"/>
      <c r="D386" s="22"/>
      <c r="E386" s="22"/>
      <c r="F386" s="24">
        <f t="shared" si="68"/>
        <v>581746.66666666663</v>
      </c>
    </row>
    <row r="387" spans="1:6">
      <c r="A387" s="14" t="s">
        <v>886</v>
      </c>
      <c r="B387" s="22" t="s">
        <v>557</v>
      </c>
      <c r="C387" s="22"/>
      <c r="D387" s="22"/>
      <c r="E387" s="22"/>
      <c r="F387" s="24">
        <f t="shared" si="68"/>
        <v>1217096.6100000001</v>
      </c>
    </row>
    <row r="388" spans="1:6">
      <c r="A388" s="14" t="s">
        <v>887</v>
      </c>
      <c r="B388" s="22" t="s">
        <v>565</v>
      </c>
      <c r="C388" s="22"/>
      <c r="D388" s="22"/>
      <c r="E388" s="22"/>
      <c r="F388" s="24">
        <f t="shared" si="68"/>
        <v>4668056.9812639821</v>
      </c>
    </row>
    <row r="389" spans="1:6">
      <c r="A389" s="14" t="s">
        <v>888</v>
      </c>
      <c r="B389" s="22" t="s">
        <v>578</v>
      </c>
      <c r="C389" s="22"/>
      <c r="D389" s="22"/>
      <c r="E389" s="22"/>
      <c r="F389" s="24">
        <f t="shared" si="68"/>
        <v>4216723.68</v>
      </c>
    </row>
    <row r="390" spans="1:6">
      <c r="A390" s="14" t="s">
        <v>889</v>
      </c>
      <c r="B390" s="22" t="s">
        <v>588</v>
      </c>
      <c r="C390" s="22"/>
      <c r="D390" s="22"/>
      <c r="E390" s="22"/>
      <c r="F390" s="24">
        <f t="shared" si="68"/>
        <v>5075012.7184999995</v>
      </c>
    </row>
    <row r="391" spans="1:6">
      <c r="A391" s="14" t="s">
        <v>890</v>
      </c>
      <c r="B391" s="22" t="s">
        <v>628</v>
      </c>
      <c r="C391" s="22"/>
      <c r="D391" s="22"/>
      <c r="E391" s="22"/>
      <c r="F391" s="24">
        <f t="shared" si="68"/>
        <v>260127.49</v>
      </c>
    </row>
    <row r="392" spans="1:6">
      <c r="A392" s="14" t="s">
        <v>891</v>
      </c>
      <c r="B392" s="22" t="s">
        <v>637</v>
      </c>
      <c r="C392" s="22"/>
      <c r="D392" s="22"/>
      <c r="E392" s="22"/>
      <c r="F392" s="24">
        <f t="shared" si="68"/>
        <v>1236018.7376499989</v>
      </c>
    </row>
    <row r="393" spans="1:6">
      <c r="A393" s="14" t="s">
        <v>892</v>
      </c>
      <c r="B393" s="22" t="s">
        <v>645</v>
      </c>
      <c r="C393" s="22"/>
      <c r="D393" s="22"/>
      <c r="E393" s="22"/>
      <c r="F393" s="24">
        <f t="shared" si="68"/>
        <v>2009333.5559</v>
      </c>
    </row>
    <row r="394" spans="1:6">
      <c r="A394" s="14" t="s">
        <v>893</v>
      </c>
      <c r="B394" s="22" t="s">
        <v>667</v>
      </c>
      <c r="C394" s="22"/>
      <c r="D394" s="22"/>
      <c r="E394" s="22"/>
      <c r="F394" s="24">
        <f t="shared" si="68"/>
        <v>7935480.5860000001</v>
      </c>
    </row>
    <row r="395" spans="1:6">
      <c r="A395" s="14" t="s">
        <v>894</v>
      </c>
      <c r="B395" s="22" t="s">
        <v>739</v>
      </c>
      <c r="C395" s="22"/>
      <c r="D395" s="22"/>
      <c r="E395" s="22"/>
      <c r="F395" s="24">
        <f t="shared" si="68"/>
        <v>7586858.175714286</v>
      </c>
    </row>
    <row r="396" spans="1:6">
      <c r="A396" s="14" t="s">
        <v>895</v>
      </c>
      <c r="B396" s="22" t="s">
        <v>775</v>
      </c>
      <c r="C396" s="22"/>
      <c r="D396" s="22"/>
      <c r="E396" s="22"/>
      <c r="F396" s="24">
        <f t="shared" si="68"/>
        <v>15000</v>
      </c>
    </row>
    <row r="397" spans="1:6">
      <c r="A397" s="14" t="s">
        <v>896</v>
      </c>
      <c r="B397" s="22" t="s">
        <v>779</v>
      </c>
      <c r="C397" s="22"/>
      <c r="D397" s="22"/>
      <c r="E397" s="22"/>
      <c r="F397" s="24">
        <f t="shared" si="68"/>
        <v>469750</v>
      </c>
    </row>
    <row r="398" spans="1:6">
      <c r="A398" s="14" t="s">
        <v>897</v>
      </c>
      <c r="B398" s="22" t="s">
        <v>789</v>
      </c>
      <c r="C398" s="22"/>
      <c r="D398" s="22"/>
      <c r="E398" s="22"/>
      <c r="F398" s="24">
        <f t="shared" si="68"/>
        <v>427358.97360000003</v>
      </c>
    </row>
    <row r="399" spans="1:6">
      <c r="A399" s="14" t="s">
        <v>817</v>
      </c>
      <c r="B399" s="22" t="s">
        <v>817</v>
      </c>
      <c r="C399" s="22"/>
      <c r="D399" s="22"/>
      <c r="E399" s="22"/>
      <c r="F399" s="24">
        <f t="shared" si="68"/>
        <v>1321372.7348558828</v>
      </c>
    </row>
    <row r="400" spans="1:6">
      <c r="A400" s="14" t="s">
        <v>821</v>
      </c>
      <c r="B400" s="22" t="s">
        <v>821</v>
      </c>
      <c r="C400" s="22"/>
      <c r="D400" s="22"/>
      <c r="E400" s="22"/>
      <c r="F400" s="24">
        <f t="shared" si="68"/>
        <v>1675126.8</v>
      </c>
    </row>
    <row r="401" spans="1:7">
      <c r="A401" s="14" t="s">
        <v>898</v>
      </c>
      <c r="B401" s="22" t="s">
        <v>856</v>
      </c>
      <c r="C401" s="22"/>
      <c r="D401" s="22"/>
      <c r="E401" s="22"/>
      <c r="F401" s="24">
        <f t="shared" si="68"/>
        <v>1604021.4651003149</v>
      </c>
    </row>
    <row r="402" spans="1:7">
      <c r="A402" s="14" t="s">
        <v>899</v>
      </c>
      <c r="B402" s="22" t="s">
        <v>852</v>
      </c>
      <c r="C402" s="22"/>
      <c r="D402" s="22"/>
      <c r="E402" s="22"/>
      <c r="F402" s="24">
        <f t="shared" si="68"/>
        <v>4028141.9913367699</v>
      </c>
    </row>
    <row r="403" spans="1:7">
      <c r="A403" s="14" t="s">
        <v>900</v>
      </c>
      <c r="B403" s="22" t="s">
        <v>868</v>
      </c>
      <c r="C403" s="22"/>
      <c r="D403" s="22"/>
      <c r="E403" s="22"/>
      <c r="F403" s="24">
        <f t="shared" si="68"/>
        <v>5653532.6194200255</v>
      </c>
    </row>
    <row r="404" spans="1:7">
      <c r="A404" s="14" t="s">
        <v>119</v>
      </c>
      <c r="B404" s="22"/>
      <c r="C404" s="22"/>
      <c r="D404" s="22"/>
      <c r="E404" s="22"/>
      <c r="F404" s="25">
        <f>SUM(F373:F403)</f>
        <v>84590981.353507116</v>
      </c>
    </row>
    <row r="405" spans="1:7">
      <c r="A405" s="26" t="s">
        <v>901</v>
      </c>
      <c r="B405" s="27"/>
      <c r="C405" s="27"/>
      <c r="D405" s="27"/>
      <c r="E405" s="27"/>
      <c r="F405" s="28">
        <f>$L$329-F404</f>
        <v>0</v>
      </c>
    </row>
    <row r="407" spans="1:7">
      <c r="A407" s="29" t="s">
        <v>902</v>
      </c>
      <c r="B407" s="22"/>
      <c r="C407" s="22"/>
      <c r="D407" s="22"/>
      <c r="E407" s="22"/>
      <c r="F407" s="22"/>
      <c r="G407" s="14"/>
    </row>
    <row r="408" spans="1:7">
      <c r="A408" s="29" t="s">
        <v>903</v>
      </c>
      <c r="B408" s="22"/>
      <c r="C408" s="22"/>
      <c r="D408" s="22"/>
      <c r="E408" s="22"/>
      <c r="F408" s="22"/>
      <c r="G408" s="14"/>
    </row>
    <row r="409" spans="1:7">
      <c r="A409" s="14" t="s">
        <v>431</v>
      </c>
      <c r="B409" s="22" t="s">
        <v>432</v>
      </c>
      <c r="C409" s="22"/>
      <c r="D409" s="22"/>
      <c r="E409" s="22"/>
      <c r="F409" s="24">
        <f t="shared" ref="F409:F419" si="69">SUMIF($B$20:$B$329,B409,$K$20:$K$329)</f>
        <v>692417.74418223219</v>
      </c>
      <c r="G409" s="22" t="s">
        <v>392</v>
      </c>
    </row>
    <row r="410" spans="1:7">
      <c r="A410" s="14" t="s">
        <v>435</v>
      </c>
      <c r="B410" s="22" t="s">
        <v>436</v>
      </c>
      <c r="C410" s="22"/>
      <c r="D410" s="22"/>
      <c r="E410" s="22"/>
      <c r="F410" s="24">
        <f t="shared" si="69"/>
        <v>0</v>
      </c>
      <c r="G410" s="22" t="s">
        <v>392</v>
      </c>
    </row>
    <row r="411" spans="1:7">
      <c r="A411" s="14" t="s">
        <v>437</v>
      </c>
      <c r="B411" s="22" t="s">
        <v>438</v>
      </c>
      <c r="C411" s="22"/>
      <c r="D411" s="22"/>
      <c r="E411" s="22"/>
      <c r="F411" s="24">
        <f t="shared" si="69"/>
        <v>0</v>
      </c>
      <c r="G411" s="22" t="s">
        <v>392</v>
      </c>
    </row>
    <row r="412" spans="1:7">
      <c r="A412" s="14" t="s">
        <v>439</v>
      </c>
      <c r="B412" s="22" t="s">
        <v>440</v>
      </c>
      <c r="C412" s="22"/>
      <c r="D412" s="22"/>
      <c r="E412" s="22"/>
      <c r="F412" s="24">
        <f t="shared" si="69"/>
        <v>165807.07</v>
      </c>
      <c r="G412" s="22" t="s">
        <v>392</v>
      </c>
    </row>
    <row r="413" spans="1:7">
      <c r="A413" s="14" t="s">
        <v>441</v>
      </c>
      <c r="B413" s="22" t="s">
        <v>904</v>
      </c>
      <c r="C413" s="22"/>
      <c r="D413" s="22"/>
      <c r="E413" s="22"/>
      <c r="F413" s="24">
        <f t="shared" si="69"/>
        <v>0</v>
      </c>
      <c r="G413" s="22" t="s">
        <v>392</v>
      </c>
    </row>
    <row r="414" spans="1:7">
      <c r="A414" s="14" t="s">
        <v>442</v>
      </c>
      <c r="B414" s="22" t="s">
        <v>443</v>
      </c>
      <c r="C414" s="22"/>
      <c r="D414" s="22"/>
      <c r="E414" s="22"/>
      <c r="F414" s="24">
        <f t="shared" si="69"/>
        <v>0</v>
      </c>
      <c r="G414" s="22" t="s">
        <v>392</v>
      </c>
    </row>
    <row r="415" spans="1:7">
      <c r="A415" s="14" t="s">
        <v>444</v>
      </c>
      <c r="B415" s="22" t="s">
        <v>445</v>
      </c>
      <c r="C415" s="22"/>
      <c r="D415" s="22"/>
      <c r="E415" s="22"/>
      <c r="F415" s="24">
        <f t="shared" si="69"/>
        <v>0</v>
      </c>
      <c r="G415" s="22" t="s">
        <v>392</v>
      </c>
    </row>
    <row r="416" spans="1:7">
      <c r="A416" s="14" t="s">
        <v>905</v>
      </c>
      <c r="B416" s="22" t="s">
        <v>447</v>
      </c>
      <c r="C416" s="22"/>
      <c r="D416" s="22"/>
      <c r="E416" s="22"/>
      <c r="F416" s="24">
        <f t="shared" si="69"/>
        <v>37688.400000000001</v>
      </c>
      <c r="G416" s="22" t="s">
        <v>392</v>
      </c>
    </row>
    <row r="417" spans="1:7">
      <c r="A417" s="14" t="s">
        <v>906</v>
      </c>
      <c r="B417" s="22" t="s">
        <v>449</v>
      </c>
      <c r="C417" s="22"/>
      <c r="D417" s="22"/>
      <c r="E417" s="22"/>
      <c r="F417" s="24">
        <f t="shared" si="69"/>
        <v>24025.82</v>
      </c>
      <c r="G417" s="22" t="s">
        <v>392</v>
      </c>
    </row>
    <row r="418" spans="1:7">
      <c r="A418" s="14" t="s">
        <v>507</v>
      </c>
      <c r="B418" s="22" t="s">
        <v>508</v>
      </c>
      <c r="C418" s="22"/>
      <c r="D418" s="22"/>
      <c r="E418" s="22"/>
      <c r="F418" s="24">
        <f t="shared" si="69"/>
        <v>1248584</v>
      </c>
      <c r="G418" s="22" t="s">
        <v>506</v>
      </c>
    </row>
    <row r="419" spans="1:7" ht="16.149999999999999">
      <c r="A419" s="14" t="s">
        <v>513</v>
      </c>
      <c r="B419" s="22" t="s">
        <v>514</v>
      </c>
      <c r="C419" s="22"/>
      <c r="D419" s="22"/>
      <c r="E419" s="22"/>
      <c r="F419" s="30">
        <f t="shared" si="69"/>
        <v>169433.12394957984</v>
      </c>
      <c r="G419" s="22" t="s">
        <v>511</v>
      </c>
    </row>
    <row r="420" spans="1:7">
      <c r="A420" s="14" t="s">
        <v>907</v>
      </c>
      <c r="B420" s="22"/>
      <c r="C420" s="22"/>
      <c r="D420" s="22"/>
      <c r="E420" s="22"/>
      <c r="F420" s="25">
        <f>SUM(F409:F419)</f>
        <v>2337956.1581318118</v>
      </c>
      <c r="G420" s="14"/>
    </row>
    <row r="421" spans="1:7">
      <c r="A421" s="14"/>
      <c r="B421" s="22"/>
      <c r="C421" s="22"/>
      <c r="D421" s="22"/>
      <c r="E421" s="22"/>
      <c r="F421" s="22"/>
      <c r="G421" s="14"/>
    </row>
    <row r="422" spans="1:7">
      <c r="A422" s="14"/>
      <c r="B422" s="22"/>
      <c r="C422" s="22"/>
      <c r="D422" s="22"/>
      <c r="E422" s="22"/>
      <c r="F422" s="14"/>
      <c r="G422" s="14"/>
    </row>
    <row r="423" spans="1:7">
      <c r="A423" s="29" t="s">
        <v>908</v>
      </c>
      <c r="B423" s="22"/>
      <c r="C423" s="22"/>
      <c r="D423" s="22"/>
      <c r="E423" s="22"/>
      <c r="F423" s="22"/>
      <c r="G423" s="14"/>
    </row>
    <row r="424" spans="1:7">
      <c r="A424" s="26" t="s">
        <v>909</v>
      </c>
      <c r="B424" s="22"/>
      <c r="C424" s="22"/>
      <c r="D424" s="22"/>
      <c r="E424" s="22"/>
      <c r="F424" s="22"/>
      <c r="G424" s="14"/>
    </row>
    <row r="425" spans="1:7">
      <c r="A425" s="14" t="s">
        <v>910</v>
      </c>
      <c r="B425" s="22">
        <v>2</v>
      </c>
      <c r="C425" s="22"/>
      <c r="D425" s="22"/>
      <c r="E425" s="22"/>
      <c r="F425" s="24">
        <f t="shared" ref="F425:F430" si="70">SUMIF($B$20:$B$329,B425,$L$20:$L$329)</f>
        <v>12000</v>
      </c>
      <c r="G425" s="14"/>
    </row>
    <row r="426" spans="1:7">
      <c r="A426" s="14" t="s">
        <v>911</v>
      </c>
      <c r="B426" s="22">
        <v>31</v>
      </c>
      <c r="C426" s="22"/>
      <c r="D426" s="22"/>
      <c r="E426" s="22"/>
      <c r="F426" s="24">
        <f t="shared" si="70"/>
        <v>2009333.5559</v>
      </c>
      <c r="G426" s="14"/>
    </row>
    <row r="427" spans="1:7">
      <c r="A427" s="14" t="s">
        <v>912</v>
      </c>
      <c r="B427" s="22">
        <v>32</v>
      </c>
      <c r="C427" s="22"/>
      <c r="D427" s="22"/>
      <c r="E427" s="22"/>
      <c r="F427" s="24">
        <f t="shared" si="70"/>
        <v>7935480.5860000001</v>
      </c>
      <c r="G427" s="14"/>
    </row>
    <row r="428" spans="1:7">
      <c r="A428" s="14" t="s">
        <v>913</v>
      </c>
      <c r="B428" s="22">
        <v>33</v>
      </c>
      <c r="C428" s="22"/>
      <c r="D428" s="22"/>
      <c r="E428" s="22"/>
      <c r="F428" s="24">
        <f t="shared" si="70"/>
        <v>7586858.175714286</v>
      </c>
      <c r="G428" s="14"/>
    </row>
    <row r="429" spans="1:7">
      <c r="A429" s="14" t="s">
        <v>914</v>
      </c>
      <c r="B429" s="22">
        <v>34</v>
      </c>
      <c r="C429" s="22"/>
      <c r="D429" s="22"/>
      <c r="E429" s="22"/>
      <c r="F429" s="24">
        <f t="shared" si="70"/>
        <v>15000</v>
      </c>
      <c r="G429" s="14"/>
    </row>
    <row r="430" spans="1:7">
      <c r="A430" s="14" t="s">
        <v>915</v>
      </c>
      <c r="B430" s="22">
        <v>48</v>
      </c>
      <c r="C430" s="22"/>
      <c r="D430" s="22"/>
      <c r="E430" s="22"/>
      <c r="F430" s="24">
        <f t="shared" si="70"/>
        <v>469750</v>
      </c>
      <c r="G430" s="14"/>
    </row>
    <row r="431" spans="1:7">
      <c r="A431" s="14"/>
      <c r="B431" s="22"/>
      <c r="C431" s="22"/>
      <c r="D431" s="22"/>
      <c r="E431" s="22"/>
      <c r="F431" s="24"/>
      <c r="G431" s="14"/>
    </row>
    <row r="432" spans="1:7">
      <c r="A432" s="26" t="s">
        <v>916</v>
      </c>
      <c r="B432" s="22"/>
      <c r="C432" s="22"/>
      <c r="D432" s="22"/>
      <c r="E432" s="22"/>
      <c r="F432" s="24"/>
      <c r="G432" s="14"/>
    </row>
    <row r="433" spans="1:7">
      <c r="A433" s="14" t="s">
        <v>172</v>
      </c>
      <c r="B433" s="22" t="s">
        <v>539</v>
      </c>
      <c r="C433" s="22"/>
      <c r="D433" s="22"/>
      <c r="E433" s="22"/>
      <c r="F433" s="24">
        <f t="shared" ref="F433:F440" si="71">SUMIF($B$20:$B$329,B433,$K$20:$K$329)</f>
        <v>1286163.8068965515</v>
      </c>
      <c r="G433" s="14"/>
    </row>
    <row r="434" spans="1:7">
      <c r="A434" s="14" t="s">
        <v>307</v>
      </c>
      <c r="B434" s="22" t="s">
        <v>308</v>
      </c>
      <c r="C434" s="22"/>
      <c r="D434" s="22"/>
      <c r="E434" s="22"/>
      <c r="F434" s="24">
        <f t="shared" si="71"/>
        <v>0</v>
      </c>
      <c r="G434" s="14"/>
    </row>
    <row r="435" spans="1:7">
      <c r="A435" s="14" t="s">
        <v>917</v>
      </c>
      <c r="B435" s="22"/>
      <c r="C435" s="22"/>
      <c r="D435" s="22"/>
      <c r="E435" s="22"/>
      <c r="F435" s="24">
        <f t="shared" si="71"/>
        <v>0</v>
      </c>
      <c r="G435" s="14"/>
    </row>
    <row r="436" spans="1:7">
      <c r="A436" s="14" t="s">
        <v>918</v>
      </c>
      <c r="B436" s="22"/>
      <c r="C436" s="22"/>
      <c r="D436" s="22"/>
      <c r="E436" s="22"/>
      <c r="F436" s="24">
        <f t="shared" si="71"/>
        <v>0</v>
      </c>
      <c r="G436" s="14"/>
    </row>
    <row r="437" spans="1:7">
      <c r="A437" s="14" t="s">
        <v>536</v>
      </c>
      <c r="B437" s="22" t="s">
        <v>537</v>
      </c>
      <c r="C437" s="22"/>
      <c r="D437" s="22"/>
      <c r="E437" s="22"/>
      <c r="F437" s="24">
        <f t="shared" si="71"/>
        <v>245000</v>
      </c>
      <c r="G437" s="14"/>
    </row>
    <row r="438" spans="1:7">
      <c r="A438" s="14" t="s">
        <v>479</v>
      </c>
      <c r="B438" s="22" t="s">
        <v>919</v>
      </c>
      <c r="C438" s="22"/>
      <c r="D438" s="22"/>
      <c r="E438" s="22"/>
      <c r="F438" s="24">
        <f t="shared" si="71"/>
        <v>0</v>
      </c>
      <c r="G438" s="14"/>
    </row>
    <row r="439" spans="1:7">
      <c r="A439" s="14" t="s">
        <v>608</v>
      </c>
      <c r="B439" s="22" t="s">
        <v>920</v>
      </c>
      <c r="C439" s="22"/>
      <c r="D439" s="22"/>
      <c r="E439" s="22"/>
      <c r="F439" s="24">
        <f t="shared" si="71"/>
        <v>0</v>
      </c>
      <c r="G439" s="14"/>
    </row>
    <row r="440" spans="1:7">
      <c r="A440" s="14" t="s">
        <v>234</v>
      </c>
      <c r="B440" s="22" t="s">
        <v>227</v>
      </c>
      <c r="C440" s="22"/>
      <c r="D440" s="22"/>
      <c r="E440" s="14"/>
      <c r="F440" s="24">
        <f t="shared" si="71"/>
        <v>2074719.8800000001</v>
      </c>
      <c r="G440" s="14"/>
    </row>
    <row r="441" spans="1:7">
      <c r="A441" s="29" t="s">
        <v>921</v>
      </c>
      <c r="B441" s="23"/>
      <c r="C441" s="23"/>
      <c r="D441" s="23"/>
      <c r="E441" s="29"/>
      <c r="F441" s="31">
        <f>SUM(F425:F440)</f>
        <v>21634306.004510839</v>
      </c>
      <c r="G441" s="14"/>
    </row>
    <row r="442" spans="1:7">
      <c r="A442" s="14"/>
      <c r="B442" s="22"/>
      <c r="C442" s="22"/>
      <c r="D442" s="22"/>
      <c r="E442" s="14"/>
      <c r="F442" s="14"/>
      <c r="G442" s="14"/>
    </row>
    <row r="443" spans="1:7">
      <c r="A443" s="14"/>
      <c r="B443" s="14"/>
      <c r="C443" s="14"/>
      <c r="D443" s="14"/>
      <c r="E443" s="14"/>
      <c r="F443" s="14"/>
      <c r="G443" s="14"/>
    </row>
    <row r="444" spans="1:7">
      <c r="A444" s="14" t="s">
        <v>732</v>
      </c>
      <c r="B444" s="22" t="s">
        <v>922</v>
      </c>
      <c r="C444" s="22"/>
      <c r="D444" s="22"/>
      <c r="E444" s="32" t="s">
        <v>923</v>
      </c>
      <c r="F444" s="22"/>
      <c r="G444" s="14"/>
    </row>
    <row r="445" spans="1:7">
      <c r="A445" s="14" t="s">
        <v>734</v>
      </c>
      <c r="B445" s="22" t="s">
        <v>924</v>
      </c>
      <c r="C445" s="22"/>
      <c r="D445" s="22"/>
      <c r="E445" s="32" t="s">
        <v>923</v>
      </c>
      <c r="F445" s="22"/>
      <c r="G445" s="14"/>
    </row>
    <row r="446" spans="1:7">
      <c r="A446" s="14" t="s">
        <v>736</v>
      </c>
      <c r="B446" s="22" t="s">
        <v>925</v>
      </c>
      <c r="C446" s="22"/>
      <c r="D446" s="22"/>
      <c r="E446" s="32" t="s">
        <v>923</v>
      </c>
      <c r="F446" s="22"/>
      <c r="G446" s="14"/>
    </row>
    <row r="447" spans="1:7">
      <c r="A447" s="14" t="s">
        <v>737</v>
      </c>
      <c r="B447" s="22" t="s">
        <v>926</v>
      </c>
      <c r="C447" s="22"/>
      <c r="D447" s="22"/>
      <c r="E447" s="32" t="s">
        <v>923</v>
      </c>
      <c r="F447" s="22"/>
      <c r="G447" s="14"/>
    </row>
    <row r="448" spans="1:7">
      <c r="A448" s="14" t="s">
        <v>751</v>
      </c>
      <c r="B448" s="22" t="s">
        <v>927</v>
      </c>
      <c r="C448" s="22"/>
      <c r="D448" s="22"/>
      <c r="E448" s="32" t="s">
        <v>928</v>
      </c>
      <c r="F448" s="22"/>
      <c r="G448" s="14"/>
    </row>
    <row r="449" spans="1:7">
      <c r="A449" s="14" t="s">
        <v>770</v>
      </c>
      <c r="B449" s="22" t="s">
        <v>929</v>
      </c>
      <c r="C449" s="22"/>
      <c r="D449" s="22"/>
      <c r="E449" s="32" t="s">
        <v>928</v>
      </c>
      <c r="F449" s="22"/>
      <c r="G449" s="14"/>
    </row>
    <row r="450" spans="1:7">
      <c r="A450" s="14" t="s">
        <v>771</v>
      </c>
      <c r="B450" s="22" t="s">
        <v>930</v>
      </c>
      <c r="C450" s="22"/>
      <c r="D450" s="22"/>
      <c r="E450" s="32" t="s">
        <v>928</v>
      </c>
      <c r="F450" s="22"/>
      <c r="G450" s="14"/>
    </row>
    <row r="451" spans="1:7">
      <c r="A451" s="14" t="s">
        <v>773</v>
      </c>
      <c r="B451" s="22" t="s">
        <v>931</v>
      </c>
      <c r="C451" s="22"/>
      <c r="D451" s="22"/>
      <c r="E451" s="32" t="s">
        <v>928</v>
      </c>
      <c r="F451" s="14"/>
      <c r="G451" s="14"/>
    </row>
    <row r="452" spans="1:7">
      <c r="A452" s="14" t="s">
        <v>776</v>
      </c>
      <c r="B452" s="22" t="s">
        <v>932</v>
      </c>
      <c r="C452" s="22"/>
      <c r="D452" s="22"/>
      <c r="E452" s="32" t="s">
        <v>933</v>
      </c>
      <c r="F452" s="14"/>
      <c r="G452" s="14"/>
    </row>
    <row r="453" spans="1:7">
      <c r="A453" s="14" t="s">
        <v>234</v>
      </c>
      <c r="B453" s="22" t="s">
        <v>227</v>
      </c>
      <c r="C453" s="22"/>
      <c r="D453" s="22"/>
      <c r="E453" s="22"/>
      <c r="F453" s="14"/>
      <c r="G453" s="14"/>
    </row>
    <row r="454" spans="1:7">
      <c r="A454" s="14"/>
      <c r="B454" s="22"/>
      <c r="C454" s="22"/>
      <c r="D454" s="22"/>
      <c r="E454" s="22"/>
      <c r="F454" s="14"/>
      <c r="G454" s="14"/>
    </row>
    <row r="455" spans="1:7">
      <c r="A455" s="29" t="s">
        <v>934</v>
      </c>
      <c r="B455" s="22"/>
      <c r="C455" s="22"/>
      <c r="D455" s="22"/>
      <c r="E455" s="22"/>
      <c r="F455" s="14"/>
      <c r="G455" s="14"/>
    </row>
    <row r="456" spans="1:7">
      <c r="A456" s="29" t="s">
        <v>935</v>
      </c>
      <c r="B456" s="22"/>
      <c r="C456" s="22"/>
      <c r="D456" s="22"/>
      <c r="E456" s="22"/>
      <c r="F456" s="14"/>
      <c r="G456" s="14"/>
    </row>
    <row r="457" spans="1:7">
      <c r="A457" s="14" t="s">
        <v>479</v>
      </c>
      <c r="B457" s="22" t="s">
        <v>919</v>
      </c>
      <c r="C457" s="22"/>
      <c r="D457" s="22"/>
      <c r="E457" s="22"/>
      <c r="F457" s="24">
        <f t="shared" ref="F457:F467" si="72">SUMIF($B$20:$B$329,B457,$K$20:$K$329)</f>
        <v>0</v>
      </c>
      <c r="G457" s="14"/>
    </row>
    <row r="458" spans="1:7">
      <c r="A458" s="14" t="s">
        <v>608</v>
      </c>
      <c r="B458" s="22" t="s">
        <v>920</v>
      </c>
      <c r="C458" s="22"/>
      <c r="D458" s="22"/>
      <c r="E458" s="22"/>
      <c r="F458" s="24">
        <f t="shared" si="72"/>
        <v>0</v>
      </c>
      <c r="G458" s="14"/>
    </row>
    <row r="459" spans="1:7">
      <c r="A459" s="14" t="s">
        <v>732</v>
      </c>
      <c r="B459" s="22" t="s">
        <v>922</v>
      </c>
      <c r="C459" s="22"/>
      <c r="D459" s="22"/>
      <c r="E459" s="22"/>
      <c r="F459" s="24">
        <f t="shared" si="72"/>
        <v>0</v>
      </c>
      <c r="G459" s="14"/>
    </row>
    <row r="460" spans="1:7">
      <c r="A460" s="14" t="s">
        <v>734</v>
      </c>
      <c r="B460" s="22" t="s">
        <v>924</v>
      </c>
      <c r="C460" s="22"/>
      <c r="D460" s="22"/>
      <c r="E460" s="22"/>
      <c r="F460" s="24">
        <f t="shared" si="72"/>
        <v>0</v>
      </c>
      <c r="G460" s="14"/>
    </row>
    <row r="461" spans="1:7">
      <c r="A461" s="14" t="s">
        <v>736</v>
      </c>
      <c r="B461" s="22" t="s">
        <v>925</v>
      </c>
      <c r="C461" s="22"/>
      <c r="D461" s="22"/>
      <c r="E461" s="22"/>
      <c r="F461" s="24">
        <f t="shared" si="72"/>
        <v>0</v>
      </c>
      <c r="G461" s="14"/>
    </row>
    <row r="462" spans="1:7">
      <c r="A462" s="14" t="s">
        <v>737</v>
      </c>
      <c r="B462" s="22" t="s">
        <v>926</v>
      </c>
      <c r="C462" s="22"/>
      <c r="D462" s="22"/>
      <c r="E462" s="22"/>
      <c r="F462" s="24">
        <f t="shared" si="72"/>
        <v>0</v>
      </c>
      <c r="G462" s="14"/>
    </row>
    <row r="463" spans="1:7">
      <c r="A463" s="14" t="s">
        <v>770</v>
      </c>
      <c r="B463" s="22" t="s">
        <v>929</v>
      </c>
      <c r="C463" s="22"/>
      <c r="D463" s="22"/>
      <c r="E463" s="22"/>
      <c r="F463" s="24">
        <f t="shared" si="72"/>
        <v>0</v>
      </c>
      <c r="G463" s="14"/>
    </row>
    <row r="464" spans="1:7">
      <c r="A464" s="14" t="s">
        <v>771</v>
      </c>
      <c r="B464" s="22" t="s">
        <v>930</v>
      </c>
      <c r="C464" s="22"/>
      <c r="D464" s="22"/>
      <c r="E464" s="22"/>
      <c r="F464" s="24">
        <f t="shared" si="72"/>
        <v>0</v>
      </c>
      <c r="G464" s="14"/>
    </row>
    <row r="465" spans="1:7">
      <c r="A465" s="14" t="s">
        <v>751</v>
      </c>
      <c r="B465" s="22" t="s">
        <v>927</v>
      </c>
      <c r="C465" s="22"/>
      <c r="D465" s="22"/>
      <c r="E465" s="22"/>
      <c r="F465" s="24">
        <f t="shared" si="72"/>
        <v>0</v>
      </c>
      <c r="G465" s="14"/>
    </row>
    <row r="466" spans="1:7">
      <c r="A466" s="14" t="s">
        <v>773</v>
      </c>
      <c r="B466" s="22" t="s">
        <v>931</v>
      </c>
      <c r="C466" s="22"/>
      <c r="D466" s="22"/>
      <c r="E466" s="22"/>
      <c r="F466" s="24">
        <f t="shared" si="72"/>
        <v>0</v>
      </c>
      <c r="G466" s="14"/>
    </row>
    <row r="467" spans="1:7">
      <c r="A467" s="14" t="s">
        <v>776</v>
      </c>
      <c r="B467" s="22" t="s">
        <v>932</v>
      </c>
      <c r="C467" s="22"/>
      <c r="D467" s="22"/>
      <c r="E467" s="22"/>
      <c r="F467" s="24">
        <f t="shared" si="72"/>
        <v>0</v>
      </c>
      <c r="G467" s="14"/>
    </row>
    <row r="468" spans="1:7">
      <c r="A468" s="14"/>
      <c r="B468" s="22"/>
      <c r="C468" s="22"/>
      <c r="D468" s="22"/>
      <c r="E468" s="22"/>
      <c r="F468" s="14"/>
      <c r="G468" s="14"/>
    </row>
    <row r="469" spans="1:7">
      <c r="A469" s="29" t="s">
        <v>936</v>
      </c>
      <c r="B469" s="22"/>
      <c r="C469" s="22"/>
      <c r="D469" s="22"/>
      <c r="E469" s="22"/>
      <c r="F469" s="14"/>
      <c r="G469" s="14"/>
    </row>
    <row r="470" spans="1:7">
      <c r="A470" s="26" t="s">
        <v>909</v>
      </c>
      <c r="B470" s="22"/>
      <c r="C470" s="22"/>
      <c r="D470" s="22"/>
      <c r="E470" s="22"/>
      <c r="F470" s="14"/>
      <c r="G470" s="14"/>
    </row>
    <row r="471" spans="1:7">
      <c r="A471" s="14" t="s">
        <v>259</v>
      </c>
      <c r="B471" s="22" t="s">
        <v>260</v>
      </c>
      <c r="C471" s="22"/>
      <c r="D471" s="22"/>
      <c r="E471" s="22"/>
      <c r="F471" s="24">
        <f>SUMIF($B$20:$B$329,B471,$K$20:$K$329)</f>
        <v>0</v>
      </c>
      <c r="G471" s="14"/>
    </row>
    <row r="472" spans="1:7">
      <c r="A472" s="14"/>
      <c r="B472" s="22"/>
      <c r="C472" s="22"/>
      <c r="D472" s="22"/>
      <c r="E472" s="22"/>
      <c r="F472" s="14"/>
      <c r="G472" s="14"/>
    </row>
    <row r="473" spans="1:7">
      <c r="A473" s="26" t="s">
        <v>916</v>
      </c>
      <c r="B473" s="22"/>
      <c r="C473" s="22"/>
      <c r="D473" s="22"/>
      <c r="E473" s="22"/>
      <c r="F473" s="14"/>
      <c r="G473" s="14"/>
    </row>
    <row r="474" spans="1:7">
      <c r="A474" s="14" t="s">
        <v>234</v>
      </c>
      <c r="B474" s="22" t="s">
        <v>227</v>
      </c>
      <c r="C474" s="22"/>
      <c r="D474" s="22"/>
      <c r="E474" s="22"/>
      <c r="F474" s="24">
        <f t="shared" ref="F474:F505" si="73">SUMIF($B$20:$B$329,B474,$K$20:$K$329)</f>
        <v>2074719.8800000001</v>
      </c>
      <c r="G474" s="14"/>
    </row>
    <row r="475" spans="1:7">
      <c r="A475" s="14" t="s">
        <v>240</v>
      </c>
      <c r="B475" s="22" t="s">
        <v>241</v>
      </c>
      <c r="C475" s="22"/>
      <c r="D475" s="22"/>
      <c r="E475" s="22"/>
      <c r="F475" s="24">
        <f t="shared" si="73"/>
        <v>2500</v>
      </c>
      <c r="G475" s="14"/>
    </row>
    <row r="476" spans="1:7">
      <c r="A476" s="14" t="s">
        <v>243</v>
      </c>
      <c r="B476" s="22" t="s">
        <v>244</v>
      </c>
      <c r="C476" s="22"/>
      <c r="D476" s="22"/>
      <c r="E476" s="22"/>
      <c r="F476" s="24">
        <f t="shared" si="73"/>
        <v>0</v>
      </c>
      <c r="G476" s="14"/>
    </row>
    <row r="477" spans="1:7">
      <c r="A477" s="14" t="s">
        <v>248</v>
      </c>
      <c r="B477" s="22" t="s">
        <v>249</v>
      </c>
      <c r="C477" s="22"/>
      <c r="D477" s="22"/>
      <c r="E477" s="22"/>
      <c r="F477" s="24">
        <f t="shared" si="73"/>
        <v>0</v>
      </c>
      <c r="G477" s="14"/>
    </row>
    <row r="478" spans="1:7">
      <c r="A478" s="14" t="s">
        <v>256</v>
      </c>
      <c r="B478" s="22" t="s">
        <v>257</v>
      </c>
      <c r="C478" s="22"/>
      <c r="D478" s="22"/>
      <c r="E478" s="22"/>
      <c r="F478" s="24">
        <f t="shared" si="73"/>
        <v>64575.680000000008</v>
      </c>
      <c r="G478" s="14"/>
    </row>
    <row r="479" spans="1:7">
      <c r="A479" s="14" t="s">
        <v>279</v>
      </c>
      <c r="B479" s="22" t="s">
        <v>280</v>
      </c>
      <c r="C479" s="22"/>
      <c r="D479" s="22"/>
      <c r="E479" s="22"/>
      <c r="F479" s="24">
        <f t="shared" si="73"/>
        <v>6000</v>
      </c>
      <c r="G479" s="14"/>
    </row>
    <row r="480" spans="1:7">
      <c r="A480" s="14" t="s">
        <v>937</v>
      </c>
      <c r="B480" s="22" t="s">
        <v>282</v>
      </c>
      <c r="C480" s="22"/>
      <c r="D480" s="22"/>
      <c r="E480" s="22"/>
      <c r="F480" s="24">
        <f t="shared" si="73"/>
        <v>9000</v>
      </c>
      <c r="G480" s="14"/>
    </row>
    <row r="481" spans="1:7">
      <c r="A481" s="14" t="s">
        <v>294</v>
      </c>
      <c r="B481" s="22" t="s">
        <v>295</v>
      </c>
      <c r="C481" s="22"/>
      <c r="D481" s="22"/>
      <c r="E481" s="22"/>
      <c r="F481" s="24">
        <f t="shared" si="73"/>
        <v>0</v>
      </c>
      <c r="G481" s="14"/>
    </row>
    <row r="482" spans="1:7">
      <c r="A482" s="14" t="s">
        <v>296</v>
      </c>
      <c r="B482" s="22" t="s">
        <v>297</v>
      </c>
      <c r="C482" s="22"/>
      <c r="D482" s="22"/>
      <c r="E482" s="22"/>
      <c r="F482" s="24">
        <f t="shared" si="73"/>
        <v>1950</v>
      </c>
      <c r="G482" s="14"/>
    </row>
    <row r="483" spans="1:7">
      <c r="A483" s="14" t="s">
        <v>315</v>
      </c>
      <c r="B483" s="22" t="s">
        <v>316</v>
      </c>
      <c r="C483" s="22"/>
      <c r="D483" s="22"/>
      <c r="E483" s="22"/>
      <c r="F483" s="24">
        <f t="shared" si="73"/>
        <v>0</v>
      </c>
      <c r="G483" s="14"/>
    </row>
    <row r="484" spans="1:7">
      <c r="A484" s="14" t="s">
        <v>317</v>
      </c>
      <c r="B484" s="22" t="s">
        <v>318</v>
      </c>
      <c r="C484" s="22"/>
      <c r="D484" s="22"/>
      <c r="E484" s="22"/>
      <c r="F484" s="24">
        <f t="shared" si="73"/>
        <v>15000</v>
      </c>
      <c r="G484" s="14"/>
    </row>
    <row r="485" spans="1:7">
      <c r="A485" s="14" t="s">
        <v>319</v>
      </c>
      <c r="B485" s="22" t="s">
        <v>320</v>
      </c>
      <c r="C485" s="22"/>
      <c r="D485" s="22"/>
      <c r="E485" s="22"/>
      <c r="F485" s="24">
        <f t="shared" si="73"/>
        <v>0</v>
      </c>
      <c r="G485" s="14"/>
    </row>
    <row r="486" spans="1:7">
      <c r="A486" s="14" t="s">
        <v>321</v>
      </c>
      <c r="B486" s="22" t="s">
        <v>322</v>
      </c>
      <c r="C486" s="22"/>
      <c r="D486" s="22"/>
      <c r="E486" s="22"/>
      <c r="F486" s="24">
        <f t="shared" si="73"/>
        <v>0</v>
      </c>
      <c r="G486" s="14"/>
    </row>
    <row r="487" spans="1:7">
      <c r="A487" s="14" t="s">
        <v>331</v>
      </c>
      <c r="B487" s="22" t="s">
        <v>332</v>
      </c>
      <c r="C487" s="22"/>
      <c r="D487" s="22"/>
      <c r="E487" s="22"/>
      <c r="F487" s="24">
        <f t="shared" si="73"/>
        <v>7200</v>
      </c>
      <c r="G487" s="14"/>
    </row>
    <row r="488" spans="1:7">
      <c r="A488" s="14" t="s">
        <v>344</v>
      </c>
      <c r="B488" s="22" t="s">
        <v>345</v>
      </c>
      <c r="C488" s="22"/>
      <c r="D488" s="22"/>
      <c r="E488" s="22"/>
      <c r="F488" s="24">
        <f t="shared" si="73"/>
        <v>7500</v>
      </c>
      <c r="G488" s="14"/>
    </row>
    <row r="489" spans="1:7">
      <c r="A489" s="14" t="s">
        <v>346</v>
      </c>
      <c r="B489" s="22" t="s">
        <v>345</v>
      </c>
      <c r="C489" s="22"/>
      <c r="D489" s="22"/>
      <c r="E489" s="22"/>
      <c r="F489" s="24">
        <f t="shared" si="73"/>
        <v>7500</v>
      </c>
      <c r="G489" s="14"/>
    </row>
    <row r="490" spans="1:7">
      <c r="A490" s="14" t="s">
        <v>378</v>
      </c>
      <c r="B490" s="22" t="s">
        <v>379</v>
      </c>
      <c r="C490" s="22"/>
      <c r="D490" s="22"/>
      <c r="E490" s="22"/>
      <c r="F490" s="24">
        <f t="shared" si="73"/>
        <v>0</v>
      </c>
      <c r="G490" s="14"/>
    </row>
    <row r="491" spans="1:7">
      <c r="A491" s="14" t="s">
        <v>380</v>
      </c>
      <c r="B491" s="22" t="s">
        <v>381</v>
      </c>
      <c r="C491" s="22"/>
      <c r="D491" s="22"/>
      <c r="E491" s="22"/>
      <c r="F491" s="24">
        <f t="shared" si="73"/>
        <v>0</v>
      </c>
      <c r="G491" s="14"/>
    </row>
    <row r="492" spans="1:7">
      <c r="A492" s="14" t="s">
        <v>407</v>
      </c>
      <c r="B492" s="22" t="s">
        <v>406</v>
      </c>
      <c r="C492" s="22"/>
      <c r="D492" s="22"/>
      <c r="E492" s="22"/>
      <c r="F492" s="24">
        <f t="shared" si="73"/>
        <v>1072049.72</v>
      </c>
      <c r="G492" s="14"/>
    </row>
    <row r="493" spans="1:7">
      <c r="A493" s="14" t="s">
        <v>412</v>
      </c>
      <c r="B493" s="22" t="s">
        <v>406</v>
      </c>
      <c r="C493" s="22"/>
      <c r="D493" s="22"/>
      <c r="E493" s="22"/>
      <c r="F493" s="24">
        <f t="shared" si="73"/>
        <v>1072049.72</v>
      </c>
      <c r="G493" s="14"/>
    </row>
    <row r="494" spans="1:7">
      <c r="A494" s="14" t="s">
        <v>938</v>
      </c>
      <c r="B494" s="22" t="s">
        <v>406</v>
      </c>
      <c r="C494" s="22"/>
      <c r="D494" s="22"/>
      <c r="E494" s="22"/>
      <c r="F494" s="24">
        <f t="shared" si="73"/>
        <v>1072049.72</v>
      </c>
      <c r="G494" s="14"/>
    </row>
    <row r="495" spans="1:7">
      <c r="A495" s="14" t="s">
        <v>471</v>
      </c>
      <c r="B495" s="22" t="s">
        <v>472</v>
      </c>
      <c r="C495" s="22"/>
      <c r="D495" s="22"/>
      <c r="E495" s="22"/>
      <c r="F495" s="24">
        <f t="shared" si="73"/>
        <v>60450</v>
      </c>
      <c r="G495" s="14"/>
    </row>
    <row r="496" spans="1:7">
      <c r="A496" s="14" t="s">
        <v>489</v>
      </c>
      <c r="B496" s="22" t="s">
        <v>490</v>
      </c>
      <c r="C496" s="22"/>
      <c r="D496" s="22"/>
      <c r="E496" s="22"/>
      <c r="F496" s="24">
        <f t="shared" si="73"/>
        <v>0</v>
      </c>
      <c r="G496" s="14"/>
    </row>
    <row r="497" spans="1:7">
      <c r="A497" s="14" t="s">
        <v>491</v>
      </c>
      <c r="B497" s="22" t="s">
        <v>492</v>
      </c>
      <c r="C497" s="22"/>
      <c r="D497" s="22"/>
      <c r="E497" s="22"/>
      <c r="F497" s="24">
        <f t="shared" si="73"/>
        <v>20160</v>
      </c>
      <c r="G497" s="14"/>
    </row>
    <row r="498" spans="1:7">
      <c r="A498" s="14" t="s">
        <v>531</v>
      </c>
      <c r="B498" s="22" t="s">
        <v>532</v>
      </c>
      <c r="C498" s="22"/>
      <c r="D498" s="22"/>
      <c r="E498" s="22"/>
      <c r="F498" s="24">
        <f t="shared" si="73"/>
        <v>18000</v>
      </c>
      <c r="G498" s="14"/>
    </row>
    <row r="499" spans="1:7">
      <c r="A499" s="14" t="s">
        <v>536</v>
      </c>
      <c r="B499" s="22" t="s">
        <v>537</v>
      </c>
      <c r="C499" s="22"/>
      <c r="D499" s="22"/>
      <c r="E499" s="22"/>
      <c r="F499" s="24">
        <f t="shared" si="73"/>
        <v>245000</v>
      </c>
      <c r="G499" s="14"/>
    </row>
    <row r="500" spans="1:7">
      <c r="A500" s="14" t="s">
        <v>172</v>
      </c>
      <c r="B500" s="22" t="s">
        <v>539</v>
      </c>
      <c r="C500" s="22"/>
      <c r="D500" s="22"/>
      <c r="E500" s="22"/>
      <c r="F500" s="24">
        <f t="shared" si="73"/>
        <v>1286163.8068965515</v>
      </c>
      <c r="G500" s="14"/>
    </row>
    <row r="501" spans="1:7">
      <c r="A501" s="14" t="s">
        <v>541</v>
      </c>
      <c r="B501" s="22" t="s">
        <v>542</v>
      </c>
      <c r="C501" s="22"/>
      <c r="D501" s="22"/>
      <c r="E501" s="22"/>
      <c r="F501" s="24">
        <f t="shared" si="73"/>
        <v>7049</v>
      </c>
      <c r="G501" s="14"/>
    </row>
    <row r="502" spans="1:7">
      <c r="A502" s="14" t="s">
        <v>553</v>
      </c>
      <c r="B502" s="22" t="s">
        <v>554</v>
      </c>
      <c r="C502" s="22"/>
      <c r="D502" s="22"/>
      <c r="E502" s="22"/>
      <c r="F502" s="24">
        <f t="shared" si="73"/>
        <v>13000</v>
      </c>
      <c r="G502" s="14"/>
    </row>
    <row r="503" spans="1:7">
      <c r="A503" s="14" t="s">
        <v>572</v>
      </c>
      <c r="B503" s="22" t="s">
        <v>573</v>
      </c>
      <c r="C503" s="22"/>
      <c r="D503" s="22"/>
      <c r="E503" s="22"/>
      <c r="F503" s="24">
        <f t="shared" si="73"/>
        <v>24612</v>
      </c>
      <c r="G503" s="14"/>
    </row>
    <row r="504" spans="1:7">
      <c r="A504" s="14" t="s">
        <v>575</v>
      </c>
      <c r="B504" s="22" t="s">
        <v>576</v>
      </c>
      <c r="C504" s="22"/>
      <c r="D504" s="22"/>
      <c r="E504" s="22"/>
      <c r="F504" s="24">
        <f t="shared" si="73"/>
        <v>6000</v>
      </c>
      <c r="G504" s="14"/>
    </row>
    <row r="505" spans="1:7">
      <c r="A505" s="14" t="s">
        <v>601</v>
      </c>
      <c r="B505" s="22" t="s">
        <v>591</v>
      </c>
      <c r="C505" s="22"/>
      <c r="D505" s="22"/>
      <c r="E505" s="22"/>
      <c r="F505" s="24">
        <f t="shared" si="73"/>
        <v>4271799.7184999995</v>
      </c>
      <c r="G505" s="14"/>
    </row>
    <row r="506" spans="1:7">
      <c r="A506" s="14" t="s">
        <v>604</v>
      </c>
      <c r="B506" s="22" t="s">
        <v>595</v>
      </c>
      <c r="C506" s="22"/>
      <c r="D506" s="22"/>
      <c r="E506" s="22"/>
      <c r="F506" s="24">
        <f t="shared" ref="F506:F523" si="74">SUMIF($B$20:$B$329,B506,$K$20:$K$329)</f>
        <v>276470.99999999994</v>
      </c>
      <c r="G506" s="14"/>
    </row>
    <row r="507" spans="1:7">
      <c r="A507" s="14" t="s">
        <v>605</v>
      </c>
      <c r="B507" s="22" t="s">
        <v>591</v>
      </c>
      <c r="C507" s="22"/>
      <c r="D507" s="22"/>
      <c r="E507" s="22"/>
      <c r="F507" s="24">
        <f t="shared" si="74"/>
        <v>4271799.7184999995</v>
      </c>
      <c r="G507" s="14"/>
    </row>
    <row r="508" spans="1:7">
      <c r="A508" s="14" t="s">
        <v>606</v>
      </c>
      <c r="B508" s="22" t="s">
        <v>607</v>
      </c>
      <c r="C508" s="22"/>
      <c r="D508" s="22"/>
      <c r="E508" s="22"/>
      <c r="F508" s="24">
        <f t="shared" si="74"/>
        <v>0</v>
      </c>
      <c r="G508" s="14"/>
    </row>
    <row r="509" spans="1:7">
      <c r="A509" s="14" t="s">
        <v>619</v>
      </c>
      <c r="B509" s="22" t="s">
        <v>620</v>
      </c>
      <c r="C509" s="22"/>
      <c r="D509" s="22"/>
      <c r="E509" s="22"/>
      <c r="F509" s="24">
        <f t="shared" si="74"/>
        <v>17000</v>
      </c>
      <c r="G509" s="14"/>
    </row>
    <row r="510" spans="1:7">
      <c r="A510" s="14" t="s">
        <v>621</v>
      </c>
      <c r="B510" s="22" t="s">
        <v>622</v>
      </c>
      <c r="C510" s="22"/>
      <c r="D510" s="22"/>
      <c r="E510" s="22"/>
      <c r="F510" s="24">
        <f t="shared" si="74"/>
        <v>11000</v>
      </c>
      <c r="G510" s="14"/>
    </row>
    <row r="511" spans="1:7">
      <c r="A511" s="14" t="s">
        <v>623</v>
      </c>
      <c r="B511" s="22" t="s">
        <v>624</v>
      </c>
      <c r="C511" s="22"/>
      <c r="D511" s="22"/>
      <c r="E511" s="22"/>
      <c r="F511" s="24">
        <f t="shared" si="74"/>
        <v>2000</v>
      </c>
      <c r="G511" s="14"/>
    </row>
    <row r="512" spans="1:7">
      <c r="A512" s="14" t="s">
        <v>625</v>
      </c>
      <c r="B512" s="22" t="s">
        <v>591</v>
      </c>
      <c r="C512" s="22"/>
      <c r="D512" s="22"/>
      <c r="E512" s="22"/>
      <c r="F512" s="24">
        <f t="shared" si="74"/>
        <v>4271799.7184999995</v>
      </c>
      <c r="G512" s="14"/>
    </row>
    <row r="513" spans="1:7">
      <c r="A513" s="14" t="s">
        <v>626</v>
      </c>
      <c r="B513" s="22" t="s">
        <v>595</v>
      </c>
      <c r="C513" s="22"/>
      <c r="D513" s="22"/>
      <c r="E513" s="22"/>
      <c r="F513" s="24">
        <f t="shared" si="74"/>
        <v>276470.99999999994</v>
      </c>
      <c r="G513" s="14"/>
    </row>
    <row r="514" spans="1:7">
      <c r="A514" s="14" t="s">
        <v>679</v>
      </c>
      <c r="B514" s="22" t="s">
        <v>680</v>
      </c>
      <c r="C514" s="22"/>
      <c r="D514" s="22"/>
      <c r="E514" s="22"/>
      <c r="F514" s="24">
        <f t="shared" si="74"/>
        <v>59730</v>
      </c>
      <c r="G514" s="14"/>
    </row>
    <row r="515" spans="1:7">
      <c r="A515" s="14" t="s">
        <v>689</v>
      </c>
      <c r="B515" s="22" t="s">
        <v>690</v>
      </c>
      <c r="C515" s="22"/>
      <c r="D515" s="22"/>
      <c r="E515" s="22"/>
      <c r="F515" s="24">
        <f t="shared" si="74"/>
        <v>9660</v>
      </c>
      <c r="G515" s="14"/>
    </row>
    <row r="516" spans="1:7">
      <c r="A516" s="14" t="s">
        <v>161</v>
      </c>
      <c r="B516" s="22" t="s">
        <v>703</v>
      </c>
      <c r="C516" s="22"/>
      <c r="D516" s="22"/>
      <c r="E516" s="22"/>
      <c r="F516" s="24">
        <f t="shared" si="74"/>
        <v>36675</v>
      </c>
      <c r="G516" s="14"/>
    </row>
    <row r="517" spans="1:7">
      <c r="A517" s="14" t="s">
        <v>722</v>
      </c>
      <c r="B517" s="22" t="s">
        <v>723</v>
      </c>
      <c r="C517" s="22"/>
      <c r="D517" s="22"/>
      <c r="E517" s="22"/>
      <c r="F517" s="24">
        <f t="shared" si="74"/>
        <v>11000</v>
      </c>
      <c r="G517" s="14"/>
    </row>
    <row r="518" spans="1:7">
      <c r="A518" s="14" t="s">
        <v>827</v>
      </c>
      <c r="B518" s="22" t="s">
        <v>828</v>
      </c>
      <c r="C518" s="22"/>
      <c r="D518" s="22"/>
      <c r="E518" s="22"/>
      <c r="F518" s="24">
        <f t="shared" si="74"/>
        <v>21000</v>
      </c>
      <c r="G518" s="14"/>
    </row>
    <row r="519" spans="1:7">
      <c r="A519" s="14" t="s">
        <v>829</v>
      </c>
      <c r="B519" s="22" t="s">
        <v>830</v>
      </c>
      <c r="C519" s="22"/>
      <c r="D519" s="22"/>
      <c r="E519" s="22"/>
      <c r="F519" s="24">
        <f t="shared" si="74"/>
        <v>21900</v>
      </c>
      <c r="G519" s="14"/>
    </row>
    <row r="520" spans="1:7">
      <c r="A520" s="14" t="s">
        <v>831</v>
      </c>
      <c r="B520" s="22" t="s">
        <v>832</v>
      </c>
      <c r="C520" s="22"/>
      <c r="D520" s="22"/>
      <c r="E520" s="22"/>
      <c r="F520" s="24">
        <f t="shared" si="74"/>
        <v>129526.8</v>
      </c>
      <c r="G520" s="14"/>
    </row>
    <row r="521" spans="1:7">
      <c r="A521" s="14" t="s">
        <v>939</v>
      </c>
      <c r="B521" s="22" t="s">
        <v>834</v>
      </c>
      <c r="C521" s="22"/>
      <c r="D521" s="22"/>
      <c r="E521" s="22"/>
      <c r="F521" s="24">
        <f t="shared" si="74"/>
        <v>0</v>
      </c>
      <c r="G521" s="14"/>
    </row>
    <row r="522" spans="1:7">
      <c r="A522" s="14" t="s">
        <v>846</v>
      </c>
      <c r="B522" s="22" t="s">
        <v>630</v>
      </c>
      <c r="C522" s="22"/>
      <c r="D522" s="22"/>
      <c r="E522" s="22"/>
      <c r="F522" s="24">
        <f t="shared" si="74"/>
        <v>24000</v>
      </c>
      <c r="G522" s="14"/>
    </row>
    <row r="523" spans="1:7">
      <c r="A523" s="14" t="s">
        <v>847</v>
      </c>
      <c r="B523" s="22" t="s">
        <v>848</v>
      </c>
      <c r="C523" s="22"/>
      <c r="D523" s="22"/>
      <c r="E523" s="22"/>
      <c r="F523" s="24">
        <f t="shared" si="74"/>
        <v>2000</v>
      </c>
      <c r="G523" s="14"/>
    </row>
  </sheetData>
  <autoFilter ref="A19:M367" xr:uid="{705B4724-39A6-4B76-8B6A-9DAEE3A59253}"/>
  <phoneticPr fontId="7" type="noConversion"/>
  <conditionalFormatting sqref="A13:B17">
    <cfRule type="expression" dxfId="92" priority="6">
      <formula>MOD(ROW(),2)=0</formula>
    </cfRule>
  </conditionalFormatting>
  <conditionalFormatting sqref="A155:K156 A157:D300 M169:Y193">
    <cfRule type="expression" dxfId="91" priority="1">
      <formula>MOD(ROW(),2)</formula>
    </cfRule>
  </conditionalFormatting>
  <conditionalFormatting sqref="D3:F7">
    <cfRule type="expression" dxfId="90" priority="43">
      <formula>MOD(ROW(),2)=0</formula>
    </cfRule>
  </conditionalFormatting>
  <conditionalFormatting sqref="D10:F16">
    <cfRule type="expression" dxfId="89" priority="34">
      <formula>MOD(ROW(),2)</formula>
    </cfRule>
  </conditionalFormatting>
  <conditionalFormatting sqref="D15:F15">
    <cfRule type="expression" dxfId="88" priority="41">
      <formula>MOD(ROW(),2)=0</formula>
    </cfRule>
  </conditionalFormatting>
  <conditionalFormatting sqref="E367">
    <cfRule type="cellIs" dxfId="87" priority="36" operator="lessThan">
      <formula>0</formula>
    </cfRule>
    <cfRule type="cellIs" dxfId="86" priority="37" operator="greaterThan">
      <formula>0</formula>
    </cfRule>
  </conditionalFormatting>
  <conditionalFormatting sqref="E45:K49">
    <cfRule type="expression" dxfId="85" priority="30">
      <formula>MOD(ROW(),2)</formula>
    </cfRule>
  </conditionalFormatting>
  <conditionalFormatting sqref="E51:K58">
    <cfRule type="expression" dxfId="84" priority="29">
      <formula>MOD(ROW(),2)</formula>
    </cfRule>
  </conditionalFormatting>
  <conditionalFormatting sqref="E85:K99">
    <cfRule type="expression" dxfId="83" priority="28">
      <formula>MOD(ROW(),2)</formula>
    </cfRule>
  </conditionalFormatting>
  <conditionalFormatting sqref="E184:K184">
    <cfRule type="expression" dxfId="82" priority="26">
      <formula>MOD(ROW(),2)</formula>
    </cfRule>
  </conditionalFormatting>
  <conditionalFormatting sqref="E186:K202">
    <cfRule type="expression" dxfId="81" priority="5">
      <formula>MOD(ROW(),2)</formula>
    </cfRule>
  </conditionalFormatting>
  <conditionalFormatting sqref="E20:L20 A20:D154 E21:K21 E22:L22 E23:K23 E24:L24 E25:K33 E34:L35 E36:K43 E44:L44 E50:L50 E59:L59 E60:K71 E72:L72 E73:K83 E84:L84 E100:L100 E101:K136 E137:L137 E138:K153 E154:L154 E157:L157 E158:K165 E166:L166 E167:K169 E170:L170 E171:K172 E173:L173 E174:K176 E177:L177 E178:K182 E183:L183 E185:L185 E203:L203 E204:K206 E207:L207 E208:K210 E211:L211 E212:K220 E221:L221 E222:K257 E258:L258 E259:K274 E275:L275 E276:K276 E277:L277 E278:K280 E281:L281 E282:K290 E291:L291 E292:K299 E300:L300 A301:K301 E302:K302 A302:D326 E303:L303 E304:K317 E318:L318 E319:K319 E320:L320 E321:K321 E322:L322 E323:K325 E326:L326 A327:K328 A329:L329">
    <cfRule type="expression" dxfId="80" priority="38">
      <formula>MOD(ROW(),2)</formula>
    </cfRule>
  </conditionalFormatting>
  <conditionalFormatting sqref="H3:O7">
    <cfRule type="expression" dxfId="79" priority="15">
      <formula>MOD(ROW(),2)</formula>
    </cfRule>
  </conditionalFormatting>
  <conditionalFormatting sqref="L330:M330">
    <cfRule type="cellIs" dxfId="78" priority="35" operator="lessThan">
      <formula>0</formula>
    </cfRule>
    <cfRule type="cellIs" dxfId="77" priority="39" operator="greaterThan">
      <formula>0</formula>
    </cfRule>
  </conditionalFormatting>
  <conditionalFormatting sqref="M20:Y89 M90 M159:M160 M161:Y167 M168 M194:M195 M196:Y328">
    <cfRule type="expression" dxfId="76" priority="25">
      <formula>MOD(ROW(),2)</formula>
    </cfRule>
  </conditionalFormatting>
  <conditionalFormatting sqref="M91:Y159">
    <cfRule type="expression" dxfId="75" priority="3">
      <formula>MOD(ROW(),2)</formula>
    </cfRule>
  </conditionalFormatting>
  <conditionalFormatting sqref="P5:R18">
    <cfRule type="expression" dxfId="74" priority="10">
      <formula>MOD(ROW(),2)</formula>
    </cfRule>
  </conditionalFormatting>
  <conditionalFormatting sqref="P1:X3 A2:B11">
    <cfRule type="expression" dxfId="73" priority="40">
      <formula>MOD(ROW(),2)</formula>
    </cfRule>
  </conditionalFormatting>
  <conditionalFormatting sqref="S4:X18">
    <cfRule type="expression" dxfId="72" priority="7">
      <formula>MOD(ROW(),2)</formula>
    </cfRule>
  </conditionalFormatting>
  <conditionalFormatting sqref="AP4:AT8">
    <cfRule type="expression" dxfId="71" priority="4">
      <formula>MOD(ROW(),2)=0</formula>
    </cfRule>
  </conditionalFormatting>
  <dataValidations count="2">
    <dataValidation type="list" allowBlank="1" showInputMessage="1" showErrorMessage="1" sqref="B3" xr:uid="{CB441B18-B522-40CA-B0B1-0F862A0A4FEB}">
      <formula1>"Level 1, Level 2, Level 3"</formula1>
    </dataValidation>
    <dataValidation type="list" allowBlank="1" showInputMessage="1" showErrorMessage="1" sqref="B4" xr:uid="{F808E7D7-4EF1-44D9-AF93-6A167BBCCF3B}">
      <formula1>"Urban, Market, Senior, Afforable"</formula1>
    </dataValidation>
  </dataValidations>
  <printOptions horizontalCentered="1"/>
  <pageMargins left="0.25" right="0.25" top="0.7" bottom="0.5" header="0.35" footer="0.05"/>
  <pageSetup paperSize="3" scale="51" fitToHeight="0" orientation="landscape" r:id="rId1"/>
  <headerFooter>
    <oddHeader>&amp;R&amp;G</oddHeader>
  </headerFooter>
  <rowBreaks count="4" manualBreakCount="4">
    <brk id="71" max="23" man="1"/>
    <brk id="136" max="23" man="1"/>
    <brk id="210" max="23" man="1"/>
    <brk id="276" max="23" man="1"/>
  </rowBreaks>
  <ignoredErrors>
    <ignoredError sqref="F16"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ED2F-2919-4F6B-970C-CB494B8D16ED}">
  <sheetPr>
    <pageSetUpPr fitToPage="1"/>
  </sheetPr>
  <dimension ref="A1:M87"/>
  <sheetViews>
    <sheetView zoomScale="70" zoomScaleNormal="70" workbookViewId="0">
      <selection activeCell="C5" sqref="C5"/>
    </sheetView>
  </sheetViews>
  <sheetFormatPr defaultColWidth="9.140625" defaultRowHeight="14.45"/>
  <cols>
    <col min="1" max="1" width="27" style="724" customWidth="1"/>
    <col min="2" max="3" width="18.7109375" style="723" customWidth="1"/>
    <col min="4" max="5" width="18.7109375" style="724" customWidth="1"/>
    <col min="6" max="6" width="21.42578125" style="724" customWidth="1"/>
    <col min="7" max="7" width="92.85546875" style="724" customWidth="1"/>
    <col min="8" max="12" width="9.140625" style="724"/>
    <col min="13" max="13" width="10.5703125" style="724" bestFit="1" customWidth="1"/>
    <col min="14" max="16384" width="9.140625" style="724"/>
  </cols>
  <sheetData>
    <row r="1" spans="1:7">
      <c r="A1" s="722" t="s">
        <v>1117</v>
      </c>
    </row>
    <row r="2" spans="1:7">
      <c r="A2" s="722" t="s">
        <v>1118</v>
      </c>
    </row>
    <row r="4" spans="1:7" ht="27.75" customHeight="1">
      <c r="A4" s="753" t="s">
        <v>1007</v>
      </c>
      <c r="B4" s="753" t="s">
        <v>38</v>
      </c>
      <c r="C4" s="753" t="s">
        <v>39</v>
      </c>
      <c r="D4" s="753" t="s">
        <v>1119</v>
      </c>
      <c r="E4" s="753" t="s">
        <v>1120</v>
      </c>
      <c r="F4" s="753" t="s">
        <v>1121</v>
      </c>
      <c r="G4" s="753" t="s">
        <v>1122</v>
      </c>
    </row>
    <row r="6" spans="1:7">
      <c r="A6" s="755" t="s">
        <v>224</v>
      </c>
      <c r="B6" s="754"/>
    </row>
    <row r="7" spans="1:7">
      <c r="A7" s="730" t="s">
        <v>1123</v>
      </c>
      <c r="B7" s="731">
        <f>'Level 1.1 UPDATE B'!Q2</f>
        <v>149760</v>
      </c>
      <c r="C7" s="726">
        <f>'Level 3'!Q2</f>
        <v>145399.85</v>
      </c>
      <c r="D7" s="726">
        <f>B7-C7</f>
        <v>4360.1499999999942</v>
      </c>
      <c r="E7" s="727">
        <f>'Level 3'!H24</f>
        <v>9.5</v>
      </c>
      <c r="F7" s="728">
        <f>E7*D7</f>
        <v>41421.424999999945</v>
      </c>
      <c r="G7" s="729" t="s">
        <v>1124</v>
      </c>
    </row>
    <row r="8" spans="1:7">
      <c r="A8" s="730" t="s">
        <v>1123</v>
      </c>
      <c r="B8" s="732">
        <f>'Level 1.1 UPDATE B'!H25</f>
        <v>11.99</v>
      </c>
      <c r="C8" s="732">
        <f>'Level 3'!H24</f>
        <v>9.5</v>
      </c>
      <c r="D8" s="735">
        <f>B8-C8</f>
        <v>2.4900000000000002</v>
      </c>
      <c r="E8" s="731">
        <f>'Level 3'!Q2</f>
        <v>145399.85</v>
      </c>
      <c r="F8" s="733">
        <f>E8*D8</f>
        <v>362045.62650000007</v>
      </c>
      <c r="G8" s="734" t="s">
        <v>1125</v>
      </c>
    </row>
    <row r="9" spans="1:7">
      <c r="A9" s="730" t="s">
        <v>1126</v>
      </c>
      <c r="B9" s="731">
        <f>'Level 1.1 UPDATE B'!K31</f>
        <v>18399</v>
      </c>
      <c r="C9" s="731">
        <f>'Level 3'!K30</f>
        <v>35000</v>
      </c>
      <c r="D9" s="733">
        <f>B9-C9</f>
        <v>-16601</v>
      </c>
      <c r="E9" s="732">
        <v>1</v>
      </c>
      <c r="F9" s="733">
        <f>E9*D9</f>
        <v>-16601</v>
      </c>
      <c r="G9" s="734" t="s">
        <v>1127</v>
      </c>
    </row>
    <row r="10" spans="1:7">
      <c r="A10" s="730" t="s">
        <v>1128</v>
      </c>
      <c r="B10" s="732">
        <f>'Level 1.1 UPDATE B'!H33</f>
        <v>2.8</v>
      </c>
      <c r="C10" s="732">
        <f>'Level 3'!H32</f>
        <v>2.6</v>
      </c>
      <c r="D10" s="732">
        <f>B10-C10</f>
        <v>0.19999999999999973</v>
      </c>
      <c r="E10" s="731">
        <f>'Level 3'!G32</f>
        <v>261305.65</v>
      </c>
      <c r="F10" s="733">
        <f>E10*D10</f>
        <v>52261.129999999932</v>
      </c>
      <c r="G10" s="734" t="s">
        <v>1129</v>
      </c>
    </row>
    <row r="11" spans="1:7">
      <c r="A11" s="730" t="s">
        <v>1130</v>
      </c>
      <c r="B11" s="735">
        <f>'Level 1.1 UPDATE B'!H34</f>
        <v>19.760000000000002</v>
      </c>
      <c r="C11" s="735">
        <f>'Level 3'!H33</f>
        <v>20.525067750677508</v>
      </c>
      <c r="D11" s="732">
        <f>B11-C11</f>
        <v>-0.7650677506775061</v>
      </c>
      <c r="E11" s="733">
        <f>'Level 3'!G33</f>
        <v>3440</v>
      </c>
      <c r="F11" s="736">
        <f>E11</f>
        <v>3440</v>
      </c>
      <c r="G11" s="734" t="s">
        <v>1131</v>
      </c>
    </row>
    <row r="12" spans="1:7">
      <c r="A12" s="737"/>
      <c r="B12" s="738"/>
      <c r="C12" s="738"/>
      <c r="D12" s="738"/>
      <c r="E12" s="738"/>
      <c r="F12" s="739">
        <f>SUM(F7:F11)</f>
        <v>442567.18149999995</v>
      </c>
      <c r="G12" s="740"/>
    </row>
    <row r="13" spans="1:7">
      <c r="D13" s="723"/>
      <c r="E13" s="723"/>
    </row>
    <row r="14" spans="1:7">
      <c r="A14" s="756" t="s">
        <v>305</v>
      </c>
      <c r="B14" s="757"/>
      <c r="D14" s="723"/>
      <c r="E14" s="723"/>
    </row>
    <row r="15" spans="1:7">
      <c r="A15" s="725" t="s">
        <v>1132</v>
      </c>
      <c r="B15" s="726">
        <f>'Level 1.1 UPDATE B'!B8</f>
        <v>426549</v>
      </c>
      <c r="C15" s="726">
        <f>'Level 3'!B8</f>
        <v>422635</v>
      </c>
      <c r="D15" s="726">
        <f>B15-C15</f>
        <v>3914</v>
      </c>
      <c r="E15" s="727">
        <f>'Level 3'!H52</f>
        <v>17.716623879549335</v>
      </c>
      <c r="F15" s="728">
        <f>E15*D15</f>
        <v>69342.865864556094</v>
      </c>
      <c r="G15" s="729" t="s">
        <v>1133</v>
      </c>
    </row>
    <row r="16" spans="1:7">
      <c r="A16" s="730" t="s">
        <v>1134</v>
      </c>
      <c r="B16" s="732">
        <f>'Level 1.1 UPDATE B'!H61</f>
        <v>18.899999999999999</v>
      </c>
      <c r="C16" s="732">
        <f>'Level 3'!H52</f>
        <v>17.716623879549335</v>
      </c>
      <c r="D16" s="735">
        <f>B16-C16</f>
        <v>1.1833761204506636</v>
      </c>
      <c r="E16" s="731">
        <f>'Level 3'!B8</f>
        <v>422635</v>
      </c>
      <c r="F16" s="733">
        <f>E16*D16</f>
        <v>500136.16666666622</v>
      </c>
      <c r="G16" s="734" t="s">
        <v>1135</v>
      </c>
    </row>
    <row r="17" spans="1:7">
      <c r="A17" s="730" t="str">
        <f>'Level 3'!A59</f>
        <v>Finish Carpentry - Units</v>
      </c>
      <c r="B17" s="732">
        <v>5.2209500287489243</v>
      </c>
      <c r="C17" s="732">
        <f>'Level 3'!H59</f>
        <v>3.55</v>
      </c>
      <c r="D17" s="732">
        <f>B17-C17</f>
        <v>1.6709500287489245</v>
      </c>
      <c r="E17" s="731">
        <f>'Level 3'!G59</f>
        <v>329873</v>
      </c>
      <c r="F17" s="733">
        <f>E17*D17</f>
        <v>551201.29883349396</v>
      </c>
      <c r="G17" s="734" t="s">
        <v>1136</v>
      </c>
    </row>
    <row r="18" spans="1:7">
      <c r="A18" s="730" t="str">
        <f>'Level 3'!A60</f>
        <v xml:space="preserve">Finish Carpentry - Common </v>
      </c>
      <c r="B18" s="732">
        <f>'Level 1.1 UPDATE B'!H69</f>
        <v>3.1664784845063356</v>
      </c>
      <c r="C18" s="732">
        <f>'Level 3'!H60</f>
        <v>5.7148858177181756</v>
      </c>
      <c r="D18" s="732">
        <f>B18-C18</f>
        <v>-2.54840733321184</v>
      </c>
      <c r="E18" s="731">
        <f>'Level 3'!G60</f>
        <v>87842</v>
      </c>
      <c r="F18" s="736">
        <f>E18*D18</f>
        <v>-223857.19696399444</v>
      </c>
      <c r="G18" s="734" t="s">
        <v>1137</v>
      </c>
    </row>
    <row r="19" spans="1:7">
      <c r="A19" s="737"/>
      <c r="B19" s="738"/>
      <c r="C19" s="738"/>
      <c r="D19" s="744"/>
      <c r="E19" s="744"/>
      <c r="F19" s="739">
        <f>SUM(F15:F18)</f>
        <v>896823.13440072199</v>
      </c>
      <c r="G19" s="740"/>
    </row>
    <row r="21" spans="1:7">
      <c r="A21" s="758" t="s">
        <v>335</v>
      </c>
      <c r="B21" s="759"/>
    </row>
    <row r="22" spans="1:7">
      <c r="A22" s="725" t="s">
        <v>154</v>
      </c>
      <c r="B22" s="726">
        <f>'Level 1.1 UPDATE B'!G74</f>
        <v>1497.6</v>
      </c>
      <c r="C22" s="726">
        <f>'Level 3'!G67</f>
        <v>1734.0110999999999</v>
      </c>
      <c r="D22" s="726">
        <f>B22-C22</f>
        <v>-236.41110000000003</v>
      </c>
      <c r="E22" s="728">
        <f>'Level 3'!H67</f>
        <v>572.53228271337673</v>
      </c>
      <c r="F22" s="728">
        <f>E22*D22</f>
        <v>-135352.98674178039</v>
      </c>
      <c r="G22" s="729" t="s">
        <v>1138</v>
      </c>
    </row>
    <row r="23" spans="1:7">
      <c r="A23" s="730" t="s">
        <v>1139</v>
      </c>
      <c r="B23" s="733">
        <f>'Level 1.1 UPDATE B'!H74</f>
        <v>596</v>
      </c>
      <c r="C23" s="733">
        <f>'Level 3'!H67</f>
        <v>572.53228271337673</v>
      </c>
      <c r="D23" s="733">
        <f>B23-C23</f>
        <v>23.46771728662327</v>
      </c>
      <c r="E23" s="731">
        <f>'Level 3'!Q10</f>
        <v>1734.0110999999999</v>
      </c>
      <c r="F23" s="736">
        <f>E23*D23</f>
        <v>40693.282266666632</v>
      </c>
      <c r="G23" s="734"/>
    </row>
    <row r="24" spans="1:7">
      <c r="A24" s="737"/>
      <c r="B24" s="738"/>
      <c r="C24" s="738"/>
      <c r="D24" s="744"/>
      <c r="E24" s="744"/>
      <c r="F24" s="739">
        <f>F22+F23</f>
        <v>-94659.704475113758</v>
      </c>
      <c r="G24" s="740"/>
    </row>
    <row r="26" spans="1:7">
      <c r="A26" s="758" t="s">
        <v>391</v>
      </c>
      <c r="B26" s="759"/>
    </row>
    <row r="27" spans="1:7">
      <c r="A27" s="725" t="s">
        <v>1140</v>
      </c>
      <c r="B27" s="726">
        <f>'Level 1.1 UPDATE B'!G107</f>
        <v>22444</v>
      </c>
      <c r="C27" s="726">
        <f>'Level 3'!G100</f>
        <v>28186.002</v>
      </c>
      <c r="D27" s="726">
        <f>B27-C27</f>
        <v>-5742.0020000000004</v>
      </c>
      <c r="E27" s="727">
        <f>'Level 3'!H100</f>
        <v>39.311357460345036</v>
      </c>
      <c r="F27" s="728">
        <f>E27*D27</f>
        <v>-225725.89316001613</v>
      </c>
      <c r="G27" s="729" t="s">
        <v>1141</v>
      </c>
    </row>
    <row r="28" spans="1:7">
      <c r="A28" s="730" t="s">
        <v>1142</v>
      </c>
      <c r="B28" s="731">
        <f>B15</f>
        <v>426549</v>
      </c>
      <c r="C28" s="731">
        <f>C15</f>
        <v>422635</v>
      </c>
      <c r="D28" s="733">
        <f>B28-C28</f>
        <v>3914</v>
      </c>
      <c r="E28" s="732">
        <f>'Level 1.1 UPDATE A'!H114</f>
        <v>8.02</v>
      </c>
      <c r="F28" s="733">
        <f>E28*D28</f>
        <v>31390.28</v>
      </c>
      <c r="G28" s="734" t="s">
        <v>1143</v>
      </c>
    </row>
    <row r="29" spans="1:7">
      <c r="A29" s="730" t="s">
        <v>1144</v>
      </c>
      <c r="B29" s="732">
        <f>'Level 1.1 UPDATE B'!H114</f>
        <v>7.7</v>
      </c>
      <c r="C29" s="732">
        <f>'Level 3'!H107</f>
        <v>7.6967217575449256</v>
      </c>
      <c r="D29" s="732">
        <f>B29-C29</f>
        <v>3.2782424550745759E-3</v>
      </c>
      <c r="E29" s="731">
        <v>422635</v>
      </c>
      <c r="F29" s="733">
        <f>E29*D29</f>
        <v>1385.5000000004434</v>
      </c>
      <c r="G29" s="734" t="s">
        <v>1145</v>
      </c>
    </row>
    <row r="30" spans="1:7">
      <c r="A30" s="730" t="s">
        <v>431</v>
      </c>
      <c r="B30" s="732">
        <f>'Level 1.1 UPDATE B'!H121</f>
        <v>20.97</v>
      </c>
      <c r="C30" s="732">
        <f>'Level 3'!H114</f>
        <v>17.099999999999998</v>
      </c>
      <c r="D30" s="732">
        <f>B30-C30</f>
        <v>3.870000000000001</v>
      </c>
      <c r="E30" s="731">
        <f>'Level 3'!G114</f>
        <v>36652.555555555555</v>
      </c>
      <c r="F30" s="736">
        <f>E30*D30</f>
        <v>141845.39000000004</v>
      </c>
      <c r="G30" s="734"/>
    </row>
    <row r="31" spans="1:7">
      <c r="A31" s="737"/>
      <c r="B31" s="738"/>
      <c r="C31" s="738"/>
      <c r="D31" s="744"/>
      <c r="E31" s="744"/>
      <c r="F31" s="739">
        <f>SUM(F27:F30)</f>
        <v>-51104.723160015652</v>
      </c>
      <c r="G31" s="740"/>
    </row>
    <row r="32" spans="1:7">
      <c r="F32" s="742"/>
    </row>
    <row r="33" spans="1:7">
      <c r="A33" s="758" t="s">
        <v>467</v>
      </c>
      <c r="B33" s="759"/>
    </row>
    <row r="34" spans="1:7">
      <c r="A34" s="725" t="s">
        <v>497</v>
      </c>
      <c r="B34" s="728">
        <f>'Level 1.1 UPDATE B'!H152</f>
        <v>153</v>
      </c>
      <c r="C34" s="728">
        <f>'Level 3'!H145</f>
        <v>230.28205128205127</v>
      </c>
      <c r="D34" s="728">
        <f>B34-C34</f>
        <v>-77.28205128205127</v>
      </c>
      <c r="E34" s="726">
        <f>'Level 3'!G145</f>
        <v>390</v>
      </c>
      <c r="F34" s="728">
        <f t="shared" ref="F34:F35" si="0">E34*D34</f>
        <v>-30139.999999999996</v>
      </c>
      <c r="G34" s="729" t="s">
        <v>1146</v>
      </c>
    </row>
    <row r="35" spans="1:7">
      <c r="A35" s="730" t="s">
        <v>499</v>
      </c>
      <c r="B35" s="733">
        <f>'Level 1.1 UPDATE B'!H153</f>
        <v>220</v>
      </c>
      <c r="C35" s="733">
        <f>'Level 3'!H146</f>
        <v>425.64102564102564</v>
      </c>
      <c r="D35" s="733">
        <f>B35-C35</f>
        <v>-205.64102564102564</v>
      </c>
      <c r="E35" s="731">
        <f>'Level 3'!G146</f>
        <v>390</v>
      </c>
      <c r="F35" s="736">
        <f t="shared" si="0"/>
        <v>-80200</v>
      </c>
      <c r="G35" s="734" t="s">
        <v>1147</v>
      </c>
    </row>
    <row r="36" spans="1:7">
      <c r="A36" s="737"/>
      <c r="B36" s="738"/>
      <c r="C36" s="738"/>
      <c r="D36" s="744"/>
      <c r="E36" s="744"/>
      <c r="F36" s="739">
        <f>SUM(F34:F35)</f>
        <v>-110340</v>
      </c>
      <c r="G36" s="740"/>
    </row>
    <row r="37" spans="1:7">
      <c r="F37" s="733"/>
    </row>
    <row r="38" spans="1:7">
      <c r="A38" s="758" t="s">
        <v>505</v>
      </c>
      <c r="B38" s="759"/>
    </row>
    <row r="39" spans="1:7">
      <c r="A39" s="743" t="s">
        <v>507</v>
      </c>
      <c r="B39" s="747">
        <f>'Level 1.1 UPDATE B'!H157</f>
        <v>3044</v>
      </c>
      <c r="C39" s="747">
        <f>'Level 3'!H150</f>
        <v>3169.7043298969074</v>
      </c>
      <c r="D39" s="847">
        <f>B39-C39</f>
        <v>-125.70432989690744</v>
      </c>
      <c r="E39" s="747">
        <f>'Level 3'!E8</f>
        <v>390</v>
      </c>
      <c r="F39" s="747">
        <f>E39*D39</f>
        <v>-49024.688659793901</v>
      </c>
      <c r="G39" s="745" t="s">
        <v>1148</v>
      </c>
    </row>
    <row r="41" spans="1:7">
      <c r="A41" s="758" t="s">
        <v>547</v>
      </c>
      <c r="B41" s="759"/>
    </row>
    <row r="42" spans="1:7">
      <c r="A42" s="743" t="s">
        <v>121</v>
      </c>
      <c r="B42" s="747">
        <f>'Level 1.1 UPDATE B'!H175</f>
        <v>35546.666666666664</v>
      </c>
      <c r="C42" s="747">
        <f>'Level 3'!H167</f>
        <v>41250</v>
      </c>
      <c r="D42" s="847">
        <f>B42-C42</f>
        <v>-5703.3333333333358</v>
      </c>
      <c r="E42" s="747">
        <v>12</v>
      </c>
      <c r="F42" s="747">
        <f>E42*D42</f>
        <v>-68440.000000000029</v>
      </c>
      <c r="G42" s="745" t="s">
        <v>1149</v>
      </c>
    </row>
    <row r="44" spans="1:7">
      <c r="A44" s="758" t="s">
        <v>564</v>
      </c>
      <c r="B44" s="759"/>
    </row>
    <row r="45" spans="1:7">
      <c r="A45" s="743" t="s">
        <v>569</v>
      </c>
      <c r="B45" s="747">
        <f>'Level 1.1 UPDATE B'!H183</f>
        <v>13089.7</v>
      </c>
      <c r="C45" s="747">
        <f>'Level 3'!H175</f>
        <v>15600</v>
      </c>
      <c r="D45" s="847">
        <f>B45-C45</f>
        <v>-2510.2999999999993</v>
      </c>
      <c r="E45" s="747">
        <f>'Level 3'!G175</f>
        <v>163</v>
      </c>
      <c r="F45" s="747">
        <f>E45*D45</f>
        <v>-409178.89999999991</v>
      </c>
      <c r="G45" s="745" t="s">
        <v>1150</v>
      </c>
    </row>
    <row r="47" spans="1:7">
      <c r="A47" s="758" t="s">
        <v>590</v>
      </c>
      <c r="B47" s="759"/>
    </row>
    <row r="48" spans="1:7">
      <c r="A48" s="725" t="s">
        <v>590</v>
      </c>
      <c r="B48" s="877">
        <f>'Level 1.1 UPDATE B'!H191</f>
        <v>10.06</v>
      </c>
      <c r="C48" s="877">
        <f>'Level 3'!J183</f>
        <v>11.327125454982825</v>
      </c>
      <c r="D48" s="727">
        <f>B48-C48</f>
        <v>-1.2671254549828248</v>
      </c>
      <c r="E48" s="728">
        <f>'Level 3'!B8</f>
        <v>422635</v>
      </c>
      <c r="F48" s="728">
        <f>E48*D48</f>
        <v>-535531.56666666619</v>
      </c>
      <c r="G48" s="729" t="s">
        <v>1151</v>
      </c>
    </row>
    <row r="49" spans="1:13">
      <c r="A49" s="730" t="s">
        <v>608</v>
      </c>
      <c r="B49" s="733">
        <f>'Level 1.1 UPDATE B'!K200</f>
        <v>275000</v>
      </c>
      <c r="C49" s="733">
        <f>'Level 3'!K191</f>
        <v>315398.25</v>
      </c>
      <c r="D49" s="733">
        <f>B49-C49</f>
        <v>-40398.25</v>
      </c>
      <c r="E49" s="733">
        <v>1</v>
      </c>
      <c r="F49" s="736">
        <f>E49*D49</f>
        <v>-40398.25</v>
      </c>
      <c r="G49" s="734" t="s">
        <v>1152</v>
      </c>
    </row>
    <row r="50" spans="1:13">
      <c r="A50" s="737"/>
      <c r="B50" s="738"/>
      <c r="C50" s="738"/>
      <c r="D50" s="744"/>
      <c r="E50" s="744"/>
      <c r="F50" s="739">
        <f>F49+F48</f>
        <v>-575929.81666666619</v>
      </c>
      <c r="G50" s="740"/>
      <c r="M50" s="876"/>
    </row>
    <row r="51" spans="1:13">
      <c r="M51" s="876"/>
    </row>
    <row r="52" spans="1:13">
      <c r="A52" s="758" t="s">
        <v>627</v>
      </c>
      <c r="B52" s="759"/>
    </row>
    <row r="53" spans="1:13">
      <c r="A53" s="743" t="s">
        <v>1153</v>
      </c>
      <c r="B53" s="875">
        <f>'Level 1.1 UPDATE B'!H216</f>
        <v>1.9380120850128819</v>
      </c>
      <c r="C53" s="847">
        <f>'Level 3'!H206</f>
        <v>2.25</v>
      </c>
      <c r="D53" s="847">
        <f>B53-C53</f>
        <v>-0.31198791498711809</v>
      </c>
      <c r="E53" s="747">
        <f>'Level 3'!G206</f>
        <v>422635</v>
      </c>
      <c r="F53" s="747">
        <f>E53*D53</f>
        <v>-131857.01245058066</v>
      </c>
      <c r="G53" s="745" t="s">
        <v>1154</v>
      </c>
    </row>
    <row r="55" spans="1:13">
      <c r="A55" s="758" t="s">
        <v>666</v>
      </c>
      <c r="B55" s="759"/>
    </row>
    <row r="56" spans="1:13">
      <c r="A56" s="725" t="s">
        <v>685</v>
      </c>
      <c r="B56" s="728">
        <f>'Level 1.1 UPDATE B'!K237</f>
        <v>213532</v>
      </c>
      <c r="C56" s="728">
        <f>'Level 3'!K228</f>
        <v>318423</v>
      </c>
      <c r="D56" s="728">
        <f>B56-C56</f>
        <v>-104891</v>
      </c>
      <c r="E56" s="726">
        <v>1</v>
      </c>
      <c r="F56" s="728">
        <f>E56*D56</f>
        <v>-104891</v>
      </c>
      <c r="G56" s="729" t="s">
        <v>1155</v>
      </c>
    </row>
    <row r="57" spans="1:13">
      <c r="A57" s="730" t="s">
        <v>720</v>
      </c>
      <c r="B57" s="733">
        <f>'Level 1.1 UPDATE B'!K254</f>
        <v>192605</v>
      </c>
      <c r="C57" s="733">
        <f>'Level 3'!K245</f>
        <v>100231.34217691</v>
      </c>
      <c r="D57" s="733">
        <f>B57-C57</f>
        <v>92373.657823090005</v>
      </c>
      <c r="E57" s="731">
        <v>1</v>
      </c>
      <c r="F57" s="733">
        <f>E57*D57</f>
        <v>92373.657823090005</v>
      </c>
      <c r="G57" s="734" t="s">
        <v>1156</v>
      </c>
    </row>
    <row r="58" spans="1:13">
      <c r="A58" s="730" t="s">
        <v>1157</v>
      </c>
      <c r="B58" s="731">
        <f>'Level 1.1 UPDATE B'!G257</f>
        <v>172517</v>
      </c>
      <c r="C58" s="731">
        <f>'Level 3'!G248</f>
        <v>304972.92</v>
      </c>
      <c r="D58" s="731">
        <f>B58-C58</f>
        <v>-132455.91999999998</v>
      </c>
      <c r="E58" s="732">
        <f>'Level 3'!H248</f>
        <v>7.5062347612153033</v>
      </c>
      <c r="F58" s="733">
        <f>E58*D58</f>
        <v>-994245.23103275325</v>
      </c>
      <c r="G58" s="734" t="s">
        <v>1158</v>
      </c>
    </row>
    <row r="59" spans="1:13">
      <c r="A59" s="730" t="s">
        <v>734</v>
      </c>
      <c r="B59" s="733">
        <f>'Level 1.1 UPDATE B'!K261</f>
        <v>1646980.5</v>
      </c>
      <c r="C59" s="733">
        <f>'Level 3'!K252</f>
        <v>1006389.799</v>
      </c>
      <c r="D59" s="733">
        <f>B59-C59</f>
        <v>640590.701</v>
      </c>
      <c r="E59" s="731">
        <v>1</v>
      </c>
      <c r="F59" s="733">
        <f>E59*D59</f>
        <v>640590.701</v>
      </c>
      <c r="G59" s="734" t="s">
        <v>1159</v>
      </c>
    </row>
    <row r="60" spans="1:13">
      <c r="A60" s="730" t="s">
        <v>737</v>
      </c>
      <c r="B60" s="733">
        <f>'Level 1.1 UPDATE B'!K263</f>
        <v>84819</v>
      </c>
      <c r="C60" s="733">
        <f>'Level 3'!K254</f>
        <v>173092</v>
      </c>
      <c r="D60" s="733">
        <f>B60-C60</f>
        <v>-88273</v>
      </c>
      <c r="E60" s="731">
        <v>1</v>
      </c>
      <c r="F60" s="736">
        <f>E60*D60</f>
        <v>-88273</v>
      </c>
      <c r="G60" s="734" t="s">
        <v>1160</v>
      </c>
    </row>
    <row r="61" spans="1:13">
      <c r="A61" s="746"/>
      <c r="B61" s="738"/>
      <c r="C61" s="738"/>
      <c r="D61" s="744"/>
      <c r="E61" s="744"/>
      <c r="F61" s="739">
        <f>SUM(F56:F60)</f>
        <v>-454444.87220966327</v>
      </c>
      <c r="G61" s="740"/>
    </row>
    <row r="62" spans="1:13">
      <c r="A62" s="741"/>
    </row>
    <row r="63" spans="1:13">
      <c r="A63" s="758" t="s">
        <v>913</v>
      </c>
      <c r="B63" s="759"/>
    </row>
    <row r="64" spans="1:13">
      <c r="A64" s="725" t="s">
        <v>65</v>
      </c>
      <c r="B64" s="728">
        <f>'Level 1.1 UPDATE B'!K277</f>
        <v>1538312.1666666667</v>
      </c>
      <c r="C64" s="728">
        <f>'Level 3'!K270</f>
        <v>1635293.2857142854</v>
      </c>
      <c r="D64" s="727">
        <f t="shared" ref="D64:D65" si="1">B64-C64</f>
        <v>-96981.119047618704</v>
      </c>
      <c r="E64" s="728">
        <f>D64*'Level 1'!G254</f>
        <v>-96981.119047618704</v>
      </c>
      <c r="F64" s="728">
        <f>E64</f>
        <v>-96981.119047618704</v>
      </c>
      <c r="G64" s="729" t="s">
        <v>1161</v>
      </c>
    </row>
    <row r="65" spans="1:7">
      <c r="A65" s="730" t="s">
        <v>1162</v>
      </c>
      <c r="B65" s="733">
        <f>'Level 1.1 UPDATE B'!K278</f>
        <v>731659</v>
      </c>
      <c r="C65" s="733">
        <f>'Level 3'!K271</f>
        <v>436684.17999999993</v>
      </c>
      <c r="D65" s="732">
        <f t="shared" si="1"/>
        <v>294974.82000000007</v>
      </c>
      <c r="E65" s="733">
        <f>D65*'Level 1'!G255</f>
        <v>294974.82000000007</v>
      </c>
      <c r="F65" s="736">
        <f>E65</f>
        <v>294974.82000000007</v>
      </c>
      <c r="G65" s="734" t="s">
        <v>1163</v>
      </c>
    </row>
    <row r="66" spans="1:7">
      <c r="A66" s="737"/>
      <c r="B66" s="738"/>
      <c r="C66" s="738"/>
      <c r="D66" s="744"/>
      <c r="E66" s="744"/>
      <c r="F66" s="739">
        <f>F65+F64</f>
        <v>197993.70095238136</v>
      </c>
      <c r="G66" s="740"/>
    </row>
    <row r="67" spans="1:7">
      <c r="F67" s="742"/>
    </row>
    <row r="68" spans="1:7">
      <c r="A68" s="758" t="s">
        <v>1164</v>
      </c>
      <c r="B68" s="759"/>
    </row>
    <row r="69" spans="1:7">
      <c r="A69" s="725" t="s">
        <v>1165</v>
      </c>
      <c r="B69" s="728">
        <f>'Level 1.1 UPDATE B'!K21</f>
        <v>3747174.6203276957</v>
      </c>
      <c r="C69" s="728">
        <f>'Level 3'!K20</f>
        <v>3857213.6954538627</v>
      </c>
      <c r="D69" s="728">
        <f>B69-C69</f>
        <v>-110039.07512616692</v>
      </c>
      <c r="E69" s="728"/>
      <c r="F69" s="728">
        <f>D69</f>
        <v>-110039.07512616692</v>
      </c>
      <c r="G69" s="729"/>
    </row>
    <row r="70" spans="1:7">
      <c r="A70" s="730" t="s">
        <v>817</v>
      </c>
      <c r="B70" s="733">
        <f>'Level 1.1 UPDATE B'!K308</f>
        <v>1228606</v>
      </c>
      <c r="C70" s="733">
        <f>'Level 3'!K292</f>
        <v>632953.90666965954</v>
      </c>
      <c r="D70" s="733">
        <f t="shared" ref="D70:D74" si="2">B70-C70</f>
        <v>595652.09333034046</v>
      </c>
      <c r="E70" s="733"/>
      <c r="F70" s="733">
        <f t="shared" ref="F70:F73" si="3">D70</f>
        <v>595652.09333034046</v>
      </c>
      <c r="G70" s="734"/>
    </row>
    <row r="71" spans="1:7">
      <c r="A71" s="730" t="s">
        <v>1166</v>
      </c>
      <c r="B71" s="733">
        <f>'Level 1.1 UPDATE B'!K325</f>
        <v>3747174.6203276957</v>
      </c>
      <c r="C71" s="733">
        <f>'Level 3'!K309</f>
        <v>3389277.9134544739</v>
      </c>
      <c r="D71" s="733">
        <f t="shared" si="2"/>
        <v>357896.70687322179</v>
      </c>
      <c r="E71" s="733"/>
      <c r="F71" s="733">
        <f t="shared" si="3"/>
        <v>357896.70687322179</v>
      </c>
      <c r="G71" s="734"/>
    </row>
    <row r="72" spans="1:7">
      <c r="A72" s="730" t="s">
        <v>1167</v>
      </c>
      <c r="B72" s="733">
        <f>'Level 1.1 UPDATE B'!L326+'Level 1.1 UPDATE B'!L328</f>
        <v>1370860</v>
      </c>
      <c r="C72" s="733">
        <f>'Level 3'!K311+'Level 3'!L316</f>
        <v>1007077.9333885415</v>
      </c>
      <c r="D72" s="733">
        <f t="shared" si="2"/>
        <v>363782.06661145855</v>
      </c>
      <c r="E72" s="733"/>
      <c r="F72" s="733">
        <f t="shared" si="3"/>
        <v>363782.06661145855</v>
      </c>
      <c r="G72" s="734"/>
    </row>
    <row r="73" spans="1:7">
      <c r="A73" s="730" t="s">
        <v>869</v>
      </c>
      <c r="B73" s="733">
        <f>'Level 1.1 UPDATE B'!K333</f>
        <v>1308097.6624187871</v>
      </c>
      <c r="C73" s="733">
        <f>'Level 3'!K317</f>
        <v>1298708.4501404832</v>
      </c>
      <c r="D73" s="733">
        <f t="shared" si="2"/>
        <v>9389.2122783039231</v>
      </c>
      <c r="E73" s="733"/>
      <c r="F73" s="733">
        <f t="shared" si="3"/>
        <v>9389.2122783039231</v>
      </c>
      <c r="G73" s="734"/>
    </row>
    <row r="74" spans="1:7">
      <c r="A74" s="730" t="s">
        <v>867</v>
      </c>
      <c r="B74" s="733">
        <f>'Level 1.1 UPDATE B'!K334</f>
        <v>3924292.9872563612</v>
      </c>
      <c r="C74" s="733">
        <f>'Level 3'!K318</f>
        <v>3896125.3504214492</v>
      </c>
      <c r="D74" s="733">
        <f t="shared" si="2"/>
        <v>28167.636834912002</v>
      </c>
      <c r="E74" s="733"/>
      <c r="F74" s="736">
        <f>D74</f>
        <v>28167.636834912002</v>
      </c>
      <c r="G74" s="734"/>
    </row>
    <row r="75" spans="1:7">
      <c r="A75" s="737"/>
      <c r="B75" s="738"/>
      <c r="C75" s="738"/>
      <c r="D75" s="744"/>
      <c r="E75" s="744"/>
      <c r="F75" s="739">
        <f>SUM(F69:F74)</f>
        <v>1244848.6408020698</v>
      </c>
      <c r="G75" s="740"/>
    </row>
    <row r="77" spans="1:7" ht="30.75" customHeight="1">
      <c r="A77" s="748" t="s">
        <v>1168</v>
      </c>
      <c r="B77" s="749"/>
      <c r="C77" s="749"/>
      <c r="D77" s="750"/>
      <c r="E77" s="750"/>
      <c r="F77" s="751">
        <f>F12+F19+F24+F31+F36+F39+F42+F45+F50+F53+F61+F66+F75</f>
        <v>837252.9400333399</v>
      </c>
      <c r="G77" s="752"/>
    </row>
    <row r="87" spans="13:13">
      <c r="M87" s="821"/>
    </row>
  </sheetData>
  <printOptions horizontalCentered="1"/>
  <pageMargins left="0.7" right="0.7" top="1.25" bottom="0.75" header="0.3" footer="0.3"/>
  <pageSetup paperSize="3" scale="56" orientation="portrait" horizontalDpi="1200" verticalDpi="1200" r:id="rId1"/>
  <headerFooter>
    <oddHeader>&amp;R&amp;G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7C74-9FD2-49A1-BAFE-0C8A11E10F0A}">
  <sheetPr>
    <pageSetUpPr fitToPage="1"/>
  </sheetPr>
  <dimension ref="A1:Z34"/>
  <sheetViews>
    <sheetView showGridLines="0" zoomScale="85" zoomScaleNormal="85" workbookViewId="0">
      <selection activeCell="A3" sqref="A3:A5"/>
    </sheetView>
  </sheetViews>
  <sheetFormatPr defaultColWidth="9.140625" defaultRowHeight="14.45"/>
  <cols>
    <col min="1" max="1" width="38.85546875" style="211" bestFit="1" customWidth="1"/>
    <col min="2" max="2" width="7.140625" style="211" customWidth="1"/>
    <col min="3" max="3" width="14.85546875" style="211" customWidth="1"/>
    <col min="4" max="4" width="17" style="212" bestFit="1" customWidth="1"/>
    <col min="5" max="6" width="14.5703125" style="212" bestFit="1" customWidth="1"/>
    <col min="7" max="7" width="2.85546875" style="211" customWidth="1"/>
    <col min="8" max="11" width="8.85546875" style="211" customWidth="1"/>
    <col min="12" max="12" width="2.140625" style="211" customWidth="1"/>
    <col min="13" max="13" width="17.7109375" style="211" customWidth="1"/>
    <col min="14" max="17" width="14.5703125" style="212" bestFit="1" customWidth="1"/>
    <col min="18" max="18" width="1.42578125" style="212" customWidth="1"/>
    <col min="19" max="22" width="9.140625" style="211"/>
    <col min="23" max="23" width="12.5703125" style="211" bestFit="1" customWidth="1"/>
    <col min="24" max="24" width="13.85546875" style="211" bestFit="1" customWidth="1"/>
    <col min="25" max="25" width="15.5703125" style="211" bestFit="1" customWidth="1"/>
    <col min="26" max="26" width="13.85546875" style="211" bestFit="1" customWidth="1"/>
    <col min="27" max="16384" width="9.140625" style="211"/>
  </cols>
  <sheetData>
    <row r="1" spans="1:25" ht="21.75" customHeight="1" thickBot="1">
      <c r="M1" s="213" t="s">
        <v>1169</v>
      </c>
      <c r="N1" s="213"/>
      <c r="O1" s="213"/>
      <c r="P1" s="213"/>
      <c r="Q1" s="213"/>
    </row>
    <row r="2" spans="1:25" s="214" customFormat="1" ht="21" customHeight="1" thickBot="1">
      <c r="B2" s="215"/>
      <c r="C2" s="215" t="s">
        <v>82</v>
      </c>
      <c r="D2" s="216"/>
      <c r="E2" s="216"/>
      <c r="F2" s="215"/>
      <c r="M2" s="217" t="s">
        <v>239</v>
      </c>
      <c r="N2" s="217" t="s">
        <v>1170</v>
      </c>
      <c r="O2" s="217" t="s">
        <v>44</v>
      </c>
      <c r="P2" s="217" t="s">
        <v>543</v>
      </c>
      <c r="Q2" s="217" t="s">
        <v>426</v>
      </c>
      <c r="R2" s="212"/>
    </row>
    <row r="3" spans="1:25" s="214" customFormat="1" ht="21" customHeight="1">
      <c r="A3" s="219" t="s">
        <v>6</v>
      </c>
      <c r="D3" s="218"/>
      <c r="E3" s="218" t="s">
        <v>580</v>
      </c>
      <c r="F3" s="218">
        <f>'Level 3'!$E$8</f>
        <v>390</v>
      </c>
      <c r="M3" s="218">
        <v>194</v>
      </c>
      <c r="N3" s="218">
        <v>50</v>
      </c>
      <c r="O3" s="218">
        <v>190</v>
      </c>
      <c r="P3" s="218">
        <v>276</v>
      </c>
      <c r="Q3" s="218">
        <v>195</v>
      </c>
      <c r="R3" s="212"/>
    </row>
    <row r="4" spans="1:25" s="214" customFormat="1" ht="21" customHeight="1">
      <c r="A4" s="696" t="s">
        <v>326</v>
      </c>
      <c r="B4" s="220"/>
      <c r="C4" s="221"/>
      <c r="D4" s="222"/>
      <c r="E4" s="218" t="s">
        <v>93</v>
      </c>
      <c r="F4" s="223">
        <f>'Level 3'!$B$8</f>
        <v>422635</v>
      </c>
      <c r="M4" s="223">
        <v>196289</v>
      </c>
      <c r="N4" s="223">
        <v>34388</v>
      </c>
      <c r="O4" s="223">
        <v>188825</v>
      </c>
      <c r="P4" s="224">
        <v>258464</v>
      </c>
      <c r="Q4" s="223">
        <v>184108</v>
      </c>
      <c r="R4" s="212"/>
    </row>
    <row r="5" spans="1:25" s="214" customFormat="1" ht="21" customHeight="1" thickBot="1">
      <c r="A5" s="214" t="s">
        <v>1171</v>
      </c>
      <c r="B5" s="220"/>
      <c r="C5" s="221"/>
      <c r="D5" s="222"/>
      <c r="E5" s="218" t="s">
        <v>1172</v>
      </c>
      <c r="F5" s="225">
        <f>'Level 3'!$B$9</f>
        <v>15.826000000000001</v>
      </c>
      <c r="H5" s="215"/>
      <c r="I5" s="215"/>
      <c r="J5" s="216"/>
      <c r="K5" s="216"/>
      <c r="M5" s="225">
        <v>4.9000000000000004</v>
      </c>
      <c r="N5" s="225">
        <v>1.3</v>
      </c>
      <c r="O5" s="225">
        <v>5</v>
      </c>
      <c r="P5" s="226">
        <v>9.4499999999999993</v>
      </c>
      <c r="Q5" s="225">
        <v>5</v>
      </c>
      <c r="R5" s="212"/>
    </row>
    <row r="6" spans="1:25" s="214" customFormat="1" ht="21" customHeight="1" thickBot="1">
      <c r="B6" s="215"/>
      <c r="C6" s="227"/>
      <c r="D6" s="228"/>
      <c r="E6" s="228" t="s">
        <v>152</v>
      </c>
      <c r="F6" s="229">
        <f>F5*43560</f>
        <v>689380.56</v>
      </c>
      <c r="H6" s="215" t="s">
        <v>312</v>
      </c>
      <c r="I6" s="215"/>
      <c r="J6" s="216"/>
      <c r="K6" s="216"/>
      <c r="M6" s="229">
        <f t="shared" ref="M6" si="0">M5*43560</f>
        <v>213444.00000000003</v>
      </c>
      <c r="N6" s="229">
        <f t="shared" ref="N6:O6" si="1">N5*43560</f>
        <v>56628</v>
      </c>
      <c r="O6" s="229">
        <f t="shared" si="1"/>
        <v>217800</v>
      </c>
      <c r="P6" s="230">
        <v>411641.99999999994</v>
      </c>
      <c r="Q6" s="229">
        <v>217800</v>
      </c>
      <c r="R6" s="212"/>
    </row>
    <row r="7" spans="1:25" s="214" customFormat="1" ht="21" customHeight="1" thickBot="1">
      <c r="A7" s="231" t="s">
        <v>202</v>
      </c>
      <c r="B7" s="231" t="s">
        <v>1173</v>
      </c>
      <c r="C7" s="217" t="s">
        <v>1174</v>
      </c>
      <c r="D7" s="217" t="s">
        <v>1175</v>
      </c>
      <c r="E7" s="217" t="s">
        <v>1176</v>
      </c>
      <c r="F7" s="217" t="s">
        <v>1177</v>
      </c>
      <c r="H7" s="217" t="s">
        <v>1178</v>
      </c>
      <c r="I7" s="217" t="s">
        <v>1179</v>
      </c>
      <c r="J7" s="217" t="s">
        <v>1180</v>
      </c>
      <c r="K7" s="1078" t="s">
        <v>1181</v>
      </c>
      <c r="M7" s="217" t="s">
        <v>1177</v>
      </c>
      <c r="N7" s="217" t="s">
        <v>1177</v>
      </c>
      <c r="O7" s="217" t="s">
        <v>1177</v>
      </c>
      <c r="P7" s="217" t="s">
        <v>1177</v>
      </c>
      <c r="Q7" s="217" t="s">
        <v>1177</v>
      </c>
      <c r="R7" s="212"/>
      <c r="Y7" s="995"/>
    </row>
    <row r="8" spans="1:25" s="214" customFormat="1" ht="21" customHeight="1">
      <c r="A8" s="232" t="s">
        <v>310</v>
      </c>
      <c r="B8" s="233">
        <f t="shared" ref="B8:B29" si="2">C8/$C$30</f>
        <v>9.6768932979893113E-2</v>
      </c>
      <c r="C8" s="234">
        <f>VLOOKUP(A8,'Level 3'!$A$20:$K$318,11,FALSE)</f>
        <v>7487665.333333333</v>
      </c>
      <c r="D8" s="235" t="s">
        <v>61</v>
      </c>
      <c r="E8" s="235">
        <f>$F$4</f>
        <v>422635</v>
      </c>
      <c r="F8" s="1089">
        <f>C8/E8</f>
        <v>17.716623879549335</v>
      </c>
      <c r="H8" s="236">
        <f>7079693/F4</f>
        <v>16.7513173305571</v>
      </c>
      <c r="I8" s="236">
        <f>7552189/F4</f>
        <v>17.869293835105942</v>
      </c>
      <c r="J8" s="236">
        <f>7831114/F4</f>
        <v>18.529260472984962</v>
      </c>
      <c r="K8" s="1079">
        <f>AVERAGE(H8:J8)</f>
        <v>17.716623879549335</v>
      </c>
      <c r="M8" s="236">
        <v>18.68</v>
      </c>
      <c r="N8" s="236">
        <v>20.075375130859602</v>
      </c>
      <c r="O8" s="237">
        <v>19.921525221766185</v>
      </c>
      <c r="P8" s="237">
        <v>22.888453474247783</v>
      </c>
      <c r="Q8" s="237">
        <v>19.011015273643732</v>
      </c>
      <c r="R8" s="212"/>
      <c r="Y8" s="996"/>
    </row>
    <row r="9" spans="1:25" s="214" customFormat="1" ht="21" customHeight="1">
      <c r="A9" s="238" t="s">
        <v>590</v>
      </c>
      <c r="B9" s="239">
        <f t="shared" si="2"/>
        <v>6.1869228102389248E-2</v>
      </c>
      <c r="C9" s="240">
        <f>VLOOKUP(A9,'Level 3'!$A$24:$K$289,11,FALSE)</f>
        <v>4787239.666666666</v>
      </c>
      <c r="D9" s="241" t="s">
        <v>1182</v>
      </c>
      <c r="E9" s="241">
        <f>$F$4</f>
        <v>422635</v>
      </c>
      <c r="F9" s="1087">
        <f>C9/E9</f>
        <v>11.327125454982825</v>
      </c>
      <c r="H9" s="243">
        <f>4522456/F4</f>
        <v>10.700618737208229</v>
      </c>
      <c r="I9" s="243">
        <f>4885000/F4</f>
        <v>11.558436949140511</v>
      </c>
      <c r="J9" s="243">
        <f>4954263/F4</f>
        <v>11.722320678599738</v>
      </c>
      <c r="K9" s="1080">
        <f t="shared" ref="K9:K28" si="3">AVERAGE(H9:J9)</f>
        <v>11.327125454982825</v>
      </c>
      <c r="M9" s="772">
        <v>10.06</v>
      </c>
      <c r="N9" s="243">
        <v>12.504361986739561</v>
      </c>
      <c r="O9" s="243">
        <v>9.2699536607970341</v>
      </c>
      <c r="P9" s="243">
        <v>10.176017980518527</v>
      </c>
      <c r="Q9" s="243">
        <v>12.134289764703325</v>
      </c>
      <c r="R9" s="212"/>
    </row>
    <row r="10" spans="1:25" s="214" customFormat="1" ht="21" customHeight="1">
      <c r="A10" s="238" t="s">
        <v>582</v>
      </c>
      <c r="B10" s="239">
        <f t="shared" si="2"/>
        <v>5.3216755819770235E-2</v>
      </c>
      <c r="C10" s="240">
        <f>VLOOKUP(A10,'Level 3'!$A$24:$K$289,11,FALSE)</f>
        <v>4117739.4999999995</v>
      </c>
      <c r="D10" s="241" t="s">
        <v>403</v>
      </c>
      <c r="E10" s="241">
        <f>$F$3</f>
        <v>390</v>
      </c>
      <c r="F10" s="1088">
        <f t="shared" ref="F10:F15" si="4">C10/E10</f>
        <v>10558.306410256409</v>
      </c>
      <c r="H10" s="242">
        <f>3956000/F3</f>
        <v>10143.589743589744</v>
      </c>
      <c r="I10" s="242">
        <f>4279479/F3</f>
        <v>10973.023076923077</v>
      </c>
      <c r="J10" s="242">
        <f>5843500/F3</f>
        <v>14983.333333333334</v>
      </c>
      <c r="K10" s="1081">
        <f t="shared" si="3"/>
        <v>12033.315384615385</v>
      </c>
      <c r="M10" s="771">
        <v>9875</v>
      </c>
      <c r="N10" s="242">
        <v>10148.68</v>
      </c>
      <c r="O10" s="242">
        <v>9739.273684210526</v>
      </c>
      <c r="P10" s="242">
        <v>10104.673913043478</v>
      </c>
      <c r="Q10" s="242">
        <v>9218.251282051282</v>
      </c>
      <c r="R10" s="212"/>
    </row>
    <row r="11" spans="1:25" s="214" customFormat="1" ht="21" customHeight="1">
      <c r="A11" s="238" t="s">
        <v>417</v>
      </c>
      <c r="B11" s="239">
        <f t="shared" si="2"/>
        <v>4.2039812832539283E-2</v>
      </c>
      <c r="C11" s="244">
        <f>VLOOKUP(A11,'Level 3'!$A$24:$K$289,11,FALSE)</f>
        <v>3252903.9999999995</v>
      </c>
      <c r="D11" s="241" t="s">
        <v>1182</v>
      </c>
      <c r="E11" s="241">
        <f>$F$4</f>
        <v>422635</v>
      </c>
      <c r="F11" s="1087">
        <f t="shared" si="4"/>
        <v>7.6967217575449256</v>
      </c>
      <c r="H11" s="243">
        <f>2957435/F4</f>
        <v>6.9976102310504338</v>
      </c>
      <c r="I11" s="243">
        <f>3230728/F4</f>
        <v>7.6442509494007833</v>
      </c>
      <c r="J11" s="243">
        <f>3570549/F4</f>
        <v>8.4483040921835624</v>
      </c>
      <c r="K11" s="1080">
        <f t="shared" si="3"/>
        <v>7.6967217575449256</v>
      </c>
      <c r="M11" s="772">
        <v>7.2940664020907944</v>
      </c>
      <c r="N11" s="243">
        <v>7.7384863906013726</v>
      </c>
      <c r="O11" s="243">
        <v>8.0157076658281472</v>
      </c>
      <c r="P11" s="243">
        <v>7.3585310751947759</v>
      </c>
      <c r="Q11" s="243">
        <v>8.0768353357811726</v>
      </c>
      <c r="R11" s="212"/>
    </row>
    <row r="12" spans="1:25" s="214" customFormat="1" ht="21" customHeight="1">
      <c r="A12" s="238" t="s">
        <v>564</v>
      </c>
      <c r="B12" s="239">
        <f t="shared" si="2"/>
        <v>6.293298867064373E-2</v>
      </c>
      <c r="C12" s="240">
        <f>'Level 3'!K174+'Level 3'!K175</f>
        <v>4869550</v>
      </c>
      <c r="D12" s="241" t="s">
        <v>403</v>
      </c>
      <c r="E12" s="242">
        <f>F3</f>
        <v>390</v>
      </c>
      <c r="F12" s="242">
        <f>C12/E12</f>
        <v>12486.025641025641</v>
      </c>
      <c r="H12" s="242">
        <f>4712570/F3</f>
        <v>12083.51282051282</v>
      </c>
      <c r="I12" s="242">
        <f>4819464/F3</f>
        <v>12357.6</v>
      </c>
      <c r="J12" s="242">
        <f>5300761/F3</f>
        <v>13591.694871794873</v>
      </c>
      <c r="K12" s="1081">
        <f t="shared" si="3"/>
        <v>12677.602564102563</v>
      </c>
      <c r="M12" s="357">
        <v>10069</v>
      </c>
      <c r="N12" s="242">
        <v>10196.24</v>
      </c>
      <c r="O12" s="242">
        <v>10526.310526315789</v>
      </c>
      <c r="P12" s="242">
        <v>11042.514492753624</v>
      </c>
      <c r="Q12" s="242">
        <f>1959791/$Q$3</f>
        <v>10050.210256410257</v>
      </c>
      <c r="R12" s="212"/>
      <c r="T12" s="245"/>
    </row>
    <row r="13" spans="1:25" s="214" customFormat="1" ht="21" customHeight="1">
      <c r="A13" s="238" t="s">
        <v>726</v>
      </c>
      <c r="B13" s="239">
        <f t="shared" si="2"/>
        <v>2.9585093648596524E-2</v>
      </c>
      <c r="C13" s="249">
        <f>VLOOKUP(A13,'Level 3'!$A$24:$K$289,11,FALSE)</f>
        <v>2289198.3333333335</v>
      </c>
      <c r="D13" s="241" t="s">
        <v>1183</v>
      </c>
      <c r="E13" s="241">
        <f>'Level 3'!$G$248</f>
        <v>304972.92</v>
      </c>
      <c r="F13" s="248">
        <f>C13/$E$13</f>
        <v>7.5062347612153024</v>
      </c>
      <c r="G13" s="356"/>
      <c r="H13" s="248">
        <f>2066905/E13</f>
        <v>6.7773394437775005</v>
      </c>
      <c r="I13" s="248">
        <f>2326357/E13</f>
        <v>7.6280772732215052</v>
      </c>
      <c r="J13" s="248">
        <f>2474333/E13</f>
        <v>8.1132875666469015</v>
      </c>
      <c r="K13" s="1082">
        <f t="shared" si="3"/>
        <v>7.5062347612153033</v>
      </c>
      <c r="L13" s="356"/>
      <c r="M13" s="695">
        <v>13.681366807557163</v>
      </c>
      <c r="N13" s="243">
        <v>10.5</v>
      </c>
      <c r="O13" s="243">
        <v>12.00755801444598</v>
      </c>
      <c r="P13" s="248">
        <v>13.483701335263834</v>
      </c>
      <c r="Q13" s="243">
        <v>21.389000664746291</v>
      </c>
      <c r="R13" s="212"/>
    </row>
    <row r="14" spans="1:25" s="214" customFormat="1" ht="21" customHeight="1">
      <c r="A14" s="238" t="s">
        <v>226</v>
      </c>
      <c r="B14" s="239">
        <f t="shared" si="2"/>
        <v>1.7851597698196206E-2</v>
      </c>
      <c r="C14" s="240">
        <f>VLOOKUP(A14,'Level 3'!$A$24:$K$289,11,FALSE)</f>
        <v>1381298.575</v>
      </c>
      <c r="D14" s="241" t="s">
        <v>1184</v>
      </c>
      <c r="E14" s="242">
        <f>'Level 3'!$Q$2</f>
        <v>145399.85</v>
      </c>
      <c r="F14" s="1090">
        <f>C14/E14</f>
        <v>9.5</v>
      </c>
      <c r="H14" s="243">
        <f>1332040/E14</f>
        <v>9.1612199049723912</v>
      </c>
      <c r="I14" s="243">
        <f>1842669/E14</f>
        <v>12.673114862223034</v>
      </c>
      <c r="J14" s="243">
        <f>1985086/E14</f>
        <v>13.652600054264154</v>
      </c>
      <c r="K14" s="1080">
        <f t="shared" si="3"/>
        <v>11.828978273819859</v>
      </c>
      <c r="M14" s="695">
        <v>11.11</v>
      </c>
      <c r="N14" s="243">
        <v>16.778815751652775</v>
      </c>
      <c r="O14" s="243">
        <v>11.989966555183946</v>
      </c>
      <c r="P14" s="243">
        <v>15.882902522578636</v>
      </c>
      <c r="Q14" s="243">
        <v>16.06089511654935</v>
      </c>
      <c r="R14" s="212"/>
    </row>
    <row r="15" spans="1:25" s="214" customFormat="1" ht="21" customHeight="1">
      <c r="A15" s="238" t="s">
        <v>507</v>
      </c>
      <c r="B15" s="239">
        <f t="shared" si="2"/>
        <v>1.6774986776306348E-2</v>
      </c>
      <c r="C15" s="240">
        <f>VLOOKUP(A15,'Level 3'!$A$24:$K$289,11,FALSE)</f>
        <v>1297993.9230927837</v>
      </c>
      <c r="D15" s="241" t="s">
        <v>403</v>
      </c>
      <c r="E15" s="241">
        <f>$F$3</f>
        <v>390</v>
      </c>
      <c r="F15" s="242">
        <f t="shared" si="4"/>
        <v>3328.1895463917531</v>
      </c>
      <c r="H15" s="1091"/>
      <c r="I15" s="1091"/>
      <c r="J15" s="1091"/>
      <c r="K15" s="1091"/>
      <c r="M15" s="357">
        <f>614922.64/194</f>
        <v>3169.7043298969074</v>
      </c>
      <c r="N15" s="357">
        <v>3064.4850000000001</v>
      </c>
      <c r="O15" s="357">
        <v>3488.5</v>
      </c>
      <c r="P15" s="242">
        <v>3454.478260869565</v>
      </c>
      <c r="Q15" s="242">
        <v>3201.4974358974359</v>
      </c>
      <c r="R15" s="212"/>
    </row>
    <row r="16" spans="1:25" s="214" customFormat="1" ht="21" customHeight="1">
      <c r="A16" s="238" t="s">
        <v>516</v>
      </c>
      <c r="B16" s="239">
        <f t="shared" si="2"/>
        <v>1.5486047582319836E-2</v>
      </c>
      <c r="C16" s="244">
        <f>VLOOKUP(A16,'Level 3'!$A$24:$K$289,11,FALSE)</f>
        <v>1198260</v>
      </c>
      <c r="D16" s="241" t="s">
        <v>403</v>
      </c>
      <c r="E16" s="241">
        <f>$F$3</f>
        <v>390</v>
      </c>
      <c r="F16" s="242">
        <f>C16/E16</f>
        <v>3072.4615384615386</v>
      </c>
      <c r="H16" s="1091"/>
      <c r="I16" s="1091"/>
      <c r="J16" s="1091"/>
      <c r="K16" s="1091"/>
      <c r="M16" s="357">
        <f>805148/194</f>
        <v>4150.2474226804125</v>
      </c>
      <c r="N16" s="357">
        <v>1985.2</v>
      </c>
      <c r="O16" s="357">
        <v>3778.0052631578947</v>
      </c>
      <c r="P16" s="242">
        <v>3705.427536231884</v>
      </c>
      <c r="Q16" s="242">
        <v>3113.7333333333331</v>
      </c>
      <c r="R16" s="212"/>
    </row>
    <row r="17" spans="1:26" s="214" customFormat="1" ht="21" customHeight="1">
      <c r="A17" s="238" t="s">
        <v>324</v>
      </c>
      <c r="B17" s="239">
        <f t="shared" si="2"/>
        <v>1.5134380566934721E-2</v>
      </c>
      <c r="C17" s="240">
        <f>VLOOKUP(A17,'Level 3'!$A$24:$K$289,11,FALSE)</f>
        <v>1171049.1499999999</v>
      </c>
      <c r="D17" s="241" t="s">
        <v>403</v>
      </c>
      <c r="E17" s="241">
        <f>F3</f>
        <v>390</v>
      </c>
      <c r="F17" s="247">
        <f>C17/F3</f>
        <v>3002.6901282051281</v>
      </c>
      <c r="H17" s="247">
        <f>1064161/E17</f>
        <v>2728.6179487179488</v>
      </c>
      <c r="I17" s="247">
        <f>1170454/E17</f>
        <v>3001.1641025641024</v>
      </c>
      <c r="J17" s="247">
        <f>2091068/E17</f>
        <v>5361.7128205128201</v>
      </c>
      <c r="K17" s="1083">
        <f t="shared" si="3"/>
        <v>3697.1649572649571</v>
      </c>
      <c r="M17" s="242">
        <v>2607.1546391752577</v>
      </c>
      <c r="N17" s="242">
        <v>2710.9004975124376</v>
      </c>
      <c r="O17" s="241">
        <v>3210.0359473684207</v>
      </c>
      <c r="P17" s="241">
        <v>2983.358695652174</v>
      </c>
      <c r="Q17" s="241">
        <v>3081.2324102564098</v>
      </c>
      <c r="R17" s="212"/>
      <c r="W17" s="697"/>
      <c r="X17" s="697"/>
      <c r="Y17" s="697"/>
      <c r="Z17" s="697"/>
    </row>
    <row r="18" spans="1:26" s="214" customFormat="1" ht="21" customHeight="1">
      <c r="A18" s="238" t="s">
        <v>338</v>
      </c>
      <c r="B18" s="239">
        <f t="shared" si="2"/>
        <v>1.2996863102663741E-2</v>
      </c>
      <c r="C18" s="240">
        <f>VLOOKUP(A18,'Level 3'!$A$24:$K$289,11,FALSE)</f>
        <v>1005655</v>
      </c>
      <c r="D18" s="241" t="s">
        <v>1182</v>
      </c>
      <c r="E18" s="241">
        <f>$F$4</f>
        <v>422635</v>
      </c>
      <c r="F18" s="1087">
        <f>C18/E18</f>
        <v>2.3794882108675335</v>
      </c>
      <c r="H18" s="243">
        <f>939882/E18</f>
        <v>2.2238621978776014</v>
      </c>
      <c r="I18" s="243">
        <f>998750/E18</f>
        <v>2.3631502360192602</v>
      </c>
      <c r="J18" s="243">
        <f>1078333/E18</f>
        <v>2.5514521987057388</v>
      </c>
      <c r="K18" s="1080">
        <f t="shared" si="3"/>
        <v>2.3794882108675335</v>
      </c>
      <c r="M18" s="772">
        <v>2.5</v>
      </c>
      <c r="N18" s="772">
        <v>2.5423112713737348</v>
      </c>
      <c r="O18" s="772">
        <v>2.6983715080100623</v>
      </c>
      <c r="P18" s="772">
        <v>2.2715182087566053</v>
      </c>
      <c r="Q18" s="772">
        <v>2.5011406348447651</v>
      </c>
      <c r="R18" s="212"/>
    </row>
    <row r="19" spans="1:26" s="214" customFormat="1" ht="21" customHeight="1">
      <c r="A19" s="238" t="s">
        <v>159</v>
      </c>
      <c r="B19" s="239">
        <f t="shared" si="2"/>
        <v>1.4319934991268882E-2</v>
      </c>
      <c r="C19" s="244">
        <f>VLOOKUP(A19,'Level 3'!$A$24:$K$289,11,FALSE)</f>
        <v>1108030.0000000002</v>
      </c>
      <c r="D19" s="241" t="s">
        <v>1185</v>
      </c>
      <c r="E19" s="241">
        <f>'Level 3'!$Q$11</f>
        <v>28186.002</v>
      </c>
      <c r="F19" s="1087">
        <f t="shared" ref="F19:F30" si="5">C19/E19</f>
        <v>39.311357460345043</v>
      </c>
      <c r="H19" s="243">
        <f>1093950/E19</f>
        <v>38.811818717674115</v>
      </c>
      <c r="I19" s="243">
        <f>1122110/E19</f>
        <v>39.81089620301595</v>
      </c>
      <c r="J19" s="243">
        <f>1313532/E19</f>
        <v>46.602281515484172</v>
      </c>
      <c r="K19" s="1080">
        <f t="shared" si="3"/>
        <v>41.741665478724748</v>
      </c>
      <c r="M19" s="243">
        <v>39.836808110538797</v>
      </c>
      <c r="N19" s="243">
        <v>39.371015724606885</v>
      </c>
      <c r="O19" s="243">
        <v>40.818673883626523</v>
      </c>
      <c r="P19" s="243">
        <v>42.234691987031034</v>
      </c>
      <c r="Q19" s="243">
        <v>46.688382082225402</v>
      </c>
      <c r="R19" s="212"/>
    </row>
    <row r="20" spans="1:26" s="214" customFormat="1" ht="21" customHeight="1">
      <c r="A20" s="238" t="s">
        <v>560</v>
      </c>
      <c r="B20" s="239">
        <f t="shared" si="2"/>
        <v>1.4474409692284997E-2</v>
      </c>
      <c r="C20" s="244">
        <f>VLOOKUP(A20,'Level 3'!$A$24:$K$289,11,FALSE)</f>
        <v>1119982.75</v>
      </c>
      <c r="D20" s="241" t="s">
        <v>1182</v>
      </c>
      <c r="E20" s="241">
        <f>$F$4</f>
        <v>422635</v>
      </c>
      <c r="F20" s="246">
        <f t="shared" ref="F20:F28" si="6">C20/E20</f>
        <v>2.65</v>
      </c>
      <c r="H20" s="246">
        <f>1010197/E20</f>
        <v>2.3902350728169699</v>
      </c>
      <c r="I20" s="1095"/>
      <c r="J20" s="1095"/>
      <c r="K20" s="1084">
        <f t="shared" si="3"/>
        <v>2.3902350728169699</v>
      </c>
      <c r="M20" s="773">
        <v>2.65</v>
      </c>
      <c r="N20" s="243">
        <v>3.2147842270559499</v>
      </c>
      <c r="O20" s="243">
        <v>2.4530650072818747</v>
      </c>
      <c r="P20" s="243">
        <v>2.94</v>
      </c>
      <c r="Q20" s="243">
        <v>2.4480196406457102</v>
      </c>
      <c r="R20" s="212"/>
    </row>
    <row r="21" spans="1:26" s="214" customFormat="1" ht="21" customHeight="1">
      <c r="A21" s="238" t="s">
        <v>154</v>
      </c>
      <c r="B21" s="239">
        <f t="shared" si="2"/>
        <v>1.2830434982932419E-2</v>
      </c>
      <c r="C21" s="249">
        <f>VLOOKUP(A21,'Level 3'!$A$24:$K$289,11,FALSE)</f>
        <v>992777.33333333337</v>
      </c>
      <c r="D21" s="247" t="s">
        <v>342</v>
      </c>
      <c r="E21" s="247">
        <f>'Level 3'!$Q$10</f>
        <v>1734.0110999999999</v>
      </c>
      <c r="F21" s="1088">
        <f t="shared" si="6"/>
        <v>572.53228271337673</v>
      </c>
      <c r="H21" s="247">
        <f>898016/E21</f>
        <v>517.88365137916367</v>
      </c>
      <c r="I21" s="247">
        <f>1039240/E21</f>
        <v>599.32719000472378</v>
      </c>
      <c r="J21" s="247">
        <f>1041076/E21</f>
        <v>600.38600675624286</v>
      </c>
      <c r="K21" s="1083">
        <f t="shared" si="3"/>
        <v>572.53228271337673</v>
      </c>
      <c r="M21" s="773">
        <v>596</v>
      </c>
      <c r="N21" s="242">
        <v>491.39688696603508</v>
      </c>
      <c r="O21" s="242">
        <v>603.39840194194392</v>
      </c>
      <c r="P21" s="242">
        <v>598.38652482269504</v>
      </c>
      <c r="Q21" s="242">
        <v>535.74239713774602</v>
      </c>
      <c r="R21" s="212"/>
    </row>
    <row r="22" spans="1:26" s="214" customFormat="1" ht="21" customHeight="1">
      <c r="A22" s="238" t="s">
        <v>457</v>
      </c>
      <c r="B22" s="239">
        <f t="shared" si="2"/>
        <v>1.048711947516498E-2</v>
      </c>
      <c r="C22" s="244">
        <f>VLOOKUP(A22,'Level 3'!$A$24:$K$289,11,FALSE)</f>
        <v>811459.2</v>
      </c>
      <c r="D22" s="241" t="s">
        <v>1182</v>
      </c>
      <c r="E22" s="241">
        <f>$F$4</f>
        <v>422635</v>
      </c>
      <c r="F22" s="243">
        <f t="shared" si="6"/>
        <v>1.92</v>
      </c>
      <c r="H22" s="243">
        <f>686035/E22</f>
        <v>1.6232328131839531</v>
      </c>
      <c r="I22" s="243">
        <f>835493/E22</f>
        <v>1.9768665633466229</v>
      </c>
      <c r="J22" s="243">
        <f>1384220/E22</f>
        <v>3.2752138369988288</v>
      </c>
      <c r="K22" s="1080">
        <f t="shared" si="3"/>
        <v>2.2917710711764681</v>
      </c>
      <c r="M22" s="773">
        <v>1.58</v>
      </c>
      <c r="N22" s="243">
        <v>2.053361637780621</v>
      </c>
      <c r="O22" s="243">
        <v>1.8370925460082086</v>
      </c>
      <c r="P22" s="243">
        <v>2.0978638463145352</v>
      </c>
      <c r="Q22" s="243">
        <v>1.9319964368740088</v>
      </c>
      <c r="R22" s="212"/>
    </row>
    <row r="23" spans="1:26" s="214" customFormat="1" ht="21" customHeight="1">
      <c r="A23" s="238" t="s">
        <v>252</v>
      </c>
      <c r="B23" s="239">
        <f t="shared" si="2"/>
        <v>8.7803469167922112E-3</v>
      </c>
      <c r="C23" s="240">
        <f>VLOOKUP(A23,'Level 3'!$A$24:$K$289,11,FALSE)</f>
        <v>679394.69000000006</v>
      </c>
      <c r="D23" s="242" t="s">
        <v>61</v>
      </c>
      <c r="E23" s="242">
        <f>'Level 1.1 UPDATE B'!G33</f>
        <v>261711</v>
      </c>
      <c r="F23" s="243">
        <f t="shared" si="6"/>
        <v>2.5959730007527391</v>
      </c>
      <c r="H23" s="243">
        <f>627820/E23</f>
        <v>2.3989056631169494</v>
      </c>
      <c r="I23" s="243">
        <f>679122/E23</f>
        <v>2.5949310498985523</v>
      </c>
      <c r="J23" s="1092"/>
      <c r="K23" s="1080">
        <f t="shared" si="3"/>
        <v>2.4969183565077508</v>
      </c>
      <c r="M23" s="773">
        <v>2.8</v>
      </c>
      <c r="N23" s="243">
        <v>2.9324030537438697</v>
      </c>
      <c r="O23" s="243">
        <v>2.9421303874469915</v>
      </c>
      <c r="P23" s="243">
        <v>1.2965677535227078</v>
      </c>
      <c r="Q23" s="243">
        <v>1.1000000000000001</v>
      </c>
      <c r="R23" s="212"/>
    </row>
    <row r="24" spans="1:26" s="214" customFormat="1" ht="21" customHeight="1">
      <c r="A24" s="238" t="s">
        <v>642</v>
      </c>
      <c r="B24" s="239">
        <f t="shared" si="2"/>
        <v>1.228959313495896E-2</v>
      </c>
      <c r="C24" s="244">
        <f>VLOOKUP(A24,'Level 3'!$A$24:$K$289,11,FALSE)</f>
        <v>950928.75</v>
      </c>
      <c r="D24" s="241" t="s">
        <v>61</v>
      </c>
      <c r="E24" s="241">
        <f>$F$4</f>
        <v>422635</v>
      </c>
      <c r="F24" s="248">
        <f t="shared" si="6"/>
        <v>2.25</v>
      </c>
      <c r="H24" s="248">
        <f>839780/E24</f>
        <v>1.9870100677889906</v>
      </c>
      <c r="I24" s="248">
        <f>1015600/E24</f>
        <v>2.4030191536432146</v>
      </c>
      <c r="J24" s="1094"/>
      <c r="K24" s="1082">
        <f t="shared" si="3"/>
        <v>2.1950146107161026</v>
      </c>
      <c r="M24" s="772">
        <v>1.3350213206038035</v>
      </c>
      <c r="N24" s="243">
        <v>1.9774339886006747</v>
      </c>
      <c r="O24" s="243">
        <v>1.6733483384085794</v>
      </c>
      <c r="P24" s="243">
        <v>1.94</v>
      </c>
      <c r="Q24" s="243">
        <v>1.5534360266799923</v>
      </c>
      <c r="R24" s="212"/>
    </row>
    <row r="25" spans="1:26" s="214" customFormat="1" ht="21" customHeight="1">
      <c r="A25" s="238" t="s">
        <v>431</v>
      </c>
      <c r="B25" s="239">
        <f t="shared" si="2"/>
        <v>8.1000910076552031E-3</v>
      </c>
      <c r="C25" s="244">
        <f>VLOOKUP(A25,'Level 3'!$A$24:$K$289,11,FALSE)</f>
        <v>626758.69999999995</v>
      </c>
      <c r="D25" s="241" t="s">
        <v>62</v>
      </c>
      <c r="E25" s="241">
        <f>'Level 3'!$G$114</f>
        <v>36652.555555555555</v>
      </c>
      <c r="F25" s="243">
        <f>C25/E25</f>
        <v>17.099999999999998</v>
      </c>
      <c r="H25" s="1092"/>
      <c r="I25" s="1092"/>
      <c r="J25" s="1092"/>
      <c r="K25" s="1092"/>
      <c r="M25" s="817">
        <v>22.5</v>
      </c>
      <c r="N25" s="817">
        <v>24.63</v>
      </c>
      <c r="O25" s="695">
        <f>2.33*9</f>
        <v>20.97</v>
      </c>
      <c r="P25" s="243">
        <v>18.7547692208889</v>
      </c>
      <c r="Q25" s="243">
        <v>16.261535681798357</v>
      </c>
      <c r="R25" s="212"/>
    </row>
    <row r="26" spans="1:26" s="214" customFormat="1" ht="21" customHeight="1">
      <c r="A26" s="238" t="s">
        <v>523</v>
      </c>
      <c r="B26" s="239">
        <f t="shared" si="2"/>
        <v>1.0872173135369903E-2</v>
      </c>
      <c r="C26" s="244">
        <f>VLOOKUP(A26,'Level 3'!$A$24:$K$289,11,FALSE)</f>
        <v>841253.39999999991</v>
      </c>
      <c r="D26" s="241" t="s">
        <v>403</v>
      </c>
      <c r="E26" s="241">
        <f>$F$3</f>
        <v>390</v>
      </c>
      <c r="F26" s="247">
        <f t="shared" si="6"/>
        <v>2157.06</v>
      </c>
      <c r="H26" s="1093"/>
      <c r="I26" s="1093"/>
      <c r="J26" s="1093"/>
      <c r="K26" s="1093"/>
      <c r="M26" s="357">
        <f>362478/194</f>
        <v>1868.4432989690722</v>
      </c>
      <c r="N26" s="357">
        <v>1100</v>
      </c>
      <c r="O26" s="357">
        <v>1724</v>
      </c>
      <c r="P26" s="357">
        <v>1551.7282608695652</v>
      </c>
      <c r="Q26" s="242">
        <v>1600.251282051282</v>
      </c>
      <c r="R26" s="212"/>
    </row>
    <row r="27" spans="1:26" s="214" customFormat="1" ht="21" customHeight="1">
      <c r="A27" s="238" t="s">
        <v>373</v>
      </c>
      <c r="B27" s="239">
        <f t="shared" si="2"/>
        <v>7.0563834058940721E-3</v>
      </c>
      <c r="C27" s="244">
        <f>VLOOKUP(A27,'Level 3'!$A$24:$K$289,11,FALSE)</f>
        <v>546000</v>
      </c>
      <c r="D27" s="241" t="s">
        <v>403</v>
      </c>
      <c r="E27" s="241">
        <f t="shared" ref="E27" si="7">$F$3</f>
        <v>390</v>
      </c>
      <c r="F27" s="241">
        <f t="shared" si="6"/>
        <v>1400</v>
      </c>
      <c r="H27" s="242">
        <f>417162/E27</f>
        <v>1069.6461538461538</v>
      </c>
      <c r="I27" s="241">
        <f>565499/E27</f>
        <v>1449.9974358974359</v>
      </c>
      <c r="J27" s="241">
        <f>708596/E27</f>
        <v>1816.9128205128204</v>
      </c>
      <c r="K27" s="1085">
        <f t="shared" si="3"/>
        <v>1445.5188034188031</v>
      </c>
      <c r="M27" s="242">
        <v>1335.8659793814434</v>
      </c>
      <c r="N27" s="242">
        <v>1300.6084000000001</v>
      </c>
      <c r="O27" s="242">
        <v>1157.8947368421052</v>
      </c>
      <c r="P27" s="242">
        <v>1408.8260869565217</v>
      </c>
      <c r="Q27" s="242">
        <v>739.27143589743582</v>
      </c>
      <c r="R27" s="212"/>
    </row>
    <row r="28" spans="1:26" s="214" customFormat="1" ht="21" customHeight="1">
      <c r="A28" s="238" t="s">
        <v>536</v>
      </c>
      <c r="B28" s="239">
        <f t="shared" si="2"/>
        <v>3.2802274606739817E-3</v>
      </c>
      <c r="C28" s="240">
        <f>VLOOKUP(A28,'Level 3'!$A$24:$K$289,11,FALSE)</f>
        <v>253813.33333333334</v>
      </c>
      <c r="D28" s="241" t="s">
        <v>71</v>
      </c>
      <c r="E28" s="241">
        <v>1</v>
      </c>
      <c r="F28" s="242">
        <f t="shared" si="6"/>
        <v>253813.33333333334</v>
      </c>
      <c r="H28" s="242">
        <v>238500</v>
      </c>
      <c r="I28" s="242">
        <v>255000</v>
      </c>
      <c r="J28" s="242">
        <v>267940</v>
      </c>
      <c r="K28" s="1081">
        <f t="shared" si="3"/>
        <v>253813.33333333334</v>
      </c>
      <c r="M28" s="241">
        <v>249085</v>
      </c>
      <c r="N28" s="241" t="s">
        <v>231</v>
      </c>
      <c r="O28" s="242">
        <v>245000</v>
      </c>
      <c r="P28" s="242">
        <v>228710</v>
      </c>
      <c r="Q28" s="242">
        <v>208310</v>
      </c>
      <c r="R28" s="212"/>
    </row>
    <row r="29" spans="1:26" s="214" customFormat="1" ht="21" customHeight="1" thickBot="1">
      <c r="A29" s="250" t="s">
        <v>562</v>
      </c>
      <c r="B29" s="251">
        <f t="shared" si="2"/>
        <v>2.0750419773815977E-3</v>
      </c>
      <c r="C29" s="252">
        <f>VLOOKUP(A29,'Level 3'!$A$24:$K$289,11,FALSE)</f>
        <v>160560</v>
      </c>
      <c r="D29" s="253" t="s">
        <v>71</v>
      </c>
      <c r="E29" s="253">
        <v>1</v>
      </c>
      <c r="F29" s="254">
        <f t="shared" si="5"/>
        <v>160560</v>
      </c>
      <c r="H29" s="254" t="s">
        <v>231</v>
      </c>
      <c r="I29" s="1096" t="s">
        <v>231</v>
      </c>
      <c r="J29" s="1096" t="s">
        <v>231</v>
      </c>
      <c r="K29" s="1086" t="s">
        <v>231</v>
      </c>
      <c r="M29" s="254">
        <v>103700</v>
      </c>
      <c r="N29" s="253" t="s">
        <v>231</v>
      </c>
      <c r="O29" s="254">
        <f>133300</f>
        <v>133300</v>
      </c>
      <c r="P29" s="254">
        <v>160560</v>
      </c>
      <c r="Q29" s="254">
        <f>120800</f>
        <v>120800</v>
      </c>
      <c r="R29" s="212"/>
    </row>
    <row r="30" spans="1:26" s="214" customFormat="1" ht="21" customHeight="1">
      <c r="A30" s="255" t="s">
        <v>870</v>
      </c>
      <c r="B30" s="255"/>
      <c r="C30" s="256">
        <f>'Level 3'!$L$14</f>
        <v>77376747.916494429</v>
      </c>
      <c r="D30" s="224" t="s">
        <v>93</v>
      </c>
      <c r="E30" s="224">
        <f>$F$4</f>
        <v>422635</v>
      </c>
      <c r="F30" s="257">
        <f t="shared" si="5"/>
        <v>183.08173226659986</v>
      </c>
      <c r="H30" s="257"/>
      <c r="I30" s="257"/>
      <c r="J30" s="257"/>
      <c r="K30" s="257"/>
      <c r="M30" s="211"/>
      <c r="N30" s="257"/>
      <c r="O30" s="257"/>
      <c r="P30" s="257"/>
      <c r="Q30" s="257"/>
      <c r="R30" s="212"/>
    </row>
    <row r="31" spans="1:26">
      <c r="C31" s="451"/>
    </row>
    <row r="32" spans="1:26" s="212" customFormat="1">
      <c r="A32" s="211"/>
      <c r="B32" s="211"/>
      <c r="C32" s="258"/>
      <c r="G32" s="211"/>
      <c r="H32" s="211"/>
      <c r="I32" s="211"/>
      <c r="J32" s="211"/>
      <c r="K32" s="211"/>
      <c r="L32" s="211"/>
      <c r="M32" s="211"/>
      <c r="S32" s="211"/>
      <c r="T32" s="211"/>
    </row>
    <row r="33" spans="1:20" s="212" customFormat="1">
      <c r="A33" s="211"/>
      <c r="B33" s="211"/>
      <c r="C33" s="258"/>
      <c r="G33" s="211"/>
      <c r="H33" s="211"/>
      <c r="I33" s="211"/>
      <c r="J33" s="211"/>
      <c r="K33" s="211"/>
      <c r="L33" s="211"/>
      <c r="M33" s="211"/>
      <c r="S33" s="211"/>
      <c r="T33" s="211"/>
    </row>
    <row r="34" spans="1:20" s="212" customFormat="1">
      <c r="A34" s="211"/>
      <c r="B34" s="211"/>
      <c r="C34" s="258"/>
      <c r="G34" s="211"/>
      <c r="H34" s="211"/>
      <c r="I34" s="211"/>
      <c r="J34" s="211"/>
      <c r="K34" s="211"/>
      <c r="L34" s="211"/>
      <c r="M34" s="211"/>
      <c r="P34" s="359"/>
      <c r="S34" s="211"/>
      <c r="T34" s="211"/>
    </row>
  </sheetData>
  <autoFilter ref="A2:F30" xr:uid="{BF817C74-9FD2-49A1-BAFE-0C8A11E10F0A}"/>
  <phoneticPr fontId="7" type="noConversion"/>
  <printOptions horizontalCentered="1"/>
  <pageMargins left="0.2" right="0.2" top="0.75" bottom="0.25" header="0.15" footer="0"/>
  <pageSetup paperSize="3" scale="94" orientation="landscape" horizontalDpi="1200" verticalDpi="1200" r:id="rId1"/>
  <headerFooter>
    <oddHeader>&amp;L&amp;G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4FB6-80A2-460E-B954-127158E17960}">
  <sheetPr>
    <pageSetUpPr fitToPage="1"/>
  </sheetPr>
  <dimension ref="A1:Z332"/>
  <sheetViews>
    <sheetView zoomScale="70" zoomScaleNormal="70" workbookViewId="0">
      <selection activeCell="F271" sqref="F271"/>
    </sheetView>
  </sheetViews>
  <sheetFormatPr defaultColWidth="9.140625" defaultRowHeight="14.45"/>
  <cols>
    <col min="1" max="1" width="23.7109375" style="55" customWidth="1"/>
    <col min="2" max="2" width="2.5703125" style="55" customWidth="1"/>
    <col min="3" max="3" width="13.140625" style="56" hidden="1" customWidth="1"/>
    <col min="4" max="4" width="17.140625" style="56" hidden="1" customWidth="1"/>
    <col min="5" max="5" width="14.85546875" style="55" bestFit="1" customWidth="1"/>
    <col min="6" max="6" width="13.85546875" style="55" bestFit="1" customWidth="1"/>
    <col min="7" max="7" width="5.7109375" style="55" bestFit="1" customWidth="1"/>
    <col min="8" max="8" width="14.5703125" style="55" customWidth="1"/>
    <col min="9" max="9" width="13.140625" style="55" bestFit="1" customWidth="1"/>
    <col min="10" max="10" width="15.85546875" style="55" bestFit="1" customWidth="1"/>
    <col min="11" max="11" width="0.7109375" style="55" customWidth="1"/>
    <col min="12" max="12" width="17.42578125" style="55" hidden="1" customWidth="1"/>
    <col min="13" max="13" width="17.140625" style="55" hidden="1" customWidth="1"/>
    <col min="14" max="14" width="9.28515625" style="55" bestFit="1" customWidth="1"/>
    <col min="15" max="15" width="13.85546875" style="55" bestFit="1" customWidth="1"/>
    <col min="16" max="16" width="5.7109375" style="55" bestFit="1" customWidth="1"/>
    <col min="17" max="17" width="16.85546875" style="55" customWidth="1"/>
    <col min="18" max="18" width="13.140625" style="55" bestFit="1" customWidth="1"/>
    <col min="19" max="19" width="16.42578125" style="55" bestFit="1" customWidth="1"/>
    <col min="20" max="20" width="0.7109375" style="55" customWidth="1"/>
    <col min="21" max="21" width="15.28515625" style="190" bestFit="1" customWidth="1"/>
    <col min="22" max="22" width="0.7109375" style="55" customWidth="1"/>
    <col min="23" max="23" width="13.85546875" style="190" bestFit="1" customWidth="1"/>
    <col min="24" max="24" width="0.7109375" style="55" customWidth="1"/>
    <col min="25" max="25" width="118.140625" style="55" customWidth="1"/>
    <col min="26" max="16384" width="9.140625" style="55"/>
  </cols>
  <sheetData>
    <row r="1" spans="1:19" ht="27.75" customHeight="1" thickBot="1">
      <c r="A1" s="1122" t="s">
        <v>1018</v>
      </c>
      <c r="B1" s="135"/>
      <c r="C1" s="360" t="s">
        <v>1186</v>
      </c>
      <c r="D1" s="361"/>
      <c r="E1" s="361"/>
      <c r="F1" s="361"/>
      <c r="G1" s="361"/>
      <c r="H1" s="362"/>
      <c r="I1" s="362"/>
      <c r="J1" s="363"/>
      <c r="L1" s="259" t="s">
        <v>1187</v>
      </c>
      <c r="M1" s="260"/>
      <c r="N1" s="260"/>
      <c r="O1" s="260"/>
      <c r="P1" s="260"/>
      <c r="Q1" s="261"/>
      <c r="R1" s="261"/>
      <c r="S1" s="262"/>
    </row>
    <row r="2" spans="1:19" ht="15" thickBot="1">
      <c r="A2" s="1123"/>
      <c r="B2" s="135"/>
      <c r="C2" s="263" t="s">
        <v>77</v>
      </c>
      <c r="D2" s="72"/>
      <c r="H2" s="72" t="s">
        <v>78</v>
      </c>
      <c r="I2" s="72"/>
      <c r="J2" s="264"/>
      <c r="L2" s="263" t="s">
        <v>77</v>
      </c>
      <c r="M2" s="72"/>
      <c r="Q2" s="72" t="s">
        <v>78</v>
      </c>
      <c r="R2" s="72"/>
      <c r="S2" s="264"/>
    </row>
    <row r="3" spans="1:19">
      <c r="A3" s="1123"/>
      <c r="B3" s="135"/>
      <c r="C3" s="265" t="s">
        <v>81</v>
      </c>
      <c r="D3" s="77" t="s">
        <v>82</v>
      </c>
      <c r="H3" s="78" t="s">
        <v>83</v>
      </c>
      <c r="I3" s="79" t="s">
        <v>84</v>
      </c>
      <c r="J3" s="266" t="s">
        <v>85</v>
      </c>
      <c r="L3" s="265" t="s">
        <v>81</v>
      </c>
      <c r="M3" s="77" t="s">
        <v>82</v>
      </c>
      <c r="Q3" s="78" t="s">
        <v>83</v>
      </c>
      <c r="R3" s="79" t="s">
        <v>84</v>
      </c>
      <c r="S3" s="266" t="s">
        <v>85</v>
      </c>
    </row>
    <row r="4" spans="1:19">
      <c r="A4" s="1123"/>
      <c r="B4" s="135"/>
      <c r="C4" s="267" t="s">
        <v>105</v>
      </c>
      <c r="D4" s="86" t="s">
        <v>37</v>
      </c>
      <c r="H4" s="87" t="s">
        <v>106</v>
      </c>
      <c r="I4" s="88">
        <v>0</v>
      </c>
      <c r="J4" s="268">
        <f t="shared" ref="J4:J9" si="0">I4/$I$9</f>
        <v>0</v>
      </c>
      <c r="L4" s="267" t="s">
        <v>105</v>
      </c>
      <c r="M4" s="86" t="s">
        <v>37</v>
      </c>
      <c r="Q4" s="87" t="s">
        <v>106</v>
      </c>
      <c r="R4" s="88">
        <v>0</v>
      </c>
      <c r="S4" s="268">
        <f t="shared" ref="S4:S9" si="1">R4/$I$9</f>
        <v>0</v>
      </c>
    </row>
    <row r="5" spans="1:19">
      <c r="A5" s="1123"/>
      <c r="B5" s="135"/>
      <c r="C5" s="267" t="s">
        <v>2</v>
      </c>
      <c r="D5" s="86" t="s">
        <v>1188</v>
      </c>
      <c r="H5" s="93" t="s">
        <v>89</v>
      </c>
      <c r="I5" s="86">
        <v>171</v>
      </c>
      <c r="J5" s="269">
        <f t="shared" si="0"/>
        <v>0.43846153846153846</v>
      </c>
      <c r="L5" s="267" t="s">
        <v>2</v>
      </c>
      <c r="M5" s="86" t="s">
        <v>1188</v>
      </c>
      <c r="Q5" s="93" t="s">
        <v>89</v>
      </c>
      <c r="R5" s="383">
        <v>166</v>
      </c>
      <c r="S5" s="269">
        <f t="shared" si="1"/>
        <v>0.42564102564102563</v>
      </c>
    </row>
    <row r="6" spans="1:19">
      <c r="A6" s="1123"/>
      <c r="B6" s="135"/>
      <c r="C6" s="267" t="s">
        <v>1189</v>
      </c>
      <c r="D6" s="97"/>
      <c r="H6" s="93" t="s">
        <v>90</v>
      </c>
      <c r="I6" s="86">
        <v>52</v>
      </c>
      <c r="J6" s="269">
        <f t="shared" si="0"/>
        <v>0.13333333333333333</v>
      </c>
      <c r="L6" s="267" t="s">
        <v>1189</v>
      </c>
      <c r="M6" s="97"/>
      <c r="Q6" s="93" t="s">
        <v>90</v>
      </c>
      <c r="R6" s="383">
        <v>46</v>
      </c>
      <c r="S6" s="269">
        <f t="shared" si="1"/>
        <v>0.11794871794871795</v>
      </c>
    </row>
    <row r="7" spans="1:19">
      <c r="A7" s="1123"/>
      <c r="B7" s="135"/>
      <c r="C7" s="267" t="s">
        <v>130</v>
      </c>
      <c r="D7" s="86">
        <v>26</v>
      </c>
      <c r="H7" s="93" t="s">
        <v>91</v>
      </c>
      <c r="I7" s="86">
        <v>118</v>
      </c>
      <c r="J7" s="269">
        <f t="shared" si="0"/>
        <v>0.30256410256410254</v>
      </c>
      <c r="L7" s="267" t="s">
        <v>130</v>
      </c>
      <c r="M7" s="86">
        <v>26</v>
      </c>
      <c r="Q7" s="93" t="s">
        <v>91</v>
      </c>
      <c r="R7" s="383">
        <v>125</v>
      </c>
      <c r="S7" s="269">
        <f t="shared" si="1"/>
        <v>0.32051282051282054</v>
      </c>
    </row>
    <row r="8" spans="1:19">
      <c r="A8" s="1123"/>
      <c r="B8" s="135"/>
      <c r="C8" s="267" t="s">
        <v>115</v>
      </c>
      <c r="D8" s="86" t="s">
        <v>134</v>
      </c>
      <c r="H8" s="100" t="s">
        <v>92</v>
      </c>
      <c r="I8" s="101">
        <v>49</v>
      </c>
      <c r="J8" s="270">
        <f t="shared" si="0"/>
        <v>0.12564102564102564</v>
      </c>
      <c r="L8" s="267" t="s">
        <v>115</v>
      </c>
      <c r="M8" s="86" t="s">
        <v>134</v>
      </c>
      <c r="Q8" s="100" t="s">
        <v>92</v>
      </c>
      <c r="R8" s="384">
        <v>52</v>
      </c>
      <c r="S8" s="270">
        <f t="shared" si="1"/>
        <v>0.13333333333333333</v>
      </c>
    </row>
    <row r="9" spans="1:19" ht="15" thickBot="1">
      <c r="A9" s="1123"/>
      <c r="B9" s="135"/>
      <c r="C9" s="267" t="s">
        <v>139</v>
      </c>
      <c r="D9" s="48">
        <v>431911</v>
      </c>
      <c r="H9" s="106" t="s">
        <v>140</v>
      </c>
      <c r="I9" s="107">
        <f>SUM(I4:I8)</f>
        <v>390</v>
      </c>
      <c r="J9" s="271">
        <f t="shared" si="0"/>
        <v>1</v>
      </c>
      <c r="L9" s="267" t="s">
        <v>139</v>
      </c>
      <c r="M9" s="382">
        <v>428629</v>
      </c>
      <c r="Q9" s="106" t="s">
        <v>140</v>
      </c>
      <c r="R9" s="385">
        <f>SUM(R4:R8)</f>
        <v>389</v>
      </c>
      <c r="S9" s="271">
        <f t="shared" si="1"/>
        <v>0.99743589743589745</v>
      </c>
    </row>
    <row r="10" spans="1:19" ht="15" thickBot="1">
      <c r="A10" s="1123"/>
      <c r="B10" s="135"/>
      <c r="C10" s="267" t="s">
        <v>145</v>
      </c>
      <c r="D10" s="111">
        <v>15.826000000000001</v>
      </c>
      <c r="H10" s="72" t="s">
        <v>146</v>
      </c>
      <c r="I10" s="72"/>
      <c r="J10" s="264"/>
      <c r="L10" s="267" t="s">
        <v>145</v>
      </c>
      <c r="M10" s="111">
        <v>15.826000000000001</v>
      </c>
      <c r="Q10" s="72" t="s">
        <v>146</v>
      </c>
      <c r="R10" s="72"/>
      <c r="S10" s="264"/>
    </row>
    <row r="11" spans="1:19">
      <c r="A11" s="1123"/>
      <c r="B11" s="135"/>
      <c r="C11" s="267" t="s">
        <v>152</v>
      </c>
      <c r="D11" s="48">
        <v>689380.56</v>
      </c>
      <c r="F11" s="272"/>
      <c r="H11" s="85" t="s">
        <v>153</v>
      </c>
      <c r="I11" s="45"/>
      <c r="J11" s="273">
        <v>0</v>
      </c>
      <c r="L11" s="267" t="s">
        <v>152</v>
      </c>
      <c r="M11" s="48">
        <v>689380.56</v>
      </c>
      <c r="Q11" s="85" t="s">
        <v>153</v>
      </c>
      <c r="R11" s="45"/>
      <c r="S11" s="273">
        <v>0</v>
      </c>
    </row>
    <row r="12" spans="1:19">
      <c r="A12" s="1123"/>
      <c r="B12" s="135"/>
      <c r="C12" s="267" t="s">
        <v>157</v>
      </c>
      <c r="D12" s="48">
        <v>5</v>
      </c>
      <c r="H12" s="85" t="s">
        <v>158</v>
      </c>
      <c r="I12" s="45"/>
      <c r="J12" s="273">
        <v>388</v>
      </c>
      <c r="L12" s="267" t="s">
        <v>157</v>
      </c>
      <c r="M12" s="48">
        <v>5</v>
      </c>
      <c r="Q12" s="85" t="s">
        <v>158</v>
      </c>
      <c r="R12" s="45"/>
      <c r="S12" s="386">
        <v>360</v>
      </c>
    </row>
    <row r="13" spans="1:19" ht="15" thickBot="1">
      <c r="A13" s="1123"/>
      <c r="B13" s="135"/>
      <c r="C13" s="274"/>
      <c r="H13" s="85" t="s">
        <v>165</v>
      </c>
      <c r="I13" s="45"/>
      <c r="J13" s="273">
        <v>403</v>
      </c>
      <c r="L13" s="95"/>
      <c r="Q13" s="85" t="s">
        <v>165</v>
      </c>
      <c r="R13" s="45"/>
      <c r="S13" s="386">
        <v>321</v>
      </c>
    </row>
    <row r="14" spans="1:19" ht="15" thickBot="1">
      <c r="A14" s="1123"/>
      <c r="B14" s="135"/>
      <c r="C14" s="274"/>
      <c r="E14" s="275" t="s">
        <v>1190</v>
      </c>
      <c r="F14" s="276"/>
      <c r="H14" s="85" t="s">
        <v>171</v>
      </c>
      <c r="I14" s="45"/>
      <c r="J14" s="273">
        <v>16</v>
      </c>
      <c r="L14" s="95"/>
      <c r="Q14" s="85" t="s">
        <v>171</v>
      </c>
      <c r="R14" s="45"/>
      <c r="S14" s="386">
        <v>14</v>
      </c>
    </row>
    <row r="15" spans="1:19">
      <c r="A15" s="1123"/>
      <c r="B15" s="135"/>
      <c r="C15" s="277" t="s">
        <v>177</v>
      </c>
      <c r="D15" s="278" t="e">
        <f>J329</f>
        <v>#REF!</v>
      </c>
      <c r="E15" s="279" t="e">
        <f>D15-M15</f>
        <v>#REF!</v>
      </c>
      <c r="F15" s="381" t="e">
        <f>E15/M15</f>
        <v>#REF!</v>
      </c>
      <c r="H15" s="85" t="s">
        <v>176</v>
      </c>
      <c r="I15" s="45"/>
      <c r="J15" s="273">
        <v>0</v>
      </c>
      <c r="L15" s="277" t="s">
        <v>177</v>
      </c>
      <c r="M15" s="280">
        <f>S329</f>
        <v>82742976.584018797</v>
      </c>
      <c r="Q15" s="85" t="s">
        <v>176</v>
      </c>
      <c r="R15" s="45"/>
      <c r="S15" s="386">
        <v>0</v>
      </c>
    </row>
    <row r="16" spans="1:19" ht="15" thickBot="1">
      <c r="A16" s="1123"/>
      <c r="B16" s="135"/>
      <c r="C16" s="281" t="s">
        <v>184</v>
      </c>
      <c r="D16" s="282" t="e">
        <f>D15/I9</f>
        <v>#REF!</v>
      </c>
      <c r="E16" s="279" t="e">
        <f>D16-M16</f>
        <v>#REF!</v>
      </c>
      <c r="F16" s="283"/>
      <c r="H16" s="85" t="s">
        <v>183</v>
      </c>
      <c r="I16" s="45"/>
      <c r="J16" s="273">
        <v>807</v>
      </c>
      <c r="L16" s="281" t="s">
        <v>184</v>
      </c>
      <c r="M16" s="284">
        <f>M15/R9</f>
        <v>212706.88067871155</v>
      </c>
      <c r="Q16" s="85" t="s">
        <v>183</v>
      </c>
      <c r="R16" s="45"/>
      <c r="S16" s="386">
        <v>681</v>
      </c>
    </row>
    <row r="17" spans="1:25" ht="15" thickBot="1">
      <c r="A17" s="1123"/>
      <c r="B17" s="135"/>
      <c r="C17" s="285" t="s">
        <v>190</v>
      </c>
      <c r="D17" s="286" t="e">
        <f>D15/D9</f>
        <v>#REF!</v>
      </c>
      <c r="E17" s="287" t="e">
        <f>D17-M17</f>
        <v>#REF!</v>
      </c>
      <c r="F17" s="288"/>
      <c r="H17" s="129" t="s">
        <v>189</v>
      </c>
      <c r="I17" s="130"/>
      <c r="J17" s="289">
        <v>2.0692307692307694</v>
      </c>
      <c r="L17" s="285" t="s">
        <v>190</v>
      </c>
      <c r="M17" s="290">
        <f>M15/M9</f>
        <v>193.04101351989436</v>
      </c>
      <c r="Q17" s="129" t="s">
        <v>189</v>
      </c>
      <c r="R17" s="130"/>
      <c r="S17" s="387">
        <v>1.79</v>
      </c>
      <c r="U17" s="291" t="s">
        <v>1022</v>
      </c>
      <c r="W17" s="291" t="s">
        <v>1022</v>
      </c>
    </row>
    <row r="18" spans="1:25" ht="15" thickBot="1">
      <c r="A18" s="1123"/>
      <c r="B18" s="135"/>
      <c r="C18" s="292"/>
      <c r="D18" s="293"/>
      <c r="E18" s="138"/>
      <c r="F18" s="138"/>
      <c r="G18" s="138"/>
      <c r="H18" s="294"/>
      <c r="I18" s="294"/>
      <c r="J18" s="295"/>
      <c r="L18" s="137"/>
      <c r="M18" s="138"/>
      <c r="N18" s="138"/>
      <c r="O18" s="138"/>
      <c r="P18" s="138"/>
      <c r="Q18" s="138"/>
      <c r="R18" s="138"/>
      <c r="S18" s="139"/>
      <c r="U18" s="296">
        <v>75000</v>
      </c>
      <c r="W18" s="297">
        <v>0.05</v>
      </c>
    </row>
    <row r="19" spans="1:25" ht="15" thickBot="1">
      <c r="A19" s="298" t="s">
        <v>202</v>
      </c>
      <c r="B19" s="135"/>
      <c r="C19" s="364" t="s">
        <v>206</v>
      </c>
      <c r="D19" s="365" t="s">
        <v>1175</v>
      </c>
      <c r="E19" s="365" t="s">
        <v>208</v>
      </c>
      <c r="F19" s="365" t="s">
        <v>1191</v>
      </c>
      <c r="G19" s="366" t="s">
        <v>85</v>
      </c>
      <c r="H19" s="365" t="s">
        <v>1192</v>
      </c>
      <c r="I19" s="365" t="s">
        <v>212</v>
      </c>
      <c r="J19" s="367" t="s">
        <v>119</v>
      </c>
      <c r="L19" s="299" t="s">
        <v>206</v>
      </c>
      <c r="M19" s="300" t="s">
        <v>1175</v>
      </c>
      <c r="N19" s="300" t="s">
        <v>208</v>
      </c>
      <c r="O19" s="300" t="s">
        <v>1191</v>
      </c>
      <c r="P19" s="301" t="s">
        <v>85</v>
      </c>
      <c r="Q19" s="300" t="s">
        <v>1192</v>
      </c>
      <c r="R19" s="300" t="s">
        <v>212</v>
      </c>
      <c r="S19" s="302" t="s">
        <v>119</v>
      </c>
      <c r="U19" s="303" t="s">
        <v>1023</v>
      </c>
      <c r="W19" s="303" t="s">
        <v>1024</v>
      </c>
      <c r="Y19" s="304" t="s">
        <v>1193</v>
      </c>
    </row>
    <row r="20" spans="1:25" hidden="1">
      <c r="A20" s="305" t="s">
        <v>214</v>
      </c>
      <c r="B20" s="135"/>
      <c r="C20" s="306"/>
      <c r="D20" s="143"/>
      <c r="E20" s="143"/>
      <c r="F20" s="144"/>
      <c r="G20" s="145"/>
      <c r="H20" s="146"/>
      <c r="I20" s="146"/>
      <c r="J20" s="307">
        <f>'Level 1'!L20</f>
        <v>4240149</v>
      </c>
      <c r="L20" s="306"/>
      <c r="M20" s="143"/>
      <c r="N20" s="143"/>
      <c r="O20" s="144"/>
      <c r="P20" s="145"/>
      <c r="Q20" s="146"/>
      <c r="R20" s="146"/>
      <c r="S20" s="307">
        <v>3987932</v>
      </c>
      <c r="U20" s="308">
        <f>J20-S20</f>
        <v>252217</v>
      </c>
      <c r="W20" s="309">
        <f>IF(S20=0,0,U20/S20)</f>
        <v>6.3245060347067103E-2</v>
      </c>
      <c r="Y20" s="310"/>
    </row>
    <row r="21" spans="1:25" hidden="1">
      <c r="A21" s="311" t="s">
        <v>1194</v>
      </c>
      <c r="B21" s="135"/>
      <c r="C21" s="312">
        <f>'Level 1'!E21</f>
        <v>0</v>
      </c>
      <c r="D21" s="60" t="str">
        <f>'Level 1'!F21</f>
        <v>Mo</v>
      </c>
      <c r="E21" s="62">
        <f>'Level 1'!G21</f>
        <v>26</v>
      </c>
      <c r="F21" s="195">
        <f>'Level 1'!H21</f>
        <v>163082.65384615384</v>
      </c>
      <c r="G21" s="148">
        <f>'Level 1'!I21</f>
        <v>0</v>
      </c>
      <c r="H21" s="149">
        <f>'Level 1'!J21</f>
        <v>163082.65384615384</v>
      </c>
      <c r="I21" s="150">
        <f>'Level 1'!K21</f>
        <v>4240149</v>
      </c>
      <c r="J21" s="96"/>
      <c r="L21" s="312"/>
      <c r="M21" s="60"/>
      <c r="N21" s="62"/>
      <c r="O21" s="147"/>
      <c r="P21" s="148"/>
      <c r="Q21" s="149"/>
      <c r="R21" s="150">
        <v>3987932</v>
      </c>
      <c r="S21" s="96"/>
      <c r="U21" s="296">
        <f>I21-R21</f>
        <v>252217</v>
      </c>
      <c r="W21" s="297">
        <f>U21/R21</f>
        <v>6.3245060347067103E-2</v>
      </c>
      <c r="Y21" s="313"/>
    </row>
    <row r="22" spans="1:25" hidden="1">
      <c r="A22" s="314" t="s">
        <v>219</v>
      </c>
      <c r="B22" s="135"/>
      <c r="C22" s="315"/>
      <c r="D22" s="151"/>
      <c r="E22" s="152"/>
      <c r="F22" s="153"/>
      <c r="G22" s="154"/>
      <c r="H22" s="155"/>
      <c r="I22" s="156"/>
      <c r="J22" s="316">
        <f>'Level 1'!L22</f>
        <v>12000</v>
      </c>
      <c r="L22" s="315"/>
      <c r="M22" s="151"/>
      <c r="N22" s="152"/>
      <c r="O22" s="153"/>
      <c r="P22" s="154"/>
      <c r="Q22" s="155"/>
      <c r="R22" s="156"/>
      <c r="S22" s="316">
        <v>10000</v>
      </c>
      <c r="U22" s="317">
        <f>J22-S22</f>
        <v>2000</v>
      </c>
      <c r="W22" s="318">
        <f>IF(S22=0,0,U22/S22)</f>
        <v>0.2</v>
      </c>
      <c r="Y22" s="313"/>
    </row>
    <row r="23" spans="1:25" hidden="1">
      <c r="A23" s="319" t="s">
        <v>221</v>
      </c>
      <c r="B23" s="135"/>
      <c r="C23" s="320" t="str">
        <f>'Level 1'!E23</f>
        <v>Allowance</v>
      </c>
      <c r="D23" s="65">
        <f>'Level 1'!F23</f>
        <v>0</v>
      </c>
      <c r="E23" s="43">
        <f>'Level 1'!G23</f>
        <v>1</v>
      </c>
      <c r="F23" s="64">
        <f>'Level 1'!H23</f>
        <v>12000</v>
      </c>
      <c r="G23" s="157">
        <f>'Level 1'!I23</f>
        <v>0</v>
      </c>
      <c r="H23" s="158">
        <f>'Level 1'!J23</f>
        <v>12000</v>
      </c>
      <c r="I23" s="159">
        <f>'Level 1'!K23</f>
        <v>12000</v>
      </c>
      <c r="J23" s="96"/>
      <c r="L23" s="320"/>
      <c r="M23" s="65"/>
      <c r="N23" s="43"/>
      <c r="O23" s="64"/>
      <c r="P23" s="157"/>
      <c r="Q23" s="158"/>
      <c r="R23" s="159">
        <v>10000</v>
      </c>
      <c r="S23" s="96"/>
      <c r="U23" s="296">
        <f>I23-R23</f>
        <v>2000</v>
      </c>
      <c r="W23" s="297">
        <f>IF(R23=0,0,U23/R23)</f>
        <v>0.2</v>
      </c>
      <c r="Y23" s="313"/>
    </row>
    <row r="24" spans="1:25" hidden="1">
      <c r="A24" s="314" t="s">
        <v>224</v>
      </c>
      <c r="B24" s="135"/>
      <c r="C24" s="315"/>
      <c r="D24" s="151"/>
      <c r="E24" s="152"/>
      <c r="F24" s="153"/>
      <c r="G24" s="154"/>
      <c r="H24" s="155"/>
      <c r="I24" s="156"/>
      <c r="J24" s="316">
        <f>'Level 1'!L24</f>
        <v>2934605.2</v>
      </c>
      <c r="L24" s="315"/>
      <c r="M24" s="151"/>
      <c r="N24" s="152"/>
      <c r="O24" s="153"/>
      <c r="P24" s="154"/>
      <c r="Q24" s="155"/>
      <c r="R24" s="156"/>
      <c r="S24" s="316">
        <v>2940364.46</v>
      </c>
      <c r="U24" s="317">
        <f>J24-S24</f>
        <v>-5759.2599999997765</v>
      </c>
      <c r="W24" s="318">
        <f>IF(S24=0,0,U24/S24)</f>
        <v>-1.9586891619550375E-3</v>
      </c>
      <c r="Y24" s="313"/>
    </row>
    <row r="25" spans="1:25" hidden="1">
      <c r="A25" s="321" t="s">
        <v>226</v>
      </c>
      <c r="B25" s="135"/>
      <c r="C25" s="322" t="str">
        <f>'Level 1'!E25</f>
        <v>Torrey Pines</v>
      </c>
      <c r="D25" s="47" t="str">
        <f>'Level 1'!F25</f>
        <v>SF</v>
      </c>
      <c r="E25" s="42">
        <f>'Level 1'!G25</f>
        <v>172112</v>
      </c>
      <c r="F25" s="61">
        <f>'Level 1'!H25</f>
        <v>11.99</v>
      </c>
      <c r="G25" s="63">
        <f>'Level 1'!I25</f>
        <v>0</v>
      </c>
      <c r="H25" s="66">
        <f>'Level 1'!J25</f>
        <v>11.99</v>
      </c>
      <c r="I25" s="67">
        <f>'Level 1'!K25</f>
        <v>2063622.8800000001</v>
      </c>
      <c r="J25" s="96"/>
      <c r="L25" s="322"/>
      <c r="M25" s="47"/>
      <c r="N25" s="42"/>
      <c r="O25" s="61"/>
      <c r="P25" s="63"/>
      <c r="Q25" s="66"/>
      <c r="R25" s="67">
        <v>1934557.66</v>
      </c>
      <c r="S25" s="96"/>
      <c r="U25" s="296">
        <f t="shared" ref="U25:U88" si="2">I25-R25</f>
        <v>129065.2200000002</v>
      </c>
      <c r="W25" s="297">
        <f t="shared" ref="W25:W34" si="3">IF(R25=0,0,U25/R25)</f>
        <v>6.6715623250019965E-2</v>
      </c>
      <c r="Y25" s="313" t="s">
        <v>1195</v>
      </c>
    </row>
    <row r="26" spans="1:25" hidden="1">
      <c r="A26" s="323" t="s">
        <v>230</v>
      </c>
      <c r="B26" s="135"/>
      <c r="C26" s="324" t="str">
        <f>'Level 1'!E26</f>
        <v>N/A</v>
      </c>
      <c r="D26" s="40">
        <f>'Level 1'!F26</f>
        <v>0</v>
      </c>
      <c r="E26" s="38">
        <f>'Level 1'!G26</f>
        <v>0</v>
      </c>
      <c r="F26" s="51">
        <f>'Level 1'!H26</f>
        <v>0</v>
      </c>
      <c r="G26" s="53">
        <f>'Level 1'!I26</f>
        <v>0</v>
      </c>
      <c r="H26" s="160">
        <f>'Level 1'!J26</f>
        <v>0</v>
      </c>
      <c r="I26" s="67">
        <f>'Level 1'!K26</f>
        <v>0</v>
      </c>
      <c r="J26" s="96"/>
      <c r="L26" s="324"/>
      <c r="M26" s="40"/>
      <c r="N26" s="38"/>
      <c r="O26" s="51"/>
      <c r="P26" s="53"/>
      <c r="Q26" s="160"/>
      <c r="R26" s="67">
        <v>0</v>
      </c>
      <c r="S26" s="96"/>
      <c r="U26" s="296">
        <f t="shared" si="2"/>
        <v>0</v>
      </c>
      <c r="W26" s="297">
        <f t="shared" si="3"/>
        <v>0</v>
      </c>
      <c r="Y26" s="313"/>
    </row>
    <row r="27" spans="1:25" hidden="1">
      <c r="A27" s="323" t="s">
        <v>232</v>
      </c>
      <c r="B27" s="135"/>
      <c r="C27" s="312" t="str">
        <f>'Level 1'!E27</f>
        <v>Allowance</v>
      </c>
      <c r="D27" s="40" t="str">
        <f>'Level 1'!F27</f>
        <v>LS</v>
      </c>
      <c r="E27" s="38">
        <f>'Level 1'!G27</f>
        <v>1</v>
      </c>
      <c r="F27" s="51">
        <f>'Level 1'!H27</f>
        <v>7500</v>
      </c>
      <c r="G27" s="53">
        <f>'Level 1'!I27</f>
        <v>0</v>
      </c>
      <c r="H27" s="160">
        <f>'Level 1'!J27</f>
        <v>7500</v>
      </c>
      <c r="I27" s="67">
        <f>'Level 1'!K27</f>
        <v>7500</v>
      </c>
      <c r="J27" s="96"/>
      <c r="L27" s="312"/>
      <c r="M27" s="40"/>
      <c r="N27" s="38"/>
      <c r="O27" s="51"/>
      <c r="P27" s="53"/>
      <c r="Q27" s="160"/>
      <c r="R27" s="67">
        <v>2500</v>
      </c>
      <c r="S27" s="96"/>
      <c r="U27" s="296">
        <f t="shared" si="2"/>
        <v>5000</v>
      </c>
      <c r="W27" s="297">
        <f t="shared" si="3"/>
        <v>2</v>
      </c>
      <c r="Y27" s="313"/>
    </row>
    <row r="28" spans="1:25" hidden="1">
      <c r="A28" s="323" t="s">
        <v>234</v>
      </c>
      <c r="B28" s="135"/>
      <c r="C28" s="324" t="str">
        <f>'Level 1'!E28</f>
        <v>Torrey Pines</v>
      </c>
      <c r="D28" s="60" t="str">
        <f>'Level 1'!F28</f>
        <v>SF</v>
      </c>
      <c r="E28" s="62">
        <f>'Level 1'!G28</f>
        <v>300</v>
      </c>
      <c r="F28" s="51">
        <f>'Level 1'!H28</f>
        <v>11.99</v>
      </c>
      <c r="G28" s="53">
        <f>'Level 1'!I28</f>
        <v>0</v>
      </c>
      <c r="H28" s="160">
        <f>'Level 1'!J28</f>
        <v>11.99</v>
      </c>
      <c r="I28" s="67">
        <f>'Level 1'!K28</f>
        <v>3597</v>
      </c>
      <c r="J28" s="96"/>
      <c r="L28" s="324"/>
      <c r="M28" s="60"/>
      <c r="N28" s="62"/>
      <c r="O28" s="51"/>
      <c r="P28" s="53"/>
      <c r="Q28" s="160"/>
      <c r="R28" s="67">
        <v>6310</v>
      </c>
      <c r="S28" s="96"/>
      <c r="U28" s="296">
        <f t="shared" si="2"/>
        <v>-2713</v>
      </c>
      <c r="W28" s="297">
        <f t="shared" si="3"/>
        <v>-0.42995245641838353</v>
      </c>
      <c r="Y28" s="313"/>
    </row>
    <row r="29" spans="1:25" hidden="1">
      <c r="A29" s="323" t="s">
        <v>236</v>
      </c>
      <c r="B29" s="135"/>
      <c r="C29" s="324" t="str">
        <f>'Level 1'!E29</f>
        <v>Torrey Pines</v>
      </c>
      <c r="D29" s="40" t="str">
        <f>'Level 1'!F29</f>
        <v>Count</v>
      </c>
      <c r="E29" s="38">
        <f>'Level 1'!G29</f>
        <v>14</v>
      </c>
      <c r="F29" s="51">
        <f>'Level 1'!H29</f>
        <v>2757.75</v>
      </c>
      <c r="G29" s="53">
        <f>'Level 1'!I29</f>
        <v>0</v>
      </c>
      <c r="H29" s="160">
        <f>'Level 1'!J29</f>
        <v>2757.75</v>
      </c>
      <c r="I29" s="67">
        <f>'Level 1'!K29</f>
        <v>38608.5</v>
      </c>
      <c r="J29" s="96"/>
      <c r="L29" s="324"/>
      <c r="M29" s="40"/>
      <c r="N29" s="38"/>
      <c r="O29" s="51"/>
      <c r="P29" s="53"/>
      <c r="Q29" s="160"/>
      <c r="R29" s="67">
        <v>32376</v>
      </c>
      <c r="S29" s="96"/>
      <c r="U29" s="296">
        <f t="shared" si="2"/>
        <v>6232.5</v>
      </c>
      <c r="W29" s="297">
        <f t="shared" si="3"/>
        <v>0.19250370644922166</v>
      </c>
      <c r="Y29" s="313"/>
    </row>
    <row r="30" spans="1:25" hidden="1">
      <c r="A30" s="323" t="s">
        <v>240</v>
      </c>
      <c r="B30" s="135"/>
      <c r="C30" s="324" t="str">
        <f>'Level 1'!E30</f>
        <v>Torrey Pines</v>
      </c>
      <c r="D30" s="40" t="str">
        <f>'Level 1'!F30</f>
        <v>LS</v>
      </c>
      <c r="E30" s="38">
        <f>'Level 1'!G30</f>
        <v>1</v>
      </c>
      <c r="F30" s="51">
        <f>'Level 1'!H30</f>
        <v>2500</v>
      </c>
      <c r="G30" s="53">
        <f>'Level 1'!I30</f>
        <v>0</v>
      </c>
      <c r="H30" s="160">
        <f>'Level 1'!J30</f>
        <v>2500</v>
      </c>
      <c r="I30" s="67">
        <f>'Level 1'!K30</f>
        <v>2500</v>
      </c>
      <c r="J30" s="96"/>
      <c r="L30" s="324"/>
      <c r="M30" s="40"/>
      <c r="N30" s="38"/>
      <c r="O30" s="51"/>
      <c r="P30" s="53"/>
      <c r="Q30" s="160"/>
      <c r="R30" s="67">
        <v>5000</v>
      </c>
      <c r="S30" s="96"/>
      <c r="U30" s="296">
        <f t="shared" si="2"/>
        <v>-2500</v>
      </c>
      <c r="W30" s="297">
        <f t="shared" si="3"/>
        <v>-0.5</v>
      </c>
      <c r="Y30" s="313"/>
    </row>
    <row r="31" spans="1:25" hidden="1">
      <c r="A31" s="323" t="s">
        <v>243</v>
      </c>
      <c r="B31" s="135"/>
      <c r="C31" s="324" t="str">
        <f>'Level 1'!E31</f>
        <v>N/A</v>
      </c>
      <c r="D31" s="40">
        <f>'Level 1'!F31</f>
        <v>0</v>
      </c>
      <c r="E31" s="38">
        <f>'Level 1'!G31</f>
        <v>0</v>
      </c>
      <c r="F31" s="51">
        <f>'Level 1'!H31</f>
        <v>0</v>
      </c>
      <c r="G31" s="53">
        <f>'Level 1'!I31</f>
        <v>0</v>
      </c>
      <c r="H31" s="160">
        <f>'Level 1'!J31</f>
        <v>0</v>
      </c>
      <c r="I31" s="67">
        <f>'Level 1'!K31</f>
        <v>0</v>
      </c>
      <c r="J31" s="96"/>
      <c r="L31" s="324"/>
      <c r="M31" s="40"/>
      <c r="N31" s="38"/>
      <c r="O31" s="51"/>
      <c r="P31" s="53"/>
      <c r="Q31" s="160"/>
      <c r="R31" s="67">
        <v>0</v>
      </c>
      <c r="S31" s="96"/>
      <c r="U31" s="296">
        <f t="shared" si="2"/>
        <v>0</v>
      </c>
      <c r="W31" s="297">
        <f t="shared" si="3"/>
        <v>0</v>
      </c>
      <c r="Y31" s="313"/>
    </row>
    <row r="32" spans="1:25" hidden="1">
      <c r="A32" s="323" t="s">
        <v>248</v>
      </c>
      <c r="B32" s="135"/>
      <c r="C32" s="324" t="str">
        <f>'Level 1'!E32</f>
        <v>N/A</v>
      </c>
      <c r="D32" s="40">
        <f>'Level 1'!F32</f>
        <v>0</v>
      </c>
      <c r="E32" s="38">
        <f>'Level 1'!G32</f>
        <v>0</v>
      </c>
      <c r="F32" s="51">
        <f>'Level 1'!H32</f>
        <v>0</v>
      </c>
      <c r="G32" s="53">
        <f>'Level 1'!I32</f>
        <v>0</v>
      </c>
      <c r="H32" s="160">
        <f>'Level 1'!J32</f>
        <v>0</v>
      </c>
      <c r="I32" s="67">
        <f>'Level 1'!K32</f>
        <v>0</v>
      </c>
      <c r="J32" s="96"/>
      <c r="L32" s="324"/>
      <c r="M32" s="40"/>
      <c r="N32" s="38"/>
      <c r="O32" s="51"/>
      <c r="P32" s="53"/>
      <c r="Q32" s="160"/>
      <c r="R32" s="67">
        <v>0</v>
      </c>
      <c r="S32" s="96"/>
      <c r="U32" s="296">
        <f t="shared" si="2"/>
        <v>0</v>
      </c>
      <c r="W32" s="297">
        <f t="shared" si="3"/>
        <v>0</v>
      </c>
      <c r="Y32" s="313"/>
    </row>
    <row r="33" spans="1:25" hidden="1">
      <c r="A33" s="323" t="s">
        <v>252</v>
      </c>
      <c r="B33" s="135"/>
      <c r="C33" s="324" t="str">
        <f>'Level 1'!E33</f>
        <v>Torrey Pines</v>
      </c>
      <c r="D33" s="40" t="str">
        <f>'Level 1'!F33</f>
        <v>SF</v>
      </c>
      <c r="E33" s="38">
        <f>'Level 1'!G33</f>
        <v>256531</v>
      </c>
      <c r="F33" s="51">
        <f>'Level 1'!H33</f>
        <v>2.94</v>
      </c>
      <c r="G33" s="53">
        <f>'Level 1'!I33</f>
        <v>0</v>
      </c>
      <c r="H33" s="160">
        <f>'Level 1'!J33</f>
        <v>2.94</v>
      </c>
      <c r="I33" s="67">
        <f>'Level 1'!K33</f>
        <v>754201.14</v>
      </c>
      <c r="J33" s="96"/>
      <c r="L33" s="324"/>
      <c r="M33" s="40"/>
      <c r="N33" s="38"/>
      <c r="O33" s="51"/>
      <c r="P33" s="53"/>
      <c r="Q33" s="160"/>
      <c r="R33" s="67">
        <v>724351.4</v>
      </c>
      <c r="S33" s="96"/>
      <c r="U33" s="296">
        <f t="shared" si="2"/>
        <v>29849.739999999991</v>
      </c>
      <c r="W33" s="297">
        <f t="shared" si="3"/>
        <v>4.1208921526209502E-2</v>
      </c>
      <c r="Y33" s="313"/>
    </row>
    <row r="34" spans="1:25" hidden="1">
      <c r="A34" s="325" t="s">
        <v>256</v>
      </c>
      <c r="B34" s="135"/>
      <c r="C34" s="326" t="str">
        <f>'Level 1'!E34</f>
        <v>Torrey Pines</v>
      </c>
      <c r="D34" s="166" t="str">
        <f>'Level 1'!F34</f>
        <v>SF</v>
      </c>
      <c r="E34" s="39">
        <f>'Level 1'!G34</f>
        <v>3268</v>
      </c>
      <c r="F34" s="167">
        <f>'Level 1'!H34</f>
        <v>19.760000000000002</v>
      </c>
      <c r="G34" s="168">
        <f>'Level 1'!I34</f>
        <v>0</v>
      </c>
      <c r="H34" s="169">
        <f>'Level 1'!J34</f>
        <v>19.760000000000002</v>
      </c>
      <c r="I34" s="159">
        <f>'Level 1'!K34</f>
        <v>64575.680000000008</v>
      </c>
      <c r="J34" s="327"/>
      <c r="L34" s="326"/>
      <c r="M34" s="166"/>
      <c r="N34" s="39"/>
      <c r="O34" s="167"/>
      <c r="P34" s="168"/>
      <c r="Q34" s="169"/>
      <c r="R34" s="159">
        <v>235269.40000000002</v>
      </c>
      <c r="S34" s="327"/>
      <c r="U34" s="328">
        <f t="shared" si="2"/>
        <v>-170693.72000000003</v>
      </c>
      <c r="W34" s="329">
        <f t="shared" si="3"/>
        <v>-0.72552452635149323</v>
      </c>
      <c r="Y34" s="313" t="s">
        <v>1196</v>
      </c>
    </row>
    <row r="35" spans="1:25" hidden="1">
      <c r="A35" s="314" t="s">
        <v>259</v>
      </c>
      <c r="B35" s="135"/>
      <c r="C35" s="315"/>
      <c r="D35" s="151"/>
      <c r="E35" s="152"/>
      <c r="F35" s="153"/>
      <c r="G35" s="154"/>
      <c r="H35" s="155"/>
      <c r="I35" s="156"/>
      <c r="J35" s="316">
        <f>'[85]LEVEL 2 BUDGET'!L35</f>
        <v>0</v>
      </c>
      <c r="L35" s="315"/>
      <c r="M35" s="151"/>
      <c r="N35" s="152"/>
      <c r="O35" s="153"/>
      <c r="P35" s="154"/>
      <c r="Q35" s="155"/>
      <c r="R35" s="156"/>
      <c r="S35" s="316">
        <v>0</v>
      </c>
      <c r="U35" s="317">
        <f>J35-S35</f>
        <v>0</v>
      </c>
      <c r="W35" s="318">
        <f>IF(S35=0,0,U35/S35)</f>
        <v>0</v>
      </c>
      <c r="Y35" s="313"/>
    </row>
    <row r="36" spans="1:25" hidden="1">
      <c r="A36" s="321" t="s">
        <v>261</v>
      </c>
      <c r="B36" s="135"/>
      <c r="C36" s="322" t="s">
        <v>231</v>
      </c>
      <c r="D36" s="47">
        <f>'[85]LEVEL 2 BUDGET'!F36</f>
        <v>0</v>
      </c>
      <c r="E36" s="42">
        <f>'[85]LEVEL 2 BUDGET'!G36</f>
        <v>0</v>
      </c>
      <c r="F36" s="61">
        <f>'[85]LEVEL 2 BUDGET'!H36</f>
        <v>0</v>
      </c>
      <c r="G36" s="63">
        <f>'[85]LEVEL 2 BUDGET'!I36</f>
        <v>0</v>
      </c>
      <c r="H36" s="66">
        <f>'[85]LEVEL 2 BUDGET'!J36</f>
        <v>0</v>
      </c>
      <c r="I36" s="67">
        <f>'[85]LEVEL 2 BUDGET'!K36</f>
        <v>0</v>
      </c>
      <c r="J36" s="96"/>
      <c r="L36" s="322"/>
      <c r="M36" s="47"/>
      <c r="N36" s="42"/>
      <c r="O36" s="61"/>
      <c r="P36" s="63"/>
      <c r="Q36" s="66"/>
      <c r="R36" s="67">
        <v>0</v>
      </c>
      <c r="S36" s="96"/>
      <c r="U36" s="296">
        <f t="shared" si="2"/>
        <v>0</v>
      </c>
      <c r="W36" s="297">
        <f t="shared" ref="W36:W43" si="4">IF(R36=0,0,U36/R36)</f>
        <v>0</v>
      </c>
      <c r="Y36" s="313"/>
    </row>
    <row r="37" spans="1:25" hidden="1">
      <c r="A37" s="323" t="s">
        <v>262</v>
      </c>
      <c r="B37" s="135"/>
      <c r="C37" s="324" t="s">
        <v>231</v>
      </c>
      <c r="D37" s="40">
        <f>'[85]LEVEL 2 BUDGET'!F37</f>
        <v>0</v>
      </c>
      <c r="E37" s="38">
        <f>'[85]LEVEL 2 BUDGET'!G37</f>
        <v>0</v>
      </c>
      <c r="F37" s="51">
        <f>'[85]LEVEL 2 BUDGET'!H37</f>
        <v>0</v>
      </c>
      <c r="G37" s="53">
        <f>'[85]LEVEL 2 BUDGET'!I37</f>
        <v>0</v>
      </c>
      <c r="H37" s="160">
        <f>'[85]LEVEL 2 BUDGET'!J37</f>
        <v>0</v>
      </c>
      <c r="I37" s="67">
        <f>'[85]LEVEL 2 BUDGET'!K37</f>
        <v>0</v>
      </c>
      <c r="J37" s="96"/>
      <c r="L37" s="324"/>
      <c r="M37" s="40"/>
      <c r="N37" s="38"/>
      <c r="O37" s="51"/>
      <c r="P37" s="53"/>
      <c r="Q37" s="160"/>
      <c r="R37" s="67">
        <v>0</v>
      </c>
      <c r="S37" s="96"/>
      <c r="U37" s="296">
        <f t="shared" si="2"/>
        <v>0</v>
      </c>
      <c r="W37" s="297">
        <f t="shared" si="4"/>
        <v>0</v>
      </c>
      <c r="Y37" s="313"/>
    </row>
    <row r="38" spans="1:25" hidden="1">
      <c r="A38" s="323" t="s">
        <v>263</v>
      </c>
      <c r="B38" s="135"/>
      <c r="C38" s="324" t="s">
        <v>231</v>
      </c>
      <c r="D38" s="40">
        <f>'[85]LEVEL 2 BUDGET'!F38</f>
        <v>0</v>
      </c>
      <c r="E38" s="38">
        <f>'[85]LEVEL 2 BUDGET'!G38</f>
        <v>0</v>
      </c>
      <c r="F38" s="51">
        <f>'[85]LEVEL 2 BUDGET'!H38</f>
        <v>0</v>
      </c>
      <c r="G38" s="53">
        <f>'[85]LEVEL 2 BUDGET'!I38</f>
        <v>0</v>
      </c>
      <c r="H38" s="160">
        <f>'[85]LEVEL 2 BUDGET'!J38</f>
        <v>0</v>
      </c>
      <c r="I38" s="67">
        <f>'[85]LEVEL 2 BUDGET'!K38</f>
        <v>0</v>
      </c>
      <c r="J38" s="96"/>
      <c r="L38" s="324"/>
      <c r="M38" s="40"/>
      <c r="N38" s="38"/>
      <c r="O38" s="51"/>
      <c r="P38" s="53"/>
      <c r="Q38" s="160"/>
      <c r="R38" s="67">
        <v>0</v>
      </c>
      <c r="S38" s="96"/>
      <c r="U38" s="296">
        <f t="shared" si="2"/>
        <v>0</v>
      </c>
      <c r="W38" s="297">
        <f t="shared" si="4"/>
        <v>0</v>
      </c>
      <c r="Y38" s="313"/>
    </row>
    <row r="39" spans="1:25" hidden="1">
      <c r="A39" s="323" t="s">
        <v>264</v>
      </c>
      <c r="B39" s="135"/>
      <c r="C39" s="324" t="s">
        <v>231</v>
      </c>
      <c r="D39" s="40">
        <f>'[85]LEVEL 2 BUDGET'!F39</f>
        <v>0</v>
      </c>
      <c r="E39" s="38">
        <f>'[85]LEVEL 2 BUDGET'!G39</f>
        <v>0</v>
      </c>
      <c r="F39" s="51">
        <f>'[85]LEVEL 2 BUDGET'!H39</f>
        <v>0</v>
      </c>
      <c r="G39" s="53">
        <f>'[85]LEVEL 2 BUDGET'!I39</f>
        <v>0</v>
      </c>
      <c r="H39" s="160">
        <f>'[85]LEVEL 2 BUDGET'!J39</f>
        <v>0</v>
      </c>
      <c r="I39" s="67">
        <f>'[85]LEVEL 2 BUDGET'!K39</f>
        <v>0</v>
      </c>
      <c r="J39" s="96"/>
      <c r="L39" s="324"/>
      <c r="M39" s="40"/>
      <c r="N39" s="38"/>
      <c r="O39" s="51"/>
      <c r="P39" s="53"/>
      <c r="Q39" s="160"/>
      <c r="R39" s="67">
        <v>0</v>
      </c>
      <c r="S39" s="96"/>
      <c r="U39" s="296">
        <f t="shared" si="2"/>
        <v>0</v>
      </c>
      <c r="W39" s="297">
        <f t="shared" si="4"/>
        <v>0</v>
      </c>
      <c r="Y39" s="313"/>
    </row>
    <row r="40" spans="1:25" hidden="1">
      <c r="A40" s="323" t="s">
        <v>265</v>
      </c>
      <c r="B40" s="135"/>
      <c r="C40" s="324" t="s">
        <v>231</v>
      </c>
      <c r="D40" s="40">
        <f>'[85]LEVEL 2 BUDGET'!F40</f>
        <v>0</v>
      </c>
      <c r="E40" s="38">
        <f>'[85]LEVEL 2 BUDGET'!G40</f>
        <v>0</v>
      </c>
      <c r="F40" s="51">
        <f>'[85]LEVEL 2 BUDGET'!H40</f>
        <v>0</v>
      </c>
      <c r="G40" s="53">
        <f>'[85]LEVEL 2 BUDGET'!I40</f>
        <v>0</v>
      </c>
      <c r="H40" s="160">
        <f>'[85]LEVEL 2 BUDGET'!J40</f>
        <v>0</v>
      </c>
      <c r="I40" s="67">
        <f>'[85]LEVEL 2 BUDGET'!K40</f>
        <v>0</v>
      </c>
      <c r="J40" s="96"/>
      <c r="L40" s="324"/>
      <c r="M40" s="40"/>
      <c r="N40" s="38"/>
      <c r="O40" s="51"/>
      <c r="P40" s="53"/>
      <c r="Q40" s="160"/>
      <c r="R40" s="67">
        <v>0</v>
      </c>
      <c r="S40" s="96"/>
      <c r="U40" s="296">
        <f t="shared" si="2"/>
        <v>0</v>
      </c>
      <c r="W40" s="297">
        <f t="shared" si="4"/>
        <v>0</v>
      </c>
      <c r="Y40" s="313"/>
    </row>
    <row r="41" spans="1:25" hidden="1">
      <c r="A41" s="323" t="s">
        <v>266</v>
      </c>
      <c r="B41" s="135"/>
      <c r="C41" s="324" t="s">
        <v>231</v>
      </c>
      <c r="D41" s="40">
        <f>'[85]LEVEL 2 BUDGET'!F41</f>
        <v>0</v>
      </c>
      <c r="E41" s="38">
        <f>'[85]LEVEL 2 BUDGET'!G41</f>
        <v>0</v>
      </c>
      <c r="F41" s="51">
        <f>'[85]LEVEL 2 BUDGET'!H41</f>
        <v>0</v>
      </c>
      <c r="G41" s="53">
        <f>'[85]LEVEL 2 BUDGET'!I41</f>
        <v>0</v>
      </c>
      <c r="H41" s="160">
        <f>'[85]LEVEL 2 BUDGET'!J41</f>
        <v>0</v>
      </c>
      <c r="I41" s="67">
        <f>'[85]LEVEL 2 BUDGET'!K41</f>
        <v>0</v>
      </c>
      <c r="J41" s="96"/>
      <c r="L41" s="324"/>
      <c r="M41" s="40"/>
      <c r="N41" s="38"/>
      <c r="O41" s="51"/>
      <c r="P41" s="53"/>
      <c r="Q41" s="160"/>
      <c r="R41" s="67">
        <v>0</v>
      </c>
      <c r="S41" s="96"/>
      <c r="U41" s="296">
        <f t="shared" si="2"/>
        <v>0</v>
      </c>
      <c r="W41" s="297">
        <f t="shared" si="4"/>
        <v>0</v>
      </c>
      <c r="Y41" s="313"/>
    </row>
    <row r="42" spans="1:25" hidden="1">
      <c r="A42" s="323" t="s">
        <v>267</v>
      </c>
      <c r="B42" s="135"/>
      <c r="C42" s="324" t="s">
        <v>231</v>
      </c>
      <c r="D42" s="40">
        <f>'[85]LEVEL 2 BUDGET'!F42</f>
        <v>0</v>
      </c>
      <c r="E42" s="38">
        <f>'[85]LEVEL 2 BUDGET'!G42</f>
        <v>0</v>
      </c>
      <c r="F42" s="51">
        <f>'[85]LEVEL 2 BUDGET'!H42</f>
        <v>0</v>
      </c>
      <c r="G42" s="53">
        <f>'[85]LEVEL 2 BUDGET'!I42</f>
        <v>0</v>
      </c>
      <c r="H42" s="160">
        <f>'[85]LEVEL 2 BUDGET'!J42</f>
        <v>0</v>
      </c>
      <c r="I42" s="67">
        <f>'[85]LEVEL 2 BUDGET'!K42</f>
        <v>0</v>
      </c>
      <c r="J42" s="96"/>
      <c r="L42" s="324"/>
      <c r="M42" s="40"/>
      <c r="N42" s="38"/>
      <c r="O42" s="51"/>
      <c r="P42" s="53"/>
      <c r="Q42" s="160"/>
      <c r="R42" s="67">
        <v>0</v>
      </c>
      <c r="S42" s="96"/>
      <c r="U42" s="296">
        <f t="shared" si="2"/>
        <v>0</v>
      </c>
      <c r="W42" s="297">
        <f t="shared" si="4"/>
        <v>0</v>
      </c>
      <c r="Y42" s="313"/>
    </row>
    <row r="43" spans="1:25" hidden="1">
      <c r="A43" s="325" t="s">
        <v>268</v>
      </c>
      <c r="B43" s="135"/>
      <c r="C43" s="326" t="s">
        <v>231</v>
      </c>
      <c r="D43" s="166">
        <f>'[85]LEVEL 2 BUDGET'!F43</f>
        <v>0</v>
      </c>
      <c r="E43" s="39">
        <f>'[85]LEVEL 2 BUDGET'!G43</f>
        <v>0</v>
      </c>
      <c r="F43" s="167">
        <f>'[85]LEVEL 2 BUDGET'!H43</f>
        <v>0</v>
      </c>
      <c r="G43" s="168">
        <f>'[85]LEVEL 2 BUDGET'!I43</f>
        <v>0</v>
      </c>
      <c r="H43" s="169">
        <f>'[85]LEVEL 2 BUDGET'!J43</f>
        <v>0</v>
      </c>
      <c r="I43" s="159">
        <f>'[85]LEVEL 2 BUDGET'!K43</f>
        <v>0</v>
      </c>
      <c r="J43" s="96"/>
      <c r="L43" s="326"/>
      <c r="M43" s="166"/>
      <c r="N43" s="39"/>
      <c r="O43" s="167"/>
      <c r="P43" s="168"/>
      <c r="Q43" s="169"/>
      <c r="R43" s="159">
        <v>0</v>
      </c>
      <c r="S43" s="96"/>
      <c r="U43" s="296">
        <f t="shared" si="2"/>
        <v>0</v>
      </c>
      <c r="W43" s="297">
        <f t="shared" si="4"/>
        <v>0</v>
      </c>
      <c r="Y43" s="313"/>
    </row>
    <row r="44" spans="1:25" hidden="1">
      <c r="A44" s="314" t="s">
        <v>269</v>
      </c>
      <c r="B44" s="135"/>
      <c r="C44" s="315"/>
      <c r="D44" s="151"/>
      <c r="E44" s="152"/>
      <c r="F44" s="153"/>
      <c r="G44" s="154"/>
      <c r="H44" s="153"/>
      <c r="I44" s="172"/>
      <c r="J44" s="316">
        <f>'Level 1'!L44</f>
        <v>246800</v>
      </c>
      <c r="L44" s="315"/>
      <c r="M44" s="151"/>
      <c r="N44" s="152"/>
      <c r="O44" s="153"/>
      <c r="P44" s="154"/>
      <c r="Q44" s="153"/>
      <c r="R44" s="172"/>
      <c r="S44" s="316">
        <v>217200</v>
      </c>
      <c r="U44" s="317">
        <f>J44-S44</f>
        <v>29600</v>
      </c>
      <c r="W44" s="318">
        <f>IF(S44=0,0,U44/S44)</f>
        <v>0.13627992633517497</v>
      </c>
      <c r="Y44" s="313"/>
    </row>
    <row r="45" spans="1:25" hidden="1">
      <c r="A45" s="321" t="s">
        <v>271</v>
      </c>
      <c r="B45" s="135"/>
      <c r="C45" s="322" t="str">
        <f>'Level 1'!E45</f>
        <v>Torrey Pines</v>
      </c>
      <c r="D45" s="47" t="str">
        <f>'Level 1'!F45</f>
        <v>Per Stop</v>
      </c>
      <c r="E45" s="42">
        <f>'Level 1'!G45</f>
        <v>16</v>
      </c>
      <c r="F45" s="61">
        <f>'Level 1'!H45</f>
        <v>9500</v>
      </c>
      <c r="G45" s="63">
        <f>'Level 1'!I45</f>
        <v>0</v>
      </c>
      <c r="H45" s="66">
        <f>'Level 1'!J45</f>
        <v>9500</v>
      </c>
      <c r="I45" s="67">
        <f>'Level 1'!K45</f>
        <v>152000</v>
      </c>
      <c r="J45" s="96"/>
      <c r="L45" s="322"/>
      <c r="M45" s="47"/>
      <c r="N45" s="42"/>
      <c r="O45" s="61"/>
      <c r="P45" s="63"/>
      <c r="Q45" s="66"/>
      <c r="R45" s="67">
        <v>115500.00000000001</v>
      </c>
      <c r="S45" s="96"/>
      <c r="U45" s="296">
        <f t="shared" si="2"/>
        <v>36499.999999999985</v>
      </c>
      <c r="W45" s="297">
        <f t="shared" ref="W45:W49" si="5">IF(R45=0,0,U45/R45)</f>
        <v>0.31601731601731586</v>
      </c>
      <c r="Y45" s="313"/>
    </row>
    <row r="46" spans="1:25" hidden="1">
      <c r="A46" s="323" t="s">
        <v>275</v>
      </c>
      <c r="B46" s="135"/>
      <c r="C46" s="324" t="str">
        <f>'Level 1'!E46</f>
        <v>Torrey Pines</v>
      </c>
      <c r="D46" s="40" t="str">
        <f>'Level 1'!F46</f>
        <v>Count</v>
      </c>
      <c r="E46" s="38">
        <f>'Level 1'!G46</f>
        <v>14</v>
      </c>
      <c r="F46" s="51">
        <f>'Level 1'!H46</f>
        <v>5700</v>
      </c>
      <c r="G46" s="53">
        <f>'Level 1'!I46</f>
        <v>0</v>
      </c>
      <c r="H46" s="160">
        <f>'Level 1'!J46</f>
        <v>5700</v>
      </c>
      <c r="I46" s="67">
        <f>'Level 1'!K46</f>
        <v>79800</v>
      </c>
      <c r="J46" s="96"/>
      <c r="L46" s="324"/>
      <c r="M46" s="40"/>
      <c r="N46" s="38"/>
      <c r="O46" s="51"/>
      <c r="P46" s="53"/>
      <c r="Q46" s="160"/>
      <c r="R46" s="67">
        <v>90000</v>
      </c>
      <c r="S46" s="96"/>
      <c r="U46" s="296">
        <f t="shared" si="2"/>
        <v>-10200</v>
      </c>
      <c r="W46" s="297">
        <f t="shared" si="5"/>
        <v>-0.11333333333333333</v>
      </c>
      <c r="Y46" s="313"/>
    </row>
    <row r="47" spans="1:25" hidden="1">
      <c r="A47" s="323" t="s">
        <v>277</v>
      </c>
      <c r="B47" s="135"/>
      <c r="C47" s="324" t="str">
        <f>'Level 1'!E47</f>
        <v>N/A</v>
      </c>
      <c r="D47" s="40">
        <f>'Level 1'!F47</f>
        <v>0</v>
      </c>
      <c r="E47" s="38">
        <f>'Level 1'!G47</f>
        <v>0</v>
      </c>
      <c r="F47" s="51">
        <f>'Level 1'!H47</f>
        <v>0</v>
      </c>
      <c r="G47" s="53">
        <f>'Level 1'!I47</f>
        <v>0</v>
      </c>
      <c r="H47" s="160">
        <f>'Level 1'!J47</f>
        <v>0</v>
      </c>
      <c r="I47" s="67">
        <f>'Level 1'!K47</f>
        <v>0</v>
      </c>
      <c r="J47" s="96"/>
      <c r="L47" s="324"/>
      <c r="M47" s="40"/>
      <c r="N47" s="38"/>
      <c r="O47" s="51"/>
      <c r="P47" s="53"/>
      <c r="Q47" s="160"/>
      <c r="R47" s="67">
        <v>0</v>
      </c>
      <c r="S47" s="96"/>
      <c r="U47" s="296">
        <f t="shared" si="2"/>
        <v>0</v>
      </c>
      <c r="W47" s="297">
        <f t="shared" si="5"/>
        <v>0</v>
      </c>
      <c r="Y47" s="313"/>
    </row>
    <row r="48" spans="1:25" hidden="1">
      <c r="A48" s="323" t="s">
        <v>279</v>
      </c>
      <c r="B48" s="135"/>
      <c r="C48" s="324" t="str">
        <f>'Level 1'!E48</f>
        <v>Russell IV</v>
      </c>
      <c r="D48" s="40" t="str">
        <f>'Level 1'!F48</f>
        <v>LS</v>
      </c>
      <c r="E48" s="38">
        <f>'Level 1'!G48</f>
        <v>1</v>
      </c>
      <c r="F48" s="51">
        <f>'Level 1'!H48</f>
        <v>6000</v>
      </c>
      <c r="G48" s="53">
        <f>'Level 1'!I48</f>
        <v>0</v>
      </c>
      <c r="H48" s="160">
        <f>'Level 1'!J48</f>
        <v>6000</v>
      </c>
      <c r="I48" s="67">
        <f>'Level 1'!K48</f>
        <v>6000</v>
      </c>
      <c r="J48" s="96"/>
      <c r="L48" s="324"/>
      <c r="M48" s="40"/>
      <c r="N48" s="38"/>
      <c r="O48" s="51"/>
      <c r="P48" s="53"/>
      <c r="Q48" s="160"/>
      <c r="R48" s="67">
        <v>6000</v>
      </c>
      <c r="S48" s="96"/>
      <c r="U48" s="296">
        <f t="shared" si="2"/>
        <v>0</v>
      </c>
      <c r="W48" s="297">
        <f t="shared" si="5"/>
        <v>0</v>
      </c>
      <c r="Y48" s="313"/>
    </row>
    <row r="49" spans="1:25" hidden="1">
      <c r="A49" s="323" t="s">
        <v>281</v>
      </c>
      <c r="B49" s="135"/>
      <c r="C49" s="324" t="str">
        <f>'Level 1'!E49</f>
        <v>Torrey Pines</v>
      </c>
      <c r="D49" s="40" t="str">
        <f>'Level 1'!F49</f>
        <v>LS</v>
      </c>
      <c r="E49" s="38">
        <f>'Level 1'!G49</f>
        <v>1</v>
      </c>
      <c r="F49" s="51">
        <f>'Level 1'!H49</f>
        <v>9000</v>
      </c>
      <c r="G49" s="53">
        <f>'Level 1'!I49</f>
        <v>0</v>
      </c>
      <c r="H49" s="160">
        <f>'Level 1'!J49</f>
        <v>9000</v>
      </c>
      <c r="I49" s="67">
        <f>'Level 1'!K49</f>
        <v>9000</v>
      </c>
      <c r="J49" s="96"/>
      <c r="L49" s="324"/>
      <c r="M49" s="40"/>
      <c r="N49" s="38"/>
      <c r="O49" s="51"/>
      <c r="P49" s="53"/>
      <c r="Q49" s="160"/>
      <c r="R49" s="67">
        <v>5700</v>
      </c>
      <c r="S49" s="96"/>
      <c r="U49" s="296">
        <f t="shared" si="2"/>
        <v>3300</v>
      </c>
      <c r="W49" s="297">
        <f t="shared" si="5"/>
        <v>0.57894736842105265</v>
      </c>
      <c r="Y49" s="313"/>
    </row>
    <row r="50" spans="1:25" hidden="1">
      <c r="A50" s="314" t="s">
        <v>284</v>
      </c>
      <c r="B50" s="135"/>
      <c r="C50" s="315"/>
      <c r="D50" s="151"/>
      <c r="E50" s="152"/>
      <c r="F50" s="153"/>
      <c r="G50" s="154"/>
      <c r="H50" s="153"/>
      <c r="I50" s="172"/>
      <c r="J50" s="316">
        <f>'Level 1'!L50</f>
        <v>522166</v>
      </c>
      <c r="L50" s="315"/>
      <c r="M50" s="151"/>
      <c r="N50" s="152"/>
      <c r="O50" s="153"/>
      <c r="P50" s="154"/>
      <c r="Q50" s="153"/>
      <c r="R50" s="172"/>
      <c r="S50" s="316">
        <v>660950</v>
      </c>
      <c r="U50" s="317">
        <f>J50-S50</f>
        <v>-138784</v>
      </c>
      <c r="W50" s="318">
        <f>IF(S50=0,0,U50/S50)</f>
        <v>-0.20997654890687648</v>
      </c>
      <c r="Y50" s="313"/>
    </row>
    <row r="51" spans="1:25" hidden="1">
      <c r="A51" s="321" t="s">
        <v>286</v>
      </c>
      <c r="B51" s="135"/>
      <c r="C51" s="322" t="str">
        <f>'Level 1'!E51</f>
        <v>Allowance</v>
      </c>
      <c r="D51" s="47" t="str">
        <f>'Level 1'!F51</f>
        <v>LS</v>
      </c>
      <c r="E51" s="42">
        <f>'Level 1'!G51</f>
        <v>1</v>
      </c>
      <c r="F51" s="61">
        <f>'Level 1'!H51</f>
        <v>125000</v>
      </c>
      <c r="G51" s="63">
        <f>'Level 1'!I51</f>
        <v>0</v>
      </c>
      <c r="H51" s="66">
        <f>'Level 1'!J51</f>
        <v>125000</v>
      </c>
      <c r="I51" s="67">
        <f>'Level 1'!K51</f>
        <v>125000</v>
      </c>
      <c r="J51" s="96"/>
      <c r="L51" s="322"/>
      <c r="M51" s="47"/>
      <c r="N51" s="42"/>
      <c r="O51" s="61"/>
      <c r="P51" s="63"/>
      <c r="Q51" s="66"/>
      <c r="R51" s="67">
        <v>267000</v>
      </c>
      <c r="S51" s="96"/>
      <c r="U51" s="296">
        <f>I51-R51</f>
        <v>-142000</v>
      </c>
      <c r="W51" s="297">
        <f t="shared" ref="W51:W58" si="6">IF(R51=0,0,U51/R51)</f>
        <v>-0.53183520599250933</v>
      </c>
      <c r="Y51" s="313"/>
    </row>
    <row r="52" spans="1:25" hidden="1">
      <c r="A52" s="323" t="s">
        <v>289</v>
      </c>
      <c r="B52" s="135"/>
      <c r="C52" s="324" t="str">
        <f>'Level 1'!E52</f>
        <v>Torrey Pines</v>
      </c>
      <c r="D52" s="40" t="str">
        <f>'Level 1'!F52</f>
        <v>Count</v>
      </c>
      <c r="E52" s="38">
        <f>'Level 1'!G52</f>
        <v>6</v>
      </c>
      <c r="F52" s="51">
        <f>'Level 1'!H52</f>
        <v>4040</v>
      </c>
      <c r="G52" s="53">
        <f>'Level 1'!I52</f>
        <v>0</v>
      </c>
      <c r="H52" s="66">
        <f>'Level 1'!J52</f>
        <v>4040</v>
      </c>
      <c r="I52" s="67">
        <f>'Level 1'!K52</f>
        <v>24240</v>
      </c>
      <c r="J52" s="96"/>
      <c r="L52" s="324"/>
      <c r="M52" s="40"/>
      <c r="N52" s="38"/>
      <c r="O52" s="51"/>
      <c r="P52" s="53"/>
      <c r="Q52" s="66"/>
      <c r="R52" s="67">
        <v>24000</v>
      </c>
      <c r="S52" s="96"/>
      <c r="U52" s="296">
        <f t="shared" si="2"/>
        <v>240</v>
      </c>
      <c r="W52" s="297">
        <f t="shared" si="6"/>
        <v>0.01</v>
      </c>
      <c r="Y52" s="313" t="s">
        <v>1197</v>
      </c>
    </row>
    <row r="53" spans="1:25" hidden="1">
      <c r="A53" s="323" t="s">
        <v>291</v>
      </c>
      <c r="B53" s="135"/>
      <c r="C53" s="324" t="str">
        <f>'Level 1'!E53</f>
        <v>Torrey Pines</v>
      </c>
      <c r="D53" s="40" t="str">
        <f>'Level 1'!F53</f>
        <v xml:space="preserve">Per Level </v>
      </c>
      <c r="E53" s="38">
        <f>'Level 1'!G53</f>
        <v>60</v>
      </c>
      <c r="F53" s="51">
        <f>'Level 1'!H53</f>
        <v>2000</v>
      </c>
      <c r="G53" s="53">
        <f>'Level 1'!I53</f>
        <v>0</v>
      </c>
      <c r="H53" s="66">
        <f>'Level 1'!J53</f>
        <v>2000</v>
      </c>
      <c r="I53" s="67">
        <f>'Level 1'!K53</f>
        <v>120000</v>
      </c>
      <c r="J53" s="96"/>
      <c r="L53" s="324"/>
      <c r="M53" s="40"/>
      <c r="N53" s="38"/>
      <c r="O53" s="51"/>
      <c r="P53" s="53"/>
      <c r="Q53" s="66"/>
      <c r="R53" s="67">
        <v>188000</v>
      </c>
      <c r="S53" s="96"/>
      <c r="U53" s="296">
        <f t="shared" si="2"/>
        <v>-68000</v>
      </c>
      <c r="W53" s="297">
        <f t="shared" si="6"/>
        <v>-0.36170212765957449</v>
      </c>
      <c r="Y53" s="313" t="s">
        <v>1197</v>
      </c>
    </row>
    <row r="54" spans="1:25" hidden="1">
      <c r="A54" s="323" t="s">
        <v>293</v>
      </c>
      <c r="B54" s="135"/>
      <c r="C54" s="324" t="str">
        <f>'Level 1'!E54</f>
        <v>N/A</v>
      </c>
      <c r="D54" s="40">
        <f>'Level 1'!F54</f>
        <v>0</v>
      </c>
      <c r="E54" s="38">
        <f>'Level 1'!G54</f>
        <v>0</v>
      </c>
      <c r="F54" s="51">
        <f>'Level 1'!H54</f>
        <v>0</v>
      </c>
      <c r="G54" s="53">
        <f>'Level 1'!I54</f>
        <v>0</v>
      </c>
      <c r="H54" s="66">
        <f>'Level 1'!J54</f>
        <v>0</v>
      </c>
      <c r="I54" s="67">
        <f>'Level 1'!K54</f>
        <v>0</v>
      </c>
      <c r="J54" s="96"/>
      <c r="L54" s="324"/>
      <c r="M54" s="40"/>
      <c r="N54" s="38"/>
      <c r="O54" s="51"/>
      <c r="P54" s="53"/>
      <c r="Q54" s="66"/>
      <c r="R54" s="67">
        <v>0</v>
      </c>
      <c r="S54" s="96"/>
      <c r="U54" s="296">
        <f t="shared" si="2"/>
        <v>0</v>
      </c>
      <c r="W54" s="297">
        <f t="shared" si="6"/>
        <v>0</v>
      </c>
      <c r="Y54" s="313"/>
    </row>
    <row r="55" spans="1:25" hidden="1">
      <c r="A55" s="323" t="s">
        <v>294</v>
      </c>
      <c r="B55" s="135"/>
      <c r="C55" s="324" t="str">
        <f>'Level 1'!E55</f>
        <v>N/A</v>
      </c>
      <c r="D55" s="40">
        <f>'Level 1'!F55</f>
        <v>0</v>
      </c>
      <c r="E55" s="38">
        <f>'Level 1'!G55</f>
        <v>0</v>
      </c>
      <c r="F55" s="51">
        <f>'Level 1'!H55</f>
        <v>0</v>
      </c>
      <c r="G55" s="53">
        <f>'Level 1'!I55</f>
        <v>0</v>
      </c>
      <c r="H55" s="66">
        <f>'Level 1'!J55</f>
        <v>0</v>
      </c>
      <c r="I55" s="67">
        <f>'Level 1'!K55</f>
        <v>0</v>
      </c>
      <c r="J55" s="96"/>
      <c r="L55" s="324"/>
      <c r="M55" s="40"/>
      <c r="N55" s="38"/>
      <c r="O55" s="51"/>
      <c r="P55" s="53"/>
      <c r="Q55" s="66"/>
      <c r="R55" s="67">
        <v>0</v>
      </c>
      <c r="S55" s="96"/>
      <c r="U55" s="296">
        <f t="shared" si="2"/>
        <v>0</v>
      </c>
      <c r="W55" s="297">
        <f t="shared" si="6"/>
        <v>0</v>
      </c>
      <c r="Y55" s="313"/>
    </row>
    <row r="56" spans="1:25" hidden="1">
      <c r="A56" s="323" t="s">
        <v>296</v>
      </c>
      <c r="B56" s="135"/>
      <c r="C56" s="324" t="str">
        <f>'Level 1'!E56</f>
        <v>Torrey Pines</v>
      </c>
      <c r="D56" s="40" t="str">
        <f>'Level 1'!F56</f>
        <v>Count</v>
      </c>
      <c r="E56" s="38">
        <f>'Level 1'!G56</f>
        <v>1</v>
      </c>
      <c r="F56" s="51">
        <f>'Level 1'!H56</f>
        <v>1950</v>
      </c>
      <c r="G56" s="53">
        <f>'Level 1'!I56</f>
        <v>0</v>
      </c>
      <c r="H56" s="66">
        <f>'Level 1'!J56</f>
        <v>1950</v>
      </c>
      <c r="I56" s="67">
        <f>'Level 1'!K56</f>
        <v>1950</v>
      </c>
      <c r="J56" s="96"/>
      <c r="L56" s="324"/>
      <c r="M56" s="40"/>
      <c r="N56" s="38"/>
      <c r="O56" s="51"/>
      <c r="P56" s="53"/>
      <c r="Q56" s="66"/>
      <c r="R56" s="67">
        <v>1950</v>
      </c>
      <c r="S56" s="96"/>
      <c r="U56" s="296">
        <f t="shared" si="2"/>
        <v>0</v>
      </c>
      <c r="W56" s="297">
        <f t="shared" si="6"/>
        <v>0</v>
      </c>
      <c r="Y56" s="313"/>
    </row>
    <row r="57" spans="1:25" hidden="1">
      <c r="A57" s="323" t="s">
        <v>298</v>
      </c>
      <c r="B57" s="135"/>
      <c r="C57" s="324" t="str">
        <f>'Level 1'!E57</f>
        <v>Torrey Pines</v>
      </c>
      <c r="D57" s="40" t="str">
        <f>'Level 1'!F57</f>
        <v>LF</v>
      </c>
      <c r="E57" s="38">
        <f>'Level 1'!G57</f>
        <v>2728</v>
      </c>
      <c r="F57" s="51">
        <f>'Level 1'!H57</f>
        <v>92</v>
      </c>
      <c r="G57" s="53">
        <f>'Level 1'!I57</f>
        <v>0</v>
      </c>
      <c r="H57" s="66">
        <f>'Level 1'!J57</f>
        <v>92</v>
      </c>
      <c r="I57" s="67">
        <f>'Level 1'!K57</f>
        <v>250976</v>
      </c>
      <c r="J57" s="96"/>
      <c r="L57" s="324"/>
      <c r="M57" s="40"/>
      <c r="N57" s="38"/>
      <c r="O57" s="51"/>
      <c r="P57" s="53"/>
      <c r="Q57" s="66"/>
      <c r="R57" s="67">
        <v>180000</v>
      </c>
      <c r="S57" s="96"/>
      <c r="U57" s="296">
        <f t="shared" si="2"/>
        <v>70976</v>
      </c>
      <c r="W57" s="297">
        <f t="shared" si="6"/>
        <v>0.39431111111111111</v>
      </c>
      <c r="Y57" s="313" t="s">
        <v>1197</v>
      </c>
    </row>
    <row r="58" spans="1:25" hidden="1">
      <c r="A58" s="323" t="s">
        <v>301</v>
      </c>
      <c r="B58" s="135"/>
      <c r="C58" s="324" t="str">
        <f>'Level 1'!E58</f>
        <v>N/A</v>
      </c>
      <c r="D58" s="40">
        <f>'Level 1'!F58</f>
        <v>0</v>
      </c>
      <c r="E58" s="38">
        <f>'Level 1'!G58</f>
        <v>0</v>
      </c>
      <c r="F58" s="51">
        <f>'Level 1'!H58</f>
        <v>0</v>
      </c>
      <c r="G58" s="53">
        <f>'Level 1'!I58</f>
        <v>0</v>
      </c>
      <c r="H58" s="66">
        <f>'Level 1'!J58</f>
        <v>0</v>
      </c>
      <c r="I58" s="67">
        <f>'Level 1'!K58</f>
        <v>0</v>
      </c>
      <c r="J58" s="96"/>
      <c r="L58" s="324"/>
      <c r="M58" s="40"/>
      <c r="N58" s="38"/>
      <c r="O58" s="51"/>
      <c r="P58" s="53"/>
      <c r="Q58" s="66"/>
      <c r="R58" s="67">
        <v>0</v>
      </c>
      <c r="S58" s="96"/>
      <c r="U58" s="296">
        <f t="shared" si="2"/>
        <v>0</v>
      </c>
      <c r="W58" s="297">
        <f t="shared" si="6"/>
        <v>0</v>
      </c>
      <c r="Y58" s="313"/>
    </row>
    <row r="59" spans="1:25" hidden="1">
      <c r="A59" s="314" t="s">
        <v>305</v>
      </c>
      <c r="B59" s="135"/>
      <c r="C59" s="315"/>
      <c r="D59" s="151"/>
      <c r="E59" s="152"/>
      <c r="F59" s="153"/>
      <c r="G59" s="154"/>
      <c r="H59" s="153"/>
      <c r="I59" s="172"/>
      <c r="J59" s="316">
        <f>'Level 1'!L59</f>
        <v>10820813.286106404</v>
      </c>
      <c r="L59" s="315"/>
      <c r="M59" s="151"/>
      <c r="N59" s="152"/>
      <c r="O59" s="153"/>
      <c r="P59" s="154"/>
      <c r="Q59" s="153"/>
      <c r="R59" s="172"/>
      <c r="S59" s="316">
        <v>12091877.93</v>
      </c>
      <c r="U59" s="317">
        <f>J59-S59</f>
        <v>-1271064.6438935958</v>
      </c>
      <c r="W59" s="318">
        <f>IF(S59=0,0,U59/S59)</f>
        <v>-0.10511722424356262</v>
      </c>
      <c r="Y59" s="313"/>
    </row>
    <row r="60" spans="1:25" hidden="1">
      <c r="A60" s="321" t="s">
        <v>307</v>
      </c>
      <c r="B60" s="135"/>
      <c r="C60" s="322">
        <f>'Level 1'!E60</f>
        <v>0</v>
      </c>
      <c r="D60" s="47">
        <f>'Level 1'!F60</f>
        <v>0</v>
      </c>
      <c r="E60" s="42">
        <f>'Level 1'!G60</f>
        <v>0</v>
      </c>
      <c r="F60" s="61">
        <f>'Level 1'!H60</f>
        <v>79</v>
      </c>
      <c r="G60" s="63">
        <f>'Level 1'!I60</f>
        <v>0</v>
      </c>
      <c r="H60" s="66">
        <f>'Level 1'!J60</f>
        <v>79</v>
      </c>
      <c r="I60" s="67">
        <f>'Level 1'!K60</f>
        <v>0</v>
      </c>
      <c r="J60" s="96"/>
      <c r="L60" s="322"/>
      <c r="M60" s="47"/>
      <c r="N60" s="42"/>
      <c r="O60" s="61"/>
      <c r="P60" s="63"/>
      <c r="Q60" s="66"/>
      <c r="R60" s="67">
        <v>30731</v>
      </c>
      <c r="S60" s="96"/>
      <c r="U60" s="296">
        <f>I60-R60</f>
        <v>-30731</v>
      </c>
      <c r="W60" s="297">
        <f>IF(R60=0,0,U60/R60)</f>
        <v>-1</v>
      </c>
      <c r="Y60" s="313"/>
    </row>
    <row r="61" spans="1:25" hidden="1">
      <c r="A61" s="323" t="s">
        <v>310</v>
      </c>
      <c r="B61" s="135"/>
      <c r="C61" s="324" t="str">
        <f>'Level 1'!E61</f>
        <v>See Note</v>
      </c>
      <c r="D61" s="40" t="str">
        <f>'Level 1'!F61</f>
        <v>SF</v>
      </c>
      <c r="E61" s="38">
        <f>'Level 1'!G61</f>
        <v>431911</v>
      </c>
      <c r="F61" s="51">
        <f>'Level 1'!H61</f>
        <v>20.96</v>
      </c>
      <c r="G61" s="53">
        <f>'Level 1'!I61</f>
        <v>0</v>
      </c>
      <c r="H61" s="66">
        <f>'Level 1'!J61</f>
        <v>20.96</v>
      </c>
      <c r="I61" s="67">
        <f>'Level 1'!K61</f>
        <v>9052854.5600000005</v>
      </c>
      <c r="J61" s="96"/>
      <c r="L61" s="324"/>
      <c r="M61" s="40"/>
      <c r="N61" s="38"/>
      <c r="O61" s="61">
        <v>19.45</v>
      </c>
      <c r="P61" s="63">
        <v>0.20549999999999999</v>
      </c>
      <c r="Q61" s="66">
        <f>O61*(1+P61)</f>
        <v>23.446974999999998</v>
      </c>
      <c r="R61" s="67">
        <v>10051350.049999999</v>
      </c>
      <c r="S61" s="96"/>
      <c r="U61" s="296">
        <f t="shared" si="2"/>
        <v>-998495.48999999836</v>
      </c>
      <c r="W61" s="297">
        <f t="shared" ref="W61:W71" si="7">IF(R61=0,0,U61/R61)</f>
        <v>-9.9339440476456042E-2</v>
      </c>
      <c r="Y61" s="313" t="s">
        <v>1198</v>
      </c>
    </row>
    <row r="62" spans="1:25" hidden="1">
      <c r="A62" s="323" t="s">
        <v>314</v>
      </c>
      <c r="B62" s="135"/>
      <c r="C62" s="324" t="str">
        <f>'Level 1'!E62</f>
        <v>N/A</v>
      </c>
      <c r="D62" s="40">
        <f>'Level 1'!F62</f>
        <v>0</v>
      </c>
      <c r="E62" s="38">
        <f>'Level 1'!G62</f>
        <v>0</v>
      </c>
      <c r="F62" s="51">
        <f>'Level 1'!H62</f>
        <v>0</v>
      </c>
      <c r="G62" s="53">
        <f>'Level 1'!I62</f>
        <v>0</v>
      </c>
      <c r="H62" s="66">
        <f>'Level 1'!J62</f>
        <v>0</v>
      </c>
      <c r="I62" s="67">
        <f>'Level 1'!K62</f>
        <v>0</v>
      </c>
      <c r="J62" s="96"/>
      <c r="L62" s="324"/>
      <c r="M62" s="40"/>
      <c r="N62" s="38"/>
      <c r="O62" s="51"/>
      <c r="P62" s="53"/>
      <c r="Q62" s="66"/>
      <c r="R62" s="67">
        <v>0</v>
      </c>
      <c r="S62" s="96"/>
      <c r="U62" s="296">
        <f t="shared" si="2"/>
        <v>0</v>
      </c>
      <c r="W62" s="297">
        <f t="shared" si="7"/>
        <v>0</v>
      </c>
      <c r="Y62" s="313"/>
    </row>
    <row r="63" spans="1:25" hidden="1">
      <c r="A63" s="323" t="s">
        <v>315</v>
      </c>
      <c r="B63" s="135"/>
      <c r="C63" s="324" t="str">
        <f>'Level 1'!E63</f>
        <v>N/A</v>
      </c>
      <c r="D63" s="40">
        <f>'Level 1'!F63</f>
        <v>0</v>
      </c>
      <c r="E63" s="38">
        <f>'Level 1'!G63</f>
        <v>0</v>
      </c>
      <c r="F63" s="51">
        <f>'Level 1'!H63</f>
        <v>0</v>
      </c>
      <c r="G63" s="53">
        <f>'Level 1'!I63</f>
        <v>0</v>
      </c>
      <c r="H63" s="66">
        <f>'Level 1'!J63</f>
        <v>0</v>
      </c>
      <c r="I63" s="67">
        <f>'Level 1'!K63</f>
        <v>0</v>
      </c>
      <c r="J63" s="96"/>
      <c r="L63" s="324"/>
      <c r="M63" s="40"/>
      <c r="N63" s="38"/>
      <c r="O63" s="51"/>
      <c r="P63" s="53"/>
      <c r="Q63" s="66"/>
      <c r="R63" s="67">
        <v>0</v>
      </c>
      <c r="S63" s="96"/>
      <c r="U63" s="296">
        <f t="shared" si="2"/>
        <v>0</v>
      </c>
      <c r="W63" s="297">
        <f t="shared" si="7"/>
        <v>0</v>
      </c>
      <c r="Y63" s="313"/>
    </row>
    <row r="64" spans="1:25" hidden="1">
      <c r="A64" s="323" t="s">
        <v>317</v>
      </c>
      <c r="B64" s="135"/>
      <c r="C64" s="324" t="str">
        <f>'Level 1'!E64</f>
        <v>Allowance</v>
      </c>
      <c r="D64" s="40" t="str">
        <f>'Level 1'!F64</f>
        <v>LS</v>
      </c>
      <c r="E64" s="38">
        <f>'Level 1'!G64</f>
        <v>6</v>
      </c>
      <c r="F64" s="51">
        <f>'Level 1'!H64</f>
        <v>2500</v>
      </c>
      <c r="G64" s="53">
        <f>'Level 1'!I64</f>
        <v>0</v>
      </c>
      <c r="H64" s="66">
        <f>'Level 1'!J64</f>
        <v>2500</v>
      </c>
      <c r="I64" s="67">
        <f>'Level 1'!K64</f>
        <v>15000</v>
      </c>
      <c r="J64" s="96"/>
      <c r="L64" s="324"/>
      <c r="M64" s="40"/>
      <c r="N64" s="38"/>
      <c r="O64" s="51"/>
      <c r="P64" s="53"/>
      <c r="Q64" s="66"/>
      <c r="R64" s="67">
        <v>2810</v>
      </c>
      <c r="S64" s="96"/>
      <c r="U64" s="296">
        <f t="shared" si="2"/>
        <v>12190</v>
      </c>
      <c r="W64" s="297">
        <f t="shared" si="7"/>
        <v>4.3380782918149468</v>
      </c>
      <c r="Y64" s="313"/>
    </row>
    <row r="65" spans="1:25" hidden="1">
      <c r="A65" s="323" t="s">
        <v>319</v>
      </c>
      <c r="B65" s="135"/>
      <c r="C65" s="324" t="str">
        <f>'Level 1'!E65</f>
        <v>N/A</v>
      </c>
      <c r="D65" s="40">
        <f>'Level 1'!F65</f>
        <v>0</v>
      </c>
      <c r="E65" s="38">
        <f>'Level 1'!G65</f>
        <v>0</v>
      </c>
      <c r="F65" s="51">
        <f>'Level 1'!H65</f>
        <v>0</v>
      </c>
      <c r="G65" s="53">
        <f>'Level 1'!I65</f>
        <v>0</v>
      </c>
      <c r="H65" s="66">
        <f>'Level 1'!J65</f>
        <v>0</v>
      </c>
      <c r="I65" s="67">
        <f>'Level 1'!K65</f>
        <v>0</v>
      </c>
      <c r="J65" s="96"/>
      <c r="L65" s="324"/>
      <c r="M65" s="40"/>
      <c r="N65" s="38"/>
      <c r="O65" s="51"/>
      <c r="P65" s="53"/>
      <c r="Q65" s="66"/>
      <c r="R65" s="67">
        <v>0</v>
      </c>
      <c r="S65" s="96"/>
      <c r="U65" s="296">
        <f t="shared" si="2"/>
        <v>0</v>
      </c>
      <c r="W65" s="297">
        <f t="shared" si="7"/>
        <v>0</v>
      </c>
      <c r="Y65" s="313"/>
    </row>
    <row r="66" spans="1:25" hidden="1">
      <c r="A66" s="323" t="s">
        <v>321</v>
      </c>
      <c r="B66" s="135"/>
      <c r="C66" s="324" t="str">
        <f>'Level 1'!E66</f>
        <v>N/A</v>
      </c>
      <c r="D66" s="40">
        <f>'Level 1'!F66</f>
        <v>0</v>
      </c>
      <c r="E66" s="38">
        <f>'Level 1'!G66</f>
        <v>0</v>
      </c>
      <c r="F66" s="51">
        <f>'Level 1'!H66</f>
        <v>0</v>
      </c>
      <c r="G66" s="53">
        <f>'Level 1'!I66</f>
        <v>0</v>
      </c>
      <c r="H66" s="66">
        <f>'Level 1'!J66</f>
        <v>0</v>
      </c>
      <c r="I66" s="67">
        <f>'Level 1'!K66</f>
        <v>0</v>
      </c>
      <c r="J66" s="96"/>
      <c r="L66" s="324"/>
      <c r="M66" s="40"/>
      <c r="N66" s="38"/>
      <c r="O66" s="51"/>
      <c r="P66" s="53"/>
      <c r="Q66" s="66"/>
      <c r="R66" s="67">
        <v>0</v>
      </c>
      <c r="S66" s="96"/>
      <c r="U66" s="296">
        <f t="shared" si="2"/>
        <v>0</v>
      </c>
      <c r="W66" s="297">
        <f t="shared" si="7"/>
        <v>0</v>
      </c>
      <c r="Y66" s="313"/>
    </row>
    <row r="67" spans="1:25" hidden="1">
      <c r="A67" s="323" t="s">
        <v>323</v>
      </c>
      <c r="B67" s="135"/>
      <c r="C67" s="324" t="str">
        <f>'Level 1'!E67</f>
        <v>N/A</v>
      </c>
      <c r="D67" s="40">
        <f>'Level 1'!F67</f>
        <v>0</v>
      </c>
      <c r="E67" s="38">
        <f>'Level 1'!G67</f>
        <v>0</v>
      </c>
      <c r="F67" s="51">
        <f>'Level 1'!H67</f>
        <v>0</v>
      </c>
      <c r="G67" s="53">
        <f>'Level 1'!I67</f>
        <v>0</v>
      </c>
      <c r="H67" s="66">
        <f>'Level 1'!J67</f>
        <v>0</v>
      </c>
      <c r="I67" s="67">
        <f>'Level 1'!K67</f>
        <v>0</v>
      </c>
      <c r="J67" s="96"/>
      <c r="L67" s="324"/>
      <c r="M67" s="40"/>
      <c r="N67" s="38"/>
      <c r="O67" s="51"/>
      <c r="P67" s="53"/>
      <c r="Q67" s="66"/>
      <c r="R67" s="67">
        <v>0</v>
      </c>
      <c r="S67" s="96"/>
      <c r="U67" s="296">
        <f t="shared" si="2"/>
        <v>0</v>
      </c>
      <c r="W67" s="297">
        <f t="shared" si="7"/>
        <v>0</v>
      </c>
      <c r="Y67" s="313"/>
    </row>
    <row r="68" spans="1:25" hidden="1">
      <c r="A68" s="330" t="s">
        <v>324</v>
      </c>
      <c r="B68" s="135"/>
      <c r="C68" s="324" t="str">
        <f>'Level 1'!E68</f>
        <v>Torrey Pines</v>
      </c>
      <c r="D68" s="40" t="str">
        <f>'Level 1'!F68</f>
        <v>LSF</v>
      </c>
      <c r="E68" s="38">
        <f>'Level 1'!G68</f>
        <v>332276</v>
      </c>
      <c r="F68" s="51">
        <f>'Level 1'!H68</f>
        <v>4.3044536538980118</v>
      </c>
      <c r="G68" s="53">
        <f>'Level 1'!I68</f>
        <v>0</v>
      </c>
      <c r="H68" s="66">
        <f>'Level 1'!J68</f>
        <v>4.3044536538980118</v>
      </c>
      <c r="I68" s="67">
        <f>'Level 1'!K68</f>
        <v>1430266.6423026158</v>
      </c>
      <c r="J68" s="96"/>
      <c r="L68" s="324"/>
      <c r="M68" s="40"/>
      <c r="N68" s="38"/>
      <c r="O68" s="51"/>
      <c r="P68" s="53"/>
      <c r="Q68" s="66"/>
      <c r="R68" s="67">
        <v>1525891.4000000001</v>
      </c>
      <c r="S68" s="96"/>
      <c r="U68" s="296">
        <f t="shared" si="2"/>
        <v>-95624.757697384339</v>
      </c>
      <c r="W68" s="297">
        <f t="shared" si="7"/>
        <v>-6.2668128083941177E-2</v>
      </c>
      <c r="Y68" s="313" t="s">
        <v>1199</v>
      </c>
    </row>
    <row r="69" spans="1:25" hidden="1">
      <c r="A69" s="323" t="s">
        <v>328</v>
      </c>
      <c r="B69" s="135"/>
      <c r="C69" s="324" t="str">
        <f>'Level 1'!E69</f>
        <v>Torrey Pines</v>
      </c>
      <c r="D69" s="40" t="str">
        <f>'Level 1'!F69</f>
        <v>Common SF</v>
      </c>
      <c r="E69" s="38">
        <f>'Level 1'!G69</f>
        <v>99635</v>
      </c>
      <c r="F69" s="51">
        <f>'Level 1'!H69</f>
        <v>3.1664784845063356</v>
      </c>
      <c r="G69" s="53">
        <f>'Level 1'!I69</f>
        <v>0</v>
      </c>
      <c r="H69" s="66">
        <f>'Level 1'!J69</f>
        <v>3.1664784845063356</v>
      </c>
      <c r="I69" s="67">
        <f>'Level 1'!K69</f>
        <v>315492.08380378876</v>
      </c>
      <c r="J69" s="96"/>
      <c r="L69" s="324"/>
      <c r="M69" s="40"/>
      <c r="N69" s="38"/>
      <c r="O69" s="51"/>
      <c r="P69" s="53"/>
      <c r="Q69" s="66"/>
      <c r="R69" s="67">
        <v>480064.48000000004</v>
      </c>
      <c r="S69" s="96"/>
      <c r="U69" s="296">
        <f t="shared" si="2"/>
        <v>-164572.39619621128</v>
      </c>
      <c r="W69" s="297">
        <f t="shared" si="7"/>
        <v>-0.34281310751466398</v>
      </c>
      <c r="Y69" s="313" t="s">
        <v>1200</v>
      </c>
    </row>
    <row r="70" spans="1:25" hidden="1">
      <c r="A70" s="323" t="s">
        <v>331</v>
      </c>
      <c r="B70" s="135"/>
      <c r="C70" s="324" t="str">
        <f>'Level 1'!E70</f>
        <v>Allowance</v>
      </c>
      <c r="D70" s="40" t="str">
        <f>'Level 1'!F70</f>
        <v>LS</v>
      </c>
      <c r="E70" s="38">
        <f>'Level 1'!G70</f>
        <v>6</v>
      </c>
      <c r="F70" s="51">
        <f>'Level 1'!H70</f>
        <v>1200</v>
      </c>
      <c r="G70" s="53">
        <f>'Level 1'!I70</f>
        <v>0</v>
      </c>
      <c r="H70" s="66">
        <f>'Level 1'!J70</f>
        <v>1200</v>
      </c>
      <c r="I70" s="67">
        <f>'Level 1'!K70</f>
        <v>7200</v>
      </c>
      <c r="J70" s="96"/>
      <c r="L70" s="324"/>
      <c r="M70" s="40"/>
      <c r="N70" s="38"/>
      <c r="O70" s="51"/>
      <c r="P70" s="53"/>
      <c r="Q70" s="66"/>
      <c r="R70" s="67">
        <v>1031</v>
      </c>
      <c r="S70" s="96"/>
      <c r="U70" s="296">
        <f t="shared" si="2"/>
        <v>6169</v>
      </c>
      <c r="W70" s="297">
        <f t="shared" si="7"/>
        <v>5.9835111542192045</v>
      </c>
      <c r="Y70" s="313"/>
    </row>
    <row r="71" spans="1:25" hidden="1">
      <c r="A71" s="323" t="s">
        <v>333</v>
      </c>
      <c r="B71" s="135"/>
      <c r="C71" s="324" t="str">
        <f>'Level 1'!E71</f>
        <v>N/A</v>
      </c>
      <c r="D71" s="40">
        <f>'Level 1'!F71</f>
        <v>0</v>
      </c>
      <c r="E71" s="38">
        <f>'Level 1'!G71</f>
        <v>0</v>
      </c>
      <c r="F71" s="51">
        <f>'Level 1'!H71</f>
        <v>0</v>
      </c>
      <c r="G71" s="53">
        <f>'Level 1'!I71</f>
        <v>0</v>
      </c>
      <c r="H71" s="66">
        <f>'Level 1'!J71</f>
        <v>0</v>
      </c>
      <c r="I71" s="67">
        <f>'Level 1'!K71</f>
        <v>0</v>
      </c>
      <c r="J71" s="96"/>
      <c r="L71" s="324"/>
      <c r="M71" s="40"/>
      <c r="N71" s="38"/>
      <c r="O71" s="51"/>
      <c r="P71" s="53"/>
      <c r="Q71" s="66"/>
      <c r="R71" s="67">
        <v>0</v>
      </c>
      <c r="S71" s="96"/>
      <c r="U71" s="296">
        <f t="shared" si="2"/>
        <v>0</v>
      </c>
      <c r="W71" s="297">
        <f t="shared" si="7"/>
        <v>0</v>
      </c>
      <c r="Y71" s="313"/>
    </row>
    <row r="72" spans="1:25" hidden="1">
      <c r="A72" s="314" t="s">
        <v>335</v>
      </c>
      <c r="B72" s="135"/>
      <c r="C72" s="315"/>
      <c r="D72" s="151"/>
      <c r="E72" s="152"/>
      <c r="F72" s="153"/>
      <c r="G72" s="154"/>
      <c r="H72" s="153"/>
      <c r="I72" s="172"/>
      <c r="J72" s="316">
        <f>'Level 1'!L72</f>
        <v>2429272.5699999998</v>
      </c>
      <c r="L72" s="315"/>
      <c r="M72" s="151"/>
      <c r="N72" s="152"/>
      <c r="O72" s="153"/>
      <c r="P72" s="154"/>
      <c r="Q72" s="153"/>
      <c r="R72" s="172"/>
      <c r="S72" s="316">
        <v>2408537.52</v>
      </c>
      <c r="U72" s="317">
        <f>J72-S72</f>
        <v>20735.049999999814</v>
      </c>
      <c r="W72" s="318">
        <f>IF(S72=0,0,U72/S72)</f>
        <v>8.6089794440901268E-3</v>
      </c>
      <c r="Y72" s="313"/>
    </row>
    <row r="73" spans="1:25" hidden="1">
      <c r="A73" s="321" t="s">
        <v>338</v>
      </c>
      <c r="B73" s="135"/>
      <c r="C73" s="322" t="str">
        <f>'Level 1'!E73</f>
        <v>Torrey Pines</v>
      </c>
      <c r="D73" s="47" t="str">
        <f>'Level 1'!F73</f>
        <v>SF</v>
      </c>
      <c r="E73" s="42">
        <f>'Level 1'!G73</f>
        <v>431911</v>
      </c>
      <c r="F73" s="61">
        <f>'Level 1'!H73</f>
        <v>2.7</v>
      </c>
      <c r="G73" s="63">
        <f>'Level 1'!I73</f>
        <v>0</v>
      </c>
      <c r="H73" s="66">
        <f>'Level 1'!J73</f>
        <v>2.7</v>
      </c>
      <c r="I73" s="67">
        <f>'Level 1'!K73</f>
        <v>1166159.7000000002</v>
      </c>
      <c r="J73" s="96"/>
      <c r="L73" s="322"/>
      <c r="M73" s="47"/>
      <c r="N73" s="42"/>
      <c r="O73" s="61"/>
      <c r="P73" s="63"/>
      <c r="Q73" s="66"/>
      <c r="R73" s="67">
        <v>1178729.75</v>
      </c>
      <c r="S73" s="96"/>
      <c r="U73" s="296">
        <f t="shared" si="2"/>
        <v>-12570.049999999814</v>
      </c>
      <c r="W73" s="297">
        <f t="shared" ref="W73:W83" si="8">IF(R73=0,0,U73/R73)</f>
        <v>-1.0664064430374999E-2</v>
      </c>
      <c r="Y73" s="313"/>
    </row>
    <row r="74" spans="1:25" hidden="1">
      <c r="A74" s="323" t="s">
        <v>154</v>
      </c>
      <c r="B74" s="135"/>
      <c r="C74" s="324" t="str">
        <f>'Level 1'!E74</f>
        <v>Torrey Pines</v>
      </c>
      <c r="D74" s="40" t="str">
        <f>'Level 1'!F74</f>
        <v>Square</v>
      </c>
      <c r="E74" s="38">
        <f>'Level 1'!G74</f>
        <v>1745.48</v>
      </c>
      <c r="F74" s="51">
        <f>'Level 1'!H74</f>
        <v>603</v>
      </c>
      <c r="G74" s="53">
        <f>'Level 1'!I74</f>
        <v>0</v>
      </c>
      <c r="H74" s="51">
        <f>'Level 1'!J74</f>
        <v>603</v>
      </c>
      <c r="I74" s="54">
        <f>'Level 1'!K74</f>
        <v>1052524.44</v>
      </c>
      <c r="J74" s="96"/>
      <c r="L74" s="324"/>
      <c r="M74" s="40"/>
      <c r="N74" s="38"/>
      <c r="O74" s="51"/>
      <c r="P74" s="53"/>
      <c r="Q74" s="51"/>
      <c r="R74" s="54">
        <v>1034786</v>
      </c>
      <c r="S74" s="96"/>
      <c r="U74" s="296">
        <f t="shared" si="2"/>
        <v>17738.439999999944</v>
      </c>
      <c r="W74" s="297">
        <f t="shared" si="8"/>
        <v>1.7142133735864172E-2</v>
      </c>
      <c r="Y74" s="313"/>
    </row>
    <row r="75" spans="1:25" hidden="1">
      <c r="A75" s="323" t="s">
        <v>344</v>
      </c>
      <c r="B75" s="135"/>
      <c r="C75" s="324" t="str">
        <f>'Level 1'!E75</f>
        <v>N/A</v>
      </c>
      <c r="D75" s="40">
        <f>'Level 1'!F75</f>
        <v>0</v>
      </c>
      <c r="E75" s="38">
        <f>'Level 1'!G75</f>
        <v>0</v>
      </c>
      <c r="F75" s="51">
        <f>'Level 1'!H75</f>
        <v>0</v>
      </c>
      <c r="G75" s="53">
        <f>'Level 1'!I75</f>
        <v>0</v>
      </c>
      <c r="H75" s="51">
        <f>'Level 1'!J75</f>
        <v>0</v>
      </c>
      <c r="I75" s="54">
        <f>'Level 1'!K75</f>
        <v>0</v>
      </c>
      <c r="J75" s="96"/>
      <c r="L75" s="324"/>
      <c r="M75" s="40"/>
      <c r="N75" s="38"/>
      <c r="O75" s="51"/>
      <c r="P75" s="53"/>
      <c r="Q75" s="51"/>
      <c r="R75" s="54">
        <v>0</v>
      </c>
      <c r="S75" s="96"/>
      <c r="U75" s="296">
        <f t="shared" si="2"/>
        <v>0</v>
      </c>
      <c r="W75" s="297">
        <f t="shared" si="8"/>
        <v>0</v>
      </c>
      <c r="Y75" s="313"/>
    </row>
    <row r="76" spans="1:25" hidden="1">
      <c r="A76" s="323" t="s">
        <v>346</v>
      </c>
      <c r="B76" s="135"/>
      <c r="C76" s="324" t="str">
        <f>'Level 1'!E76</f>
        <v>Allowance</v>
      </c>
      <c r="D76" s="40" t="str">
        <f>'Level 1'!F76</f>
        <v>LS</v>
      </c>
      <c r="E76" s="38">
        <f>'Level 1'!G76</f>
        <v>1</v>
      </c>
      <c r="F76" s="51">
        <f>'Level 1'!H76</f>
        <v>7500</v>
      </c>
      <c r="G76" s="53">
        <f>'Level 1'!I76</f>
        <v>0</v>
      </c>
      <c r="H76" s="51">
        <f>'Level 1'!J76</f>
        <v>7500</v>
      </c>
      <c r="I76" s="54">
        <f>'Level 1'!K76</f>
        <v>7500</v>
      </c>
      <c r="J76" s="96"/>
      <c r="L76" s="324"/>
      <c r="M76" s="40"/>
      <c r="N76" s="38"/>
      <c r="O76" s="51"/>
      <c r="P76" s="53"/>
      <c r="Q76" s="51"/>
      <c r="R76" s="54">
        <v>6700</v>
      </c>
      <c r="S76" s="96"/>
      <c r="U76" s="296">
        <f t="shared" si="2"/>
        <v>800</v>
      </c>
      <c r="W76" s="297">
        <f t="shared" si="8"/>
        <v>0.11940298507462686</v>
      </c>
      <c r="Y76" s="313"/>
    </row>
    <row r="77" spans="1:25" hidden="1">
      <c r="A77" s="323" t="s">
        <v>347</v>
      </c>
      <c r="B77" s="135"/>
      <c r="C77" s="324" t="str">
        <f>'Level 1'!E77</f>
        <v>Allowance</v>
      </c>
      <c r="D77" s="40" t="str">
        <f>'Level 1'!F77</f>
        <v>LS</v>
      </c>
      <c r="E77" s="38">
        <f>'Level 1'!G77</f>
        <v>1</v>
      </c>
      <c r="F77" s="51">
        <f>'Level 1'!H77</f>
        <v>7500</v>
      </c>
      <c r="G77" s="53">
        <f>'Level 1'!I77</f>
        <v>0.2</v>
      </c>
      <c r="H77" s="51">
        <f>'Level 1'!J77</f>
        <v>9000</v>
      </c>
      <c r="I77" s="54">
        <f>'Level 1'!K77</f>
        <v>9000</v>
      </c>
      <c r="J77" s="96"/>
      <c r="L77" s="324"/>
      <c r="M77" s="40"/>
      <c r="N77" s="38"/>
      <c r="O77" s="51"/>
      <c r="P77" s="53"/>
      <c r="Q77" s="51"/>
      <c r="R77" s="54">
        <v>0</v>
      </c>
      <c r="S77" s="96"/>
      <c r="U77" s="296">
        <f t="shared" si="2"/>
        <v>9000</v>
      </c>
      <c r="W77" s="297">
        <f t="shared" si="8"/>
        <v>0</v>
      </c>
      <c r="Y77" s="313"/>
    </row>
    <row r="78" spans="1:25" hidden="1">
      <c r="A78" s="323" t="s">
        <v>349</v>
      </c>
      <c r="B78" s="135"/>
      <c r="C78" s="324" t="str">
        <f>'Level 1'!E78</f>
        <v>Decatur</v>
      </c>
      <c r="D78" s="40" t="str">
        <f>'Level 1'!F78</f>
        <v>Count</v>
      </c>
      <c r="E78" s="38">
        <f>'Level 1'!G78</f>
        <v>14</v>
      </c>
      <c r="F78" s="51">
        <f>'Level 1'!H78</f>
        <v>5800</v>
      </c>
      <c r="G78" s="53">
        <f>'Level 1'!I78</f>
        <v>0.2</v>
      </c>
      <c r="H78" s="51">
        <f>'Level 1'!J78</f>
        <v>6960</v>
      </c>
      <c r="I78" s="54">
        <f>'Level 1'!K78</f>
        <v>97440</v>
      </c>
      <c r="J78" s="96"/>
      <c r="L78" s="324"/>
      <c r="M78" s="40"/>
      <c r="N78" s="38"/>
      <c r="O78" s="51"/>
      <c r="P78" s="53"/>
      <c r="Q78" s="51"/>
      <c r="R78" s="54">
        <v>84000</v>
      </c>
      <c r="S78" s="96"/>
      <c r="U78" s="296">
        <f t="shared" si="2"/>
        <v>13440</v>
      </c>
      <c r="W78" s="297">
        <f t="shared" si="8"/>
        <v>0.16</v>
      </c>
      <c r="Y78" s="313"/>
    </row>
    <row r="79" spans="1:25" hidden="1">
      <c r="A79" s="323" t="s">
        <v>351</v>
      </c>
      <c r="B79" s="135"/>
      <c r="C79" s="324" t="str">
        <f>'Level 1'!E79</f>
        <v>Torrey Pines</v>
      </c>
      <c r="D79" s="40" t="str">
        <f>'Level 1'!F79</f>
        <v>SF</v>
      </c>
      <c r="E79" s="38">
        <f>'Level 1'!G79</f>
        <v>431911</v>
      </c>
      <c r="F79" s="51">
        <f>'Level 1'!H79</f>
        <v>0.08</v>
      </c>
      <c r="G79" s="53">
        <f>'Level 1'!I79</f>
        <v>0</v>
      </c>
      <c r="H79" s="51">
        <f>'Level 1'!J79</f>
        <v>0.08</v>
      </c>
      <c r="I79" s="54">
        <f>'Level 1'!K79</f>
        <v>34552.879999999997</v>
      </c>
      <c r="J79" s="96"/>
      <c r="L79" s="324"/>
      <c r="M79" s="40"/>
      <c r="N79" s="38"/>
      <c r="O79" s="51"/>
      <c r="P79" s="53"/>
      <c r="Q79" s="51"/>
      <c r="R79" s="54">
        <v>34290.32</v>
      </c>
      <c r="S79" s="96"/>
      <c r="U79" s="296">
        <f t="shared" si="2"/>
        <v>262.55999999999767</v>
      </c>
      <c r="W79" s="297">
        <f t="shared" si="8"/>
        <v>7.6569714135067178E-3</v>
      </c>
      <c r="Y79" s="313"/>
    </row>
    <row r="80" spans="1:25" hidden="1">
      <c r="A80" s="323" t="s">
        <v>353</v>
      </c>
      <c r="B80" s="135"/>
      <c r="C80" s="324" t="str">
        <f>'Level 1'!E80</f>
        <v>Torrey Pines</v>
      </c>
      <c r="D80" s="40" t="str">
        <f>'Level 1'!F80</f>
        <v>SF</v>
      </c>
      <c r="E80" s="38">
        <f>'Level 1'!G80</f>
        <v>431911</v>
      </c>
      <c r="F80" s="51">
        <f>'Level 1'!H80</f>
        <v>0.05</v>
      </c>
      <c r="G80" s="53">
        <f>'Level 1'!I80</f>
        <v>0</v>
      </c>
      <c r="H80" s="51">
        <f>'Level 1'!J80</f>
        <v>0.05</v>
      </c>
      <c r="I80" s="54">
        <f>'Level 1'!K80</f>
        <v>21595.550000000003</v>
      </c>
      <c r="J80" s="96"/>
      <c r="L80" s="324"/>
      <c r="M80" s="40"/>
      <c r="N80" s="38"/>
      <c r="O80" s="51"/>
      <c r="P80" s="53"/>
      <c r="Q80" s="51"/>
      <c r="R80" s="54">
        <v>21431.45</v>
      </c>
      <c r="S80" s="96"/>
      <c r="U80" s="296">
        <f t="shared" si="2"/>
        <v>164.10000000000218</v>
      </c>
      <c r="W80" s="297">
        <f t="shared" si="8"/>
        <v>7.656971413506887E-3</v>
      </c>
      <c r="Y80" s="313"/>
    </row>
    <row r="81" spans="1:25" hidden="1">
      <c r="A81" s="323" t="s">
        <v>355</v>
      </c>
      <c r="B81" s="135"/>
      <c r="C81" s="324" t="str">
        <f>'Level 1'!E81</f>
        <v>Torrey Pines</v>
      </c>
      <c r="D81" s="40" t="str">
        <f>'Level 1'!F81</f>
        <v>Count</v>
      </c>
      <c r="E81" s="38">
        <f>'Level 1'!G81</f>
        <v>10</v>
      </c>
      <c r="F81" s="51">
        <f>'Level 1'!H81</f>
        <v>1550</v>
      </c>
      <c r="G81" s="53">
        <f>'Level 1'!I81</f>
        <v>0</v>
      </c>
      <c r="H81" s="51">
        <f>'Level 1'!J81</f>
        <v>1550</v>
      </c>
      <c r="I81" s="54">
        <f>'Level 1'!K81</f>
        <v>15500</v>
      </c>
      <c r="J81" s="96"/>
      <c r="L81" s="324"/>
      <c r="M81" s="40"/>
      <c r="N81" s="38"/>
      <c r="O81" s="51"/>
      <c r="P81" s="53"/>
      <c r="Q81" s="51"/>
      <c r="R81" s="54">
        <v>18600</v>
      </c>
      <c r="S81" s="96"/>
      <c r="U81" s="296">
        <f t="shared" si="2"/>
        <v>-3100</v>
      </c>
      <c r="W81" s="297">
        <f t="shared" si="8"/>
        <v>-0.16666666666666666</v>
      </c>
      <c r="Y81" s="313"/>
    </row>
    <row r="82" spans="1:25" hidden="1">
      <c r="A82" s="323" t="s">
        <v>358</v>
      </c>
      <c r="B82" s="135"/>
      <c r="C82" s="324" t="str">
        <f>'Level 1'!E82</f>
        <v>Torrey Pines</v>
      </c>
      <c r="D82" s="40" t="str">
        <f>'Level 1'!F82</f>
        <v>Count</v>
      </c>
      <c r="E82" s="38">
        <f>'Level 1'!G82</f>
        <v>10</v>
      </c>
      <c r="F82" s="51">
        <f>'Level 1'!H82</f>
        <v>2500</v>
      </c>
      <c r="G82" s="53">
        <f>'Level 1'!I82</f>
        <v>0</v>
      </c>
      <c r="H82" s="51">
        <f>'Level 1'!J82</f>
        <v>2500</v>
      </c>
      <c r="I82" s="54">
        <f>'Level 1'!K82</f>
        <v>25000</v>
      </c>
      <c r="J82" s="96"/>
      <c r="L82" s="324"/>
      <c r="M82" s="40"/>
      <c r="N82" s="38"/>
      <c r="O82" s="51"/>
      <c r="P82" s="53"/>
      <c r="Q82" s="51"/>
      <c r="R82" s="54">
        <v>30000</v>
      </c>
      <c r="S82" s="96"/>
      <c r="U82" s="296">
        <f t="shared" si="2"/>
        <v>-5000</v>
      </c>
      <c r="W82" s="297">
        <f t="shared" si="8"/>
        <v>-0.16666666666666666</v>
      </c>
      <c r="Y82" s="313"/>
    </row>
    <row r="83" spans="1:25" hidden="1">
      <c r="A83" s="323" t="s">
        <v>360</v>
      </c>
      <c r="B83" s="135"/>
      <c r="C83" s="324" t="str">
        <f>'Level 1'!E83</f>
        <v>N/A</v>
      </c>
      <c r="D83" s="40">
        <f>'Level 1'!F83</f>
        <v>0</v>
      </c>
      <c r="E83" s="38">
        <f>'Level 1'!G83</f>
        <v>0</v>
      </c>
      <c r="F83" s="51">
        <f>'Level 1'!H83</f>
        <v>0</v>
      </c>
      <c r="G83" s="53">
        <f>'Level 1'!I83</f>
        <v>0</v>
      </c>
      <c r="H83" s="51">
        <f>'Level 1'!J83</f>
        <v>0</v>
      </c>
      <c r="I83" s="54">
        <f>'Level 1'!K83</f>
        <v>0</v>
      </c>
      <c r="J83" s="331"/>
      <c r="L83" s="324"/>
      <c r="M83" s="40"/>
      <c r="N83" s="38"/>
      <c r="O83" s="51"/>
      <c r="P83" s="53"/>
      <c r="Q83" s="51"/>
      <c r="R83" s="54">
        <v>0</v>
      </c>
      <c r="S83" s="331"/>
      <c r="U83" s="332">
        <f t="shared" si="2"/>
        <v>0</v>
      </c>
      <c r="W83" s="333">
        <f t="shared" si="8"/>
        <v>0</v>
      </c>
      <c r="Y83" s="313"/>
    </row>
    <row r="84" spans="1:25" hidden="1">
      <c r="A84" s="314" t="s">
        <v>362</v>
      </c>
      <c r="B84" s="135"/>
      <c r="C84" s="315"/>
      <c r="D84" s="151"/>
      <c r="E84" s="152"/>
      <c r="F84" s="153"/>
      <c r="G84" s="154"/>
      <c r="H84" s="153"/>
      <c r="I84" s="172"/>
      <c r="J84" s="316">
        <f>'Level 1'!L84</f>
        <v>639799.78947368404</v>
      </c>
      <c r="L84" s="315"/>
      <c r="M84" s="151"/>
      <c r="N84" s="152"/>
      <c r="O84" s="153"/>
      <c r="P84" s="154"/>
      <c r="Q84" s="153"/>
      <c r="R84" s="172"/>
      <c r="S84" s="316">
        <v>517390.80000000005</v>
      </c>
      <c r="U84" s="317">
        <f>J84-S84</f>
        <v>122408.98947368399</v>
      </c>
      <c r="W84" s="318">
        <f>IF(S84=0,0,U84/S84)</f>
        <v>0.23658903380903562</v>
      </c>
      <c r="Y84" s="313" t="s">
        <v>1201</v>
      </c>
    </row>
    <row r="85" spans="1:25" hidden="1">
      <c r="A85" s="321" t="s">
        <v>307</v>
      </c>
      <c r="B85" s="135"/>
      <c r="C85" s="322">
        <f>'Level 1'!E85</f>
        <v>0</v>
      </c>
      <c r="D85" s="47">
        <f>'Level 1'!F85</f>
        <v>0</v>
      </c>
      <c r="E85" s="42">
        <f>'Level 1'!G85</f>
        <v>0</v>
      </c>
      <c r="F85" s="61">
        <f>'Level 1'!H85</f>
        <v>79</v>
      </c>
      <c r="G85" s="63">
        <f>'Level 1'!I85</f>
        <v>0</v>
      </c>
      <c r="H85" s="66">
        <f>'Level 1'!J85</f>
        <v>79</v>
      </c>
      <c r="I85" s="67">
        <f>'Level 1'!K85</f>
        <v>0</v>
      </c>
      <c r="J85" s="96"/>
      <c r="L85" s="322"/>
      <c r="M85" s="47"/>
      <c r="N85" s="42"/>
      <c r="O85" s="61"/>
      <c r="P85" s="63"/>
      <c r="Q85" s="66"/>
      <c r="R85" s="67">
        <v>30731</v>
      </c>
      <c r="S85" s="96"/>
      <c r="U85" s="296">
        <f t="shared" si="2"/>
        <v>-30731</v>
      </c>
      <c r="W85" s="297">
        <f t="shared" ref="W85:W99" si="9">IF(R85=0,0,U85/R85)</f>
        <v>-1</v>
      </c>
      <c r="Y85" s="313" t="s">
        <v>1201</v>
      </c>
    </row>
    <row r="86" spans="1:25" hidden="1">
      <c r="A86" s="323" t="s">
        <v>365</v>
      </c>
      <c r="B86" s="135"/>
      <c r="C86" s="324" t="str">
        <f>'Level 1'!E86</f>
        <v>N/A</v>
      </c>
      <c r="D86" s="40">
        <f>'Level 1'!F86</f>
        <v>0</v>
      </c>
      <c r="E86" s="38">
        <f>'Level 1'!G86</f>
        <v>0</v>
      </c>
      <c r="F86" s="51">
        <f>'Level 1'!H86</f>
        <v>0</v>
      </c>
      <c r="G86" s="53">
        <f>'Level 1'!I86</f>
        <v>0</v>
      </c>
      <c r="H86" s="51">
        <f>'Level 1'!J86</f>
        <v>0</v>
      </c>
      <c r="I86" s="54">
        <f>'Level 1'!K86</f>
        <v>0</v>
      </c>
      <c r="J86" s="96"/>
      <c r="L86" s="324"/>
      <c r="M86" s="40"/>
      <c r="N86" s="38"/>
      <c r="O86" s="51"/>
      <c r="P86" s="53"/>
      <c r="Q86" s="51"/>
      <c r="R86" s="54">
        <v>15908</v>
      </c>
      <c r="S86" s="96"/>
      <c r="U86" s="296">
        <f t="shared" si="2"/>
        <v>-15908</v>
      </c>
      <c r="W86" s="297">
        <f t="shared" si="9"/>
        <v>-1</v>
      </c>
      <c r="Y86" s="313"/>
    </row>
    <row r="87" spans="1:25" hidden="1">
      <c r="A87" s="323" t="s">
        <v>367</v>
      </c>
      <c r="B87" s="135"/>
      <c r="C87" s="324" t="str">
        <f>'Level 1'!E87</f>
        <v>Included</v>
      </c>
      <c r="D87" s="40">
        <f>'Level 1'!F87</f>
        <v>0</v>
      </c>
      <c r="E87" s="38">
        <f>'Level 1'!G87</f>
        <v>0</v>
      </c>
      <c r="F87" s="51">
        <f>'Level 1'!H87</f>
        <v>0</v>
      </c>
      <c r="G87" s="53">
        <f>'Level 1'!I87</f>
        <v>0</v>
      </c>
      <c r="H87" s="51">
        <f>'Level 1'!J87</f>
        <v>0</v>
      </c>
      <c r="I87" s="54">
        <f>'Level 1'!K87</f>
        <v>0</v>
      </c>
      <c r="J87" s="96"/>
      <c r="L87" s="324"/>
      <c r="M87" s="40"/>
      <c r="N87" s="38"/>
      <c r="O87" s="51"/>
      <c r="P87" s="53"/>
      <c r="Q87" s="51"/>
      <c r="R87" s="54">
        <v>0</v>
      </c>
      <c r="S87" s="96"/>
      <c r="U87" s="296">
        <f t="shared" si="2"/>
        <v>0</v>
      </c>
      <c r="W87" s="297">
        <f t="shared" si="9"/>
        <v>0</v>
      </c>
      <c r="Y87" s="313"/>
    </row>
    <row r="88" spans="1:25" hidden="1">
      <c r="A88" s="323" t="s">
        <v>370</v>
      </c>
      <c r="B88" s="135"/>
      <c r="C88" s="324" t="str">
        <f>'Level 1'!E88</f>
        <v>N/A</v>
      </c>
      <c r="D88" s="40">
        <f>'Level 1'!F88</f>
        <v>0</v>
      </c>
      <c r="E88" s="38">
        <f>'Level 1'!G88</f>
        <v>0</v>
      </c>
      <c r="F88" s="51">
        <f>'Level 1'!H88</f>
        <v>0</v>
      </c>
      <c r="G88" s="53">
        <f>'Level 1'!I88</f>
        <v>0</v>
      </c>
      <c r="H88" s="51">
        <f>'Level 1'!J88</f>
        <v>0</v>
      </c>
      <c r="I88" s="54">
        <f>'Level 1'!K88</f>
        <v>0</v>
      </c>
      <c r="J88" s="96"/>
      <c r="L88" s="324"/>
      <c r="M88" s="40"/>
      <c r="N88" s="38"/>
      <c r="O88" s="51"/>
      <c r="P88" s="53"/>
      <c r="Q88" s="51"/>
      <c r="R88" s="54">
        <v>0</v>
      </c>
      <c r="S88" s="96"/>
      <c r="U88" s="296">
        <f t="shared" si="2"/>
        <v>0</v>
      </c>
      <c r="W88" s="297">
        <f t="shared" si="9"/>
        <v>0</v>
      </c>
      <c r="Y88" s="313"/>
    </row>
    <row r="89" spans="1:25" hidden="1">
      <c r="A89" s="323" t="s">
        <v>371</v>
      </c>
      <c r="B89" s="135"/>
      <c r="C89" s="324" t="str">
        <f>'Level 1'!E89</f>
        <v>N/A</v>
      </c>
      <c r="D89" s="40">
        <f>'Level 1'!F89</f>
        <v>0</v>
      </c>
      <c r="E89" s="38">
        <f>'Level 1'!G89</f>
        <v>0</v>
      </c>
      <c r="F89" s="51">
        <f>'Level 1'!H89</f>
        <v>0</v>
      </c>
      <c r="G89" s="53">
        <f>'Level 1'!I89</f>
        <v>0</v>
      </c>
      <c r="H89" s="51">
        <f>'Level 1'!J89</f>
        <v>0</v>
      </c>
      <c r="I89" s="54">
        <f>'Level 1'!K89</f>
        <v>0</v>
      </c>
      <c r="J89" s="96"/>
      <c r="L89" s="324"/>
      <c r="M89" s="40"/>
      <c r="N89" s="38"/>
      <c r="O89" s="51"/>
      <c r="P89" s="53"/>
      <c r="Q89" s="51"/>
      <c r="R89" s="54">
        <v>0</v>
      </c>
      <c r="S89" s="96"/>
      <c r="U89" s="296">
        <f t="shared" ref="U89:U99" si="10">I89-R89</f>
        <v>0</v>
      </c>
      <c r="W89" s="297">
        <f t="shared" si="9"/>
        <v>0</v>
      </c>
      <c r="Y89" s="313"/>
    </row>
    <row r="90" spans="1:25" hidden="1">
      <c r="A90" s="323" t="s">
        <v>373</v>
      </c>
      <c r="B90" s="135"/>
      <c r="C90" s="324" t="str">
        <f>'Level 1'!E90</f>
        <v>Torrey Pines</v>
      </c>
      <c r="D90" s="40" t="str">
        <f>'Level 1'!F90</f>
        <v>Per Unit</v>
      </c>
      <c r="E90" s="42">
        <f>'Level 1'!G90</f>
        <v>390</v>
      </c>
      <c r="F90" s="51">
        <f>'Level 1'!H90</f>
        <v>1157.8947368421052</v>
      </c>
      <c r="G90" s="53">
        <f>'Level 1'!I90</f>
        <v>0.15</v>
      </c>
      <c r="H90" s="51">
        <f>'Level 1'!J90</f>
        <v>1331.5789473684208</v>
      </c>
      <c r="I90" s="54">
        <f>'Level 1'!K90</f>
        <v>519315.7894736841</v>
      </c>
      <c r="J90" s="96"/>
      <c r="L90" s="324"/>
      <c r="M90" s="40"/>
      <c r="N90" s="42"/>
      <c r="O90" s="51"/>
      <c r="P90" s="53"/>
      <c r="Q90" s="51"/>
      <c r="R90" s="54">
        <v>338896.80000000005</v>
      </c>
      <c r="S90" s="96"/>
      <c r="U90" s="296">
        <f t="shared" si="10"/>
        <v>180418.98947368405</v>
      </c>
      <c r="W90" s="297">
        <f t="shared" si="9"/>
        <v>0.53237147554560571</v>
      </c>
      <c r="Y90" s="313" t="s">
        <v>1202</v>
      </c>
    </row>
    <row r="91" spans="1:25" hidden="1">
      <c r="A91" s="323" t="s">
        <v>377</v>
      </c>
      <c r="B91" s="135"/>
      <c r="C91" s="324" t="str">
        <f>'Level 1'!E91</f>
        <v>Allowance</v>
      </c>
      <c r="D91" s="40" t="str">
        <f>'Level 1'!F91</f>
        <v>Per Unit</v>
      </c>
      <c r="E91" s="42">
        <f>'Level 1'!G91</f>
        <v>390</v>
      </c>
      <c r="F91" s="51">
        <f>'Level 1'!H91</f>
        <v>75</v>
      </c>
      <c r="G91" s="53">
        <f>'Level 1'!I91</f>
        <v>0</v>
      </c>
      <c r="H91" s="51">
        <f>'Level 1'!J91</f>
        <v>75</v>
      </c>
      <c r="I91" s="54">
        <f>'Level 1'!K91</f>
        <v>29250</v>
      </c>
      <c r="J91" s="96"/>
      <c r="L91" s="324"/>
      <c r="M91" s="40"/>
      <c r="N91" s="42"/>
      <c r="O91" s="51"/>
      <c r="P91" s="53"/>
      <c r="Q91" s="51"/>
      <c r="R91" s="54">
        <v>29175</v>
      </c>
      <c r="S91" s="96"/>
      <c r="U91" s="296">
        <f t="shared" si="10"/>
        <v>75</v>
      </c>
      <c r="W91" s="297">
        <f t="shared" si="9"/>
        <v>2.5706940874035988E-3</v>
      </c>
      <c r="Y91" s="313"/>
    </row>
    <row r="92" spans="1:25" hidden="1">
      <c r="A92" s="323" t="s">
        <v>378</v>
      </c>
      <c r="B92" s="135"/>
      <c r="C92" s="324" t="str">
        <f>'Level 1'!E92</f>
        <v>N/A</v>
      </c>
      <c r="D92" s="40">
        <f>'Level 1'!F92</f>
        <v>0</v>
      </c>
      <c r="E92" s="38">
        <f>'Level 1'!G92</f>
        <v>0</v>
      </c>
      <c r="F92" s="51">
        <f>'Level 1'!H92</f>
        <v>0</v>
      </c>
      <c r="G92" s="53">
        <f>'Level 1'!I92</f>
        <v>0</v>
      </c>
      <c r="H92" s="51">
        <f>'Level 1'!J92</f>
        <v>0</v>
      </c>
      <c r="I92" s="54">
        <f>'Level 1'!K92</f>
        <v>0</v>
      </c>
      <c r="J92" s="96"/>
      <c r="L92" s="324"/>
      <c r="M92" s="40"/>
      <c r="N92" s="38"/>
      <c r="O92" s="51"/>
      <c r="P92" s="53"/>
      <c r="Q92" s="51"/>
      <c r="R92" s="54">
        <v>0</v>
      </c>
      <c r="S92" s="96"/>
      <c r="U92" s="296">
        <f t="shared" si="10"/>
        <v>0</v>
      </c>
      <c r="W92" s="297">
        <f t="shared" si="9"/>
        <v>0</v>
      </c>
      <c r="Y92" s="313"/>
    </row>
    <row r="93" spans="1:25" hidden="1">
      <c r="A93" s="323" t="s">
        <v>380</v>
      </c>
      <c r="B93" s="135"/>
      <c r="C93" s="324" t="str">
        <f>'Level 1'!E93</f>
        <v>N/A</v>
      </c>
      <c r="D93" s="40">
        <f>'Level 1'!F93</f>
        <v>0</v>
      </c>
      <c r="E93" s="38">
        <f>'Level 1'!G93</f>
        <v>0</v>
      </c>
      <c r="F93" s="51">
        <f>'Level 1'!H93</f>
        <v>0</v>
      </c>
      <c r="G93" s="53">
        <f>'Level 1'!I93</f>
        <v>0</v>
      </c>
      <c r="H93" s="51">
        <f>'Level 1'!J93</f>
        <v>0</v>
      </c>
      <c r="I93" s="54">
        <f>'Level 1'!K93</f>
        <v>0</v>
      </c>
      <c r="J93" s="96"/>
      <c r="L93" s="324"/>
      <c r="M93" s="40"/>
      <c r="N93" s="38"/>
      <c r="O93" s="51"/>
      <c r="P93" s="53"/>
      <c r="Q93" s="51"/>
      <c r="R93" s="54">
        <v>0</v>
      </c>
      <c r="S93" s="96"/>
      <c r="U93" s="296">
        <f t="shared" si="10"/>
        <v>0</v>
      </c>
      <c r="W93" s="297">
        <f t="shared" si="9"/>
        <v>0</v>
      </c>
      <c r="Y93" s="313"/>
    </row>
    <row r="94" spans="1:25" hidden="1">
      <c r="A94" s="323" t="s">
        <v>382</v>
      </c>
      <c r="B94" s="135"/>
      <c r="C94" s="324" t="str">
        <f>'Level 1'!E94</f>
        <v>N/A</v>
      </c>
      <c r="D94" s="40">
        <f>'Level 1'!F94</f>
        <v>0</v>
      </c>
      <c r="E94" s="38">
        <f>'Level 1'!G94</f>
        <v>0</v>
      </c>
      <c r="F94" s="51">
        <f>'Level 1'!H94</f>
        <v>0</v>
      </c>
      <c r="G94" s="53">
        <f>'Level 1'!I94</f>
        <v>0</v>
      </c>
      <c r="H94" s="51">
        <f>'Level 1'!J94</f>
        <v>0</v>
      </c>
      <c r="I94" s="54">
        <f>'Level 1'!K94</f>
        <v>0</v>
      </c>
      <c r="J94" s="96"/>
      <c r="L94" s="324"/>
      <c r="M94" s="40"/>
      <c r="N94" s="38"/>
      <c r="O94" s="51"/>
      <c r="P94" s="53"/>
      <c r="Q94" s="51"/>
      <c r="R94" s="54">
        <v>0</v>
      </c>
      <c r="S94" s="96"/>
      <c r="U94" s="296">
        <f t="shared" si="10"/>
        <v>0</v>
      </c>
      <c r="W94" s="297">
        <f t="shared" si="9"/>
        <v>0</v>
      </c>
      <c r="Y94" s="313"/>
    </row>
    <row r="95" spans="1:25" hidden="1">
      <c r="A95" s="323" t="s">
        <v>384</v>
      </c>
      <c r="B95" s="135"/>
      <c r="C95" s="324" t="str">
        <f>'Level 1'!E95</f>
        <v>N/A</v>
      </c>
      <c r="D95" s="40">
        <f>'Level 1'!F95</f>
        <v>0</v>
      </c>
      <c r="E95" s="38">
        <f>'Level 1'!G95</f>
        <v>0</v>
      </c>
      <c r="F95" s="51">
        <f>'Level 1'!H95</f>
        <v>0</v>
      </c>
      <c r="G95" s="53">
        <f>'Level 1'!I95</f>
        <v>0</v>
      </c>
      <c r="H95" s="51">
        <f>'Level 1'!J95</f>
        <v>0</v>
      </c>
      <c r="I95" s="54">
        <f>'Level 1'!K95</f>
        <v>0</v>
      </c>
      <c r="J95" s="96"/>
      <c r="L95" s="324"/>
      <c r="M95" s="40"/>
      <c r="N95" s="38"/>
      <c r="O95" s="51"/>
      <c r="P95" s="53"/>
      <c r="Q95" s="51"/>
      <c r="R95" s="54">
        <v>0</v>
      </c>
      <c r="S95" s="96"/>
      <c r="U95" s="296">
        <f t="shared" si="10"/>
        <v>0</v>
      </c>
      <c r="W95" s="297">
        <f t="shared" si="9"/>
        <v>0</v>
      </c>
      <c r="Y95" s="313"/>
    </row>
    <row r="96" spans="1:25" hidden="1">
      <c r="A96" s="323" t="s">
        <v>386</v>
      </c>
      <c r="B96" s="135"/>
      <c r="C96" s="324" t="str">
        <f>'Level 1'!E96</f>
        <v>N/A</v>
      </c>
      <c r="D96" s="40">
        <f>'Level 1'!F96</f>
        <v>0</v>
      </c>
      <c r="E96" s="38">
        <f>'Level 1'!G96</f>
        <v>0</v>
      </c>
      <c r="F96" s="51">
        <f>'Level 1'!H96</f>
        <v>0</v>
      </c>
      <c r="G96" s="53">
        <f>'Level 1'!I96</f>
        <v>0</v>
      </c>
      <c r="H96" s="51">
        <f>'Level 1'!J96</f>
        <v>0</v>
      </c>
      <c r="I96" s="54">
        <f>'Level 1'!K96</f>
        <v>0</v>
      </c>
      <c r="J96" s="96"/>
      <c r="L96" s="324"/>
      <c r="M96" s="40"/>
      <c r="N96" s="38"/>
      <c r="O96" s="51"/>
      <c r="P96" s="53"/>
      <c r="Q96" s="51"/>
      <c r="R96" s="54">
        <v>0</v>
      </c>
      <c r="S96" s="96"/>
      <c r="U96" s="296">
        <f t="shared" si="10"/>
        <v>0</v>
      </c>
      <c r="W96" s="297">
        <f t="shared" si="9"/>
        <v>0</v>
      </c>
      <c r="Y96" s="313"/>
    </row>
    <row r="97" spans="1:25" hidden="1">
      <c r="A97" s="323" t="s">
        <v>388</v>
      </c>
      <c r="B97" s="135"/>
      <c r="C97" s="324" t="str">
        <f>'Level 1'!E97</f>
        <v>N/A</v>
      </c>
      <c r="D97" s="40">
        <f>'Level 1'!F97</f>
        <v>0</v>
      </c>
      <c r="E97" s="38">
        <f>'Level 1'!G97</f>
        <v>0</v>
      </c>
      <c r="F97" s="51">
        <f>'Level 1'!H97</f>
        <v>0</v>
      </c>
      <c r="G97" s="53">
        <f>'Level 1'!I97</f>
        <v>0</v>
      </c>
      <c r="H97" s="51">
        <f>'Level 1'!J97</f>
        <v>0</v>
      </c>
      <c r="I97" s="54">
        <f>'Level 1'!K97</f>
        <v>0</v>
      </c>
      <c r="J97" s="96"/>
      <c r="L97" s="324"/>
      <c r="M97" s="40"/>
      <c r="N97" s="38"/>
      <c r="O97" s="51"/>
      <c r="P97" s="53"/>
      <c r="Q97" s="51"/>
      <c r="R97" s="54">
        <v>0</v>
      </c>
      <c r="S97" s="96"/>
      <c r="U97" s="296">
        <f t="shared" si="10"/>
        <v>0</v>
      </c>
      <c r="W97" s="297">
        <f t="shared" si="9"/>
        <v>0</v>
      </c>
      <c r="Y97" s="313"/>
    </row>
    <row r="98" spans="1:25" hidden="1">
      <c r="A98" s="323" t="s">
        <v>389</v>
      </c>
      <c r="B98" s="135"/>
      <c r="C98" s="324" t="str">
        <f>'Level 1'!E98</f>
        <v>Pebble</v>
      </c>
      <c r="D98" s="40" t="str">
        <f>'Level 1'!F98</f>
        <v xml:space="preserve">Unit </v>
      </c>
      <c r="E98" s="42">
        <f>'Level 1'!G98</f>
        <v>557</v>
      </c>
      <c r="F98" s="51">
        <f>'Level 1'!H98</f>
        <v>162</v>
      </c>
      <c r="G98" s="53">
        <f>'Level 1'!I98</f>
        <v>0</v>
      </c>
      <c r="H98" s="51">
        <f>'Level 1'!J98</f>
        <v>162</v>
      </c>
      <c r="I98" s="54">
        <f>'Level 1'!K98</f>
        <v>90234</v>
      </c>
      <c r="J98" s="96"/>
      <c r="L98" s="324"/>
      <c r="M98" s="40"/>
      <c r="N98" s="42"/>
      <c r="O98" s="51"/>
      <c r="P98" s="53"/>
      <c r="Q98" s="51"/>
      <c r="R98" s="54">
        <v>101880</v>
      </c>
      <c r="S98" s="96"/>
      <c r="U98" s="296">
        <f t="shared" si="10"/>
        <v>-11646</v>
      </c>
      <c r="W98" s="297">
        <f t="shared" si="9"/>
        <v>-0.11431095406360424</v>
      </c>
      <c r="Y98" s="313"/>
    </row>
    <row r="99" spans="1:25" hidden="1">
      <c r="A99" s="323" t="s">
        <v>390</v>
      </c>
      <c r="B99" s="135"/>
      <c r="C99" s="324" t="str">
        <f>'Level 1'!E99</f>
        <v>Allowance</v>
      </c>
      <c r="D99" s="40" t="str">
        <f>'Level 1'!F99</f>
        <v>Count</v>
      </c>
      <c r="E99" s="38">
        <f>'Level 1'!G99</f>
        <v>4</v>
      </c>
      <c r="F99" s="51">
        <f>'Level 1'!H99</f>
        <v>250</v>
      </c>
      <c r="G99" s="53">
        <f>'Level 1'!I99</f>
        <v>0</v>
      </c>
      <c r="H99" s="51">
        <f>'Level 1'!J99</f>
        <v>250</v>
      </c>
      <c r="I99" s="54">
        <f>'Level 1'!K99</f>
        <v>1000</v>
      </c>
      <c r="J99" s="96"/>
      <c r="L99" s="324"/>
      <c r="M99" s="40"/>
      <c r="N99" s="38"/>
      <c r="O99" s="51"/>
      <c r="P99" s="53"/>
      <c r="Q99" s="51"/>
      <c r="R99" s="54">
        <v>800</v>
      </c>
      <c r="S99" s="96"/>
      <c r="U99" s="296">
        <f t="shared" si="10"/>
        <v>200</v>
      </c>
      <c r="W99" s="297">
        <f t="shared" si="9"/>
        <v>0.25</v>
      </c>
      <c r="Y99" s="313"/>
    </row>
    <row r="100" spans="1:25" hidden="1">
      <c r="A100" s="314" t="s">
        <v>391</v>
      </c>
      <c r="B100" s="135"/>
      <c r="C100" s="315"/>
      <c r="D100" s="151"/>
      <c r="E100" s="152"/>
      <c r="F100" s="153"/>
      <c r="G100" s="154"/>
      <c r="H100" s="153"/>
      <c r="I100" s="172"/>
      <c r="J100" s="316">
        <f>'Level 1'!L100</f>
        <v>7023592.8141822321</v>
      </c>
      <c r="L100" s="315"/>
      <c r="M100" s="151"/>
      <c r="N100" s="152"/>
      <c r="O100" s="153"/>
      <c r="P100" s="154"/>
      <c r="Q100" s="153"/>
      <c r="R100" s="172"/>
      <c r="S100" s="316">
        <v>7462650.5573888905</v>
      </c>
      <c r="U100" s="317">
        <f>J100-S100</f>
        <v>-439057.7432066584</v>
      </c>
      <c r="W100" s="318">
        <f>IF(S100=0,0,U100/S100)</f>
        <v>-5.8834021482077871E-2</v>
      </c>
      <c r="Y100" s="313"/>
    </row>
    <row r="101" spans="1:25" hidden="1">
      <c r="A101" s="321" t="s">
        <v>393</v>
      </c>
      <c r="B101" s="135"/>
      <c r="C101" s="322">
        <f>'Level 1'!E101</f>
        <v>0</v>
      </c>
      <c r="D101" s="47">
        <f>'Level 1'!F101</f>
        <v>0</v>
      </c>
      <c r="E101" s="42">
        <f>'Level 1'!G101</f>
        <v>0</v>
      </c>
      <c r="F101" s="61">
        <f>'Level 1'!H101</f>
        <v>0.05</v>
      </c>
      <c r="G101" s="63">
        <f>'Level 1'!I101</f>
        <v>0</v>
      </c>
      <c r="H101" s="66">
        <f>'Level 1'!J101</f>
        <v>0.05</v>
      </c>
      <c r="I101" s="67">
        <f>'Level 1'!K101</f>
        <v>0</v>
      </c>
      <c r="J101" s="96"/>
      <c r="L101" s="322"/>
      <c r="M101" s="47"/>
      <c r="N101" s="42"/>
      <c r="O101" s="61"/>
      <c r="P101" s="63"/>
      <c r="Q101" s="66"/>
      <c r="R101" s="67">
        <v>21431.45</v>
      </c>
      <c r="S101" s="96"/>
      <c r="U101" s="296">
        <f t="shared" ref="U101:U136" si="11">I101-R101</f>
        <v>-21431.45</v>
      </c>
      <c r="W101" s="297">
        <f t="shared" ref="W101:W136" si="12">IF(R101=0,0,U101/R101)</f>
        <v>-1</v>
      </c>
      <c r="Y101" s="313" t="s">
        <v>1203</v>
      </c>
    </row>
    <row r="102" spans="1:25" hidden="1">
      <c r="A102" s="323" t="s">
        <v>395</v>
      </c>
      <c r="B102" s="135"/>
      <c r="C102" s="324" t="str">
        <f>'Level 1'!E102</f>
        <v>Allowance</v>
      </c>
      <c r="D102" s="40" t="str">
        <f>'Level 1'!F102</f>
        <v>LS</v>
      </c>
      <c r="E102" s="38">
        <f>'Level 1'!G102</f>
        <v>1</v>
      </c>
      <c r="F102" s="51">
        <f>'Level 1'!H102</f>
        <v>25000</v>
      </c>
      <c r="G102" s="53">
        <f>'Level 1'!I102</f>
        <v>0</v>
      </c>
      <c r="H102" s="51">
        <f>'Level 1'!J102</f>
        <v>25000</v>
      </c>
      <c r="I102" s="54">
        <f>'Level 1'!K102</f>
        <v>25000</v>
      </c>
      <c r="J102" s="96"/>
      <c r="L102" s="324"/>
      <c r="M102" s="40"/>
      <c r="N102" s="38"/>
      <c r="O102" s="51"/>
      <c r="P102" s="53"/>
      <c r="Q102" s="51"/>
      <c r="R102" s="54">
        <v>34290.32</v>
      </c>
      <c r="S102" s="96"/>
      <c r="U102" s="296">
        <f t="shared" si="11"/>
        <v>-9290.32</v>
      </c>
      <c r="W102" s="297">
        <f t="shared" si="12"/>
        <v>-0.270931271565853</v>
      </c>
      <c r="Y102" s="313" t="s">
        <v>1204</v>
      </c>
    </row>
    <row r="103" spans="1:25" hidden="1">
      <c r="A103" s="323" t="s">
        <v>397</v>
      </c>
      <c r="B103" s="135"/>
      <c r="C103" s="324" t="str">
        <f>'Level 1'!E103</f>
        <v>Torrey Pines</v>
      </c>
      <c r="D103" s="40" t="str">
        <f>'Level 1'!F103</f>
        <v>SF</v>
      </c>
      <c r="E103" s="38">
        <f>'Level 1'!G103</f>
        <v>431911</v>
      </c>
      <c r="F103" s="51">
        <f>'Level 1'!H103</f>
        <v>0.85</v>
      </c>
      <c r="G103" s="53">
        <f>'Level 1'!I103</f>
        <v>0</v>
      </c>
      <c r="H103" s="51">
        <f>'Level 1'!J103</f>
        <v>0.85</v>
      </c>
      <c r="I103" s="54">
        <f>'Level 1'!K103</f>
        <v>367124.35</v>
      </c>
      <c r="J103" s="96"/>
      <c r="L103" s="324"/>
      <c r="M103" s="40"/>
      <c r="N103" s="38"/>
      <c r="O103" s="51"/>
      <c r="P103" s="53"/>
      <c r="Q103" s="51"/>
      <c r="R103" s="54">
        <v>257177.4</v>
      </c>
      <c r="S103" s="96"/>
      <c r="U103" s="296">
        <f t="shared" si="11"/>
        <v>109946.94999999998</v>
      </c>
      <c r="W103" s="297">
        <f t="shared" si="12"/>
        <v>0.42751404283580124</v>
      </c>
      <c r="Y103" s="313"/>
    </row>
    <row r="104" spans="1:25" hidden="1">
      <c r="A104" s="323" t="s">
        <v>399</v>
      </c>
      <c r="B104" s="135"/>
      <c r="C104" s="324" t="str">
        <f>'Level 1'!E104</f>
        <v>Allowance</v>
      </c>
      <c r="D104" s="40" t="str">
        <f>'Level 1'!F104</f>
        <v>LS</v>
      </c>
      <c r="E104" s="38">
        <f>'Level 1'!G104</f>
        <v>1</v>
      </c>
      <c r="F104" s="51">
        <f>'Level 1'!H104</f>
        <v>75000</v>
      </c>
      <c r="G104" s="53">
        <f>'Level 1'!I104</f>
        <v>0</v>
      </c>
      <c r="H104" s="51">
        <f>'Level 1'!J104</f>
        <v>75000</v>
      </c>
      <c r="I104" s="54">
        <f>'Level 1'!K104</f>
        <v>75000</v>
      </c>
      <c r="J104" s="96"/>
      <c r="L104" s="324"/>
      <c r="M104" s="40"/>
      <c r="N104" s="38"/>
      <c r="O104" s="51"/>
      <c r="P104" s="53"/>
      <c r="Q104" s="51"/>
      <c r="R104" s="54">
        <v>154306.44</v>
      </c>
      <c r="S104" s="96"/>
      <c r="U104" s="296">
        <f t="shared" si="11"/>
        <v>-79306.44</v>
      </c>
      <c r="W104" s="297">
        <f t="shared" si="12"/>
        <v>-0.513954181043902</v>
      </c>
      <c r="Y104" s="313"/>
    </row>
    <row r="105" spans="1:25" hidden="1">
      <c r="A105" s="323" t="s">
        <v>307</v>
      </c>
      <c r="B105" s="135"/>
      <c r="C105" s="324" t="str">
        <f>'Level 1'!E105</f>
        <v>Latest</v>
      </c>
      <c r="D105" s="40" t="str">
        <f>'Level 1'!F105</f>
        <v xml:space="preserve">Unit </v>
      </c>
      <c r="E105" s="42">
        <f>'Level 1'!G105</f>
        <v>390</v>
      </c>
      <c r="F105" s="51">
        <f>'Level 1'!H105</f>
        <v>79</v>
      </c>
      <c r="G105" s="53">
        <f>'Level 1'!I105</f>
        <v>0</v>
      </c>
      <c r="H105" s="51">
        <f>'Level 1'!J105</f>
        <v>79</v>
      </c>
      <c r="I105" s="205">
        <f>'Level 1'!K105</f>
        <v>30810</v>
      </c>
      <c r="J105" s="96"/>
      <c r="L105" s="324"/>
      <c r="M105" s="40"/>
      <c r="N105" s="42"/>
      <c r="O105" s="51"/>
      <c r="P105" s="53"/>
      <c r="Q105" s="51"/>
      <c r="R105" s="54">
        <v>30731</v>
      </c>
      <c r="S105" s="96"/>
      <c r="U105" s="296">
        <f t="shared" si="11"/>
        <v>79</v>
      </c>
      <c r="W105" s="297">
        <f t="shared" si="12"/>
        <v>2.5706940874035988E-3</v>
      </c>
      <c r="Y105" s="313"/>
    </row>
    <row r="106" spans="1:25" hidden="1">
      <c r="A106" s="323" t="s">
        <v>404</v>
      </c>
      <c r="B106" s="135"/>
      <c r="C106" s="324" t="str">
        <f>'Level 1'!E106</f>
        <v>Allowance</v>
      </c>
      <c r="D106" s="40" t="str">
        <f>'Level 1'!F106</f>
        <v>LS</v>
      </c>
      <c r="E106" s="38">
        <f>'Level 1'!G106</f>
        <v>1</v>
      </c>
      <c r="F106" s="51">
        <f>'Level 1'!H106</f>
        <v>10000</v>
      </c>
      <c r="G106" s="53">
        <f>'Level 1'!I106</f>
        <v>0</v>
      </c>
      <c r="H106" s="51">
        <f>'Level 1'!J106</f>
        <v>10000</v>
      </c>
      <c r="I106" s="54">
        <f>'Level 1'!K106</f>
        <v>10000</v>
      </c>
      <c r="J106" s="96"/>
      <c r="L106" s="324"/>
      <c r="M106" s="40"/>
      <c r="N106" s="38"/>
      <c r="O106" s="51"/>
      <c r="P106" s="53"/>
      <c r="Q106" s="51"/>
      <c r="R106" s="54">
        <v>47149.19</v>
      </c>
      <c r="S106" s="96"/>
      <c r="U106" s="296">
        <f t="shared" si="11"/>
        <v>-37149.19</v>
      </c>
      <c r="W106" s="297">
        <f t="shared" si="12"/>
        <v>-0.78790727900097546</v>
      </c>
      <c r="Y106" s="313"/>
    </row>
    <row r="107" spans="1:25" hidden="1">
      <c r="A107" s="323" t="s">
        <v>159</v>
      </c>
      <c r="B107" s="135"/>
      <c r="C107" s="324" t="str">
        <f>'Level 1'!E107</f>
        <v>See Note</v>
      </c>
      <c r="D107" s="40" t="str">
        <f>'Level 1'!F107</f>
        <v>SY</v>
      </c>
      <c r="E107" s="38">
        <f>'Level 1'!G107</f>
        <v>26012</v>
      </c>
      <c r="F107" s="51">
        <f>'Level 1'!H107</f>
        <v>42.3</v>
      </c>
      <c r="G107" s="53">
        <f>'Level 1'!I107</f>
        <v>0</v>
      </c>
      <c r="H107" s="51">
        <f>'Level 1'!J107</f>
        <v>40.81</v>
      </c>
      <c r="I107" s="54">
        <f>'Level 1'!K107</f>
        <v>1061549.72</v>
      </c>
      <c r="J107" s="96"/>
      <c r="L107" s="324"/>
      <c r="M107" s="40"/>
      <c r="N107" s="38"/>
      <c r="O107" s="51"/>
      <c r="P107" s="53"/>
      <c r="Q107" s="51"/>
      <c r="R107" s="54">
        <v>1199000</v>
      </c>
      <c r="S107" s="96"/>
      <c r="U107" s="296">
        <f t="shared" si="11"/>
        <v>-137450.28000000003</v>
      </c>
      <c r="W107" s="297">
        <f t="shared" si="12"/>
        <v>-0.11463743119266058</v>
      </c>
      <c r="Y107" s="313"/>
    </row>
    <row r="108" spans="1:25" hidden="1">
      <c r="A108" s="323" t="s">
        <v>407</v>
      </c>
      <c r="B108" s="135"/>
      <c r="C108" s="324" t="str">
        <f>'Level 1'!E108</f>
        <v>Allowance</v>
      </c>
      <c r="D108" s="40" t="str">
        <f>'Level 1'!F108</f>
        <v>LS</v>
      </c>
      <c r="E108" s="38">
        <f>'Level 1'!G108</f>
        <v>1</v>
      </c>
      <c r="F108" s="51">
        <f>'Level 1'!H108</f>
        <v>6000</v>
      </c>
      <c r="G108" s="53">
        <f>'Level 1'!I108</f>
        <v>0</v>
      </c>
      <c r="H108" s="51">
        <f>'Level 1'!J108</f>
        <v>6000</v>
      </c>
      <c r="I108" s="54">
        <f>'Level 1'!K108</f>
        <v>6000</v>
      </c>
      <c r="J108" s="96"/>
      <c r="L108" s="324"/>
      <c r="M108" s="40"/>
      <c r="N108" s="38"/>
      <c r="O108" s="51"/>
      <c r="P108" s="53"/>
      <c r="Q108" s="51"/>
      <c r="R108" s="54">
        <v>6000</v>
      </c>
      <c r="S108" s="96"/>
      <c r="U108" s="296">
        <f t="shared" si="11"/>
        <v>0</v>
      </c>
      <c r="W108" s="297">
        <f t="shared" si="12"/>
        <v>0</v>
      </c>
      <c r="Y108" s="313"/>
    </row>
    <row r="109" spans="1:25" hidden="1">
      <c r="A109" s="323" t="s">
        <v>408</v>
      </c>
      <c r="B109" s="135"/>
      <c r="C109" s="324" t="str">
        <f>'Level 1'!E109</f>
        <v>N/A</v>
      </c>
      <c r="D109" s="40">
        <f>'Level 1'!F109</f>
        <v>0</v>
      </c>
      <c r="E109" s="38">
        <f>'Level 1'!G109</f>
        <v>0</v>
      </c>
      <c r="F109" s="51">
        <f>'Level 1'!H109</f>
        <v>0</v>
      </c>
      <c r="G109" s="53">
        <f>'Level 1'!I109</f>
        <v>0</v>
      </c>
      <c r="H109" s="51">
        <f>'Level 1'!J109</f>
        <v>0</v>
      </c>
      <c r="I109" s="54">
        <f>'Level 1'!K109</f>
        <v>0</v>
      </c>
      <c r="J109" s="96"/>
      <c r="L109" s="324"/>
      <c r="M109" s="40"/>
      <c r="N109" s="38"/>
      <c r="O109" s="51"/>
      <c r="P109" s="53"/>
      <c r="Q109" s="51"/>
      <c r="R109" s="54">
        <v>0</v>
      </c>
      <c r="S109" s="96"/>
      <c r="U109" s="296">
        <f t="shared" si="11"/>
        <v>0</v>
      </c>
      <c r="W109" s="297">
        <f t="shared" si="12"/>
        <v>0</v>
      </c>
      <c r="Y109" s="313"/>
    </row>
    <row r="110" spans="1:25" hidden="1">
      <c r="A110" s="323" t="s">
        <v>410</v>
      </c>
      <c r="B110" s="135"/>
      <c r="C110" s="324" t="str">
        <f>'Level 1'!E110</f>
        <v>Allowance</v>
      </c>
      <c r="D110" s="40" t="str">
        <f>'Level 1'!F110</f>
        <v>LS</v>
      </c>
      <c r="E110" s="38">
        <f>'Level 1'!G110</f>
        <v>1</v>
      </c>
      <c r="F110" s="51">
        <f>'Level 1'!H110</f>
        <v>2000</v>
      </c>
      <c r="G110" s="53">
        <f>'Level 1'!I110</f>
        <v>0</v>
      </c>
      <c r="H110" s="51">
        <f>'Level 1'!J110</f>
        <v>2000</v>
      </c>
      <c r="I110" s="54">
        <f>'Level 1'!K110</f>
        <v>2000</v>
      </c>
      <c r="J110" s="96"/>
      <c r="L110" s="324"/>
      <c r="M110" s="40"/>
      <c r="N110" s="38"/>
      <c r="O110" s="51"/>
      <c r="P110" s="53"/>
      <c r="Q110" s="51"/>
      <c r="R110" s="54">
        <v>2000</v>
      </c>
      <c r="S110" s="96"/>
      <c r="U110" s="296">
        <f t="shared" si="11"/>
        <v>0</v>
      </c>
      <c r="W110" s="297">
        <f t="shared" si="12"/>
        <v>0</v>
      </c>
      <c r="Y110" s="313"/>
    </row>
    <row r="111" spans="1:25" hidden="1">
      <c r="A111" s="323" t="s">
        <v>412</v>
      </c>
      <c r="B111" s="135"/>
      <c r="C111" s="324" t="str">
        <f>'Level 1'!E111</f>
        <v>N/A</v>
      </c>
      <c r="D111" s="40">
        <f>'Level 1'!F111</f>
        <v>0</v>
      </c>
      <c r="E111" s="38">
        <f>'Level 1'!G111</f>
        <v>0</v>
      </c>
      <c r="F111" s="51">
        <f>'Level 1'!H111</f>
        <v>0</v>
      </c>
      <c r="G111" s="53">
        <f>'Level 1'!I111</f>
        <v>0</v>
      </c>
      <c r="H111" s="51">
        <f>'Level 1'!J111</f>
        <v>0</v>
      </c>
      <c r="I111" s="54">
        <f>'Level 1'!K111</f>
        <v>0</v>
      </c>
      <c r="J111" s="96"/>
      <c r="L111" s="324"/>
      <c r="M111" s="40"/>
      <c r="N111" s="38"/>
      <c r="O111" s="51"/>
      <c r="P111" s="53"/>
      <c r="Q111" s="51"/>
      <c r="R111" s="54">
        <v>0</v>
      </c>
      <c r="S111" s="96"/>
      <c r="U111" s="296">
        <f t="shared" si="11"/>
        <v>0</v>
      </c>
      <c r="W111" s="297">
        <f t="shared" si="12"/>
        <v>0</v>
      </c>
      <c r="Y111" s="313"/>
    </row>
    <row r="112" spans="1:25" hidden="1">
      <c r="A112" s="323" t="s">
        <v>414</v>
      </c>
      <c r="B112" s="135"/>
      <c r="C112" s="324" t="str">
        <f>'Level 1'!E112</f>
        <v>N/A</v>
      </c>
      <c r="D112" s="40">
        <f>'Level 1'!F112</f>
        <v>0</v>
      </c>
      <c r="E112" s="38">
        <f>'Level 1'!G112</f>
        <v>0</v>
      </c>
      <c r="F112" s="51">
        <f>'Level 1'!H112</f>
        <v>0</v>
      </c>
      <c r="G112" s="53">
        <f>'Level 1'!I112</f>
        <v>0</v>
      </c>
      <c r="H112" s="51">
        <f>'Level 1'!J112</f>
        <v>0</v>
      </c>
      <c r="I112" s="54">
        <f>'Level 1'!K112</f>
        <v>0</v>
      </c>
      <c r="J112" s="96"/>
      <c r="L112" s="324"/>
      <c r="M112" s="40"/>
      <c r="N112" s="38"/>
      <c r="O112" s="51"/>
      <c r="P112" s="53"/>
      <c r="Q112" s="51"/>
      <c r="R112" s="54">
        <v>0</v>
      </c>
      <c r="S112" s="96"/>
      <c r="U112" s="296">
        <f t="shared" si="11"/>
        <v>0</v>
      </c>
      <c r="W112" s="297">
        <f t="shared" si="12"/>
        <v>0</v>
      </c>
      <c r="Y112" s="313"/>
    </row>
    <row r="113" spans="1:25" hidden="1">
      <c r="A113" s="323" t="s">
        <v>416</v>
      </c>
      <c r="B113" s="135"/>
      <c r="C113" s="324" t="str">
        <f>'Level 1'!E113</f>
        <v>Allowance</v>
      </c>
      <c r="D113" s="40" t="str">
        <f>'Level 1'!F113</f>
        <v>LS</v>
      </c>
      <c r="E113" s="38">
        <f>'Level 1'!G113</f>
        <v>1</v>
      </c>
      <c r="F113" s="51">
        <f>'Level 1'!H113</f>
        <v>4500</v>
      </c>
      <c r="G113" s="53">
        <f>'Level 1'!I113</f>
        <v>0</v>
      </c>
      <c r="H113" s="51">
        <f>'Level 1'!J113</f>
        <v>4500</v>
      </c>
      <c r="I113" s="54">
        <f>'Level 1'!K113</f>
        <v>4500</v>
      </c>
      <c r="J113" s="96"/>
      <c r="L113" s="324"/>
      <c r="M113" s="40"/>
      <c r="N113" s="38"/>
      <c r="O113" s="51"/>
      <c r="P113" s="53"/>
      <c r="Q113" s="51"/>
      <c r="R113" s="54">
        <v>0</v>
      </c>
      <c r="S113" s="96"/>
      <c r="U113" s="296">
        <f t="shared" si="11"/>
        <v>4500</v>
      </c>
      <c r="W113" s="297">
        <f t="shared" si="12"/>
        <v>0</v>
      </c>
      <c r="Y113" s="313"/>
    </row>
    <row r="114" spans="1:25" hidden="1">
      <c r="A114" s="323" t="s">
        <v>417</v>
      </c>
      <c r="B114" s="135"/>
      <c r="C114" s="324" t="str">
        <f>'Level 1'!E114</f>
        <v>Torrey Pines</v>
      </c>
      <c r="D114" s="40" t="str">
        <f>'Level 1'!F114</f>
        <v>SF</v>
      </c>
      <c r="E114" s="38">
        <f>'Level 1'!G114</f>
        <v>431911</v>
      </c>
      <c r="F114" s="51">
        <f>'Level 1'!H114</f>
        <v>8.02</v>
      </c>
      <c r="G114" s="53">
        <f>'Level 1'!I114</f>
        <v>0</v>
      </c>
      <c r="H114" s="51">
        <f>'Level 1'!J114</f>
        <v>8.02</v>
      </c>
      <c r="I114" s="54">
        <f>'Level 1'!K114</f>
        <v>3463926.2199999997</v>
      </c>
      <c r="J114" s="96"/>
      <c r="L114" s="324"/>
      <c r="M114" s="40"/>
      <c r="N114" s="38"/>
      <c r="O114" s="51"/>
      <c r="P114" s="53"/>
      <c r="Q114" s="51"/>
      <c r="R114" s="54">
        <v>3600483.6</v>
      </c>
      <c r="S114" s="96"/>
      <c r="U114" s="296">
        <f t="shared" si="11"/>
        <v>-136557.38000000035</v>
      </c>
      <c r="W114" s="297">
        <f t="shared" si="12"/>
        <v>-3.7927510626628143E-2</v>
      </c>
      <c r="Y114" s="313"/>
    </row>
    <row r="115" spans="1:25" hidden="1">
      <c r="A115" s="323" t="s">
        <v>421</v>
      </c>
      <c r="B115" s="135"/>
      <c r="C115" s="324" t="str">
        <f>'Level 1'!E115</f>
        <v>Allowance</v>
      </c>
      <c r="D115" s="40" t="str">
        <f>'Level 1'!F115</f>
        <v xml:space="preserve">Unit </v>
      </c>
      <c r="E115" s="42">
        <f>'Level 1'!G115</f>
        <v>390</v>
      </c>
      <c r="F115" s="51">
        <f>'Level 1'!H115</f>
        <v>85</v>
      </c>
      <c r="G115" s="53">
        <f>'Level 1'!I115</f>
        <v>0</v>
      </c>
      <c r="H115" s="51">
        <f>'Level 1'!J115</f>
        <v>85</v>
      </c>
      <c r="I115" s="54">
        <f>'Level 1'!K115</f>
        <v>33150</v>
      </c>
      <c r="J115" s="96"/>
      <c r="L115" s="324"/>
      <c r="M115" s="40"/>
      <c r="N115" s="42"/>
      <c r="O115" s="51"/>
      <c r="P115" s="53"/>
      <c r="Q115" s="51"/>
      <c r="R115" s="54">
        <v>33065</v>
      </c>
      <c r="S115" s="96"/>
      <c r="U115" s="296">
        <f t="shared" si="11"/>
        <v>85</v>
      </c>
      <c r="W115" s="297">
        <f t="shared" si="12"/>
        <v>2.5706940874035988E-3</v>
      </c>
      <c r="Y115" s="313"/>
    </row>
    <row r="116" spans="1:25" hidden="1">
      <c r="A116" s="323" t="s">
        <v>422</v>
      </c>
      <c r="B116" s="135"/>
      <c r="C116" s="324" t="str">
        <f>'Level 1'!E116</f>
        <v>N/A</v>
      </c>
      <c r="D116" s="40">
        <f>'Level 1'!F116</f>
        <v>0</v>
      </c>
      <c r="E116" s="38">
        <f>'Level 1'!G116</f>
        <v>0</v>
      </c>
      <c r="F116" s="51">
        <f>'Level 1'!H116</f>
        <v>0</v>
      </c>
      <c r="G116" s="53">
        <f>'Level 1'!I116</f>
        <v>0</v>
      </c>
      <c r="H116" s="51">
        <f>'Level 1'!J116</f>
        <v>0</v>
      </c>
      <c r="I116" s="54">
        <f>'Level 1'!K116</f>
        <v>0</v>
      </c>
      <c r="J116" s="96"/>
      <c r="L116" s="324"/>
      <c r="M116" s="40"/>
      <c r="N116" s="38"/>
      <c r="O116" s="51"/>
      <c r="P116" s="53"/>
      <c r="Q116" s="51"/>
      <c r="R116" s="54">
        <v>0</v>
      </c>
      <c r="S116" s="96"/>
      <c r="U116" s="296">
        <f t="shared" si="11"/>
        <v>0</v>
      </c>
      <c r="W116" s="297">
        <f t="shared" si="12"/>
        <v>0</v>
      </c>
      <c r="Y116" s="313"/>
    </row>
    <row r="117" spans="1:25" hidden="1">
      <c r="A117" s="323" t="s">
        <v>424</v>
      </c>
      <c r="B117" s="135"/>
      <c r="C117" s="324" t="str">
        <f>'Level 1'!E117</f>
        <v>Pebble</v>
      </c>
      <c r="D117" s="40" t="str">
        <f>'Level 1'!F117</f>
        <v>LS</v>
      </c>
      <c r="E117" s="38">
        <f>'Level 1'!G117</f>
        <v>1</v>
      </c>
      <c r="F117" s="51">
        <f>'Level 1'!H117</f>
        <v>67657</v>
      </c>
      <c r="G117" s="53">
        <f>'Level 1'!I117</f>
        <v>0</v>
      </c>
      <c r="H117" s="51">
        <f>'Level 1'!J117</f>
        <v>67657</v>
      </c>
      <c r="I117" s="54">
        <f>'Level 1'!K117</f>
        <v>67657</v>
      </c>
      <c r="J117" s="96"/>
      <c r="L117" s="324"/>
      <c r="M117" s="40"/>
      <c r="N117" s="38"/>
      <c r="O117" s="51"/>
      <c r="P117" s="53"/>
      <c r="Q117" s="51"/>
      <c r="R117" s="54">
        <v>17191</v>
      </c>
      <c r="S117" s="96"/>
      <c r="U117" s="296">
        <f t="shared" si="11"/>
        <v>50466</v>
      </c>
      <c r="W117" s="297">
        <f t="shared" si="12"/>
        <v>2.935605840265255</v>
      </c>
      <c r="Y117" s="313" t="s">
        <v>1205</v>
      </c>
    </row>
    <row r="118" spans="1:25" hidden="1">
      <c r="A118" s="323" t="s">
        <v>427</v>
      </c>
      <c r="B118" s="135"/>
      <c r="C118" s="324" t="str">
        <f>'Level 1'!E118</f>
        <v>N/A</v>
      </c>
      <c r="D118" s="40">
        <f>'Level 1'!F118</f>
        <v>0</v>
      </c>
      <c r="E118" s="38">
        <f>'Level 1'!G118</f>
        <v>0</v>
      </c>
      <c r="F118" s="51">
        <f>'Level 1'!H118</f>
        <v>0</v>
      </c>
      <c r="G118" s="53">
        <f>'Level 1'!I118</f>
        <v>0</v>
      </c>
      <c r="H118" s="51">
        <f>'Level 1'!J118</f>
        <v>0</v>
      </c>
      <c r="I118" s="54">
        <f>'Level 1'!K118</f>
        <v>0</v>
      </c>
      <c r="J118" s="96"/>
      <c r="L118" s="324"/>
      <c r="M118" s="40"/>
      <c r="N118" s="38"/>
      <c r="O118" s="51"/>
      <c r="P118" s="53"/>
      <c r="Q118" s="51"/>
      <c r="R118" s="54">
        <v>0</v>
      </c>
      <c r="S118" s="96"/>
      <c r="U118" s="296">
        <f t="shared" si="11"/>
        <v>0</v>
      </c>
      <c r="W118" s="297">
        <f t="shared" si="12"/>
        <v>0</v>
      </c>
      <c r="Y118" s="313"/>
    </row>
    <row r="119" spans="1:25" hidden="1">
      <c r="A119" s="323" t="s">
        <v>429</v>
      </c>
      <c r="B119" s="135"/>
      <c r="C119" s="324" t="str">
        <f>'Level 1'!E119</f>
        <v>N/A</v>
      </c>
      <c r="D119" s="40">
        <f>'Level 1'!F119</f>
        <v>0</v>
      </c>
      <c r="E119" s="38">
        <f>'Level 1'!G119</f>
        <v>0</v>
      </c>
      <c r="F119" s="51">
        <f>'Level 1'!H119</f>
        <v>0</v>
      </c>
      <c r="G119" s="53">
        <f>'Level 1'!I119</f>
        <v>0</v>
      </c>
      <c r="H119" s="51">
        <f>'Level 1'!J119</f>
        <v>0</v>
      </c>
      <c r="I119" s="54">
        <f>'Level 1'!K119</f>
        <v>0</v>
      </c>
      <c r="J119" s="96"/>
      <c r="L119" s="324"/>
      <c r="M119" s="40"/>
      <c r="N119" s="38"/>
      <c r="O119" s="51"/>
      <c r="P119" s="53"/>
      <c r="Q119" s="51"/>
      <c r="R119" s="54">
        <v>0</v>
      </c>
      <c r="S119" s="96"/>
      <c r="U119" s="296">
        <f t="shared" si="11"/>
        <v>0</v>
      </c>
      <c r="W119" s="297">
        <f t="shared" si="12"/>
        <v>0</v>
      </c>
      <c r="Y119" s="313"/>
    </row>
    <row r="120" spans="1:25" hidden="1">
      <c r="A120" s="323" t="s">
        <v>431</v>
      </c>
      <c r="B120" s="135"/>
      <c r="C120" s="324" t="str">
        <f>'Level 1'!E120</f>
        <v>Decatur</v>
      </c>
      <c r="D120" s="40" t="str">
        <f>'Level 1'!F120</f>
        <v>SY</v>
      </c>
      <c r="E120" s="38">
        <f>'Level 1'!G120</f>
        <v>36919.555555555555</v>
      </c>
      <c r="F120" s="51">
        <f>'Level 1'!H120</f>
        <v>18.754769220888928</v>
      </c>
      <c r="G120" s="53">
        <f>'Level 1'!I120</f>
        <v>0</v>
      </c>
      <c r="H120" s="51">
        <f>'Level 1'!J120</f>
        <v>18.754769220888928</v>
      </c>
      <c r="I120" s="54">
        <f>'Level 1'!K120</f>
        <v>692417.74418223219</v>
      </c>
      <c r="J120" s="96"/>
      <c r="L120" s="324"/>
      <c r="M120" s="40"/>
      <c r="N120" s="38"/>
      <c r="O120" s="51"/>
      <c r="P120" s="53"/>
      <c r="Q120" s="51"/>
      <c r="R120" s="54">
        <v>639683.20888888882</v>
      </c>
      <c r="S120" s="96"/>
      <c r="U120" s="296">
        <f t="shared" si="11"/>
        <v>52734.535293343361</v>
      </c>
      <c r="W120" s="297">
        <f t="shared" si="12"/>
        <v>8.243851731694149E-2</v>
      </c>
      <c r="Y120" s="313" t="s">
        <v>1206</v>
      </c>
    </row>
    <row r="121" spans="1:25" hidden="1">
      <c r="A121" s="323" t="s">
        <v>435</v>
      </c>
      <c r="B121" s="135"/>
      <c r="C121" s="324">
        <f>'Level 1'!E121</f>
        <v>0</v>
      </c>
      <c r="D121" s="40">
        <f>'Level 1'!F121</f>
        <v>0</v>
      </c>
      <c r="E121" s="38">
        <f>'Level 1'!G121</f>
        <v>0</v>
      </c>
      <c r="F121" s="51">
        <f>'Level 1'!H121</f>
        <v>30184</v>
      </c>
      <c r="G121" s="53">
        <f>'Level 1'!I121</f>
        <v>0</v>
      </c>
      <c r="H121" s="51">
        <f>'Level 1'!J121</f>
        <v>30184</v>
      </c>
      <c r="I121" s="54">
        <f>'Level 1'!K121</f>
        <v>0</v>
      </c>
      <c r="J121" s="96"/>
      <c r="L121" s="324"/>
      <c r="M121" s="40"/>
      <c r="N121" s="38"/>
      <c r="O121" s="51"/>
      <c r="P121" s="53"/>
      <c r="Q121" s="51"/>
      <c r="R121" s="54">
        <v>33202.400000000001</v>
      </c>
      <c r="S121" s="96"/>
      <c r="U121" s="296">
        <f t="shared" si="11"/>
        <v>-33202.400000000001</v>
      </c>
      <c r="W121" s="297">
        <f t="shared" si="12"/>
        <v>-1</v>
      </c>
      <c r="Y121" s="313" t="s">
        <v>1203</v>
      </c>
    </row>
    <row r="122" spans="1:25" hidden="1">
      <c r="A122" s="323" t="s">
        <v>437</v>
      </c>
      <c r="B122" s="135"/>
      <c r="C122" s="324">
        <f>'Level 1'!E122</f>
        <v>0</v>
      </c>
      <c r="D122" s="40">
        <f>'Level 1'!F122</f>
        <v>0</v>
      </c>
      <c r="E122" s="38">
        <f>'Level 1'!G122</f>
        <v>0</v>
      </c>
      <c r="F122" s="51">
        <f>'Level 1'!H122</f>
        <v>1994</v>
      </c>
      <c r="G122" s="53">
        <f>'Level 1'!I122</f>
        <v>0</v>
      </c>
      <c r="H122" s="51">
        <f>'Level 1'!J122</f>
        <v>1994</v>
      </c>
      <c r="I122" s="54">
        <f>'Level 1'!K122</f>
        <v>0</v>
      </c>
      <c r="J122" s="96"/>
      <c r="L122" s="324"/>
      <c r="M122" s="40"/>
      <c r="N122" s="38"/>
      <c r="O122" s="51"/>
      <c r="P122" s="53"/>
      <c r="Q122" s="51"/>
      <c r="R122" s="54">
        <v>2193.4</v>
      </c>
      <c r="S122" s="96"/>
      <c r="U122" s="296">
        <f t="shared" si="11"/>
        <v>-2193.4</v>
      </c>
      <c r="W122" s="297">
        <f t="shared" si="12"/>
        <v>-1</v>
      </c>
      <c r="Y122" s="313" t="s">
        <v>1203</v>
      </c>
    </row>
    <row r="123" spans="1:25" hidden="1">
      <c r="A123" s="323" t="s">
        <v>439</v>
      </c>
      <c r="B123" s="135"/>
      <c r="C123" s="324" t="str">
        <f>'Level 1'!E123</f>
        <v>Pebble</v>
      </c>
      <c r="D123" s="40" t="str">
        <f>'Level 1'!F123</f>
        <v>SF</v>
      </c>
      <c r="E123" s="38">
        <f>'Level 1'!G123</f>
        <v>431911</v>
      </c>
      <c r="F123" s="51">
        <f>'Level 1'!H123</f>
        <v>0.37</v>
      </c>
      <c r="G123" s="53">
        <f>'Level 1'!I123</f>
        <v>0</v>
      </c>
      <c r="H123" s="51">
        <f>'Level 1'!J123</f>
        <v>0.37</v>
      </c>
      <c r="I123" s="54">
        <f>'Level 1'!K123</f>
        <v>159807.07</v>
      </c>
      <c r="J123" s="96"/>
      <c r="L123" s="324"/>
      <c r="M123" s="40"/>
      <c r="N123" s="38"/>
      <c r="O123" s="51"/>
      <c r="P123" s="53"/>
      <c r="Q123" s="51"/>
      <c r="R123" s="54">
        <v>235745.95</v>
      </c>
      <c r="S123" s="96"/>
      <c r="U123" s="296">
        <f t="shared" si="11"/>
        <v>-75938.880000000005</v>
      </c>
      <c r="W123" s="297">
        <f t="shared" si="12"/>
        <v>-0.32212167377636819</v>
      </c>
      <c r="Y123" s="313"/>
    </row>
    <row r="124" spans="1:25" hidden="1">
      <c r="A124" s="323" t="s">
        <v>441</v>
      </c>
      <c r="B124" s="135"/>
      <c r="C124" s="324" t="str">
        <f>'Level 1'!E124</f>
        <v>Allowance</v>
      </c>
      <c r="D124" s="40" t="str">
        <f>'Level 1'!F124</f>
        <v>Count</v>
      </c>
      <c r="E124" s="38">
        <f>'Level 1'!G124</f>
        <v>6</v>
      </c>
      <c r="F124" s="51">
        <f>'Level 1'!H124</f>
        <v>1000</v>
      </c>
      <c r="G124" s="53">
        <f>'Level 1'!I124</f>
        <v>0</v>
      </c>
      <c r="H124" s="51">
        <f>'Level 1'!J124</f>
        <v>1000</v>
      </c>
      <c r="I124" s="54">
        <f>'Level 1'!K124</f>
        <v>6000</v>
      </c>
      <c r="J124" s="96"/>
      <c r="L124" s="324"/>
      <c r="M124" s="40"/>
      <c r="N124" s="38"/>
      <c r="O124" s="51"/>
      <c r="P124" s="53"/>
      <c r="Q124" s="51"/>
      <c r="R124" s="54">
        <v>3000</v>
      </c>
      <c r="S124" s="96"/>
      <c r="U124" s="296">
        <f t="shared" si="11"/>
        <v>3000</v>
      </c>
      <c r="W124" s="297">
        <f t="shared" si="12"/>
        <v>1</v>
      </c>
      <c r="Y124" s="313"/>
    </row>
    <row r="125" spans="1:25" hidden="1">
      <c r="A125" s="323" t="s">
        <v>442</v>
      </c>
      <c r="B125" s="135"/>
      <c r="C125" s="324">
        <f>'Level 1'!E125</f>
        <v>0</v>
      </c>
      <c r="D125" s="40" t="str">
        <f>'Level 1'!F125</f>
        <v>SF</v>
      </c>
      <c r="E125" s="38">
        <f>'Level 1'!G125</f>
        <v>0</v>
      </c>
      <c r="F125" s="51">
        <f>'Level 1'!H125</f>
        <v>9.0909000000000004E-2</v>
      </c>
      <c r="G125" s="53">
        <f>'Level 1'!I125</f>
        <v>0</v>
      </c>
      <c r="H125" s="51">
        <f>'Level 1'!J125</f>
        <v>9.0909000000000004E-2</v>
      </c>
      <c r="I125" s="54">
        <f>'Level 1'!K125</f>
        <v>0</v>
      </c>
      <c r="J125" s="96"/>
      <c r="L125" s="324"/>
      <c r="M125" s="40"/>
      <c r="N125" s="38"/>
      <c r="O125" s="51"/>
      <c r="P125" s="53"/>
      <c r="Q125" s="51"/>
      <c r="R125" s="54">
        <v>42862.9</v>
      </c>
      <c r="S125" s="96"/>
      <c r="U125" s="296">
        <f t="shared" si="11"/>
        <v>-42862.9</v>
      </c>
      <c r="W125" s="297">
        <f t="shared" si="12"/>
        <v>-1</v>
      </c>
      <c r="Y125" s="313" t="s">
        <v>1203</v>
      </c>
    </row>
    <row r="126" spans="1:25" hidden="1">
      <c r="A126" s="323" t="s">
        <v>444</v>
      </c>
      <c r="B126" s="135"/>
      <c r="C126" s="324">
        <f>'Level 1'!E126</f>
        <v>0</v>
      </c>
      <c r="D126" s="40" t="str">
        <f>'Level 1'!F126</f>
        <v>SF</v>
      </c>
      <c r="E126" s="38">
        <f>'Level 1'!G126</f>
        <v>0</v>
      </c>
      <c r="F126" s="51">
        <f>'Level 1'!H126</f>
        <v>0.182</v>
      </c>
      <c r="G126" s="53">
        <f>'Level 1'!I126</f>
        <v>0</v>
      </c>
      <c r="H126" s="51">
        <f>'Level 1'!J126</f>
        <v>0.182</v>
      </c>
      <c r="I126" s="54">
        <f>'Level 1'!K126</f>
        <v>0</v>
      </c>
      <c r="J126" s="96"/>
      <c r="L126" s="324"/>
      <c r="M126" s="40"/>
      <c r="N126" s="38"/>
      <c r="O126" s="51"/>
      <c r="P126" s="53"/>
      <c r="Q126" s="51"/>
      <c r="R126" s="54">
        <v>8572.58</v>
      </c>
      <c r="S126" s="96"/>
      <c r="U126" s="296">
        <f t="shared" si="11"/>
        <v>-8572.58</v>
      </c>
      <c r="W126" s="297">
        <f t="shared" si="12"/>
        <v>-1</v>
      </c>
      <c r="Y126" s="313" t="s">
        <v>1203</v>
      </c>
    </row>
    <row r="127" spans="1:25" hidden="1">
      <c r="A127" s="323" t="s">
        <v>446</v>
      </c>
      <c r="B127" s="135"/>
      <c r="C127" s="324" t="str">
        <f>'Level 1'!E127</f>
        <v>Pebble</v>
      </c>
      <c r="D127" s="40" t="str">
        <f>'Level 1'!F127</f>
        <v>SF</v>
      </c>
      <c r="E127" s="38">
        <f>'Level 1'!G127</f>
        <v>2280</v>
      </c>
      <c r="F127" s="51">
        <f>'Level 1'!H127</f>
        <v>16.53</v>
      </c>
      <c r="G127" s="53">
        <f>'Level 1'!I127</f>
        <v>0</v>
      </c>
      <c r="H127" s="51">
        <f>'Level 1'!J127</f>
        <v>16.53</v>
      </c>
      <c r="I127" s="54">
        <f>'Level 1'!K127</f>
        <v>37688.400000000001</v>
      </c>
      <c r="J127" s="96"/>
      <c r="L127" s="324"/>
      <c r="M127" s="40"/>
      <c r="N127" s="38"/>
      <c r="O127" s="51"/>
      <c r="P127" s="53"/>
      <c r="Q127" s="51"/>
      <c r="R127" s="54">
        <v>30004.030000000002</v>
      </c>
      <c r="S127" s="96"/>
      <c r="U127" s="296">
        <f t="shared" si="11"/>
        <v>7684.369999999999</v>
      </c>
      <c r="W127" s="297">
        <f t="shared" si="12"/>
        <v>0.25611126238708593</v>
      </c>
      <c r="Y127" s="313"/>
    </row>
    <row r="128" spans="1:25" hidden="1">
      <c r="A128" s="323" t="s">
        <v>448</v>
      </c>
      <c r="B128" s="135"/>
      <c r="C128" s="324" t="str">
        <f>'Level 1'!E128</f>
        <v>Pebble</v>
      </c>
      <c r="D128" s="40" t="str">
        <f>'Level 1'!F128</f>
        <v>Flight Stais</v>
      </c>
      <c r="E128" s="38">
        <f>'Level 1'!G128</f>
        <v>52</v>
      </c>
      <c r="F128" s="51">
        <f>'Level 1'!H128</f>
        <v>462.03500000000003</v>
      </c>
      <c r="G128" s="53">
        <f>'Level 1'!I128</f>
        <v>0</v>
      </c>
      <c r="H128" s="51">
        <f>'Level 1'!J128</f>
        <v>462.03500000000003</v>
      </c>
      <c r="I128" s="54">
        <f>'Level 1'!K128</f>
        <v>24025.82</v>
      </c>
      <c r="J128" s="96"/>
      <c r="L128" s="324"/>
      <c r="M128" s="40"/>
      <c r="N128" s="38"/>
      <c r="O128" s="51"/>
      <c r="P128" s="53"/>
      <c r="Q128" s="51"/>
      <c r="R128" s="54">
        <v>34290.32</v>
      </c>
      <c r="S128" s="96"/>
      <c r="U128" s="296">
        <f t="shared" si="11"/>
        <v>-10264.5</v>
      </c>
      <c r="W128" s="297">
        <f t="shared" si="12"/>
        <v>-0.2993410385204921</v>
      </c>
      <c r="Y128" s="313"/>
    </row>
    <row r="129" spans="1:25" hidden="1">
      <c r="A129" s="323" t="s">
        <v>451</v>
      </c>
      <c r="B129" s="135"/>
      <c r="C129" s="324" t="str">
        <f>'Level 1'!E129</f>
        <v>Pebble</v>
      </c>
      <c r="D129" s="40" t="str">
        <f>'Level 1'!F129</f>
        <v>SF</v>
      </c>
      <c r="E129" s="38">
        <f>'Level 1'!G129</f>
        <v>11223.5</v>
      </c>
      <c r="F129" s="51">
        <f>'Level 1'!H129</f>
        <v>1.5</v>
      </c>
      <c r="G129" s="53">
        <f>'Level 1'!I129</f>
        <v>0</v>
      </c>
      <c r="H129" s="51">
        <f>'Level 1'!J129</f>
        <v>1.5</v>
      </c>
      <c r="I129" s="54">
        <f>'Level 1'!K129</f>
        <v>16835.25</v>
      </c>
      <c r="J129" s="96"/>
      <c r="L129" s="324"/>
      <c r="M129" s="40"/>
      <c r="N129" s="38"/>
      <c r="O129" s="51"/>
      <c r="P129" s="53"/>
      <c r="Q129" s="51"/>
      <c r="R129" s="54">
        <v>12858.869999999999</v>
      </c>
      <c r="S129" s="96"/>
      <c r="U129" s="296">
        <f t="shared" si="11"/>
        <v>3976.380000000001</v>
      </c>
      <c r="W129" s="297">
        <f t="shared" si="12"/>
        <v>0.30923245977290392</v>
      </c>
      <c r="Y129" s="313"/>
    </row>
    <row r="130" spans="1:25" hidden="1">
      <c r="A130" s="323" t="s">
        <v>453</v>
      </c>
      <c r="B130" s="135"/>
      <c r="C130" s="324" t="str">
        <f>'Level 1'!E130</f>
        <v>Pebble</v>
      </c>
      <c r="D130" s="40" t="str">
        <f>'Level 1'!F130</f>
        <v>SF</v>
      </c>
      <c r="E130" s="38">
        <f>'Level 1'!G130</f>
        <v>11223.5</v>
      </c>
      <c r="F130" s="51">
        <f>'Level 1'!H130</f>
        <v>10</v>
      </c>
      <c r="G130" s="53">
        <f>'Level 1'!I130</f>
        <v>0</v>
      </c>
      <c r="H130" s="51">
        <f>'Level 1'!J130</f>
        <v>10</v>
      </c>
      <c r="I130" s="54">
        <f>'Level 1'!K130</f>
        <v>112235</v>
      </c>
      <c r="J130" s="96"/>
      <c r="L130" s="324"/>
      <c r="M130" s="40"/>
      <c r="N130" s="38"/>
      <c r="O130" s="51"/>
      <c r="P130" s="53"/>
      <c r="Q130" s="51"/>
      <c r="R130" s="54">
        <v>115729.83</v>
      </c>
      <c r="S130" s="96"/>
      <c r="U130" s="296">
        <f t="shared" si="11"/>
        <v>-3494.8300000000017</v>
      </c>
      <c r="W130" s="297">
        <f t="shared" si="12"/>
        <v>-3.0198177945997169E-2</v>
      </c>
      <c r="Y130" s="313"/>
    </row>
    <row r="131" spans="1:25" hidden="1">
      <c r="A131" s="323" t="s">
        <v>455</v>
      </c>
      <c r="B131" s="135"/>
      <c r="C131" s="324" t="str">
        <f>'Level 1'!E131</f>
        <v>Allowance</v>
      </c>
      <c r="D131" s="40" t="str">
        <f>'Level 1'!F131</f>
        <v xml:space="preserve">Unit </v>
      </c>
      <c r="E131" s="42">
        <f>'Level 1'!G131</f>
        <v>390</v>
      </c>
      <c r="F131" s="51">
        <f>'Level 1'!H131</f>
        <v>85</v>
      </c>
      <c r="G131" s="53">
        <f>'Level 1'!I131</f>
        <v>0</v>
      </c>
      <c r="H131" s="51">
        <f>'Level 1'!J131</f>
        <v>85</v>
      </c>
      <c r="I131" s="54">
        <f>'Level 1'!K131</f>
        <v>33150</v>
      </c>
      <c r="J131" s="96"/>
      <c r="L131" s="324"/>
      <c r="M131" s="40"/>
      <c r="N131" s="42"/>
      <c r="O131" s="51"/>
      <c r="P131" s="53"/>
      <c r="Q131" s="51"/>
      <c r="R131" s="54">
        <v>33065</v>
      </c>
      <c r="S131" s="96"/>
      <c r="U131" s="296">
        <f t="shared" si="11"/>
        <v>85</v>
      </c>
      <c r="W131" s="297">
        <f t="shared" si="12"/>
        <v>2.5706940874035988E-3</v>
      </c>
      <c r="Y131" s="313"/>
    </row>
    <row r="132" spans="1:25" hidden="1">
      <c r="A132" s="323" t="s">
        <v>457</v>
      </c>
      <c r="B132" s="135"/>
      <c r="C132" s="324" t="str">
        <f>'Level 1'!E132</f>
        <v>Torrey Pines</v>
      </c>
      <c r="D132" s="40" t="str">
        <f>'Level 1'!F132</f>
        <v>SF</v>
      </c>
      <c r="E132" s="38">
        <f>'Level 1'!G132</f>
        <v>431911</v>
      </c>
      <c r="F132" s="51">
        <f>'Level 1'!H132</f>
        <v>1.84</v>
      </c>
      <c r="G132" s="53">
        <f>'Level 1'!I132</f>
        <v>0</v>
      </c>
      <c r="H132" s="51">
        <f>'Level 1'!J132</f>
        <v>1.84</v>
      </c>
      <c r="I132" s="54">
        <f>'Level 1'!K132</f>
        <v>794716.24</v>
      </c>
      <c r="J132" s="96"/>
      <c r="L132" s="324"/>
      <c r="M132" s="40"/>
      <c r="N132" s="38"/>
      <c r="O132" s="51"/>
      <c r="P132" s="53"/>
      <c r="Q132" s="51"/>
      <c r="R132" s="54">
        <v>868616.66850000003</v>
      </c>
      <c r="S132" s="96"/>
      <c r="U132" s="296">
        <f t="shared" si="11"/>
        <v>-73900.428500000038</v>
      </c>
      <c r="W132" s="297">
        <f t="shared" si="12"/>
        <v>-8.5078298839944527E-2</v>
      </c>
      <c r="Y132" s="313"/>
    </row>
    <row r="133" spans="1:25" hidden="1">
      <c r="A133" s="323" t="s">
        <v>460</v>
      </c>
      <c r="B133" s="135"/>
      <c r="C133" s="324" t="str">
        <f>'Level 1'!E133</f>
        <v>N/A</v>
      </c>
      <c r="D133" s="40">
        <f>'Level 1'!F133</f>
        <v>0</v>
      </c>
      <c r="E133" s="38">
        <f>'Level 1'!G133</f>
        <v>0</v>
      </c>
      <c r="F133" s="51">
        <f>'Level 1'!H133</f>
        <v>0</v>
      </c>
      <c r="G133" s="53">
        <f>'Level 1'!I133</f>
        <v>0</v>
      </c>
      <c r="H133" s="51">
        <f>'Level 1'!J133</f>
        <v>0</v>
      </c>
      <c r="I133" s="54">
        <f>'Level 1'!K133</f>
        <v>0</v>
      </c>
      <c r="J133" s="96"/>
      <c r="L133" s="324"/>
      <c r="M133" s="40"/>
      <c r="N133" s="38"/>
      <c r="O133" s="51"/>
      <c r="P133" s="53"/>
      <c r="Q133" s="51"/>
      <c r="R133" s="54">
        <v>0</v>
      </c>
      <c r="S133" s="96"/>
      <c r="U133" s="296">
        <f t="shared" si="11"/>
        <v>0</v>
      </c>
      <c r="W133" s="297">
        <f t="shared" si="12"/>
        <v>0</v>
      </c>
      <c r="Y133" s="313"/>
    </row>
    <row r="134" spans="1:25" hidden="1">
      <c r="A134" s="323" t="s">
        <v>462</v>
      </c>
      <c r="B134" s="135"/>
      <c r="C134" s="324" t="str">
        <f>'Level 1'!E134</f>
        <v>N/A</v>
      </c>
      <c r="D134" s="40">
        <f>'Level 1'!F134</f>
        <v>0</v>
      </c>
      <c r="E134" s="38">
        <f>'Level 1'!G134</f>
        <v>0</v>
      </c>
      <c r="F134" s="51">
        <f>'Level 1'!H134</f>
        <v>0</v>
      </c>
      <c r="G134" s="53">
        <f>'Level 1'!I134</f>
        <v>0</v>
      </c>
      <c r="H134" s="51">
        <f>'Level 1'!J134</f>
        <v>0</v>
      </c>
      <c r="I134" s="54">
        <f>'Level 1'!K134</f>
        <v>0</v>
      </c>
      <c r="J134" s="96"/>
      <c r="L134" s="324"/>
      <c r="M134" s="40"/>
      <c r="N134" s="38"/>
      <c r="O134" s="51"/>
      <c r="P134" s="53"/>
      <c r="Q134" s="51"/>
      <c r="R134" s="54">
        <v>0</v>
      </c>
      <c r="S134" s="96"/>
      <c r="U134" s="296">
        <f t="shared" si="11"/>
        <v>0</v>
      </c>
      <c r="W134" s="297">
        <f t="shared" si="12"/>
        <v>0</v>
      </c>
      <c r="Y134" s="313"/>
    </row>
    <row r="135" spans="1:25" hidden="1">
      <c r="A135" s="323" t="s">
        <v>464</v>
      </c>
      <c r="B135" s="135"/>
      <c r="C135" s="324" t="str">
        <f>'Level 1'!E135</f>
        <v>N/A</v>
      </c>
      <c r="D135" s="40">
        <f>'Level 1'!F135</f>
        <v>0</v>
      </c>
      <c r="E135" s="38">
        <f>'Level 1'!G135</f>
        <v>0</v>
      </c>
      <c r="F135" s="51">
        <f>'Level 1'!H135</f>
        <v>0</v>
      </c>
      <c r="G135" s="53">
        <f>'Level 1'!I135</f>
        <v>0</v>
      </c>
      <c r="H135" s="51">
        <f>'Level 1'!J135</f>
        <v>0</v>
      </c>
      <c r="I135" s="54">
        <f>'Level 1'!K135</f>
        <v>0</v>
      </c>
      <c r="J135" s="96"/>
      <c r="L135" s="324"/>
      <c r="M135" s="40"/>
      <c r="N135" s="38"/>
      <c r="O135" s="51"/>
      <c r="P135" s="53"/>
      <c r="Q135" s="51"/>
      <c r="R135" s="54">
        <v>0</v>
      </c>
      <c r="S135" s="96"/>
      <c r="U135" s="296">
        <f t="shared" si="11"/>
        <v>0</v>
      </c>
      <c r="W135" s="297">
        <f t="shared" si="12"/>
        <v>0</v>
      </c>
      <c r="Y135" s="313"/>
    </row>
    <row r="136" spans="1:25" hidden="1">
      <c r="A136" s="323" t="s">
        <v>466</v>
      </c>
      <c r="B136" s="135"/>
      <c r="C136" s="324" t="str">
        <f>'Level 1'!E136</f>
        <v>N/A</v>
      </c>
      <c r="D136" s="40">
        <f>'Level 1'!F136</f>
        <v>0</v>
      </c>
      <c r="E136" s="38">
        <f>'Level 1'!G136</f>
        <v>0</v>
      </c>
      <c r="F136" s="51">
        <f>'Level 1'!H136</f>
        <v>0</v>
      </c>
      <c r="G136" s="53">
        <f>'Level 1'!I136</f>
        <v>0</v>
      </c>
      <c r="H136" s="51">
        <f>'Level 1'!J136</f>
        <v>0</v>
      </c>
      <c r="I136" s="54">
        <f>'Level 1'!K136</f>
        <v>0</v>
      </c>
      <c r="J136" s="96"/>
      <c r="L136" s="324"/>
      <c r="M136" s="40"/>
      <c r="N136" s="38"/>
      <c r="O136" s="51"/>
      <c r="P136" s="53"/>
      <c r="Q136" s="51"/>
      <c r="R136" s="54">
        <v>0</v>
      </c>
      <c r="S136" s="96"/>
      <c r="U136" s="296">
        <f t="shared" si="11"/>
        <v>0</v>
      </c>
      <c r="W136" s="297">
        <f t="shared" si="12"/>
        <v>0</v>
      </c>
      <c r="Y136" s="313"/>
    </row>
    <row r="137" spans="1:25" hidden="1">
      <c r="A137" s="314" t="s">
        <v>467</v>
      </c>
      <c r="B137" s="135"/>
      <c r="C137" s="315"/>
      <c r="D137" s="151"/>
      <c r="E137" s="152"/>
      <c r="F137" s="153"/>
      <c r="G137" s="154"/>
      <c r="H137" s="153"/>
      <c r="I137" s="172"/>
      <c r="J137" s="316">
        <f>'Level 1'!L137</f>
        <v>580446</v>
      </c>
      <c r="L137" s="315"/>
      <c r="M137" s="151"/>
      <c r="N137" s="152"/>
      <c r="O137" s="153"/>
      <c r="P137" s="154"/>
      <c r="Q137" s="153"/>
      <c r="R137" s="172"/>
      <c r="S137" s="316">
        <v>376038.3</v>
      </c>
      <c r="U137" s="317">
        <f>J137-S137</f>
        <v>204407.7</v>
      </c>
      <c r="W137" s="318">
        <f>IF(S137=0,0,U137/S137)</f>
        <v>0.54358212979901255</v>
      </c>
      <c r="Y137" s="313"/>
    </row>
    <row r="138" spans="1:25" hidden="1">
      <c r="A138" s="321" t="s">
        <v>469</v>
      </c>
      <c r="B138" s="135"/>
      <c r="C138" s="322" t="str">
        <f>'Level 1'!E138</f>
        <v>N/A</v>
      </c>
      <c r="D138" s="47">
        <f>'Level 1'!F138</f>
        <v>0</v>
      </c>
      <c r="E138" s="42">
        <f>'Level 1'!G138</f>
        <v>0</v>
      </c>
      <c r="F138" s="61">
        <f>'Level 1'!H138</f>
        <v>0</v>
      </c>
      <c r="G138" s="63">
        <f>'Level 1'!I138</f>
        <v>0</v>
      </c>
      <c r="H138" s="66">
        <f>'Level 1'!J138</f>
        <v>0</v>
      </c>
      <c r="I138" s="67">
        <f>'Level 1'!K138</f>
        <v>0</v>
      </c>
      <c r="J138" s="96"/>
      <c r="L138" s="322"/>
      <c r="M138" s="47"/>
      <c r="N138" s="42"/>
      <c r="O138" s="61"/>
      <c r="P138" s="63"/>
      <c r="Q138" s="66"/>
      <c r="R138" s="67">
        <v>5478</v>
      </c>
      <c r="S138" s="96"/>
      <c r="U138" s="296">
        <f t="shared" ref="U138:U153" si="13">I138-R138</f>
        <v>-5478</v>
      </c>
      <c r="W138" s="297">
        <f t="shared" ref="W138:W153" si="14">IF(R138=0,0,U138/R138)</f>
        <v>-1</v>
      </c>
      <c r="Y138" s="313"/>
    </row>
    <row r="139" spans="1:25" hidden="1">
      <c r="A139" s="323" t="s">
        <v>471</v>
      </c>
      <c r="B139" s="135"/>
      <c r="C139" s="324" t="str">
        <f>'Level 1'!E139</f>
        <v>Russell IV</v>
      </c>
      <c r="D139" s="40" t="str">
        <f>'Level 1'!F139</f>
        <v>Unit</v>
      </c>
      <c r="E139" s="42">
        <f>'Level 1'!G139</f>
        <v>390</v>
      </c>
      <c r="F139" s="51">
        <f>'Level 1'!H139</f>
        <v>155</v>
      </c>
      <c r="G139" s="53">
        <f>'Level 1'!I139</f>
        <v>0</v>
      </c>
      <c r="H139" s="51">
        <f>'Level 1'!J139</f>
        <v>155</v>
      </c>
      <c r="I139" s="54">
        <f>'Level 1'!K139</f>
        <v>60450</v>
      </c>
      <c r="J139" s="96"/>
      <c r="L139" s="324"/>
      <c r="M139" s="40"/>
      <c r="N139" s="42"/>
      <c r="O139" s="51"/>
      <c r="P139" s="53"/>
      <c r="Q139" s="51"/>
      <c r="R139" s="54">
        <v>60295</v>
      </c>
      <c r="S139" s="96"/>
      <c r="U139" s="296">
        <f t="shared" si="13"/>
        <v>155</v>
      </c>
      <c r="W139" s="297">
        <f t="shared" si="14"/>
        <v>2.5706940874035988E-3</v>
      </c>
      <c r="Y139" s="313"/>
    </row>
    <row r="140" spans="1:25" hidden="1">
      <c r="A140" s="323" t="s">
        <v>474</v>
      </c>
      <c r="B140" s="135"/>
      <c r="C140" s="312" t="str">
        <f>'Level 1'!E140</f>
        <v>Allowance</v>
      </c>
      <c r="D140" s="40" t="str">
        <f>'Level 1'!F140</f>
        <v>LS</v>
      </c>
      <c r="E140" s="38">
        <f>'Level 1'!G140</f>
        <v>1</v>
      </c>
      <c r="F140" s="51">
        <f>'Level 1'!H140</f>
        <v>6000</v>
      </c>
      <c r="G140" s="53">
        <f>'Level 1'!I140</f>
        <v>0</v>
      </c>
      <c r="H140" s="51">
        <f>'Level 1'!J140</f>
        <v>6000</v>
      </c>
      <c r="I140" s="54">
        <f>'Level 1'!K140</f>
        <v>6000</v>
      </c>
      <c r="J140" s="96"/>
      <c r="L140" s="312"/>
      <c r="M140" s="40"/>
      <c r="N140" s="38"/>
      <c r="O140" s="51"/>
      <c r="P140" s="53"/>
      <c r="Q140" s="51"/>
      <c r="R140" s="54">
        <v>5688</v>
      </c>
      <c r="S140" s="96"/>
      <c r="U140" s="296">
        <f t="shared" si="13"/>
        <v>312</v>
      </c>
      <c r="W140" s="297">
        <f t="shared" si="14"/>
        <v>5.4852320675105488E-2</v>
      </c>
      <c r="Y140" s="313"/>
    </row>
    <row r="141" spans="1:25" hidden="1">
      <c r="A141" s="323" t="s">
        <v>477</v>
      </c>
      <c r="B141" s="135"/>
      <c r="C141" s="324" t="str">
        <f>'Level 1'!E141</f>
        <v>Allowance</v>
      </c>
      <c r="D141" s="40" t="str">
        <f>'Level 1'!F141</f>
        <v>LS</v>
      </c>
      <c r="E141" s="38">
        <f>'Level 1'!G141</f>
        <v>1</v>
      </c>
      <c r="F141" s="51">
        <f>'Level 1'!H141</f>
        <v>5000</v>
      </c>
      <c r="G141" s="53">
        <f>'Level 1'!I141</f>
        <v>0</v>
      </c>
      <c r="H141" s="51">
        <f>'Level 1'!J141</f>
        <v>5000</v>
      </c>
      <c r="I141" s="54">
        <f>'Level 1'!K141</f>
        <v>5000</v>
      </c>
      <c r="J141" s="96"/>
      <c r="L141" s="324"/>
      <c r="M141" s="40"/>
      <c r="N141" s="38"/>
      <c r="O141" s="51"/>
      <c r="P141" s="53"/>
      <c r="Q141" s="51"/>
      <c r="R141" s="54">
        <v>4500</v>
      </c>
      <c r="S141" s="96"/>
      <c r="U141" s="296">
        <f t="shared" si="13"/>
        <v>500</v>
      </c>
      <c r="W141" s="297">
        <f t="shared" si="14"/>
        <v>0.1111111111111111</v>
      </c>
      <c r="Y141" s="313"/>
    </row>
    <row r="142" spans="1:25" hidden="1">
      <c r="A142" s="323" t="s">
        <v>479</v>
      </c>
      <c r="B142" s="135"/>
      <c r="C142" s="324" t="str">
        <f>'Level 1'!E142</f>
        <v>Allowance</v>
      </c>
      <c r="D142" s="40" t="str">
        <f>'Level 1'!F142</f>
        <v>LS</v>
      </c>
      <c r="E142" s="38">
        <f>'Level 1'!G142</f>
        <v>1</v>
      </c>
      <c r="F142" s="51">
        <f>'Level 1'!H142</f>
        <v>7000</v>
      </c>
      <c r="G142" s="53">
        <f>'Level 1'!I142</f>
        <v>0</v>
      </c>
      <c r="H142" s="51">
        <f>'Level 1'!J142</f>
        <v>7000</v>
      </c>
      <c r="I142" s="54">
        <f>'Level 1'!K142</f>
        <v>7000</v>
      </c>
      <c r="J142" s="96"/>
      <c r="L142" s="324"/>
      <c r="M142" s="40"/>
      <c r="N142" s="38"/>
      <c r="O142" s="51"/>
      <c r="P142" s="53"/>
      <c r="Q142" s="51"/>
      <c r="R142" s="54">
        <v>7000</v>
      </c>
      <c r="S142" s="96"/>
      <c r="U142" s="296">
        <f t="shared" si="13"/>
        <v>0</v>
      </c>
      <c r="W142" s="297">
        <f t="shared" si="14"/>
        <v>0</v>
      </c>
      <c r="Y142" s="313"/>
    </row>
    <row r="143" spans="1:25" hidden="1">
      <c r="A143" s="323" t="s">
        <v>482</v>
      </c>
      <c r="B143" s="135"/>
      <c r="C143" s="324" t="str">
        <f>'Level 1'!E143</f>
        <v>Russell IV</v>
      </c>
      <c r="D143" s="40" t="str">
        <f>'Level 1'!F143</f>
        <v>Per Bathroom</v>
      </c>
      <c r="E143" s="42">
        <f>'Level 1'!G143</f>
        <v>557</v>
      </c>
      <c r="F143" s="51">
        <f>'Level 1'!H143</f>
        <v>17</v>
      </c>
      <c r="G143" s="53">
        <f>'Level 1'!I143</f>
        <v>0</v>
      </c>
      <c r="H143" s="51">
        <f>'Level 1'!J143</f>
        <v>17</v>
      </c>
      <c r="I143" s="54">
        <f>'Level 1'!K143</f>
        <v>9469</v>
      </c>
      <c r="J143" s="96"/>
      <c r="L143" s="324"/>
      <c r="M143" s="40"/>
      <c r="N143" s="42"/>
      <c r="O143" s="51"/>
      <c r="P143" s="53"/>
      <c r="Q143" s="51"/>
      <c r="R143" s="54">
        <v>7274.3000000000011</v>
      </c>
      <c r="S143" s="96"/>
      <c r="U143" s="296">
        <f t="shared" si="13"/>
        <v>2194.6999999999989</v>
      </c>
      <c r="W143" s="297">
        <f t="shared" si="14"/>
        <v>0.30170600607618581</v>
      </c>
      <c r="Y143" s="313"/>
    </row>
    <row r="144" spans="1:25" hidden="1">
      <c r="A144" s="323" t="s">
        <v>485</v>
      </c>
      <c r="B144" s="135"/>
      <c r="C144" s="324" t="str">
        <f>'Level 1'!E144</f>
        <v>N/A</v>
      </c>
      <c r="D144" s="40">
        <f>'Level 1'!F144</f>
        <v>0</v>
      </c>
      <c r="E144" s="38">
        <f>'Level 1'!G144</f>
        <v>0</v>
      </c>
      <c r="F144" s="51">
        <f>'Level 1'!H144</f>
        <v>0</v>
      </c>
      <c r="G144" s="53">
        <f>'Level 1'!I144</f>
        <v>0</v>
      </c>
      <c r="H144" s="51">
        <f>'Level 1'!J144</f>
        <v>0</v>
      </c>
      <c r="I144" s="54">
        <f>'Level 1'!K144</f>
        <v>0</v>
      </c>
      <c r="J144" s="96"/>
      <c r="L144" s="324"/>
      <c r="M144" s="40"/>
      <c r="N144" s="38"/>
      <c r="O144" s="51"/>
      <c r="P144" s="53"/>
      <c r="Q144" s="51"/>
      <c r="R144" s="54">
        <v>0</v>
      </c>
      <c r="S144" s="96"/>
      <c r="U144" s="296">
        <f t="shared" si="13"/>
        <v>0</v>
      </c>
      <c r="W144" s="297">
        <f t="shared" si="14"/>
        <v>0</v>
      </c>
      <c r="Y144" s="313"/>
    </row>
    <row r="145" spans="1:25" hidden="1">
      <c r="A145" s="323" t="s">
        <v>487</v>
      </c>
      <c r="B145" s="135"/>
      <c r="C145" s="324" t="str">
        <f>'Level 1'!E145</f>
        <v>N/A</v>
      </c>
      <c r="D145" s="40">
        <f>'Level 1'!F145</f>
        <v>0</v>
      </c>
      <c r="E145" s="38">
        <f>'Level 1'!G145</f>
        <v>0</v>
      </c>
      <c r="F145" s="51">
        <f>'Level 1'!H145</f>
        <v>0</v>
      </c>
      <c r="G145" s="53">
        <f>'Level 1'!I145</f>
        <v>0</v>
      </c>
      <c r="H145" s="51">
        <f>'Level 1'!J145</f>
        <v>0</v>
      </c>
      <c r="I145" s="54">
        <f>'Level 1'!K145</f>
        <v>0</v>
      </c>
      <c r="J145" s="96"/>
      <c r="L145" s="324"/>
      <c r="M145" s="40"/>
      <c r="N145" s="38"/>
      <c r="O145" s="51"/>
      <c r="P145" s="53"/>
      <c r="Q145" s="51"/>
      <c r="R145" s="54">
        <v>0</v>
      </c>
      <c r="S145" s="96"/>
      <c r="U145" s="296">
        <f t="shared" si="13"/>
        <v>0</v>
      </c>
      <c r="W145" s="297">
        <f t="shared" si="14"/>
        <v>0</v>
      </c>
      <c r="Y145" s="313"/>
    </row>
    <row r="146" spans="1:25" hidden="1">
      <c r="A146" s="323" t="s">
        <v>489</v>
      </c>
      <c r="B146" s="135"/>
      <c r="C146" s="324" t="str">
        <f>'Level 1'!E146</f>
        <v>N/A</v>
      </c>
      <c r="D146" s="40">
        <f>'Level 1'!F146</f>
        <v>0</v>
      </c>
      <c r="E146" s="38">
        <f>'Level 1'!G146</f>
        <v>0</v>
      </c>
      <c r="F146" s="51">
        <f>'Level 1'!H146</f>
        <v>0</v>
      </c>
      <c r="G146" s="53">
        <f>'Level 1'!I146</f>
        <v>0</v>
      </c>
      <c r="H146" s="51">
        <f>'Level 1'!J146</f>
        <v>0</v>
      </c>
      <c r="I146" s="54">
        <f>'Level 1'!K146</f>
        <v>0</v>
      </c>
      <c r="J146" s="96"/>
      <c r="L146" s="324"/>
      <c r="M146" s="40"/>
      <c r="N146" s="38"/>
      <c r="O146" s="51"/>
      <c r="P146" s="53"/>
      <c r="Q146" s="51"/>
      <c r="R146" s="54">
        <v>0</v>
      </c>
      <c r="S146" s="96"/>
      <c r="U146" s="296">
        <f t="shared" si="13"/>
        <v>0</v>
      </c>
      <c r="W146" s="297">
        <f t="shared" si="14"/>
        <v>0</v>
      </c>
      <c r="Y146" s="313"/>
    </row>
    <row r="147" spans="1:25" hidden="1">
      <c r="A147" s="323" t="s">
        <v>491</v>
      </c>
      <c r="B147" s="135"/>
      <c r="C147" s="324" t="str">
        <f>'Level 1'!E147</f>
        <v>Arzano</v>
      </c>
      <c r="D147" s="40" t="str">
        <f>'Level 1'!F147</f>
        <v>LS</v>
      </c>
      <c r="E147" s="38">
        <f>'Level 1'!G147</f>
        <v>6</v>
      </c>
      <c r="F147" s="51">
        <f>'Level 1'!H147</f>
        <v>3360</v>
      </c>
      <c r="G147" s="53">
        <f>'Level 1'!I147</f>
        <v>0</v>
      </c>
      <c r="H147" s="51">
        <f>'Level 1'!J147</f>
        <v>3360</v>
      </c>
      <c r="I147" s="54">
        <f>'Level 1'!K147</f>
        <v>20160</v>
      </c>
      <c r="J147" s="96"/>
      <c r="L147" s="324"/>
      <c r="M147" s="40"/>
      <c r="N147" s="38"/>
      <c r="O147" s="51"/>
      <c r="P147" s="53"/>
      <c r="Q147" s="51"/>
      <c r="R147" s="54">
        <v>20000</v>
      </c>
      <c r="S147" s="96"/>
      <c r="U147" s="296">
        <f t="shared" si="13"/>
        <v>160</v>
      </c>
      <c r="W147" s="297">
        <f t="shared" si="14"/>
        <v>8.0000000000000002E-3</v>
      </c>
      <c r="Y147" s="313"/>
    </row>
    <row r="148" spans="1:25" hidden="1">
      <c r="A148" s="323" t="s">
        <v>191</v>
      </c>
      <c r="B148" s="135"/>
      <c r="C148" s="324" t="str">
        <f>'Level 1'!E148</f>
        <v>Allowance</v>
      </c>
      <c r="D148" s="40" t="str">
        <f>'Level 1'!F148</f>
        <v>Count</v>
      </c>
      <c r="E148" s="38">
        <f>'Level 1'!G148</f>
        <v>10</v>
      </c>
      <c r="F148" s="51">
        <f>'Level 1'!H148</f>
        <v>600</v>
      </c>
      <c r="G148" s="53">
        <f>'Level 1'!I148</f>
        <v>0</v>
      </c>
      <c r="H148" s="51">
        <f>'Level 1'!J148</f>
        <v>600</v>
      </c>
      <c r="I148" s="54">
        <f>'Level 1'!K148</f>
        <v>6000</v>
      </c>
      <c r="J148" s="96"/>
      <c r="L148" s="324"/>
      <c r="M148" s="40"/>
      <c r="N148" s="38"/>
      <c r="O148" s="51"/>
      <c r="P148" s="53"/>
      <c r="Q148" s="51"/>
      <c r="R148" s="54">
        <v>2200</v>
      </c>
      <c r="S148" s="96"/>
      <c r="U148" s="296">
        <f t="shared" si="13"/>
        <v>3800</v>
      </c>
      <c r="W148" s="297">
        <f t="shared" si="14"/>
        <v>1.7272727272727273</v>
      </c>
      <c r="Y148" s="313"/>
    </row>
    <row r="149" spans="1:25" hidden="1">
      <c r="A149" s="323" t="s">
        <v>495</v>
      </c>
      <c r="B149" s="135"/>
      <c r="C149" s="324" t="str">
        <f>'Level 1'!E149</f>
        <v>Allowance</v>
      </c>
      <c r="D149" s="40" t="str">
        <f>'Level 1'!F149</f>
        <v>Unit</v>
      </c>
      <c r="E149" s="42">
        <f>'Level 1'!G149</f>
        <v>390</v>
      </c>
      <c r="F149" s="51">
        <f>'Level 1'!H149</f>
        <v>80</v>
      </c>
      <c r="G149" s="53">
        <f>'Level 1'!I149</f>
        <v>0</v>
      </c>
      <c r="H149" s="51">
        <f>'Level 1'!J149</f>
        <v>80</v>
      </c>
      <c r="I149" s="54">
        <f>'Level 1'!K149</f>
        <v>31200</v>
      </c>
      <c r="J149" s="96"/>
      <c r="L149" s="324"/>
      <c r="M149" s="40"/>
      <c r="N149" s="42"/>
      <c r="O149" s="51"/>
      <c r="P149" s="53"/>
      <c r="Q149" s="51"/>
      <c r="R149" s="54">
        <v>30731</v>
      </c>
      <c r="S149" s="96"/>
      <c r="U149" s="296">
        <f t="shared" si="13"/>
        <v>469</v>
      </c>
      <c r="W149" s="297">
        <f t="shared" si="14"/>
        <v>1.5261462366990986E-2</v>
      </c>
      <c r="Y149" s="313"/>
    </row>
    <row r="150" spans="1:25" hidden="1">
      <c r="A150" s="323" t="s">
        <v>497</v>
      </c>
      <c r="B150" s="135"/>
      <c r="C150" s="324" t="str">
        <f>'Level 1'!E150</f>
        <v>Rainbow</v>
      </c>
      <c r="D150" s="40" t="str">
        <f>'Level 1'!F150</f>
        <v>Unit</v>
      </c>
      <c r="E150" s="42">
        <f>'Level 1'!G150</f>
        <v>390</v>
      </c>
      <c r="F150" s="51">
        <f>'Level 1'!H150</f>
        <v>153</v>
      </c>
      <c r="G150" s="53">
        <f>'Level 1'!I150</f>
        <v>0.1</v>
      </c>
      <c r="H150" s="51">
        <f>'Level 1'!J150</f>
        <v>168.3</v>
      </c>
      <c r="I150" s="54">
        <f>'Level 1'!K150</f>
        <v>65637</v>
      </c>
      <c r="J150" s="96"/>
      <c r="L150" s="324"/>
      <c r="M150" s="40"/>
      <c r="N150" s="42"/>
      <c r="O150" s="51"/>
      <c r="P150" s="53"/>
      <c r="Q150" s="51"/>
      <c r="R150" s="54">
        <v>59517</v>
      </c>
      <c r="S150" s="96"/>
      <c r="U150" s="296">
        <f t="shared" si="13"/>
        <v>6120</v>
      </c>
      <c r="W150" s="297">
        <f t="shared" si="14"/>
        <v>0.10282776349614396</v>
      </c>
      <c r="Y150" s="313"/>
    </row>
    <row r="151" spans="1:25" hidden="1">
      <c r="A151" s="323" t="s">
        <v>499</v>
      </c>
      <c r="B151" s="135"/>
      <c r="C151" s="324" t="str">
        <f>'Level 1'!E151</f>
        <v>Torrey Pines</v>
      </c>
      <c r="D151" s="40" t="str">
        <f>'Level 1'!F151</f>
        <v>Unit</v>
      </c>
      <c r="E151" s="42">
        <f>'Level 1'!G151</f>
        <v>390</v>
      </c>
      <c r="F151" s="51">
        <f>'Level 1'!H151</f>
        <v>220</v>
      </c>
      <c r="G151" s="53">
        <f>'Level 1'!I151</f>
        <v>0.1</v>
      </c>
      <c r="H151" s="51">
        <f>'Level 1'!J151</f>
        <v>242.00000000000003</v>
      </c>
      <c r="I151" s="54">
        <f>'Level 1'!K151</f>
        <v>94380.000000000015</v>
      </c>
      <c r="J151" s="96"/>
      <c r="L151" s="324"/>
      <c r="M151" s="40"/>
      <c r="N151" s="42"/>
      <c r="O151" s="51"/>
      <c r="P151" s="53"/>
      <c r="Q151" s="51"/>
      <c r="R151" s="54">
        <v>75855</v>
      </c>
      <c r="S151" s="96"/>
      <c r="U151" s="296">
        <f t="shared" si="13"/>
        <v>18525.000000000015</v>
      </c>
      <c r="W151" s="297">
        <f t="shared" si="14"/>
        <v>0.24421593830334209</v>
      </c>
      <c r="Y151" s="313"/>
    </row>
    <row r="152" spans="1:25" hidden="1">
      <c r="A152" s="323" t="s">
        <v>502</v>
      </c>
      <c r="B152" s="135"/>
      <c r="C152" s="324" t="str">
        <f>'Level 1'!E152</f>
        <v>Torrey Pines</v>
      </c>
      <c r="D152" s="40" t="str">
        <f>'Level 1'!F152</f>
        <v>LF</v>
      </c>
      <c r="E152" s="38">
        <f>'Level 1'!G152</f>
        <v>72</v>
      </c>
      <c r="F152" s="51">
        <f>'Level 1'!H152</f>
        <v>2500</v>
      </c>
      <c r="G152" s="53">
        <f>'Level 1'!I152</f>
        <v>0</v>
      </c>
      <c r="H152" s="51">
        <f>'Level 1'!J152</f>
        <v>2500</v>
      </c>
      <c r="I152" s="54">
        <f>'Level 1'!K152</f>
        <v>180000</v>
      </c>
      <c r="J152" s="96"/>
      <c r="L152" s="324"/>
      <c r="M152" s="40"/>
      <c r="N152" s="38"/>
      <c r="O152" s="51"/>
      <c r="P152" s="53"/>
      <c r="Q152" s="51"/>
      <c r="R152" s="54">
        <v>37500</v>
      </c>
      <c r="S152" s="96"/>
      <c r="U152" s="296">
        <f t="shared" si="13"/>
        <v>142500</v>
      </c>
      <c r="W152" s="297">
        <f t="shared" si="14"/>
        <v>3.8</v>
      </c>
      <c r="Y152" s="313" t="s">
        <v>1207</v>
      </c>
    </row>
    <row r="153" spans="1:25" hidden="1">
      <c r="A153" s="323" t="s">
        <v>504</v>
      </c>
      <c r="B153" s="135"/>
      <c r="C153" s="324" t="str">
        <f>'Level 1'!E153</f>
        <v>Torrey Pines</v>
      </c>
      <c r="D153" s="40" t="str">
        <f>'Level 1'!F153</f>
        <v>LF</v>
      </c>
      <c r="E153" s="38">
        <f>'Level 1'!G153</f>
        <v>11</v>
      </c>
      <c r="F153" s="51">
        <f>'Level 1'!H153</f>
        <v>8650</v>
      </c>
      <c r="G153" s="53">
        <f>'Level 1'!I153</f>
        <v>0</v>
      </c>
      <c r="H153" s="51">
        <f>'Level 1'!J153</f>
        <v>8650</v>
      </c>
      <c r="I153" s="54">
        <f>'Level 1'!K153</f>
        <v>95150</v>
      </c>
      <c r="J153" s="96"/>
      <c r="L153" s="324"/>
      <c r="M153" s="40"/>
      <c r="N153" s="38"/>
      <c r="O153" s="51"/>
      <c r="P153" s="53"/>
      <c r="Q153" s="51"/>
      <c r="R153" s="54">
        <v>60000</v>
      </c>
      <c r="S153" s="96"/>
      <c r="U153" s="296">
        <f t="shared" si="13"/>
        <v>35150</v>
      </c>
      <c r="W153" s="297">
        <f t="shared" si="14"/>
        <v>0.58583333333333332</v>
      </c>
      <c r="Y153" s="313"/>
    </row>
    <row r="154" spans="1:25" hidden="1">
      <c r="A154" s="314" t="s">
        <v>505</v>
      </c>
      <c r="B154" s="135"/>
      <c r="C154" s="315"/>
      <c r="D154" s="151"/>
      <c r="E154" s="152"/>
      <c r="F154" s="153"/>
      <c r="G154" s="154"/>
      <c r="H154" s="153"/>
      <c r="I154" s="172"/>
      <c r="J154" s="316">
        <f>'Level 1'!L154</f>
        <v>1248584</v>
      </c>
      <c r="L154" s="315"/>
      <c r="M154" s="151"/>
      <c r="N154" s="152"/>
      <c r="O154" s="153"/>
      <c r="P154" s="154"/>
      <c r="Q154" s="153"/>
      <c r="R154" s="172"/>
      <c r="S154" s="316">
        <v>1176093.6500000001</v>
      </c>
      <c r="U154" s="317">
        <f>J154-S154</f>
        <v>72490.34999999986</v>
      </c>
      <c r="W154" s="318">
        <f>IF(S154=0,0,U154/S154)</f>
        <v>6.1636545695149238E-2</v>
      </c>
      <c r="Y154" s="313"/>
    </row>
    <row r="155" spans="1:25" hidden="1">
      <c r="A155" s="319" t="s">
        <v>507</v>
      </c>
      <c r="B155" s="135"/>
      <c r="C155" s="320" t="str">
        <f>'Level 1'!E155</f>
        <v>Pebble</v>
      </c>
      <c r="D155" s="65" t="str">
        <f>'Level 1'!F155</f>
        <v>Unit</v>
      </c>
      <c r="E155" s="43">
        <f>'Level 1'!G155</f>
        <v>390</v>
      </c>
      <c r="F155" s="64">
        <f>'Level 1'!H155</f>
        <v>3201.4974358974359</v>
      </c>
      <c r="G155" s="157">
        <f>'Level 1'!I155</f>
        <v>0</v>
      </c>
      <c r="H155" s="158">
        <f>'Level 1'!J155</f>
        <v>3201.4974358974359</v>
      </c>
      <c r="I155" s="159">
        <f>'Level 1'!K155</f>
        <v>1248584</v>
      </c>
      <c r="J155" s="96"/>
      <c r="L155" s="320"/>
      <c r="M155" s="65"/>
      <c r="N155" s="43"/>
      <c r="O155" s="64"/>
      <c r="P155" s="157"/>
      <c r="Q155" s="158"/>
      <c r="R155" s="159">
        <v>1176093.6500000001</v>
      </c>
      <c r="S155" s="96"/>
      <c r="U155" s="296">
        <f t="shared" ref="U155" si="15">I155-R155</f>
        <v>72490.34999999986</v>
      </c>
      <c r="W155" s="297">
        <f>IF(R155=0,0,U155/R155)</f>
        <v>6.1636545695149238E-2</v>
      </c>
      <c r="Y155" s="313"/>
    </row>
    <row r="156" spans="1:25" hidden="1">
      <c r="A156" s="314" t="s">
        <v>510</v>
      </c>
      <c r="B156" s="135"/>
      <c r="C156" s="315"/>
      <c r="D156" s="151"/>
      <c r="E156" s="152"/>
      <c r="F156" s="153"/>
      <c r="G156" s="154"/>
      <c r="H156" s="153"/>
      <c r="I156" s="172"/>
      <c r="J156" s="316">
        <f>'Level 1'!L157</f>
        <v>2373780.1008403362</v>
      </c>
      <c r="L156" s="315"/>
      <c r="M156" s="151"/>
      <c r="N156" s="152"/>
      <c r="O156" s="153"/>
      <c r="P156" s="154"/>
      <c r="Q156" s="153"/>
      <c r="R156" s="172"/>
      <c r="S156" s="316">
        <v>2418291.5</v>
      </c>
      <c r="U156" s="317">
        <f>J156-S156</f>
        <v>-44511.399159663823</v>
      </c>
      <c r="W156" s="318">
        <f>IF(S156=0,0,U156/S156)</f>
        <v>-1.84061347276223E-2</v>
      </c>
      <c r="Y156" s="313"/>
    </row>
    <row r="157" spans="1:25" hidden="1">
      <c r="A157" s="321" t="s">
        <v>307</v>
      </c>
      <c r="B157" s="135"/>
      <c r="C157" s="322">
        <f>'Level 1'!E158</f>
        <v>0</v>
      </c>
      <c r="D157" s="47" t="str">
        <f>'Level 1'!F158</f>
        <v>Unit</v>
      </c>
      <c r="E157" s="42">
        <f>'Level 1'!G158</f>
        <v>0</v>
      </c>
      <c r="F157" s="61">
        <f>'Level 1'!H158</f>
        <v>79</v>
      </c>
      <c r="G157" s="63">
        <f>'Level 1'!I158</f>
        <v>0</v>
      </c>
      <c r="H157" s="66">
        <f>'Level 1'!J158</f>
        <v>79</v>
      </c>
      <c r="I157" s="67">
        <f>'Level 1'!K158</f>
        <v>0</v>
      </c>
      <c r="J157" s="96"/>
      <c r="L157" s="322"/>
      <c r="M157" s="47"/>
      <c r="N157" s="42"/>
      <c r="O157" s="61"/>
      <c r="P157" s="63"/>
      <c r="Q157" s="66"/>
      <c r="R157" s="67">
        <v>30731</v>
      </c>
      <c r="S157" s="96"/>
      <c r="U157" s="296">
        <f t="shared" ref="U157:U164" si="16">I157-R157</f>
        <v>-30731</v>
      </c>
      <c r="W157" s="297">
        <f t="shared" ref="W157:W164" si="17">IF(R157=0,0,U157/R157)</f>
        <v>-1</v>
      </c>
      <c r="Y157" s="313" t="s">
        <v>1201</v>
      </c>
    </row>
    <row r="158" spans="1:25" hidden="1">
      <c r="A158" s="323" t="s">
        <v>513</v>
      </c>
      <c r="B158" s="135"/>
      <c r="C158" s="324" t="str">
        <f>'Level 1'!E159</f>
        <v>Decatur</v>
      </c>
      <c r="D158" s="40" t="str">
        <f>'Level 1'!F159</f>
        <v>Per Unit</v>
      </c>
      <c r="E158" s="42">
        <f>'Level 1'!G159</f>
        <v>390</v>
      </c>
      <c r="F158" s="51">
        <f>'Level 1'!H159</f>
        <v>377.77731092436977</v>
      </c>
      <c r="G158" s="53">
        <f>'Level 1'!I159</f>
        <v>0.15</v>
      </c>
      <c r="H158" s="51">
        <f>'Level 1'!J159</f>
        <v>434.44390756302522</v>
      </c>
      <c r="I158" s="54">
        <f>'Level 1'!K159</f>
        <v>169433.12394957984</v>
      </c>
      <c r="J158" s="96"/>
      <c r="L158" s="324"/>
      <c r="M158" s="40"/>
      <c r="N158" s="42"/>
      <c r="O158" s="51"/>
      <c r="P158" s="53"/>
      <c r="Q158" s="51"/>
      <c r="R158" s="54">
        <v>110495.44999999998</v>
      </c>
      <c r="S158" s="96"/>
      <c r="U158" s="296">
        <f t="shared" si="16"/>
        <v>58937.673949579854</v>
      </c>
      <c r="W158" s="297">
        <f t="shared" si="17"/>
        <v>0.5333945782344871</v>
      </c>
      <c r="Y158" s="313" t="s">
        <v>1066</v>
      </c>
    </row>
    <row r="159" spans="1:25" hidden="1">
      <c r="A159" s="323" t="s">
        <v>516</v>
      </c>
      <c r="B159" s="135"/>
      <c r="C159" s="324" t="str">
        <f>'Level 1'!E160</f>
        <v>Decatur</v>
      </c>
      <c r="D159" s="40" t="str">
        <f>'Level 1'!F160</f>
        <v>Unit</v>
      </c>
      <c r="E159" s="42">
        <f>'Level 1'!G160</f>
        <v>390</v>
      </c>
      <c r="F159" s="51">
        <f>'Level 1'!H160</f>
        <v>3148</v>
      </c>
      <c r="G159" s="53">
        <f>'Level 1'!I160</f>
        <v>0.15</v>
      </c>
      <c r="H159" s="51">
        <f>'Level 1'!J160</f>
        <v>3620.2</v>
      </c>
      <c r="I159" s="54">
        <f>'Level 1'!K160</f>
        <v>1411878</v>
      </c>
      <c r="J159" s="96"/>
      <c r="L159" s="324"/>
      <c r="M159" s="40"/>
      <c r="N159" s="42"/>
      <c r="O159" s="51"/>
      <c r="P159" s="53"/>
      <c r="Q159" s="51"/>
      <c r="R159" s="54">
        <v>1372022.45</v>
      </c>
      <c r="S159" s="96"/>
      <c r="U159" s="296">
        <f t="shared" si="16"/>
        <v>39855.550000000047</v>
      </c>
      <c r="W159" s="297">
        <f t="shared" si="17"/>
        <v>2.904875936979023E-2</v>
      </c>
      <c r="Y159" s="313" t="s">
        <v>1208</v>
      </c>
    </row>
    <row r="160" spans="1:25" hidden="1">
      <c r="A160" s="323" t="s">
        <v>520</v>
      </c>
      <c r="B160" s="135"/>
      <c r="C160" s="324" t="str">
        <f>'Level 1'!E161</f>
        <v>Pebble</v>
      </c>
      <c r="D160" s="40" t="str">
        <f>'Level 1'!F161</f>
        <v>LS</v>
      </c>
      <c r="E160" s="38">
        <f>'Level 1'!G161</f>
        <v>2</v>
      </c>
      <c r="F160" s="51">
        <f>'Level 1'!H161</f>
        <v>15700</v>
      </c>
      <c r="G160" s="53">
        <f>'Level 1'!I161</f>
        <v>0</v>
      </c>
      <c r="H160" s="51">
        <f>'Level 1'!J161</f>
        <v>15700</v>
      </c>
      <c r="I160" s="54">
        <f>'Level 1'!K161</f>
        <v>31400</v>
      </c>
      <c r="J160" s="96"/>
      <c r="L160" s="324"/>
      <c r="M160" s="40"/>
      <c r="N160" s="38"/>
      <c r="O160" s="51"/>
      <c r="P160" s="53"/>
      <c r="Q160" s="51"/>
      <c r="R160" s="54">
        <v>75000</v>
      </c>
      <c r="S160" s="96"/>
      <c r="U160" s="296">
        <f t="shared" si="16"/>
        <v>-43600</v>
      </c>
      <c r="W160" s="297">
        <f t="shared" si="17"/>
        <v>-0.58133333333333337</v>
      </c>
      <c r="Y160" s="313"/>
    </row>
    <row r="161" spans="1:25" hidden="1">
      <c r="A161" s="323" t="s">
        <v>523</v>
      </c>
      <c r="B161" s="135"/>
      <c r="C161" s="324" t="str">
        <f>'Level 1'!E162</f>
        <v>Decatur</v>
      </c>
      <c r="D161" s="40" t="str">
        <f>'Level 1'!F162</f>
        <v>Unit</v>
      </c>
      <c r="E161" s="42">
        <f>'Level 1'!G162</f>
        <v>390</v>
      </c>
      <c r="F161" s="51">
        <f>'Level 1'!H162</f>
        <v>1567.6008403361345</v>
      </c>
      <c r="G161" s="53">
        <f>'Level 1'!I162</f>
        <v>0.15</v>
      </c>
      <c r="H161" s="51">
        <f>'Level 1'!J162</f>
        <v>1802.7409663865546</v>
      </c>
      <c r="I161" s="54">
        <f>'Level 1'!K162</f>
        <v>703068.97689075628</v>
      </c>
      <c r="J161" s="96"/>
      <c r="L161" s="324"/>
      <c r="M161" s="40"/>
      <c r="N161" s="42"/>
      <c r="O161" s="51"/>
      <c r="P161" s="53"/>
      <c r="Q161" s="51"/>
      <c r="R161" s="54">
        <v>781963.60000000009</v>
      </c>
      <c r="S161" s="96"/>
      <c r="U161" s="296">
        <f t="shared" si="16"/>
        <v>-78894.62310924381</v>
      </c>
      <c r="W161" s="297">
        <f t="shared" si="17"/>
        <v>-0.10089296114198129</v>
      </c>
      <c r="Y161" s="313" t="s">
        <v>1209</v>
      </c>
    </row>
    <row r="162" spans="1:25" hidden="1">
      <c r="A162" s="323" t="s">
        <v>526</v>
      </c>
      <c r="B162" s="135"/>
      <c r="C162" s="324" t="str">
        <f>'Level 1'!E163</f>
        <v>Allowance</v>
      </c>
      <c r="D162" s="40" t="str">
        <f>'Level 1'!F163</f>
        <v>LS</v>
      </c>
      <c r="E162" s="38">
        <f>'Level 1'!G163</f>
        <v>2</v>
      </c>
      <c r="F162" s="51">
        <f>'Level 1'!H163</f>
        <v>20000</v>
      </c>
      <c r="G162" s="53">
        <f>'Level 1'!I163</f>
        <v>0</v>
      </c>
      <c r="H162" s="51">
        <f>'Level 1'!J163</f>
        <v>20000</v>
      </c>
      <c r="I162" s="54">
        <f>'Level 1'!K163</f>
        <v>40000</v>
      </c>
      <c r="J162" s="96"/>
      <c r="L162" s="324"/>
      <c r="M162" s="40"/>
      <c r="N162" s="38"/>
      <c r="O162" s="51"/>
      <c r="P162" s="53"/>
      <c r="Q162" s="51"/>
      <c r="R162" s="54">
        <v>35000</v>
      </c>
      <c r="S162" s="96"/>
      <c r="U162" s="296">
        <f t="shared" si="16"/>
        <v>5000</v>
      </c>
      <c r="W162" s="297">
        <f t="shared" si="17"/>
        <v>0.14285714285714285</v>
      </c>
      <c r="Y162" s="313"/>
    </row>
    <row r="163" spans="1:25" hidden="1">
      <c r="A163" s="323" t="s">
        <v>529</v>
      </c>
      <c r="B163" s="135"/>
      <c r="C163" s="324" t="str">
        <f>'Level 1'!E164</f>
        <v>N/A</v>
      </c>
      <c r="D163" s="40">
        <f>'Level 1'!F164</f>
        <v>0</v>
      </c>
      <c r="E163" s="38">
        <f>'Level 1'!G164</f>
        <v>0</v>
      </c>
      <c r="F163" s="51">
        <f>'Level 1'!H164</f>
        <v>0</v>
      </c>
      <c r="G163" s="53">
        <f>'Level 1'!I164</f>
        <v>0</v>
      </c>
      <c r="H163" s="51">
        <f>'Level 1'!J164</f>
        <v>0</v>
      </c>
      <c r="I163" s="54">
        <f>'Level 1'!K164</f>
        <v>0</v>
      </c>
      <c r="J163" s="96"/>
      <c r="L163" s="324"/>
      <c r="M163" s="40"/>
      <c r="N163" s="38"/>
      <c r="O163" s="51"/>
      <c r="P163" s="53"/>
      <c r="Q163" s="51"/>
      <c r="R163" s="54">
        <v>0</v>
      </c>
      <c r="S163" s="96"/>
      <c r="U163" s="296">
        <f t="shared" si="16"/>
        <v>0</v>
      </c>
      <c r="W163" s="297">
        <f t="shared" si="17"/>
        <v>0</v>
      </c>
      <c r="Y163" s="313"/>
    </row>
    <row r="164" spans="1:25" hidden="1">
      <c r="A164" s="323" t="s">
        <v>531</v>
      </c>
      <c r="B164" s="135"/>
      <c r="C164" s="324" t="str">
        <f>'Level 1'!E165</f>
        <v>Allowance</v>
      </c>
      <c r="D164" s="40" t="str">
        <f>'Level 1'!F165</f>
        <v>LS</v>
      </c>
      <c r="E164" s="38">
        <f>'Level 1'!G165</f>
        <v>3</v>
      </c>
      <c r="F164" s="51">
        <f>'Level 1'!H165</f>
        <v>6000</v>
      </c>
      <c r="G164" s="53">
        <f>'Level 1'!I165</f>
        <v>0</v>
      </c>
      <c r="H164" s="51">
        <f>'Level 1'!J165</f>
        <v>6000</v>
      </c>
      <c r="I164" s="54">
        <f>'Level 1'!K165</f>
        <v>18000</v>
      </c>
      <c r="J164" s="96"/>
      <c r="L164" s="324"/>
      <c r="M164" s="40"/>
      <c r="N164" s="38"/>
      <c r="O164" s="51"/>
      <c r="P164" s="53"/>
      <c r="Q164" s="51"/>
      <c r="R164" s="54">
        <v>13079.000000000002</v>
      </c>
      <c r="S164" s="96"/>
      <c r="U164" s="296">
        <f t="shared" si="16"/>
        <v>4920.9999999999982</v>
      </c>
      <c r="W164" s="297">
        <f t="shared" si="17"/>
        <v>0.37625200703417672</v>
      </c>
      <c r="Y164" s="313"/>
    </row>
    <row r="165" spans="1:25" hidden="1">
      <c r="A165" s="314" t="s">
        <v>534</v>
      </c>
      <c r="B165" s="135"/>
      <c r="C165" s="315"/>
      <c r="D165" s="151"/>
      <c r="E165" s="152"/>
      <c r="F165" s="153"/>
      <c r="G165" s="154"/>
      <c r="H165" s="153"/>
      <c r="I165" s="172"/>
      <c r="J165" s="316">
        <f>'Level 1'!L166</f>
        <v>1538212.8068965515</v>
      </c>
      <c r="L165" s="315"/>
      <c r="M165" s="151"/>
      <c r="N165" s="152"/>
      <c r="O165" s="153"/>
      <c r="P165" s="154"/>
      <c r="Q165" s="153"/>
      <c r="R165" s="172"/>
      <c r="S165" s="316">
        <v>1227428.1200000001</v>
      </c>
      <c r="U165" s="317">
        <f>J165-S165</f>
        <v>310784.6868965514</v>
      </c>
      <c r="W165" s="318">
        <f>IF(S165=0,0,U165/S165)</f>
        <v>0.25319990786633711</v>
      </c>
      <c r="Y165" s="313"/>
    </row>
    <row r="166" spans="1:25" hidden="1">
      <c r="A166" s="321" t="s">
        <v>536</v>
      </c>
      <c r="B166" s="135"/>
      <c r="C166" s="322" t="str">
        <f>'Level 1'!E167</f>
        <v>Torrey Pines</v>
      </c>
      <c r="D166" s="47" t="str">
        <f>'Level 1'!F167</f>
        <v>LS</v>
      </c>
      <c r="E166" s="42">
        <f>'Level 1'!G167</f>
        <v>1</v>
      </c>
      <c r="F166" s="61">
        <f>'Level 1'!H167</f>
        <v>245000</v>
      </c>
      <c r="G166" s="63">
        <f>'Level 1'!I167</f>
        <v>0</v>
      </c>
      <c r="H166" s="66">
        <f>'Level 1'!J167</f>
        <v>245000</v>
      </c>
      <c r="I166" s="67">
        <f>'Level 1'!K167</f>
        <v>245000</v>
      </c>
      <c r="J166" s="96"/>
      <c r="L166" s="322"/>
      <c r="M166" s="47"/>
      <c r="N166" s="42"/>
      <c r="O166" s="61"/>
      <c r="P166" s="63"/>
      <c r="Q166" s="66"/>
      <c r="R166" s="67">
        <v>317532</v>
      </c>
      <c r="S166" s="96"/>
      <c r="U166" s="296">
        <f t="shared" ref="U166:U168" si="18">I166-R166</f>
        <v>-72532</v>
      </c>
      <c r="W166" s="297">
        <f t="shared" ref="W166:W168" si="19">IF(R166=0,0,U166/R166)</f>
        <v>-0.22842422181071514</v>
      </c>
      <c r="Y166" s="313" t="s">
        <v>1210</v>
      </c>
    </row>
    <row r="167" spans="1:25" hidden="1">
      <c r="A167" s="323" t="s">
        <v>172</v>
      </c>
      <c r="B167" s="135"/>
      <c r="C167" s="324" t="str">
        <f>'Level 1'!E168</f>
        <v>Pebble</v>
      </c>
      <c r="D167" s="40" t="str">
        <f>'Level 1'!F168</f>
        <v>Count</v>
      </c>
      <c r="E167" s="38">
        <f>'Level 1'!G168</f>
        <v>388</v>
      </c>
      <c r="F167" s="51">
        <f>'Level 1'!H168</f>
        <v>2762.3793103448274</v>
      </c>
      <c r="G167" s="53">
        <f>'Level 1'!I168</f>
        <v>0.2</v>
      </c>
      <c r="H167" s="51">
        <f>'Level 1'!J168</f>
        <v>3314.8551724137928</v>
      </c>
      <c r="I167" s="54">
        <f>'Level 1'!K168</f>
        <v>1286163.8068965515</v>
      </c>
      <c r="J167" s="96"/>
      <c r="L167" s="324" t="s">
        <v>742</v>
      </c>
      <c r="M167" s="40" t="s">
        <v>88</v>
      </c>
      <c r="N167" s="38">
        <v>360</v>
      </c>
      <c r="O167" s="51">
        <v>2488.7170000000001</v>
      </c>
      <c r="P167" s="53">
        <v>0</v>
      </c>
      <c r="Q167" s="51">
        <v>2488.7170000000001</v>
      </c>
      <c r="R167" s="54">
        <v>895938.12</v>
      </c>
      <c r="S167" s="96"/>
      <c r="U167" s="296">
        <f t="shared" si="18"/>
        <v>390225.68689655152</v>
      </c>
      <c r="W167" s="297">
        <f t="shared" si="19"/>
        <v>0.43554981999934494</v>
      </c>
      <c r="Y167" s="313" t="s">
        <v>1102</v>
      </c>
    </row>
    <row r="168" spans="1:25" hidden="1">
      <c r="A168" s="323" t="s">
        <v>541</v>
      </c>
      <c r="B168" s="135"/>
      <c r="C168" s="324" t="str">
        <f>'Level 1'!E169</f>
        <v>Decatur</v>
      </c>
      <c r="D168" s="40" t="str">
        <f>'Level 1'!F169</f>
        <v>Count</v>
      </c>
      <c r="E168" s="38">
        <f>'Level 1'!G169</f>
        <v>1</v>
      </c>
      <c r="F168" s="51">
        <f>'Level 1'!H169</f>
        <v>7049</v>
      </c>
      <c r="G168" s="53">
        <f>'Level 1'!I169</f>
        <v>0</v>
      </c>
      <c r="H168" s="51">
        <f>'Level 1'!J169</f>
        <v>7049</v>
      </c>
      <c r="I168" s="54">
        <f>'Level 1'!K169</f>
        <v>7049</v>
      </c>
      <c r="J168" s="96"/>
      <c r="L168" s="324"/>
      <c r="M168" s="40"/>
      <c r="N168" s="38"/>
      <c r="O168" s="51"/>
      <c r="P168" s="53"/>
      <c r="Q168" s="51"/>
      <c r="R168" s="54">
        <v>13958</v>
      </c>
      <c r="S168" s="96"/>
      <c r="U168" s="296">
        <f t="shared" si="18"/>
        <v>-6909</v>
      </c>
      <c r="W168" s="297">
        <f t="shared" si="19"/>
        <v>-0.49498495486459376</v>
      </c>
      <c r="Y168" s="313"/>
    </row>
    <row r="169" spans="1:25" hidden="1">
      <c r="A169" s="314" t="s">
        <v>546</v>
      </c>
      <c r="B169" s="135"/>
      <c r="C169" s="315"/>
      <c r="D169" s="151"/>
      <c r="E169" s="152"/>
      <c r="F169" s="153"/>
      <c r="G169" s="154"/>
      <c r="H169" s="153"/>
      <c r="I169" s="172"/>
      <c r="J169" s="316" t="e">
        <f>'Level 1'!#REF!</f>
        <v>#REF!</v>
      </c>
      <c r="L169" s="315"/>
      <c r="M169" s="151"/>
      <c r="N169" s="152"/>
      <c r="O169" s="153"/>
      <c r="P169" s="154"/>
      <c r="Q169" s="153"/>
      <c r="R169" s="172"/>
      <c r="S169" s="316">
        <v>0</v>
      </c>
      <c r="U169" s="317" t="e">
        <f>J169-S169</f>
        <v>#REF!</v>
      </c>
      <c r="W169" s="318">
        <f>IF(S169=0,0,U169/S169)</f>
        <v>0</v>
      </c>
      <c r="Y169" s="313"/>
    </row>
    <row r="170" spans="1:25" hidden="1">
      <c r="A170" s="319" t="s">
        <v>546</v>
      </c>
      <c r="B170" s="135"/>
      <c r="C170" s="320" t="e">
        <f>'Level 1'!#REF!</f>
        <v>#REF!</v>
      </c>
      <c r="D170" s="65" t="e">
        <f>'Level 1'!#REF!</f>
        <v>#REF!</v>
      </c>
      <c r="E170" s="43" t="e">
        <f>'Level 1'!#REF!</f>
        <v>#REF!</v>
      </c>
      <c r="F170" s="64" t="e">
        <f>'Level 1'!#REF!</f>
        <v>#REF!</v>
      </c>
      <c r="G170" s="157" t="e">
        <f>'Level 1'!#REF!</f>
        <v>#REF!</v>
      </c>
      <c r="H170" s="158" t="e">
        <f>'Level 1'!#REF!</f>
        <v>#REF!</v>
      </c>
      <c r="I170" s="159" t="e">
        <f>'Level 1'!#REF!</f>
        <v>#REF!</v>
      </c>
      <c r="J170" s="96"/>
      <c r="L170" s="320"/>
      <c r="M170" s="65"/>
      <c r="N170" s="43"/>
      <c r="O170" s="64"/>
      <c r="P170" s="157"/>
      <c r="Q170" s="158"/>
      <c r="R170" s="159">
        <v>0</v>
      </c>
      <c r="S170" s="96"/>
      <c r="U170" s="296" t="e">
        <f t="shared" ref="U170" si="20">I170-R170</f>
        <v>#REF!</v>
      </c>
      <c r="W170" s="297">
        <f>IF(R170=0,0,U170/R170)</f>
        <v>0</v>
      </c>
      <c r="Y170" s="313"/>
    </row>
    <row r="171" spans="1:25" hidden="1">
      <c r="A171" s="314" t="s">
        <v>547</v>
      </c>
      <c r="B171" s="135"/>
      <c r="C171" s="315"/>
      <c r="D171" s="151"/>
      <c r="E171" s="152"/>
      <c r="F171" s="153"/>
      <c r="G171" s="154"/>
      <c r="H171" s="153"/>
      <c r="I171" s="172"/>
      <c r="J171" s="316">
        <f>'Level 1'!L170</f>
        <v>581746.66666666663</v>
      </c>
      <c r="L171" s="315"/>
      <c r="M171" s="151"/>
      <c r="N171" s="152"/>
      <c r="O171" s="153"/>
      <c r="P171" s="154"/>
      <c r="Q171" s="153"/>
      <c r="R171" s="172"/>
      <c r="S171" s="316">
        <v>481216</v>
      </c>
      <c r="U171" s="317">
        <f>J171-S171</f>
        <v>100530.66666666663</v>
      </c>
      <c r="W171" s="318">
        <f>IF(S171=0,0,U171/S171)</f>
        <v>0.20890965110608672</v>
      </c>
      <c r="Y171" s="313"/>
    </row>
    <row r="172" spans="1:25" hidden="1">
      <c r="A172" s="321" t="s">
        <v>549</v>
      </c>
      <c r="B172" s="135"/>
      <c r="C172" s="322" t="str">
        <f>'Level 1'!E171</f>
        <v>Decatur</v>
      </c>
      <c r="D172" s="47" t="str">
        <f>'Level 1'!F171</f>
        <v>Stop</v>
      </c>
      <c r="E172" s="42">
        <f>'Level 1'!G171</f>
        <v>16</v>
      </c>
      <c r="F172" s="61">
        <f>'Level 1'!H171</f>
        <v>35546.666666666664</v>
      </c>
      <c r="G172" s="63">
        <f>'Level 1'!I171</f>
        <v>0</v>
      </c>
      <c r="H172" s="66">
        <f>'Level 1'!J171</f>
        <v>35546.666666666664</v>
      </c>
      <c r="I172" s="67">
        <f>'Level 1'!K171</f>
        <v>568746.66666666663</v>
      </c>
      <c r="J172" s="96"/>
      <c r="L172" s="322"/>
      <c r="M172" s="47"/>
      <c r="N172" s="42"/>
      <c r="O172" s="61"/>
      <c r="P172" s="63"/>
      <c r="Q172" s="66"/>
      <c r="R172" s="67">
        <v>469216</v>
      </c>
      <c r="S172" s="96"/>
      <c r="U172" s="296">
        <f t="shared" ref="U172" si="21">I172-R172</f>
        <v>99530.666666666628</v>
      </c>
      <c r="W172" s="297">
        <f t="shared" ref="W172:W173" si="22">IF(R172=0,0,U172/R172)</f>
        <v>0.21212121212121204</v>
      </c>
      <c r="Y172" s="313" t="s">
        <v>1211</v>
      </c>
    </row>
    <row r="173" spans="1:25" hidden="1">
      <c r="A173" s="323" t="s">
        <v>553</v>
      </c>
      <c r="B173" s="135"/>
      <c r="C173" s="324" t="str">
        <f>'Level 1'!E172</f>
        <v>Russell IV</v>
      </c>
      <c r="D173" s="40" t="str">
        <f>'Level 1'!F172</f>
        <v>Count</v>
      </c>
      <c r="E173" s="38">
        <f>'Level 1'!G172</f>
        <v>2</v>
      </c>
      <c r="F173" s="51">
        <f>'Level 1'!H172</f>
        <v>6500</v>
      </c>
      <c r="G173" s="53">
        <f>'Level 1'!I172</f>
        <v>0</v>
      </c>
      <c r="H173" s="51">
        <f>'Level 1'!J172</f>
        <v>6500</v>
      </c>
      <c r="I173" s="54">
        <f>'Level 1'!K172</f>
        <v>13000</v>
      </c>
      <c r="J173" s="96"/>
      <c r="L173" s="324"/>
      <c r="M173" s="40"/>
      <c r="N173" s="38"/>
      <c r="O173" s="51"/>
      <c r="P173" s="53"/>
      <c r="Q173" s="51"/>
      <c r="R173" s="54">
        <v>12000</v>
      </c>
      <c r="S173" s="96"/>
      <c r="U173" s="296"/>
      <c r="W173" s="297">
        <f t="shared" si="22"/>
        <v>0</v>
      </c>
      <c r="Y173" s="313"/>
    </row>
    <row r="174" spans="1:25" hidden="1">
      <c r="A174" s="314" t="s">
        <v>556</v>
      </c>
      <c r="B174" s="135"/>
      <c r="C174" s="315"/>
      <c r="D174" s="151"/>
      <c r="E174" s="152"/>
      <c r="F174" s="153"/>
      <c r="G174" s="154"/>
      <c r="H174" s="153"/>
      <c r="I174" s="172"/>
      <c r="J174" s="316">
        <f>'Level 1'!L173</f>
        <v>1217096.6100000001</v>
      </c>
      <c r="L174" s="315"/>
      <c r="M174" s="151"/>
      <c r="N174" s="152"/>
      <c r="O174" s="153"/>
      <c r="P174" s="154"/>
      <c r="Q174" s="153"/>
      <c r="R174" s="172"/>
      <c r="S174" s="316">
        <v>1248365.8425</v>
      </c>
      <c r="U174" s="317">
        <f>J174-S174</f>
        <v>-31269.232499999925</v>
      </c>
      <c r="W174" s="318">
        <f>IF(S174=0,0,U174/S174)</f>
        <v>-2.5048132074312123E-2</v>
      </c>
      <c r="Y174" s="313"/>
    </row>
    <row r="175" spans="1:25" hidden="1">
      <c r="A175" s="321" t="s">
        <v>558</v>
      </c>
      <c r="B175" s="135"/>
      <c r="C175" s="322" t="str">
        <f>'Level 1'!E174</f>
        <v>Allowance</v>
      </c>
      <c r="D175" s="47" t="str">
        <f>'Level 1'!F174</f>
        <v>SF</v>
      </c>
      <c r="E175" s="42">
        <f>'Level 1'!G174</f>
        <v>431911</v>
      </c>
      <c r="F175" s="61">
        <f>'Level 1'!H174</f>
        <v>0.06</v>
      </c>
      <c r="G175" s="63">
        <f>'Level 1'!I174</f>
        <v>0</v>
      </c>
      <c r="H175" s="66">
        <f>'Level 1'!J174</f>
        <v>0.06</v>
      </c>
      <c r="I175" s="67">
        <f>'Level 1'!K174</f>
        <v>25914.66</v>
      </c>
      <c r="J175" s="96"/>
      <c r="L175" s="322"/>
      <c r="M175" s="47"/>
      <c r="N175" s="42"/>
      <c r="O175" s="61"/>
      <c r="P175" s="63"/>
      <c r="Q175" s="66"/>
      <c r="R175" s="67">
        <v>25717.739999999998</v>
      </c>
      <c r="S175" s="96"/>
      <c r="U175" s="296">
        <f t="shared" ref="U175:U177" si="23">I175-R175</f>
        <v>196.92000000000189</v>
      </c>
      <c r="W175" s="297">
        <f t="shared" ref="W175:W177" si="24">IF(R175=0,0,U175/R175)</f>
        <v>7.6569714135068601E-3</v>
      </c>
      <c r="Y175" s="313"/>
    </row>
    <row r="176" spans="1:25" hidden="1">
      <c r="A176" s="323" t="s">
        <v>560</v>
      </c>
      <c r="B176" s="135"/>
      <c r="C176" s="324" t="str">
        <f>'Level 1'!E175</f>
        <v>Torrey Pines</v>
      </c>
      <c r="D176" s="40" t="str">
        <f>'Level 1'!F175</f>
        <v>SF</v>
      </c>
      <c r="E176" s="38">
        <f>'Level 1'!G175</f>
        <v>431911</v>
      </c>
      <c r="F176" s="51">
        <f>'Level 1'!H175</f>
        <v>2.4500000000000002</v>
      </c>
      <c r="G176" s="53">
        <f>'Level 1'!I175</f>
        <v>0</v>
      </c>
      <c r="H176" s="51">
        <f>'Level 1'!J175</f>
        <v>2.4500000000000002</v>
      </c>
      <c r="I176" s="54">
        <f>'Level 1'!K175</f>
        <v>1058181.9500000002</v>
      </c>
      <c r="J176" s="96"/>
      <c r="L176" s="324"/>
      <c r="M176" s="40"/>
      <c r="N176" s="38"/>
      <c r="O176" s="51"/>
      <c r="P176" s="53"/>
      <c r="Q176" s="51"/>
      <c r="R176" s="54">
        <v>1102648.1025</v>
      </c>
      <c r="S176" s="96"/>
      <c r="U176" s="296">
        <f t="shared" si="23"/>
        <v>-44466.152499999851</v>
      </c>
      <c r="W176" s="297">
        <f t="shared" si="24"/>
        <v>-4.0326693891898163E-2</v>
      </c>
      <c r="Y176" s="313"/>
    </row>
    <row r="177" spans="1:25" hidden="1">
      <c r="A177" s="323" t="s">
        <v>562</v>
      </c>
      <c r="B177" s="135"/>
      <c r="C177" s="324" t="str">
        <f>'Level 1'!E176</f>
        <v>Torrey Pines</v>
      </c>
      <c r="D177" s="40" t="str">
        <f>'Level 1'!F176</f>
        <v>Count</v>
      </c>
      <c r="E177" s="38">
        <f>'Level 1'!G176</f>
        <v>1</v>
      </c>
      <c r="F177" s="51">
        <f>'Level 1'!H176</f>
        <v>133000</v>
      </c>
      <c r="G177" s="53">
        <f>'Level 1'!I176</f>
        <v>0</v>
      </c>
      <c r="H177" s="51">
        <f>'Level 1'!J176</f>
        <v>133000</v>
      </c>
      <c r="I177" s="54">
        <f>'Level 1'!K176</f>
        <v>133000</v>
      </c>
      <c r="J177" s="96"/>
      <c r="L177" s="324"/>
      <c r="M177" s="40"/>
      <c r="N177" s="38"/>
      <c r="O177" s="51"/>
      <c r="P177" s="53"/>
      <c r="Q177" s="51"/>
      <c r="R177" s="54">
        <v>120000</v>
      </c>
      <c r="S177" s="96"/>
      <c r="U177" s="296">
        <f t="shared" si="23"/>
        <v>13000</v>
      </c>
      <c r="W177" s="297">
        <f t="shared" si="24"/>
        <v>0.10833333333333334</v>
      </c>
      <c r="Y177" s="313"/>
    </row>
    <row r="178" spans="1:25" hidden="1">
      <c r="A178" s="314" t="s">
        <v>564</v>
      </c>
      <c r="B178" s="135"/>
      <c r="C178" s="315"/>
      <c r="D178" s="151"/>
      <c r="E178" s="152"/>
      <c r="F178" s="153"/>
      <c r="G178" s="154"/>
      <c r="H178" s="153"/>
      <c r="I178" s="172"/>
      <c r="J178" s="316">
        <f>'Level 1'!L177</f>
        <v>4668056.9812639821</v>
      </c>
      <c r="L178" s="315"/>
      <c r="M178" s="151"/>
      <c r="N178" s="152"/>
      <c r="O178" s="153"/>
      <c r="P178" s="154"/>
      <c r="Q178" s="153"/>
      <c r="R178" s="172"/>
      <c r="S178" s="316">
        <v>5160559.9000000004</v>
      </c>
      <c r="U178" s="317">
        <f>J178-S178</f>
        <v>-492502.91873601824</v>
      </c>
      <c r="W178" s="318">
        <f>IF(S178=0,0,U178/S178)</f>
        <v>-9.5435946540610495E-2</v>
      </c>
      <c r="Y178" s="313"/>
    </row>
    <row r="179" spans="1:25" hidden="1">
      <c r="A179" s="321" t="s">
        <v>566</v>
      </c>
      <c r="B179" s="135"/>
      <c r="C179" s="322" t="str">
        <f>'Level 1'!E178</f>
        <v>Torrey Pines</v>
      </c>
      <c r="D179" s="47" t="str">
        <f>'Level 1'!F178</f>
        <v>Count</v>
      </c>
      <c r="E179" s="42">
        <f>'Level 1'!G178</f>
        <v>223</v>
      </c>
      <c r="F179" s="61">
        <f>'Level 1'!H178</f>
        <v>10526</v>
      </c>
      <c r="G179" s="63">
        <f>'Level 1'!I178</f>
        <v>0</v>
      </c>
      <c r="H179" s="66">
        <f>'Level 1'!J178</f>
        <v>10526</v>
      </c>
      <c r="I179" s="67">
        <f>'Level 1'!K178</f>
        <v>2347298</v>
      </c>
      <c r="J179" s="96"/>
      <c r="L179" s="322" t="s">
        <v>742</v>
      </c>
      <c r="M179" s="47" t="s">
        <v>88</v>
      </c>
      <c r="N179" s="42">
        <v>212</v>
      </c>
      <c r="O179" s="61">
        <f t="shared" ref="O179:O180" si="25">Q179*0.9</f>
        <v>10443.510000000002</v>
      </c>
      <c r="P179" s="63">
        <v>0.1</v>
      </c>
      <c r="Q179" s="66">
        <v>11603.900000000001</v>
      </c>
      <c r="R179" s="67">
        <v>2460026.8000000003</v>
      </c>
      <c r="S179" s="96"/>
      <c r="U179" s="296">
        <f t="shared" ref="U179:U183" si="26">I179-R179</f>
        <v>-112728.80000000028</v>
      </c>
      <c r="W179" s="297">
        <f t="shared" ref="W179:W183" si="27">IF(R179=0,0,U179/R179)</f>
        <v>-4.5824216223985963E-2</v>
      </c>
      <c r="Y179" s="313" t="s">
        <v>1212</v>
      </c>
    </row>
    <row r="180" spans="1:25" hidden="1">
      <c r="A180" s="323" t="s">
        <v>569</v>
      </c>
      <c r="B180" s="135"/>
      <c r="C180" s="322" t="str">
        <f>'Level 1'!E179</f>
        <v>Flamingo</v>
      </c>
      <c r="D180" s="40" t="str">
        <f>'Level 1'!F179</f>
        <v>Count</v>
      </c>
      <c r="E180" s="38">
        <f>'Level 1'!G179</f>
        <v>167</v>
      </c>
      <c r="F180" s="51">
        <f>'Level 1'!H179</f>
        <v>13713.454977628635</v>
      </c>
      <c r="G180" s="53">
        <f>'Level 1'!I179</f>
        <v>0</v>
      </c>
      <c r="H180" s="51">
        <f>'Level 1'!J179</f>
        <v>13713.454977628635</v>
      </c>
      <c r="I180" s="54">
        <f>'Level 1'!K179</f>
        <v>2290146.9812639821</v>
      </c>
      <c r="J180" s="96"/>
      <c r="L180" s="322" t="s">
        <v>742</v>
      </c>
      <c r="M180" s="40" t="s">
        <v>88</v>
      </c>
      <c r="N180" s="38">
        <v>177</v>
      </c>
      <c r="O180" s="51">
        <f t="shared" si="25"/>
        <v>13575.87</v>
      </c>
      <c r="P180" s="53">
        <v>0.1</v>
      </c>
      <c r="Q180" s="51">
        <v>15084.300000000001</v>
      </c>
      <c r="R180" s="54">
        <v>2669921.1</v>
      </c>
      <c r="S180" s="96"/>
      <c r="U180" s="296">
        <f t="shared" si="26"/>
        <v>-379774.11873601796</v>
      </c>
      <c r="W180" s="297">
        <f t="shared" si="27"/>
        <v>-0.14224170097611422</v>
      </c>
      <c r="Y180" s="313"/>
    </row>
    <row r="181" spans="1:25" hidden="1">
      <c r="A181" s="323" t="s">
        <v>1104</v>
      </c>
      <c r="B181" s="135"/>
      <c r="C181" s="324" t="str">
        <f>'Level 1'!E180</f>
        <v>N/A</v>
      </c>
      <c r="D181" s="40">
        <f>'Level 1'!F180</f>
        <v>0</v>
      </c>
      <c r="E181" s="38">
        <f>'Level 1'!G180</f>
        <v>0</v>
      </c>
      <c r="F181" s="51">
        <f>'Level 1'!H180</f>
        <v>0</v>
      </c>
      <c r="G181" s="53">
        <f>'Level 1'!I180</f>
        <v>0</v>
      </c>
      <c r="H181" s="51">
        <f>'Level 1'!J180</f>
        <v>0</v>
      </c>
      <c r="I181" s="54">
        <f>'Level 1'!K180</f>
        <v>0</v>
      </c>
      <c r="J181" s="96"/>
      <c r="L181" s="324"/>
      <c r="M181" s="40"/>
      <c r="N181" s="38"/>
      <c r="O181" s="51"/>
      <c r="P181" s="53"/>
      <c r="Q181" s="51"/>
      <c r="R181" s="54">
        <v>0</v>
      </c>
      <c r="S181" s="96"/>
      <c r="U181" s="296">
        <f t="shared" si="26"/>
        <v>0</v>
      </c>
      <c r="W181" s="297">
        <f t="shared" si="27"/>
        <v>0</v>
      </c>
      <c r="Y181" s="313"/>
    </row>
    <row r="182" spans="1:25" hidden="1">
      <c r="A182" s="323" t="s">
        <v>572</v>
      </c>
      <c r="B182" s="135"/>
      <c r="C182" s="324" t="str">
        <f>'Level 1'!E181</f>
        <v>Torrey Pines</v>
      </c>
      <c r="D182" s="40" t="str">
        <f>'Level 1'!F181</f>
        <v>LS</v>
      </c>
      <c r="E182" s="38">
        <f>'Level 1'!G181</f>
        <v>1</v>
      </c>
      <c r="F182" s="51">
        <f>'Level 1'!H181</f>
        <v>24612</v>
      </c>
      <c r="G182" s="53">
        <f>'Level 1'!I181</f>
        <v>0</v>
      </c>
      <c r="H182" s="51">
        <f>'Level 1'!J181</f>
        <v>24612</v>
      </c>
      <c r="I182" s="54">
        <f>'Level 1'!K181</f>
        <v>24612</v>
      </c>
      <c r="J182" s="96"/>
      <c r="L182" s="324"/>
      <c r="M182" s="40"/>
      <c r="N182" s="38"/>
      <c r="O182" s="51"/>
      <c r="P182" s="53"/>
      <c r="Q182" s="51"/>
      <c r="R182" s="54">
        <v>24612</v>
      </c>
      <c r="S182" s="96"/>
      <c r="U182" s="296">
        <f t="shared" si="26"/>
        <v>0</v>
      </c>
      <c r="W182" s="297">
        <f t="shared" si="27"/>
        <v>0</v>
      </c>
      <c r="Y182" s="313"/>
    </row>
    <row r="183" spans="1:25" hidden="1">
      <c r="A183" s="323" t="s">
        <v>575</v>
      </c>
      <c r="B183" s="135"/>
      <c r="C183" s="324" t="str">
        <f>'Level 1'!E182</f>
        <v>Allowance</v>
      </c>
      <c r="D183" s="40" t="str">
        <f>'Level 1'!F182</f>
        <v>LS</v>
      </c>
      <c r="E183" s="38">
        <f>'Level 1'!G182</f>
        <v>1</v>
      </c>
      <c r="F183" s="51">
        <f>'Level 1'!H182</f>
        <v>6000</v>
      </c>
      <c r="G183" s="53">
        <f>'Level 1'!I182</f>
        <v>0</v>
      </c>
      <c r="H183" s="51">
        <f>'Level 1'!J182</f>
        <v>6000</v>
      </c>
      <c r="I183" s="54">
        <f>'Level 1'!K182</f>
        <v>6000</v>
      </c>
      <c r="J183" s="96"/>
      <c r="L183" s="324"/>
      <c r="M183" s="40"/>
      <c r="N183" s="38"/>
      <c r="O183" s="51"/>
      <c r="P183" s="53"/>
      <c r="Q183" s="51"/>
      <c r="R183" s="54">
        <v>6000</v>
      </c>
      <c r="S183" s="96"/>
      <c r="U183" s="296">
        <f t="shared" si="26"/>
        <v>0</v>
      </c>
      <c r="W183" s="297">
        <f t="shared" si="27"/>
        <v>0</v>
      </c>
      <c r="Y183" s="313"/>
    </row>
    <row r="184" spans="1:25" hidden="1">
      <c r="A184" s="314" t="s">
        <v>577</v>
      </c>
      <c r="B184" s="135"/>
      <c r="C184" s="315"/>
      <c r="D184" s="151"/>
      <c r="E184" s="152"/>
      <c r="F184" s="153"/>
      <c r="G184" s="154"/>
      <c r="H184" s="153"/>
      <c r="I184" s="172"/>
      <c r="J184" s="316">
        <f>'Level 1'!L183</f>
        <v>4216723.68</v>
      </c>
      <c r="L184" s="315"/>
      <c r="M184" s="151"/>
      <c r="N184" s="152"/>
      <c r="O184" s="153"/>
      <c r="P184" s="154"/>
      <c r="Q184" s="153"/>
      <c r="R184" s="172"/>
      <c r="S184" s="316">
        <v>4472265</v>
      </c>
      <c r="U184" s="317">
        <f>J184-S184</f>
        <v>-255541.3200000003</v>
      </c>
      <c r="W184" s="318">
        <f>IF(S184=0,0,U184/S184)</f>
        <v>-5.7139127489091168E-2</v>
      </c>
      <c r="Y184" s="313"/>
    </row>
    <row r="185" spans="1:25" hidden="1">
      <c r="A185" s="319" t="s">
        <v>582</v>
      </c>
      <c r="B185" s="135"/>
      <c r="C185" s="320" t="str">
        <f>'Level 1'!E184</f>
        <v>Hualapai</v>
      </c>
      <c r="D185" s="65" t="str">
        <f>'Level 1'!F184</f>
        <v>Unit</v>
      </c>
      <c r="E185" s="43">
        <f>'Level 1'!G184</f>
        <v>390</v>
      </c>
      <c r="F185" s="64">
        <f>'Level 1'!H184</f>
        <v>10812.111999999999</v>
      </c>
      <c r="G185" s="157">
        <f>'Level 1'!I184</f>
        <v>0</v>
      </c>
      <c r="H185" s="158">
        <f>'Level 1'!J184</f>
        <v>10812.111999999999</v>
      </c>
      <c r="I185" s="159">
        <f>'Level 1'!K184</f>
        <v>4216723.68</v>
      </c>
      <c r="J185" s="96"/>
      <c r="L185" s="320"/>
      <c r="M185" s="65" t="s">
        <v>88</v>
      </c>
      <c r="N185" s="43">
        <v>389</v>
      </c>
      <c r="O185" s="64">
        <v>10949.35732647815</v>
      </c>
      <c r="P185" s="157">
        <v>0.05</v>
      </c>
      <c r="Q185" s="158">
        <f>O185*1.05</f>
        <v>11496.825192802058</v>
      </c>
      <c r="R185" s="159">
        <v>4472265</v>
      </c>
      <c r="S185" s="96"/>
      <c r="U185" s="296">
        <f t="shared" ref="U185" si="28">I185-R185</f>
        <v>-255541.3200000003</v>
      </c>
      <c r="W185" s="297">
        <f>IF(R185=0,0,U185/R185)</f>
        <v>-5.7139127489091168E-2</v>
      </c>
      <c r="Y185" s="313" t="s">
        <v>1106</v>
      </c>
    </row>
    <row r="186" spans="1:25" hidden="1">
      <c r="A186" s="314" t="s">
        <v>587</v>
      </c>
      <c r="B186" s="135"/>
      <c r="C186" s="315"/>
      <c r="D186" s="151"/>
      <c r="E186" s="152"/>
      <c r="F186" s="153"/>
      <c r="G186" s="154"/>
      <c r="H186" s="153"/>
      <c r="I186" s="172"/>
      <c r="J186" s="316">
        <f>'Level 1'!L185</f>
        <v>5075012.7184999995</v>
      </c>
      <c r="L186" s="315"/>
      <c r="M186" s="151"/>
      <c r="N186" s="152"/>
      <c r="O186" s="153"/>
      <c r="P186" s="154"/>
      <c r="Q186" s="153"/>
      <c r="R186" s="172"/>
      <c r="S186" s="316">
        <v>5228658.78</v>
      </c>
      <c r="U186" s="317">
        <f>J186-S186</f>
        <v>-153646.06150000077</v>
      </c>
      <c r="W186" s="318">
        <f>IF(S186=0,0,U186/S186)</f>
        <v>-2.9385367828497076E-2</v>
      </c>
      <c r="Y186" s="313"/>
    </row>
    <row r="187" spans="1:25" hidden="1">
      <c r="A187" s="321" t="s">
        <v>590</v>
      </c>
      <c r="B187" s="135"/>
      <c r="C187" s="322" t="str">
        <f>'Level 1'!E186</f>
        <v>Torrey Pines</v>
      </c>
      <c r="D187" s="47" t="str">
        <f>'Level 1'!F186</f>
        <v>SF</v>
      </c>
      <c r="E187" s="42">
        <f>'Level 1'!G186</f>
        <v>431911</v>
      </c>
      <c r="F187" s="61">
        <f>'Level 1'!H186</f>
        <v>9.27</v>
      </c>
      <c r="G187" s="63">
        <f>'Level 1'!I186</f>
        <v>0.05</v>
      </c>
      <c r="H187" s="66">
        <f>'Level 1'!J186</f>
        <v>9.7334999999999994</v>
      </c>
      <c r="I187" s="67">
        <f>'Level 1'!K186</f>
        <v>4204005.7184999995</v>
      </c>
      <c r="J187" s="96"/>
      <c r="L187" s="322" t="s">
        <v>426</v>
      </c>
      <c r="M187" s="47" t="s">
        <v>61</v>
      </c>
      <c r="N187" s="42">
        <f>M9</f>
        <v>428629</v>
      </c>
      <c r="O187" s="61">
        <v>9.92</v>
      </c>
      <c r="P187" s="63">
        <v>7.0999999999999994E-2</v>
      </c>
      <c r="Q187" s="66">
        <f>O187*(1+P187)</f>
        <v>10.624319999999999</v>
      </c>
      <c r="R187" s="67">
        <v>4551999.6800000006</v>
      </c>
      <c r="S187" s="96"/>
      <c r="U187" s="296">
        <f t="shared" ref="U187:U203" si="29">I187-R187</f>
        <v>-347993.96150000114</v>
      </c>
      <c r="W187" s="297">
        <f t="shared" ref="W187:W203" si="30">IF(R187=0,0,U187/R187)</f>
        <v>-7.6448590941025962E-2</v>
      </c>
      <c r="Y187" s="313" t="s">
        <v>1213</v>
      </c>
    </row>
    <row r="188" spans="1:25" hidden="1">
      <c r="A188" s="323" t="s">
        <v>594</v>
      </c>
      <c r="B188" s="135"/>
      <c r="C188" s="324" t="str">
        <f>'Level 1'!E187</f>
        <v>Pebble</v>
      </c>
      <c r="D188" s="40" t="str">
        <f>'Level 1'!F187</f>
        <v>Unit</v>
      </c>
      <c r="E188" s="38">
        <f>'Level 1'!G187</f>
        <v>390</v>
      </c>
      <c r="F188" s="51">
        <f>'Level 1'!H187</f>
        <v>594</v>
      </c>
      <c r="G188" s="53">
        <f>'Level 1'!I187</f>
        <v>0.15</v>
      </c>
      <c r="H188" s="51">
        <f>'Level 1'!J187</f>
        <v>683.09999999999991</v>
      </c>
      <c r="I188" s="54">
        <f>'Level 1'!K187</f>
        <v>266408.99999999994</v>
      </c>
      <c r="J188" s="96"/>
      <c r="L188" s="324"/>
      <c r="M188" s="40"/>
      <c r="N188" s="38"/>
      <c r="O188" s="51"/>
      <c r="P188" s="53"/>
      <c r="Q188" s="51"/>
      <c r="R188" s="54">
        <v>229299</v>
      </c>
      <c r="S188" s="96"/>
      <c r="U188" s="296">
        <f t="shared" si="29"/>
        <v>37109.999999999942</v>
      </c>
      <c r="W188" s="297">
        <f t="shared" si="30"/>
        <v>0.16184108958172491</v>
      </c>
      <c r="Y188" s="313" t="s">
        <v>596</v>
      </c>
    </row>
    <row r="189" spans="1:25" hidden="1">
      <c r="A189" s="323" t="s">
        <v>597</v>
      </c>
      <c r="B189" s="135"/>
      <c r="C189" s="324" t="str">
        <f>'Level 1'!E188</f>
        <v>Russell IV</v>
      </c>
      <c r="D189" s="40" t="str">
        <f>'Level 1'!F188</f>
        <v>Unit</v>
      </c>
      <c r="E189" s="38">
        <f>'Level 1'!G188</f>
        <v>390</v>
      </c>
      <c r="F189" s="51">
        <f>'Level 1'!H188</f>
        <v>119</v>
      </c>
      <c r="G189" s="53">
        <f>'Level 1'!I188</f>
        <v>0</v>
      </c>
      <c r="H189" s="51">
        <f>'Level 1'!J188</f>
        <v>119</v>
      </c>
      <c r="I189" s="54">
        <f>'Level 1'!K188</f>
        <v>46410</v>
      </c>
      <c r="J189" s="96"/>
      <c r="L189" s="324"/>
      <c r="M189" s="40"/>
      <c r="N189" s="38"/>
      <c r="O189" s="51"/>
      <c r="P189" s="53"/>
      <c r="Q189" s="51"/>
      <c r="R189" s="54">
        <v>46291</v>
      </c>
      <c r="S189" s="96"/>
      <c r="U189" s="296">
        <f t="shared" si="29"/>
        <v>119</v>
      </c>
      <c r="W189" s="297">
        <f t="shared" si="30"/>
        <v>2.5706940874035988E-3</v>
      </c>
      <c r="Y189" s="313"/>
    </row>
    <row r="190" spans="1:25" hidden="1">
      <c r="A190" s="323" t="s">
        <v>599</v>
      </c>
      <c r="B190" s="135"/>
      <c r="C190" s="324" t="str">
        <f>'Level 1'!E189</f>
        <v>Russell IV</v>
      </c>
      <c r="D190" s="40" t="str">
        <f>'Level 1'!F189</f>
        <v>Unit</v>
      </c>
      <c r="E190" s="38">
        <f>'Level 1'!G189</f>
        <v>390</v>
      </c>
      <c r="F190" s="51">
        <f>'Level 1'!H189</f>
        <v>112</v>
      </c>
      <c r="G190" s="53">
        <f>'Level 1'!I189</f>
        <v>0</v>
      </c>
      <c r="H190" s="51">
        <f>'Level 1'!J189</f>
        <v>112</v>
      </c>
      <c r="I190" s="54">
        <f>'Level 1'!K189</f>
        <v>43680</v>
      </c>
      <c r="J190" s="96"/>
      <c r="L190" s="324"/>
      <c r="M190" s="40"/>
      <c r="N190" s="38"/>
      <c r="O190" s="51"/>
      <c r="P190" s="53"/>
      <c r="Q190" s="51"/>
      <c r="R190" s="54">
        <v>43568</v>
      </c>
      <c r="S190" s="96"/>
      <c r="U190" s="296">
        <f t="shared" si="29"/>
        <v>112</v>
      </c>
      <c r="W190" s="297">
        <f t="shared" si="30"/>
        <v>2.5706940874035988E-3</v>
      </c>
      <c r="Y190" s="313"/>
    </row>
    <row r="191" spans="1:25" hidden="1">
      <c r="A191" s="323" t="s">
        <v>601</v>
      </c>
      <c r="B191" s="135"/>
      <c r="C191" s="324" t="str">
        <f>'Level 1'!E190</f>
        <v>Russell IV</v>
      </c>
      <c r="D191" s="40" t="str">
        <f>'Level 1'!F190</f>
        <v>Space</v>
      </c>
      <c r="E191" s="38">
        <f>'Level 1'!G190</f>
        <v>388</v>
      </c>
      <c r="F191" s="51">
        <f>'Level 1'!H190</f>
        <v>138</v>
      </c>
      <c r="G191" s="53">
        <f>'Level 1'!I190</f>
        <v>0</v>
      </c>
      <c r="H191" s="51">
        <f>'Level 1'!J190</f>
        <v>138</v>
      </c>
      <c r="I191" s="54">
        <f>'Level 1'!K190</f>
        <v>53544</v>
      </c>
      <c r="J191" s="96"/>
      <c r="L191" s="324"/>
      <c r="M191" s="40"/>
      <c r="N191" s="38"/>
      <c r="O191" s="51"/>
      <c r="P191" s="53"/>
      <c r="Q191" s="51"/>
      <c r="R191" s="54">
        <v>49680</v>
      </c>
      <c r="S191" s="96"/>
      <c r="U191" s="296">
        <f t="shared" si="29"/>
        <v>3864</v>
      </c>
      <c r="W191" s="297">
        <f t="shared" si="30"/>
        <v>7.7777777777777779E-2</v>
      </c>
      <c r="Y191" s="313"/>
    </row>
    <row r="192" spans="1:25" hidden="1">
      <c r="A192" s="323" t="s">
        <v>604</v>
      </c>
      <c r="B192" s="135"/>
      <c r="C192" s="324" t="str">
        <f>'Level 1'!E191</f>
        <v>Russell IV</v>
      </c>
      <c r="D192" s="40" t="str">
        <f>'Level 1'!F191</f>
        <v>Space</v>
      </c>
      <c r="E192" s="38">
        <f>'Level 1'!G191</f>
        <v>388</v>
      </c>
      <c r="F192" s="51">
        <f>'Level 1'!H191</f>
        <v>24</v>
      </c>
      <c r="G192" s="53">
        <f>'Level 1'!I191</f>
        <v>0</v>
      </c>
      <c r="H192" s="51">
        <f>'Level 1'!J191</f>
        <v>24</v>
      </c>
      <c r="I192" s="54">
        <f>'Level 1'!K191</f>
        <v>9312</v>
      </c>
      <c r="J192" s="96"/>
      <c r="L192" s="324"/>
      <c r="M192" s="40"/>
      <c r="N192" s="38"/>
      <c r="O192" s="51"/>
      <c r="P192" s="53"/>
      <c r="Q192" s="51"/>
      <c r="R192" s="54">
        <v>18522</v>
      </c>
      <c r="S192" s="96"/>
      <c r="U192" s="296">
        <f t="shared" si="29"/>
        <v>-9210</v>
      </c>
      <c r="W192" s="297">
        <f t="shared" si="30"/>
        <v>-0.49724651765468092</v>
      </c>
      <c r="Y192" s="313"/>
    </row>
    <row r="193" spans="1:25" hidden="1">
      <c r="A193" s="323" t="s">
        <v>605</v>
      </c>
      <c r="B193" s="135"/>
      <c r="C193" s="324" t="str">
        <f>'Level 1'!E192</f>
        <v>N/A</v>
      </c>
      <c r="D193" s="40">
        <f>'Level 1'!F192</f>
        <v>0</v>
      </c>
      <c r="E193" s="38">
        <f>'Level 1'!G192</f>
        <v>0</v>
      </c>
      <c r="F193" s="51">
        <f>'Level 1'!H192</f>
        <v>0</v>
      </c>
      <c r="G193" s="53">
        <f>'Level 1'!I192</f>
        <v>0</v>
      </c>
      <c r="H193" s="51">
        <f>'Level 1'!J192</f>
        <v>0</v>
      </c>
      <c r="I193" s="54">
        <f>'Level 1'!K192</f>
        <v>0</v>
      </c>
      <c r="J193" s="96"/>
      <c r="L193" s="324"/>
      <c r="M193" s="40"/>
      <c r="N193" s="38"/>
      <c r="O193" s="51"/>
      <c r="P193" s="53"/>
      <c r="Q193" s="51"/>
      <c r="R193" s="54">
        <v>0</v>
      </c>
      <c r="S193" s="96"/>
      <c r="U193" s="296">
        <f t="shared" si="29"/>
        <v>0</v>
      </c>
      <c r="W193" s="297">
        <f t="shared" si="30"/>
        <v>0</v>
      </c>
      <c r="Y193" s="313"/>
    </row>
    <row r="194" spans="1:25" hidden="1">
      <c r="A194" s="323" t="s">
        <v>606</v>
      </c>
      <c r="B194" s="135"/>
      <c r="C194" s="324" t="str">
        <f>'Level 1'!E193</f>
        <v>N/A</v>
      </c>
      <c r="D194" s="40">
        <f>'Level 1'!F193</f>
        <v>0</v>
      </c>
      <c r="E194" s="38">
        <f>'Level 1'!G193</f>
        <v>0</v>
      </c>
      <c r="F194" s="51">
        <f>'Level 1'!H193</f>
        <v>0</v>
      </c>
      <c r="G194" s="53">
        <f>'Level 1'!I193</f>
        <v>0</v>
      </c>
      <c r="H194" s="51">
        <f>'Level 1'!J193</f>
        <v>0</v>
      </c>
      <c r="I194" s="54">
        <f>'Level 1'!K193</f>
        <v>0</v>
      </c>
      <c r="J194" s="96"/>
      <c r="L194" s="324"/>
      <c r="M194" s="40"/>
      <c r="N194" s="38"/>
      <c r="O194" s="51"/>
      <c r="P194" s="53"/>
      <c r="Q194" s="51"/>
      <c r="R194" s="54">
        <v>0</v>
      </c>
      <c r="S194" s="96"/>
      <c r="U194" s="296">
        <f t="shared" si="29"/>
        <v>0</v>
      </c>
      <c r="W194" s="297">
        <f t="shared" si="30"/>
        <v>0</v>
      </c>
      <c r="Y194" s="313"/>
    </row>
    <row r="195" spans="1:25" hidden="1">
      <c r="A195" s="323" t="s">
        <v>608</v>
      </c>
      <c r="B195" s="135"/>
      <c r="C195" s="324" t="str">
        <f>'Level 1'!E194</f>
        <v>LS</v>
      </c>
      <c r="D195" s="40" t="str">
        <f>'Level 1'!F194</f>
        <v>LS</v>
      </c>
      <c r="E195" s="38">
        <f>'Level 1'!G194</f>
        <v>1</v>
      </c>
      <c r="F195" s="51">
        <f>'Level 1'!H194</f>
        <v>275000</v>
      </c>
      <c r="G195" s="53">
        <f>'Level 1'!I194</f>
        <v>0</v>
      </c>
      <c r="H195" s="51">
        <f>'Level 1'!J194</f>
        <v>275000</v>
      </c>
      <c r="I195" s="54">
        <f>'Level 1'!K194</f>
        <v>275000</v>
      </c>
      <c r="J195" s="96"/>
      <c r="L195" s="324"/>
      <c r="M195" s="40"/>
      <c r="N195" s="38"/>
      <c r="O195" s="51"/>
      <c r="P195" s="53"/>
      <c r="Q195" s="51"/>
      <c r="R195" s="54">
        <v>175000</v>
      </c>
      <c r="S195" s="96"/>
      <c r="U195" s="296">
        <f>I195-R195</f>
        <v>100000</v>
      </c>
      <c r="W195" s="297">
        <f>IF(R195=0,0,U195/R195)</f>
        <v>0.5714285714285714</v>
      </c>
      <c r="Y195" s="313" t="s">
        <v>1214</v>
      </c>
    </row>
    <row r="196" spans="1:25">
      <c r="A196" s="323" t="s">
        <v>612</v>
      </c>
      <c r="B196" s="135"/>
      <c r="C196" s="324" t="s">
        <v>71</v>
      </c>
      <c r="D196" s="40" t="s">
        <v>71</v>
      </c>
      <c r="E196" s="38">
        <v>1</v>
      </c>
      <c r="F196" s="51">
        <f>'Level 1'!H195</f>
        <v>100000</v>
      </c>
      <c r="G196" s="53">
        <f>'Level 1'!I195</f>
        <v>0</v>
      </c>
      <c r="H196" s="51">
        <f>'Level 1'!J195</f>
        <v>100000</v>
      </c>
      <c r="I196" s="54">
        <f>'Level 1'!K195</f>
        <v>100000</v>
      </c>
      <c r="J196" s="96"/>
      <c r="L196" s="324"/>
      <c r="M196" s="40"/>
      <c r="N196" s="38"/>
      <c r="O196" s="51"/>
      <c r="P196" s="53"/>
      <c r="Q196" s="51"/>
      <c r="R196" s="54">
        <v>0</v>
      </c>
      <c r="S196" s="96"/>
      <c r="U196" s="296">
        <f t="shared" si="29"/>
        <v>100000</v>
      </c>
      <c r="W196" s="297">
        <f>IF(R196=0,0,U196/R196)</f>
        <v>0</v>
      </c>
      <c r="Y196" s="313" t="s">
        <v>1215</v>
      </c>
    </row>
    <row r="197" spans="1:25" hidden="1">
      <c r="A197" s="323" t="s">
        <v>613</v>
      </c>
      <c r="B197" s="135"/>
      <c r="C197" s="324" t="str">
        <f>'Level 1'!E196</f>
        <v>Russell IV</v>
      </c>
      <c r="D197" s="40" t="str">
        <f>'Level 1'!F196</f>
        <v>Acre</v>
      </c>
      <c r="E197" s="183">
        <f>'Level 1'!G196</f>
        <v>15.826000000000001</v>
      </c>
      <c r="F197" s="51">
        <f>'Level 1'!H196</f>
        <v>1000</v>
      </c>
      <c r="G197" s="53">
        <f>'Level 1'!I196</f>
        <v>0</v>
      </c>
      <c r="H197" s="51">
        <f>'Level 1'!J196</f>
        <v>1000</v>
      </c>
      <c r="I197" s="54">
        <f>'Level 1'!K196</f>
        <v>15826</v>
      </c>
      <c r="J197" s="96"/>
      <c r="L197" s="324"/>
      <c r="M197" s="40"/>
      <c r="N197" s="183"/>
      <c r="O197" s="51"/>
      <c r="P197" s="53"/>
      <c r="Q197" s="51"/>
      <c r="R197" s="54">
        <v>19500</v>
      </c>
      <c r="S197" s="96"/>
      <c r="U197" s="296">
        <f t="shared" si="29"/>
        <v>-3674</v>
      </c>
      <c r="W197" s="297">
        <f t="shared" si="30"/>
        <v>-0.18841025641025641</v>
      </c>
      <c r="Y197" s="313"/>
    </row>
    <row r="198" spans="1:25" hidden="1">
      <c r="A198" s="323" t="s">
        <v>617</v>
      </c>
      <c r="B198" s="135"/>
      <c r="C198" s="324" t="str">
        <f>'Level 1'!E197</f>
        <v>Russell IV</v>
      </c>
      <c r="D198" s="40" t="str">
        <f>'Level 1'!F197</f>
        <v>Acre</v>
      </c>
      <c r="E198" s="183">
        <f>'Level 1'!G197</f>
        <v>15.826000000000001</v>
      </c>
      <c r="F198" s="51">
        <f>'Level 1'!H197</f>
        <v>1000</v>
      </c>
      <c r="G198" s="53">
        <f>'Level 1'!I197</f>
        <v>0</v>
      </c>
      <c r="H198" s="51">
        <f>'Level 1'!J197</f>
        <v>1000</v>
      </c>
      <c r="I198" s="54">
        <f>'Level 1'!K197</f>
        <v>15826</v>
      </c>
      <c r="J198" s="96"/>
      <c r="L198" s="324"/>
      <c r="M198" s="40"/>
      <c r="N198" s="183"/>
      <c r="O198" s="51"/>
      <c r="P198" s="53"/>
      <c r="Q198" s="51"/>
      <c r="R198" s="54">
        <v>28024.1</v>
      </c>
      <c r="S198" s="96"/>
      <c r="U198" s="296">
        <f t="shared" si="29"/>
        <v>-12198.099999999999</v>
      </c>
      <c r="W198" s="297">
        <f t="shared" si="30"/>
        <v>-0.43527178392883265</v>
      </c>
      <c r="Y198" s="313"/>
    </row>
    <row r="199" spans="1:25" hidden="1">
      <c r="A199" s="323" t="s">
        <v>619</v>
      </c>
      <c r="B199" s="135"/>
      <c r="C199" s="324" t="str">
        <f>'Level 1'!E198</f>
        <v>Russell IV</v>
      </c>
      <c r="D199" s="40" t="str">
        <f>'Level 1'!F198</f>
        <v>LS</v>
      </c>
      <c r="E199" s="38">
        <f>'Level 1'!G198</f>
        <v>1</v>
      </c>
      <c r="F199" s="51">
        <f>'Level 1'!H198</f>
        <v>17000</v>
      </c>
      <c r="G199" s="53">
        <f>'Level 1'!I198</f>
        <v>0</v>
      </c>
      <c r="H199" s="51">
        <f>'Level 1'!J198</f>
        <v>17000</v>
      </c>
      <c r="I199" s="54">
        <f>'Level 1'!K198</f>
        <v>17000</v>
      </c>
      <c r="J199" s="96"/>
      <c r="L199" s="324"/>
      <c r="M199" s="40"/>
      <c r="N199" s="38"/>
      <c r="O199" s="51"/>
      <c r="P199" s="53"/>
      <c r="Q199" s="51"/>
      <c r="R199" s="54">
        <v>13178</v>
      </c>
      <c r="S199" s="96"/>
      <c r="U199" s="296">
        <f>I199-R199</f>
        <v>3822</v>
      </c>
      <c r="W199" s="297">
        <f t="shared" si="30"/>
        <v>0.29002883593868567</v>
      </c>
      <c r="Y199" s="313"/>
    </row>
    <row r="200" spans="1:25" hidden="1">
      <c r="A200" s="323" t="s">
        <v>621</v>
      </c>
      <c r="B200" s="135"/>
      <c r="C200" s="324" t="str">
        <f>'Level 1'!E199</f>
        <v>Russell IV</v>
      </c>
      <c r="D200" s="40" t="str">
        <f>'Level 1'!F199</f>
        <v>LS</v>
      </c>
      <c r="E200" s="38">
        <f>'Level 1'!G199</f>
        <v>1</v>
      </c>
      <c r="F200" s="51">
        <f>'Level 1'!H199</f>
        <v>11000</v>
      </c>
      <c r="G200" s="53">
        <f>'Level 1'!I199</f>
        <v>0</v>
      </c>
      <c r="H200" s="51">
        <f>'Level 1'!J199</f>
        <v>11000</v>
      </c>
      <c r="I200" s="54">
        <f>'Level 1'!K199</f>
        <v>11000</v>
      </c>
      <c r="J200" s="96"/>
      <c r="L200" s="324"/>
      <c r="M200" s="40"/>
      <c r="N200" s="38"/>
      <c r="O200" s="51"/>
      <c r="P200" s="53"/>
      <c r="Q200" s="51"/>
      <c r="R200" s="54">
        <v>22000</v>
      </c>
      <c r="S200" s="96"/>
      <c r="U200" s="296">
        <f t="shared" si="29"/>
        <v>-11000</v>
      </c>
      <c r="W200" s="297">
        <f t="shared" si="30"/>
        <v>-0.5</v>
      </c>
      <c r="Y200" s="313"/>
    </row>
    <row r="201" spans="1:25" hidden="1">
      <c r="A201" s="323" t="s">
        <v>623</v>
      </c>
      <c r="B201" s="135"/>
      <c r="C201" s="324" t="str">
        <f>'Level 1'!E200</f>
        <v>Russell IV</v>
      </c>
      <c r="D201" s="40" t="str">
        <f>'Level 1'!F200</f>
        <v>LS</v>
      </c>
      <c r="E201" s="38">
        <f>'Level 1'!G200</f>
        <v>1</v>
      </c>
      <c r="F201" s="51">
        <f>'Level 1'!H200</f>
        <v>2000</v>
      </c>
      <c r="G201" s="53">
        <f>'Level 1'!I200</f>
        <v>0</v>
      </c>
      <c r="H201" s="51">
        <f>'Level 1'!J200</f>
        <v>2000</v>
      </c>
      <c r="I201" s="54">
        <f>'Level 1'!K200</f>
        <v>2000</v>
      </c>
      <c r="J201" s="96"/>
      <c r="L201" s="324"/>
      <c r="M201" s="40"/>
      <c r="N201" s="38"/>
      <c r="O201" s="51"/>
      <c r="P201" s="53"/>
      <c r="Q201" s="51"/>
      <c r="R201" s="54">
        <v>4000</v>
      </c>
      <c r="S201" s="96"/>
      <c r="U201" s="296">
        <f t="shared" si="29"/>
        <v>-2000</v>
      </c>
      <c r="W201" s="297">
        <f t="shared" si="30"/>
        <v>-0.5</v>
      </c>
      <c r="Y201" s="313"/>
    </row>
    <row r="202" spans="1:25" hidden="1">
      <c r="A202" s="323" t="s">
        <v>625</v>
      </c>
      <c r="B202" s="135"/>
      <c r="C202" s="324" t="str">
        <f>'Level 1'!E201</f>
        <v>Russell IV</v>
      </c>
      <c r="D202" s="40" t="str">
        <f>'Level 1'!F201</f>
        <v>LS</v>
      </c>
      <c r="E202" s="38">
        <f>'Level 1'!G201</f>
        <v>1</v>
      </c>
      <c r="F202" s="51">
        <f>'Level 1'!H201</f>
        <v>14250</v>
      </c>
      <c r="G202" s="53">
        <f>'Level 1'!I201</f>
        <v>0</v>
      </c>
      <c r="H202" s="51">
        <f>'Level 1'!J201</f>
        <v>14250</v>
      </c>
      <c r="I202" s="54">
        <f>'Level 1'!K201</f>
        <v>14250</v>
      </c>
      <c r="J202" s="96"/>
      <c r="L202" s="324"/>
      <c r="M202" s="40"/>
      <c r="N202" s="38"/>
      <c r="O202" s="51"/>
      <c r="P202" s="53"/>
      <c r="Q202" s="51"/>
      <c r="R202" s="54">
        <v>26997</v>
      </c>
      <c r="S202" s="96"/>
      <c r="U202" s="296">
        <f t="shared" si="29"/>
        <v>-12747</v>
      </c>
      <c r="W202" s="297">
        <f t="shared" si="30"/>
        <v>-0.47216357373041451</v>
      </c>
      <c r="Y202" s="313"/>
    </row>
    <row r="203" spans="1:25" hidden="1">
      <c r="A203" s="323" t="s">
        <v>626</v>
      </c>
      <c r="B203" s="135"/>
      <c r="C203" s="324" t="str">
        <f>'Level 1'!E202</f>
        <v>Russell IV</v>
      </c>
      <c r="D203" s="40" t="str">
        <f>'Level 1'!F202</f>
        <v>LS</v>
      </c>
      <c r="E203" s="38">
        <f>'Level 1'!G202</f>
        <v>1</v>
      </c>
      <c r="F203" s="51">
        <f>'Level 1'!H202</f>
        <v>750</v>
      </c>
      <c r="G203" s="53">
        <f>'Level 1'!I202</f>
        <v>0</v>
      </c>
      <c r="H203" s="51">
        <f>'Level 1'!J202</f>
        <v>750</v>
      </c>
      <c r="I203" s="54">
        <f>'Level 1'!K202</f>
        <v>750</v>
      </c>
      <c r="J203" s="96"/>
      <c r="L203" s="324"/>
      <c r="M203" s="40"/>
      <c r="N203" s="38"/>
      <c r="O203" s="51"/>
      <c r="P203" s="53"/>
      <c r="Q203" s="51"/>
      <c r="R203" s="54">
        <v>600</v>
      </c>
      <c r="S203" s="96"/>
      <c r="U203" s="296">
        <f t="shared" si="29"/>
        <v>150</v>
      </c>
      <c r="W203" s="297">
        <f t="shared" si="30"/>
        <v>0.25</v>
      </c>
      <c r="Y203" s="313"/>
    </row>
    <row r="204" spans="1:25" hidden="1">
      <c r="A204" s="314" t="s">
        <v>627</v>
      </c>
      <c r="B204" s="135"/>
      <c r="C204" s="315"/>
      <c r="D204" s="151"/>
      <c r="E204" s="152"/>
      <c r="F204" s="153"/>
      <c r="G204" s="154"/>
      <c r="H204" s="153"/>
      <c r="I204" s="172"/>
      <c r="J204" s="316">
        <f>'Level 1'!L203</f>
        <v>260127.49</v>
      </c>
      <c r="L204" s="315"/>
      <c r="M204" s="151"/>
      <c r="N204" s="152"/>
      <c r="O204" s="153"/>
      <c r="P204" s="154"/>
      <c r="Q204" s="153"/>
      <c r="R204" s="172"/>
      <c r="S204" s="316">
        <v>194211.679</v>
      </c>
      <c r="U204" s="317">
        <f>J204-S204</f>
        <v>65915.810999999987</v>
      </c>
      <c r="W204" s="318">
        <f>IF(S204=0,0,U204/S204)</f>
        <v>0.33940189044964686</v>
      </c>
      <c r="Y204" s="313"/>
    </row>
    <row r="205" spans="1:25" hidden="1">
      <c r="A205" s="321" t="s">
        <v>629</v>
      </c>
      <c r="B205" s="135"/>
      <c r="C205" s="322" t="str">
        <f>'Level 1'!E204</f>
        <v>Allowance</v>
      </c>
      <c r="D205" s="47" t="str">
        <f>'Level 1'!F204</f>
        <v>LS</v>
      </c>
      <c r="E205" s="42">
        <f>'Level 1'!G204</f>
        <v>5</v>
      </c>
      <c r="F205" s="61">
        <f>'Level 1'!H204</f>
        <v>900</v>
      </c>
      <c r="G205" s="63">
        <f>'Level 1'!I204</f>
        <v>0</v>
      </c>
      <c r="H205" s="66">
        <f>'Level 1'!J204</f>
        <v>900</v>
      </c>
      <c r="I205" s="67">
        <f>'Level 1'!K204</f>
        <v>4500</v>
      </c>
      <c r="J205" s="96"/>
      <c r="L205" s="322"/>
      <c r="M205" s="47"/>
      <c r="N205" s="42"/>
      <c r="O205" s="61"/>
      <c r="P205" s="63"/>
      <c r="Q205" s="66"/>
      <c r="R205" s="67">
        <v>900</v>
      </c>
      <c r="S205" s="96"/>
      <c r="U205" s="296">
        <f t="shared" ref="U205:U207" si="31">I205-R205</f>
        <v>3600</v>
      </c>
      <c r="W205" s="297">
        <f t="shared" ref="W205:W207" si="32">IF(R205=0,0,U205/R205)</f>
        <v>4</v>
      </c>
      <c r="Y205" s="313"/>
    </row>
    <row r="206" spans="1:25" hidden="1">
      <c r="A206" s="323" t="s">
        <v>632</v>
      </c>
      <c r="B206" s="135"/>
      <c r="C206" s="324" t="str">
        <f>'Level 1'!E205</f>
        <v>Pebble</v>
      </c>
      <c r="D206" s="40" t="str">
        <f>'Level 1'!F205</f>
        <v>SF</v>
      </c>
      <c r="E206" s="38">
        <f>'Level 1'!G205</f>
        <v>431911</v>
      </c>
      <c r="F206" s="51">
        <f>'Level 1'!H205</f>
        <v>0.59</v>
      </c>
      <c r="G206" s="53">
        <f>'Level 1'!I205</f>
        <v>0</v>
      </c>
      <c r="H206" s="51">
        <f>'Level 1'!J205</f>
        <v>0.59</v>
      </c>
      <c r="I206" s="54">
        <f>'Level 1'!K205</f>
        <v>254827.49</v>
      </c>
      <c r="J206" s="96"/>
      <c r="L206" s="324"/>
      <c r="M206" s="40"/>
      <c r="N206" s="38"/>
      <c r="O206" s="51"/>
      <c r="P206" s="53"/>
      <c r="Q206" s="51"/>
      <c r="R206" s="54">
        <v>193311.679</v>
      </c>
      <c r="S206" s="96"/>
      <c r="U206" s="296">
        <f t="shared" si="31"/>
        <v>61515.810999999987</v>
      </c>
      <c r="W206" s="297">
        <f t="shared" si="32"/>
        <v>0.31822087169394453</v>
      </c>
      <c r="Y206" s="313"/>
    </row>
    <row r="207" spans="1:25" hidden="1">
      <c r="A207" s="323" t="s">
        <v>634</v>
      </c>
      <c r="B207" s="135"/>
      <c r="C207" s="324" t="str">
        <f>'Level 1'!E206</f>
        <v>N/A</v>
      </c>
      <c r="D207" s="40" t="str">
        <f>'Level 1'!F206</f>
        <v>LS</v>
      </c>
      <c r="E207" s="38">
        <f>'Level 1'!G206</f>
        <v>1</v>
      </c>
      <c r="F207" s="51">
        <f>'Level 1'!H206</f>
        <v>800</v>
      </c>
      <c r="G207" s="53">
        <f>'Level 1'!I206</f>
        <v>0</v>
      </c>
      <c r="H207" s="51">
        <f>'Level 1'!J206</f>
        <v>800</v>
      </c>
      <c r="I207" s="54">
        <f>'Level 1'!K206</f>
        <v>800</v>
      </c>
      <c r="J207" s="96"/>
      <c r="L207" s="324"/>
      <c r="M207" s="40"/>
      <c r="N207" s="38"/>
      <c r="O207" s="51"/>
      <c r="P207" s="53"/>
      <c r="Q207" s="51"/>
      <c r="R207" s="54">
        <v>800</v>
      </c>
      <c r="S207" s="96"/>
      <c r="U207" s="296">
        <f t="shared" si="31"/>
        <v>0</v>
      </c>
      <c r="W207" s="297">
        <f t="shared" si="32"/>
        <v>0</v>
      </c>
      <c r="Y207" s="313"/>
    </row>
    <row r="208" spans="1:25" hidden="1">
      <c r="A208" s="314" t="s">
        <v>636</v>
      </c>
      <c r="B208" s="135"/>
      <c r="C208" s="315"/>
      <c r="D208" s="151"/>
      <c r="E208" s="152"/>
      <c r="F208" s="153"/>
      <c r="G208" s="154"/>
      <c r="H208" s="153"/>
      <c r="I208" s="172"/>
      <c r="J208" s="316">
        <f>'Level 1'!L207</f>
        <v>1236018.7376499989</v>
      </c>
      <c r="L208" s="315"/>
      <c r="M208" s="151"/>
      <c r="N208" s="152"/>
      <c r="O208" s="153"/>
      <c r="P208" s="154"/>
      <c r="Q208" s="153"/>
      <c r="R208" s="172"/>
      <c r="S208" s="316">
        <v>952019.15</v>
      </c>
      <c r="U208" s="317">
        <f>J208-S208</f>
        <v>283999.58764999884</v>
      </c>
      <c r="W208" s="318">
        <f>IF(S208=0,0,U208/S208)</f>
        <v>0.29831289386353083</v>
      </c>
      <c r="Y208" s="313"/>
    </row>
    <row r="209" spans="1:26" hidden="1">
      <c r="A209" s="334" t="s">
        <v>638</v>
      </c>
      <c r="B209" s="135"/>
      <c r="C209" s="322" t="str">
        <f>'Level 1'!E208</f>
        <v>Decatur</v>
      </c>
      <c r="D209" s="47" t="str">
        <f>'Level 1'!F208</f>
        <v>Unit</v>
      </c>
      <c r="E209" s="42">
        <f>'Level 1'!G208</f>
        <v>390</v>
      </c>
      <c r="F209" s="61">
        <f>'Level 1'!H208</f>
        <v>581</v>
      </c>
      <c r="G209" s="63">
        <f>'Level 1'!I208</f>
        <v>0</v>
      </c>
      <c r="H209" s="66">
        <f>'Level 1'!J208</f>
        <v>581</v>
      </c>
      <c r="I209" s="67">
        <f>'Level 1'!K208</f>
        <v>226590</v>
      </c>
      <c r="J209" s="96"/>
      <c r="L209" s="322"/>
      <c r="M209" s="47"/>
      <c r="N209" s="42"/>
      <c r="O209" s="61"/>
      <c r="P209" s="63"/>
      <c r="Q209" s="66"/>
      <c r="R209" s="67">
        <v>225620</v>
      </c>
      <c r="S209" s="96"/>
      <c r="U209" s="296">
        <f t="shared" ref="U209:U211" si="33">I209-R209</f>
        <v>970</v>
      </c>
      <c r="W209" s="297">
        <f t="shared" ref="W209:W211" si="34">IF(R209=0,0,U209/R209)</f>
        <v>4.2992642496232601E-3</v>
      </c>
      <c r="Y209" s="313"/>
    </row>
    <row r="210" spans="1:26" hidden="1">
      <c r="A210" s="323" t="s">
        <v>640</v>
      </c>
      <c r="B210" s="135"/>
      <c r="C210" s="324" t="str">
        <f>'Level 1'!E209</f>
        <v>Pebble</v>
      </c>
      <c r="D210" s="40" t="str">
        <f>'Level 1'!F209</f>
        <v>Unit</v>
      </c>
      <c r="E210" s="38">
        <f>'Level 1'!G209</f>
        <v>390</v>
      </c>
      <c r="F210" s="51">
        <f>'Level 1'!H209</f>
        <v>442</v>
      </c>
      <c r="G210" s="53">
        <f>'Level 1'!I209</f>
        <v>0</v>
      </c>
      <c r="H210" s="51">
        <f>'Level 1'!J209</f>
        <v>442</v>
      </c>
      <c r="I210" s="54">
        <f>'Level 1'!K209</f>
        <v>172380</v>
      </c>
      <c r="J210" s="96"/>
      <c r="L210" s="324"/>
      <c r="M210" s="40"/>
      <c r="N210" s="38"/>
      <c r="O210" s="51"/>
      <c r="P210" s="53"/>
      <c r="Q210" s="51"/>
      <c r="R210" s="54">
        <v>127203</v>
      </c>
      <c r="S210" s="96"/>
      <c r="U210" s="296">
        <f t="shared" si="33"/>
        <v>45177</v>
      </c>
      <c r="W210" s="297">
        <f t="shared" si="34"/>
        <v>0.35515671800193394</v>
      </c>
      <c r="Y210" s="313" t="s">
        <v>1216</v>
      </c>
    </row>
    <row r="211" spans="1:26" hidden="1">
      <c r="A211" s="323" t="s">
        <v>1217</v>
      </c>
      <c r="B211" s="135"/>
      <c r="C211" s="324" t="str">
        <f>'Level 1'!E210</f>
        <v>Decatur</v>
      </c>
      <c r="D211" s="40" t="str">
        <f>'Level 1'!F210</f>
        <v>SF</v>
      </c>
      <c r="E211" s="38">
        <f>'Level 1'!G210</f>
        <v>431911</v>
      </c>
      <c r="F211" s="51">
        <f>'Level 1'!H210</f>
        <v>1.9380120850128819</v>
      </c>
      <c r="G211" s="53">
        <f>'Level 1'!I210</f>
        <v>0</v>
      </c>
      <c r="H211" s="51">
        <f>'Level 1'!J210</f>
        <v>1.9380120850128819</v>
      </c>
      <c r="I211" s="54">
        <f>'Level 1'!K210</f>
        <v>837048.73764999886</v>
      </c>
      <c r="J211" s="96"/>
      <c r="L211" s="324"/>
      <c r="M211" s="40" t="s">
        <v>61</v>
      </c>
      <c r="N211" s="42">
        <v>428629</v>
      </c>
      <c r="O211" s="51">
        <v>1.33136815287813</v>
      </c>
      <c r="P211" s="53">
        <v>0.05</v>
      </c>
      <c r="Q211" s="51">
        <f>O211*(1+P211)</f>
        <v>1.3979365605220366</v>
      </c>
      <c r="R211" s="54">
        <v>599196.15</v>
      </c>
      <c r="S211" s="96"/>
      <c r="U211" s="296">
        <f t="shared" si="33"/>
        <v>237852.58764999884</v>
      </c>
      <c r="W211" s="297">
        <f t="shared" si="34"/>
        <v>0.39695279692634677</v>
      </c>
      <c r="Y211" s="313" t="s">
        <v>1218</v>
      </c>
    </row>
    <row r="212" spans="1:26" hidden="1">
      <c r="A212" s="314" t="s">
        <v>644</v>
      </c>
      <c r="B212" s="135"/>
      <c r="C212" s="315"/>
      <c r="D212" s="151"/>
      <c r="E212" s="152"/>
      <c r="F212" s="153"/>
      <c r="G212" s="154"/>
      <c r="H212" s="153"/>
      <c r="I212" s="172"/>
      <c r="J212" s="316">
        <f>'Level 1'!L211</f>
        <v>2009333.5559</v>
      </c>
      <c r="L212" s="315"/>
      <c r="M212" s="151"/>
      <c r="N212" s="152"/>
      <c r="O212" s="153"/>
      <c r="P212" s="154"/>
      <c r="Q212" s="153"/>
      <c r="R212" s="172"/>
      <c r="S212" s="316">
        <v>2710157.6135</v>
      </c>
      <c r="U212" s="317">
        <f>J212-S212</f>
        <v>-700824.05759999994</v>
      </c>
      <c r="W212" s="318">
        <f>IF(S212=0,0,U212/S212)</f>
        <v>-0.25859162364174432</v>
      </c>
      <c r="Y212" s="313"/>
    </row>
    <row r="213" spans="1:26" hidden="1">
      <c r="A213" s="321" t="s">
        <v>646</v>
      </c>
      <c r="B213" s="135"/>
      <c r="C213" s="322" t="str">
        <f>'Level 1'!E212</f>
        <v>Wigwam</v>
      </c>
      <c r="D213" s="47" t="str">
        <f>'Level 1'!F212</f>
        <v>Acre</v>
      </c>
      <c r="E213" s="185">
        <f>'Level 1'!G212</f>
        <v>15.826000000000001</v>
      </c>
      <c r="F213" s="61">
        <f>'Level 1'!H212</f>
        <v>6331.5499999999993</v>
      </c>
      <c r="G213" s="63">
        <f>'Level 1'!I212</f>
        <v>0</v>
      </c>
      <c r="H213" s="66">
        <f>'Level 1'!J212</f>
        <v>6331.5499999999993</v>
      </c>
      <c r="I213" s="67">
        <f>'Level 1'!K212</f>
        <v>100203.11029999999</v>
      </c>
      <c r="J213" s="96"/>
      <c r="L213" s="322"/>
      <c r="M213" s="47"/>
      <c r="N213" s="185"/>
      <c r="O213" s="61"/>
      <c r="P213" s="63"/>
      <c r="Q213" s="66"/>
      <c r="R213" s="67">
        <v>100608.32949999999</v>
      </c>
      <c r="S213" s="96"/>
      <c r="U213" s="296">
        <f t="shared" ref="U213:U221" si="35">I213-R213</f>
        <v>-405.21920000000682</v>
      </c>
      <c r="W213" s="297">
        <f t="shared" ref="W213:W221" si="36">IF(R213=0,0,U213/R213)</f>
        <v>-4.0276903713027746E-3</v>
      </c>
      <c r="Y213" s="313"/>
    </row>
    <row r="214" spans="1:26" hidden="1">
      <c r="A214" s="323" t="s">
        <v>648</v>
      </c>
      <c r="B214" s="135"/>
      <c r="C214" s="324" t="str">
        <f>'Level 1'!E213</f>
        <v>Wigwam</v>
      </c>
      <c r="D214" s="40" t="str">
        <f>'Level 1'!F213</f>
        <v>Acre</v>
      </c>
      <c r="E214" s="183">
        <f>'Level 1'!G213</f>
        <v>15.826000000000001</v>
      </c>
      <c r="F214" s="51">
        <f>'Level 1'!H213</f>
        <v>3485.6</v>
      </c>
      <c r="G214" s="53">
        <f>'Level 1'!I213</f>
        <v>0</v>
      </c>
      <c r="H214" s="51">
        <f>'Level 1'!J213</f>
        <v>3485.6</v>
      </c>
      <c r="I214" s="54">
        <f>'Level 1'!K213</f>
        <v>55163.105600000003</v>
      </c>
      <c r="J214" s="96"/>
      <c r="L214" s="324"/>
      <c r="M214" s="40"/>
      <c r="N214" s="183"/>
      <c r="O214" s="51"/>
      <c r="P214" s="53"/>
      <c r="Q214" s="51"/>
      <c r="R214" s="54">
        <v>55386.184000000001</v>
      </c>
      <c r="S214" s="96"/>
      <c r="U214" s="296">
        <f t="shared" si="35"/>
        <v>-223.07839999999851</v>
      </c>
      <c r="W214" s="297">
        <f t="shared" si="36"/>
        <v>-4.0276903713026791E-3</v>
      </c>
      <c r="Y214" s="313"/>
    </row>
    <row r="215" spans="1:26" hidden="1">
      <c r="A215" s="323" t="s">
        <v>650</v>
      </c>
      <c r="B215" s="135"/>
      <c r="C215" s="324" t="str">
        <f>'Level 1'!E214</f>
        <v>N/A</v>
      </c>
      <c r="D215" s="40">
        <f>'Level 1'!F214</f>
        <v>0</v>
      </c>
      <c r="E215" s="38">
        <f>'Level 1'!G214</f>
        <v>0</v>
      </c>
      <c r="F215" s="51">
        <f>'Level 1'!H214</f>
        <v>0</v>
      </c>
      <c r="G215" s="53">
        <f>'Level 1'!I214</f>
        <v>0</v>
      </c>
      <c r="H215" s="51">
        <f>'Level 1'!J214</f>
        <v>0</v>
      </c>
      <c r="I215" s="54">
        <f>'Level 1'!K214</f>
        <v>0</v>
      </c>
      <c r="J215" s="96"/>
      <c r="L215" s="324"/>
      <c r="M215" s="40"/>
      <c r="N215" s="38"/>
      <c r="O215" s="51"/>
      <c r="P215" s="53"/>
      <c r="Q215" s="51"/>
      <c r="R215" s="54">
        <v>0</v>
      </c>
      <c r="S215" s="96"/>
      <c r="U215" s="296">
        <f t="shared" si="35"/>
        <v>0</v>
      </c>
      <c r="W215" s="297">
        <f t="shared" si="36"/>
        <v>0</v>
      </c>
      <c r="Y215" s="313"/>
    </row>
    <row r="216" spans="1:26" hidden="1">
      <c r="A216" s="323" t="s">
        <v>652</v>
      </c>
      <c r="B216" s="135"/>
      <c r="C216" s="324" t="str">
        <f>'Level 1'!E215</f>
        <v>Budget</v>
      </c>
      <c r="D216" s="40" t="str">
        <f>'Level 1'!F215</f>
        <v>LS</v>
      </c>
      <c r="E216" s="38">
        <f>'Level 1'!G215</f>
        <v>1</v>
      </c>
      <c r="F216" s="51">
        <f>'Level 1'!H215</f>
        <v>100000</v>
      </c>
      <c r="G216" s="53">
        <f>'Level 1'!I215</f>
        <v>0</v>
      </c>
      <c r="H216" s="51">
        <f>'Level 1'!J215</f>
        <v>100000</v>
      </c>
      <c r="I216" s="54">
        <f>'Level 1'!K215</f>
        <v>100000</v>
      </c>
      <c r="J216" s="96"/>
      <c r="L216" s="324"/>
      <c r="M216" s="40"/>
      <c r="N216" s="38"/>
      <c r="O216" s="51"/>
      <c r="P216" s="53"/>
      <c r="Q216" s="51"/>
      <c r="R216" s="54">
        <v>100000</v>
      </c>
      <c r="S216" s="96"/>
      <c r="U216" s="296">
        <f t="shared" si="35"/>
        <v>0</v>
      </c>
      <c r="W216" s="297">
        <f t="shared" si="36"/>
        <v>0</v>
      </c>
      <c r="Y216" s="313" t="s">
        <v>1219</v>
      </c>
    </row>
    <row r="217" spans="1:26">
      <c r="A217" s="323" t="s">
        <v>655</v>
      </c>
      <c r="B217" s="135"/>
      <c r="C217" s="324" t="str">
        <f>'Level 1'!E216</f>
        <v>Budget</v>
      </c>
      <c r="D217" s="40" t="str">
        <f>'Level 1'!F216</f>
        <v>LS</v>
      </c>
      <c r="E217" s="38">
        <f>'Level 1'!G216</f>
        <v>1</v>
      </c>
      <c r="F217" s="51">
        <f>'Level 1'!H216</f>
        <v>1319548</v>
      </c>
      <c r="G217" s="53">
        <f>'Level 1'!I216</f>
        <v>0</v>
      </c>
      <c r="H217" s="51">
        <f>'Level 1'!J216</f>
        <v>1319548</v>
      </c>
      <c r="I217" s="54">
        <f>'Level 1'!K216</f>
        <v>1319548</v>
      </c>
      <c r="J217" s="96"/>
      <c r="L217" s="324"/>
      <c r="M217" s="40"/>
      <c r="N217" s="38"/>
      <c r="O217" s="51"/>
      <c r="P217" s="53"/>
      <c r="Q217" s="51"/>
      <c r="R217" s="54">
        <v>2029089</v>
      </c>
      <c r="S217" s="96"/>
      <c r="U217" s="296">
        <f t="shared" si="35"/>
        <v>-709541</v>
      </c>
      <c r="W217" s="297">
        <f t="shared" si="36"/>
        <v>-0.34968451359206026</v>
      </c>
      <c r="Y217" s="313" t="s">
        <v>1220</v>
      </c>
      <c r="Z217" s="55" t="s">
        <v>1221</v>
      </c>
    </row>
    <row r="218" spans="1:26" hidden="1">
      <c r="A218" s="323" t="s">
        <v>658</v>
      </c>
      <c r="B218" s="135"/>
      <c r="C218" s="324" t="str">
        <f>'Level 1'!E217</f>
        <v>Budget</v>
      </c>
      <c r="D218" s="40" t="str">
        <f>'Level 1'!F217</f>
        <v>LS</v>
      </c>
      <c r="E218" s="38">
        <f>'Level 1'!G217</f>
        <v>1</v>
      </c>
      <c r="F218" s="51">
        <f>'Level 1'!H217</f>
        <v>43430</v>
      </c>
      <c r="G218" s="53">
        <f>'Level 1'!I217</f>
        <v>0</v>
      </c>
      <c r="H218" s="51">
        <f>'Level 1'!J217</f>
        <v>43430</v>
      </c>
      <c r="I218" s="54">
        <f>'Level 1'!K217</f>
        <v>43430</v>
      </c>
      <c r="J218" s="96"/>
      <c r="L218" s="324"/>
      <c r="M218" s="40"/>
      <c r="N218" s="38"/>
      <c r="O218" s="51"/>
      <c r="P218" s="53"/>
      <c r="Q218" s="51"/>
      <c r="R218" s="54">
        <v>33919</v>
      </c>
      <c r="S218" s="96"/>
      <c r="U218" s="296">
        <f t="shared" si="35"/>
        <v>9511</v>
      </c>
      <c r="W218" s="297">
        <f t="shared" si="36"/>
        <v>0.28040331377693917</v>
      </c>
      <c r="Y218" s="313"/>
    </row>
    <row r="219" spans="1:26" hidden="1">
      <c r="A219" s="323" t="s">
        <v>660</v>
      </c>
      <c r="B219" s="135"/>
      <c r="C219" s="324" t="str">
        <f>'Level 1'!E218</f>
        <v>Budget</v>
      </c>
      <c r="D219" s="40" t="str">
        <f>'Level 1'!F218</f>
        <v>LS</v>
      </c>
      <c r="E219" s="38">
        <f>'Level 1'!G218</f>
        <v>1</v>
      </c>
      <c r="F219" s="51">
        <f>'Level 1'!H218</f>
        <v>350000</v>
      </c>
      <c r="G219" s="53">
        <f>'Level 1'!I218</f>
        <v>0</v>
      </c>
      <c r="H219" s="51">
        <f>'Level 1'!J218</f>
        <v>350000</v>
      </c>
      <c r="I219" s="54">
        <f>'Level 1'!K218</f>
        <v>350000</v>
      </c>
      <c r="J219" s="96"/>
      <c r="L219" s="324"/>
      <c r="M219" s="40"/>
      <c r="N219" s="38"/>
      <c r="O219" s="51"/>
      <c r="P219" s="53"/>
      <c r="Q219" s="51"/>
      <c r="R219" s="54">
        <v>350000</v>
      </c>
      <c r="S219" s="96"/>
      <c r="U219" s="296">
        <f t="shared" si="35"/>
        <v>0</v>
      </c>
      <c r="W219" s="297">
        <f t="shared" si="36"/>
        <v>0</v>
      </c>
      <c r="Y219" s="313"/>
    </row>
    <row r="220" spans="1:26" hidden="1">
      <c r="A220" s="323" t="s">
        <v>662</v>
      </c>
      <c r="B220" s="135"/>
      <c r="C220" s="324" t="str">
        <f>'Level 1'!E219</f>
        <v>N/A</v>
      </c>
      <c r="D220" s="40">
        <f>'Level 1'!F219</f>
        <v>0</v>
      </c>
      <c r="E220" s="38">
        <f>'Level 1'!G219</f>
        <v>0</v>
      </c>
      <c r="F220" s="51">
        <f>'Level 1'!H219</f>
        <v>0</v>
      </c>
      <c r="G220" s="53">
        <f>'Level 1'!I219</f>
        <v>0</v>
      </c>
      <c r="H220" s="51">
        <f>'Level 1'!J219</f>
        <v>0</v>
      </c>
      <c r="I220" s="54">
        <f>'Level 1'!K219</f>
        <v>0</v>
      </c>
      <c r="J220" s="96"/>
      <c r="L220" s="324"/>
      <c r="M220" s="40"/>
      <c r="N220" s="38"/>
      <c r="O220" s="51"/>
      <c r="P220" s="53"/>
      <c r="Q220" s="51"/>
      <c r="R220" s="54">
        <v>0</v>
      </c>
      <c r="S220" s="96"/>
      <c r="U220" s="296">
        <f t="shared" si="35"/>
        <v>0</v>
      </c>
      <c r="W220" s="297">
        <f t="shared" si="36"/>
        <v>0</v>
      </c>
      <c r="Y220" s="313"/>
    </row>
    <row r="221" spans="1:26" hidden="1">
      <c r="A221" s="323" t="s">
        <v>664</v>
      </c>
      <c r="B221" s="135"/>
      <c r="C221" s="324" t="str">
        <f>'Level 1'!E220</f>
        <v>Wigwam</v>
      </c>
      <c r="D221" s="40" t="str">
        <f>'Level 1'!F220</f>
        <v>Acre</v>
      </c>
      <c r="E221" s="183">
        <f>'Level 1'!G220</f>
        <v>15.826000000000001</v>
      </c>
      <c r="F221" s="51">
        <f>'Level 1'!H220</f>
        <v>2590</v>
      </c>
      <c r="G221" s="53">
        <f>'Level 1'!I220</f>
        <v>0</v>
      </c>
      <c r="H221" s="51">
        <f>'Level 1'!J220</f>
        <v>2590</v>
      </c>
      <c r="I221" s="54">
        <f>'Level 1'!K220</f>
        <v>40989.340000000004</v>
      </c>
      <c r="J221" s="96"/>
      <c r="L221" s="324"/>
      <c r="M221" s="40"/>
      <c r="N221" s="183"/>
      <c r="O221" s="51"/>
      <c r="P221" s="53"/>
      <c r="Q221" s="51"/>
      <c r="R221" s="54">
        <v>41155.1</v>
      </c>
      <c r="S221" s="96"/>
      <c r="U221" s="296">
        <f t="shared" si="35"/>
        <v>-165.75999999999476</v>
      </c>
      <c r="W221" s="297">
        <f t="shared" si="36"/>
        <v>-4.0276903713025785E-3</v>
      </c>
      <c r="Y221" s="313"/>
    </row>
    <row r="222" spans="1:26" hidden="1">
      <c r="A222" s="314" t="s">
        <v>666</v>
      </c>
      <c r="B222" s="135"/>
      <c r="C222" s="315"/>
      <c r="D222" s="151"/>
      <c r="E222" s="152"/>
      <c r="F222" s="153"/>
      <c r="G222" s="154"/>
      <c r="H222" s="153"/>
      <c r="I222" s="172"/>
      <c r="J222" s="316">
        <f>'Level 1'!L221</f>
        <v>7935480.5860000001</v>
      </c>
      <c r="L222" s="315"/>
      <c r="M222" s="151"/>
      <c r="N222" s="152"/>
      <c r="O222" s="153"/>
      <c r="P222" s="154"/>
      <c r="Q222" s="153"/>
      <c r="R222" s="172"/>
      <c r="S222" s="316">
        <v>6283193.943</v>
      </c>
      <c r="U222" s="317">
        <f>J222-S222</f>
        <v>1652286.6430000002</v>
      </c>
      <c r="W222" s="318">
        <f>IF(S222=0,0,U222/S222)</f>
        <v>0.26296922520444954</v>
      </c>
      <c r="Y222" s="313"/>
    </row>
    <row r="223" spans="1:26" hidden="1">
      <c r="A223" s="321" t="s">
        <v>668</v>
      </c>
      <c r="B223" s="135"/>
      <c r="C223" s="322" t="str">
        <f>'Level 1'!E222</f>
        <v>Russell IV</v>
      </c>
      <c r="D223" s="47" t="str">
        <f>'Level 1'!F222</f>
        <v>LS</v>
      </c>
      <c r="E223" s="42">
        <f>'Level 1'!G222</f>
        <v>1</v>
      </c>
      <c r="F223" s="61">
        <f>'Level 1'!H222</f>
        <v>5000</v>
      </c>
      <c r="G223" s="63">
        <f>'Level 1'!I222</f>
        <v>0</v>
      </c>
      <c r="H223" s="66">
        <f>'Level 1'!J222</f>
        <v>5000</v>
      </c>
      <c r="I223" s="67">
        <f>'Level 1'!K222</f>
        <v>5000</v>
      </c>
      <c r="J223" s="96"/>
      <c r="L223" s="322"/>
      <c r="M223" s="47"/>
      <c r="N223" s="42"/>
      <c r="O223" s="61"/>
      <c r="P223" s="63"/>
      <c r="Q223" s="66"/>
      <c r="R223" s="67">
        <v>5000</v>
      </c>
      <c r="S223" s="96"/>
      <c r="U223" s="296">
        <f t="shared" ref="U223:U274" si="37">I223-R223</f>
        <v>0</v>
      </c>
      <c r="W223" s="297">
        <f t="shared" ref="W223:W258" si="38">IF(R223=0,0,U223/R223)</f>
        <v>0</v>
      </c>
      <c r="Y223" s="313"/>
    </row>
    <row r="224" spans="1:26" hidden="1">
      <c r="A224" s="323" t="s">
        <v>670</v>
      </c>
      <c r="B224" s="135"/>
      <c r="C224" s="324" t="str">
        <f>'Level 1'!E223</f>
        <v>Russell IV</v>
      </c>
      <c r="D224" s="40" t="str">
        <f>'Level 1'!F223</f>
        <v>LS</v>
      </c>
      <c r="E224" s="38">
        <f>'Level 1'!G223</f>
        <v>1</v>
      </c>
      <c r="F224" s="51">
        <f>'Level 1'!H223</f>
        <v>7500</v>
      </c>
      <c r="G224" s="53">
        <f>'Level 1'!I223</f>
        <v>0</v>
      </c>
      <c r="H224" s="51">
        <f>'Level 1'!J223</f>
        <v>7500</v>
      </c>
      <c r="I224" s="54">
        <f>'Level 1'!K223</f>
        <v>7500</v>
      </c>
      <c r="J224" s="96"/>
      <c r="L224" s="324"/>
      <c r="M224" s="40"/>
      <c r="N224" s="38"/>
      <c r="O224" s="51"/>
      <c r="P224" s="53"/>
      <c r="Q224" s="51"/>
      <c r="R224" s="54">
        <v>2500</v>
      </c>
      <c r="S224" s="96"/>
      <c r="U224" s="296">
        <f t="shared" si="37"/>
        <v>5000</v>
      </c>
      <c r="W224" s="297">
        <f t="shared" si="38"/>
        <v>2</v>
      </c>
      <c r="Y224" s="313"/>
    </row>
    <row r="225" spans="1:25" hidden="1">
      <c r="A225" s="323" t="s">
        <v>672</v>
      </c>
      <c r="B225" s="135"/>
      <c r="C225" s="324" t="str">
        <f>'Level 1'!E224</f>
        <v>Budget</v>
      </c>
      <c r="D225" s="40" t="str">
        <f>'Level 1'!F224</f>
        <v>LS</v>
      </c>
      <c r="E225" s="38">
        <f>'Level 1'!G224</f>
        <v>1</v>
      </c>
      <c r="F225" s="51">
        <f>'Level 1'!H224</f>
        <v>15000</v>
      </c>
      <c r="G225" s="53">
        <f>'Level 1'!I224</f>
        <v>0</v>
      </c>
      <c r="H225" s="51">
        <f>'Level 1'!J224</f>
        <v>15000</v>
      </c>
      <c r="I225" s="54">
        <f>'Level 1'!K224</f>
        <v>15000</v>
      </c>
      <c r="J225" s="96"/>
      <c r="L225" s="324"/>
      <c r="M225" s="40"/>
      <c r="N225" s="38"/>
      <c r="O225" s="51"/>
      <c r="P225" s="53"/>
      <c r="Q225" s="51"/>
      <c r="R225" s="54">
        <v>15000</v>
      </c>
      <c r="S225" s="96"/>
      <c r="U225" s="296">
        <f t="shared" si="37"/>
        <v>0</v>
      </c>
      <c r="W225" s="297">
        <f t="shared" si="38"/>
        <v>0</v>
      </c>
      <c r="Y225" s="313"/>
    </row>
    <row r="226" spans="1:25" hidden="1">
      <c r="A226" s="323" t="s">
        <v>674</v>
      </c>
      <c r="B226" s="135"/>
      <c r="C226" s="324" t="str">
        <f>'Level 1'!E225</f>
        <v>Budget</v>
      </c>
      <c r="D226" s="40" t="str">
        <f>'Level 1'!F225</f>
        <v>LS</v>
      </c>
      <c r="E226" s="38">
        <f>'Level 1'!G225</f>
        <v>1</v>
      </c>
      <c r="F226" s="51">
        <f>'Level 1'!H225</f>
        <v>708863.2</v>
      </c>
      <c r="G226" s="53">
        <f>'Level 1'!I225</f>
        <v>0</v>
      </c>
      <c r="H226" s="51">
        <f>'Level 1'!J225</f>
        <v>708863.2</v>
      </c>
      <c r="I226" s="54">
        <f>'Level 1'!K225</f>
        <v>708863.2</v>
      </c>
      <c r="J226" s="96"/>
      <c r="L226" s="324"/>
      <c r="M226" s="40"/>
      <c r="N226" s="38"/>
      <c r="O226" s="51"/>
      <c r="P226" s="53"/>
      <c r="Q226" s="51"/>
      <c r="R226" s="54">
        <v>617698.19999999995</v>
      </c>
      <c r="S226" s="96"/>
      <c r="U226" s="296">
        <f t="shared" si="37"/>
        <v>91165</v>
      </c>
      <c r="W226" s="297">
        <f t="shared" si="38"/>
        <v>0.1475882558828891</v>
      </c>
      <c r="Y226" s="313" t="s">
        <v>1222</v>
      </c>
    </row>
    <row r="227" spans="1:25" hidden="1">
      <c r="A227" s="323" t="s">
        <v>676</v>
      </c>
      <c r="B227" s="135"/>
      <c r="C227" s="324" t="str">
        <f>'Level 1'!E226</f>
        <v>Russell IV</v>
      </c>
      <c r="D227" s="40" t="str">
        <f>'Level 1'!F226</f>
        <v>SF</v>
      </c>
      <c r="E227" s="38">
        <f>'Level 1'!G226</f>
        <v>272443</v>
      </c>
      <c r="F227" s="51">
        <f>'Level 1'!H226</f>
        <v>0.15</v>
      </c>
      <c r="G227" s="53">
        <f>'Level 1'!I226</f>
        <v>0</v>
      </c>
      <c r="H227" s="51">
        <f>'Level 1'!J226</f>
        <v>0.15</v>
      </c>
      <c r="I227" s="54">
        <f>'Level 1'!K226</f>
        <v>40866.449999999997</v>
      </c>
      <c r="J227" s="96"/>
      <c r="L227" s="324"/>
      <c r="M227" s="40"/>
      <c r="N227" s="38"/>
      <c r="O227" s="51"/>
      <c r="P227" s="53"/>
      <c r="Q227" s="51"/>
      <c r="R227" s="54">
        <v>41244.905999999995</v>
      </c>
      <c r="S227" s="96"/>
      <c r="U227" s="296">
        <f t="shared" si="37"/>
        <v>-378.45599999999831</v>
      </c>
      <c r="W227" s="297">
        <f t="shared" si="38"/>
        <v>-9.1758240399432197E-3</v>
      </c>
      <c r="Y227" s="313"/>
    </row>
    <row r="228" spans="1:25" hidden="1">
      <c r="A228" s="323" t="s">
        <v>149</v>
      </c>
      <c r="B228" s="135"/>
      <c r="C228" s="324" t="str">
        <f>'Level 1'!E227</f>
        <v>Russell IV</v>
      </c>
      <c r="D228" s="40" t="str">
        <f>'Level 1'!F227</f>
        <v>LF</v>
      </c>
      <c r="E228" s="38">
        <f>'Level 1'!G227</f>
        <v>900</v>
      </c>
      <c r="F228" s="51">
        <f>'Level 1'!H227</f>
        <v>7.5</v>
      </c>
      <c r="G228" s="53">
        <f>'Level 1'!I227</f>
        <v>0</v>
      </c>
      <c r="H228" s="51">
        <f>'Level 1'!J227</f>
        <v>7.5</v>
      </c>
      <c r="I228" s="54">
        <f>'Level 1'!K227</f>
        <v>6750</v>
      </c>
      <c r="J228" s="96"/>
      <c r="L228" s="324"/>
      <c r="M228" s="40"/>
      <c r="N228" s="38"/>
      <c r="O228" s="51"/>
      <c r="P228" s="53"/>
      <c r="Q228" s="51"/>
      <c r="R228" s="54">
        <v>22376</v>
      </c>
      <c r="S228" s="96"/>
      <c r="U228" s="296">
        <f t="shared" si="37"/>
        <v>-15626</v>
      </c>
      <c r="W228" s="297">
        <f t="shared" si="38"/>
        <v>-0.69833750446907406</v>
      </c>
      <c r="Y228" s="313"/>
    </row>
    <row r="229" spans="1:25" hidden="1">
      <c r="A229" s="323" t="s">
        <v>679</v>
      </c>
      <c r="B229" s="135"/>
      <c r="C229" s="324" t="str">
        <f>'Level 1'!E228</f>
        <v>Russell IV</v>
      </c>
      <c r="D229" s="40" t="str">
        <f>'Level 1'!F228</f>
        <v>SF</v>
      </c>
      <c r="E229" s="38">
        <f>'Level 1'!G228</f>
        <v>7964</v>
      </c>
      <c r="F229" s="51">
        <f>'Level 1'!H228</f>
        <v>7.5</v>
      </c>
      <c r="G229" s="53">
        <f>'Level 1'!I228</f>
        <v>0</v>
      </c>
      <c r="H229" s="51">
        <f>'Level 1'!J228</f>
        <v>7.5</v>
      </c>
      <c r="I229" s="54">
        <f>'Level 1'!K228</f>
        <v>59730</v>
      </c>
      <c r="J229" s="96"/>
      <c r="L229" s="324"/>
      <c r="M229" s="40"/>
      <c r="N229" s="38"/>
      <c r="O229" s="51"/>
      <c r="P229" s="53"/>
      <c r="Q229" s="51"/>
      <c r="R229" s="54">
        <v>32102</v>
      </c>
      <c r="S229" s="96"/>
      <c r="U229" s="296">
        <f t="shared" si="37"/>
        <v>27628</v>
      </c>
      <c r="W229" s="297">
        <f t="shared" si="38"/>
        <v>0.8606317363404149</v>
      </c>
      <c r="Y229" s="313"/>
    </row>
    <row r="230" spans="1:25" hidden="1">
      <c r="A230" s="323" t="s">
        <v>681</v>
      </c>
      <c r="B230" s="135"/>
      <c r="C230" s="324" t="str">
        <f>'Level 1'!E229</f>
        <v>Budget</v>
      </c>
      <c r="D230" s="40" t="str">
        <f>'Level 1'!F229</f>
        <v>LS</v>
      </c>
      <c r="E230" s="38">
        <f>'Level 1'!G229</f>
        <v>1</v>
      </c>
      <c r="F230" s="51">
        <f>'Level 1'!H229</f>
        <v>172530</v>
      </c>
      <c r="G230" s="53">
        <f>'Level 1'!I229</f>
        <v>0</v>
      </c>
      <c r="H230" s="51">
        <f>'Level 1'!J229</f>
        <v>172530</v>
      </c>
      <c r="I230" s="54">
        <f>'Level 1'!K229</f>
        <v>172530</v>
      </c>
      <c r="J230" s="96"/>
      <c r="L230" s="324"/>
      <c r="M230" s="40"/>
      <c r="N230" s="38"/>
      <c r="O230" s="51"/>
      <c r="P230" s="53"/>
      <c r="Q230" s="51"/>
      <c r="R230" s="54">
        <v>84271.5</v>
      </c>
      <c r="S230" s="96"/>
      <c r="U230" s="296">
        <f t="shared" si="37"/>
        <v>88258.5</v>
      </c>
      <c r="W230" s="297">
        <f t="shared" si="38"/>
        <v>1.0473113686121642</v>
      </c>
      <c r="Y230" s="313"/>
    </row>
    <row r="231" spans="1:25" hidden="1">
      <c r="A231" s="323" t="s">
        <v>683</v>
      </c>
      <c r="B231" s="135"/>
      <c r="C231" s="324" t="str">
        <f>'Level 1'!E230</f>
        <v>Budget</v>
      </c>
      <c r="D231" s="40" t="str">
        <f>'Level 1'!F230</f>
        <v>LS</v>
      </c>
      <c r="E231" s="38">
        <f>'Level 1'!G230</f>
        <v>1</v>
      </c>
      <c r="F231" s="51">
        <f>'Level 1'!H230</f>
        <v>206646</v>
      </c>
      <c r="G231" s="53">
        <f>'Level 1'!I230</f>
        <v>0</v>
      </c>
      <c r="H231" s="51">
        <f>'Level 1'!J230</f>
        <v>206646</v>
      </c>
      <c r="I231" s="54">
        <f>'Level 1'!K230</f>
        <v>206646</v>
      </c>
      <c r="J231" s="96"/>
      <c r="L231" s="324"/>
      <c r="M231" s="40"/>
      <c r="N231" s="38"/>
      <c r="O231" s="51"/>
      <c r="P231" s="53"/>
      <c r="Q231" s="51"/>
      <c r="R231" s="54">
        <v>145736.32000000001</v>
      </c>
      <c r="S231" s="96"/>
      <c r="U231" s="296">
        <f t="shared" si="37"/>
        <v>60909.679999999993</v>
      </c>
      <c r="W231" s="297">
        <f t="shared" si="38"/>
        <v>0.41794440809264288</v>
      </c>
      <c r="Y231" s="313"/>
    </row>
    <row r="232" spans="1:25" hidden="1">
      <c r="A232" s="330" t="s">
        <v>685</v>
      </c>
      <c r="B232" s="135"/>
      <c r="C232" s="324" t="str">
        <f>'Level 1'!E231</f>
        <v>Budget</v>
      </c>
      <c r="D232" s="40" t="str">
        <f>'Level 1'!F231</f>
        <v>LS</v>
      </c>
      <c r="E232" s="38">
        <f>'Level 1'!G231</f>
        <v>1</v>
      </c>
      <c r="F232" s="51">
        <f>'Level 1'!H231</f>
        <v>309236</v>
      </c>
      <c r="G232" s="53">
        <f>'Level 1'!I231</f>
        <v>0</v>
      </c>
      <c r="H232" s="51">
        <f>'Level 1'!J231</f>
        <v>309236</v>
      </c>
      <c r="I232" s="54">
        <f>'Level 1'!K231</f>
        <v>309236</v>
      </c>
      <c r="J232" s="96"/>
      <c r="L232" s="324"/>
      <c r="M232" s="40"/>
      <c r="N232" s="38"/>
      <c r="O232" s="51"/>
      <c r="P232" s="53"/>
      <c r="Q232" s="51"/>
      <c r="R232" s="54">
        <v>424633.2</v>
      </c>
      <c r="S232" s="96"/>
      <c r="U232" s="296">
        <f t="shared" si="37"/>
        <v>-115397.20000000001</v>
      </c>
      <c r="W232" s="297">
        <f t="shared" si="38"/>
        <v>-0.27175736612210255</v>
      </c>
      <c r="Y232" s="313"/>
    </row>
    <row r="233" spans="1:25" hidden="1">
      <c r="A233" s="323" t="s">
        <v>687</v>
      </c>
      <c r="B233" s="135"/>
      <c r="C233" s="324" t="str">
        <f>'Level 1'!E232</f>
        <v>N/A</v>
      </c>
      <c r="D233" s="40">
        <f>'Level 1'!F232</f>
        <v>0</v>
      </c>
      <c r="E233" s="38">
        <f>'Level 1'!G232</f>
        <v>0</v>
      </c>
      <c r="F233" s="51">
        <f>'Level 1'!H232</f>
        <v>0</v>
      </c>
      <c r="G233" s="53">
        <f>'Level 1'!I232</f>
        <v>0</v>
      </c>
      <c r="H233" s="51">
        <f>'Level 1'!J232</f>
        <v>0</v>
      </c>
      <c r="I233" s="54">
        <f>'Level 1'!K232</f>
        <v>0</v>
      </c>
      <c r="J233" s="96"/>
      <c r="L233" s="324"/>
      <c r="M233" s="40"/>
      <c r="N233" s="38"/>
      <c r="O233" s="51"/>
      <c r="P233" s="53"/>
      <c r="Q233" s="51"/>
      <c r="R233" s="54">
        <v>0</v>
      </c>
      <c r="S233" s="96"/>
      <c r="U233" s="296">
        <f t="shared" si="37"/>
        <v>0</v>
      </c>
      <c r="W233" s="297">
        <f t="shared" si="38"/>
        <v>0</v>
      </c>
      <c r="Y233" s="313"/>
    </row>
    <row r="234" spans="1:25" hidden="1">
      <c r="A234" s="323" t="s">
        <v>689</v>
      </c>
      <c r="B234" s="135"/>
      <c r="C234" s="324" t="str">
        <f>'Level 1'!E233</f>
        <v>Russell IV</v>
      </c>
      <c r="D234" s="40" t="str">
        <f>'Level 1'!F233</f>
        <v>LS</v>
      </c>
      <c r="E234" s="38">
        <f>'Level 1'!G233</f>
        <v>1</v>
      </c>
      <c r="F234" s="51">
        <f>'Level 1'!H233</f>
        <v>9660</v>
      </c>
      <c r="G234" s="53">
        <f>'Level 1'!I233</f>
        <v>0</v>
      </c>
      <c r="H234" s="51">
        <f>'Level 1'!J233</f>
        <v>9660</v>
      </c>
      <c r="I234" s="54">
        <f>'Level 1'!K233</f>
        <v>9660</v>
      </c>
      <c r="J234" s="96"/>
      <c r="L234" s="324"/>
      <c r="M234" s="40"/>
      <c r="N234" s="38"/>
      <c r="O234" s="51"/>
      <c r="P234" s="53"/>
      <c r="Q234" s="51"/>
      <c r="R234" s="54">
        <v>9660</v>
      </c>
      <c r="S234" s="96"/>
      <c r="U234" s="296">
        <f t="shared" si="37"/>
        <v>0</v>
      </c>
      <c r="W234" s="297">
        <f t="shared" si="38"/>
        <v>0</v>
      </c>
      <c r="Y234" s="313"/>
    </row>
    <row r="235" spans="1:25" hidden="1">
      <c r="A235" s="323" t="s">
        <v>691</v>
      </c>
      <c r="B235" s="135"/>
      <c r="C235" s="324" t="str">
        <f>'Level 1'!E234</f>
        <v>Russell IV</v>
      </c>
      <c r="D235" s="40" t="str">
        <f>'Level 1'!F234</f>
        <v>Acre</v>
      </c>
      <c r="E235" s="183">
        <f>'Level 1'!G234</f>
        <v>15.826000000000001</v>
      </c>
      <c r="F235" s="51">
        <f>'Level 1'!H234</f>
        <v>2476</v>
      </c>
      <c r="G235" s="53">
        <f>'Level 1'!I234</f>
        <v>0</v>
      </c>
      <c r="H235" s="51">
        <f>'Level 1'!J234</f>
        <v>2476</v>
      </c>
      <c r="I235" s="54">
        <f>'Level 1'!K234</f>
        <v>39185.175999999999</v>
      </c>
      <c r="J235" s="96"/>
      <c r="L235" s="324"/>
      <c r="M235" s="40"/>
      <c r="N235" s="183"/>
      <c r="O235" s="51"/>
      <c r="P235" s="53"/>
      <c r="Q235" s="51"/>
      <c r="R235" s="54">
        <v>39343.64</v>
      </c>
      <c r="S235" s="96"/>
      <c r="U235" s="296">
        <f t="shared" si="37"/>
        <v>-158.46399999999994</v>
      </c>
      <c r="W235" s="297">
        <f t="shared" si="38"/>
        <v>-4.0276903713027043E-3</v>
      </c>
      <c r="Y235" s="313"/>
    </row>
    <row r="236" spans="1:25" hidden="1">
      <c r="A236" s="323" t="s">
        <v>693</v>
      </c>
      <c r="B236" s="135"/>
      <c r="C236" s="324" t="str">
        <f>'Level 1'!E235</f>
        <v>Budget</v>
      </c>
      <c r="D236" s="40" t="str">
        <f>'Level 1'!F235</f>
        <v>LS</v>
      </c>
      <c r="E236" s="38">
        <f>'Level 1'!G235</f>
        <v>1</v>
      </c>
      <c r="F236" s="51">
        <f>'Level 1'!H235</f>
        <v>163650</v>
      </c>
      <c r="G236" s="53">
        <f>'Level 1'!I235</f>
        <v>0</v>
      </c>
      <c r="H236" s="51">
        <f>'Level 1'!J235</f>
        <v>163650</v>
      </c>
      <c r="I236" s="54">
        <f>'Level 1'!K235</f>
        <v>163650</v>
      </c>
      <c r="J236" s="96"/>
      <c r="L236" s="324"/>
      <c r="M236" s="40"/>
      <c r="N236" s="38"/>
      <c r="O236" s="51"/>
      <c r="P236" s="53"/>
      <c r="Q236" s="51"/>
      <c r="R236" s="54">
        <v>351360</v>
      </c>
      <c r="S236" s="96"/>
      <c r="U236" s="296">
        <f t="shared" si="37"/>
        <v>-187710</v>
      </c>
      <c r="W236" s="297">
        <f t="shared" si="38"/>
        <v>-0.53423838797814205</v>
      </c>
      <c r="Y236" s="313"/>
    </row>
    <row r="237" spans="1:25" hidden="1">
      <c r="A237" s="323" t="s">
        <v>696</v>
      </c>
      <c r="B237" s="135"/>
      <c r="C237" s="324" t="str">
        <f>'Level 1'!E236</f>
        <v>Budget</v>
      </c>
      <c r="D237" s="40" t="str">
        <f>'Level 1'!F236</f>
        <v>Count</v>
      </c>
      <c r="E237" s="38">
        <f>'Level 1'!G236</f>
        <v>14</v>
      </c>
      <c r="F237" s="51">
        <f>'Level 1'!H236</f>
        <v>2485</v>
      </c>
      <c r="G237" s="53">
        <f>'Level 1'!I236</f>
        <v>0</v>
      </c>
      <c r="H237" s="51">
        <f>'Level 1'!J236</f>
        <v>2485</v>
      </c>
      <c r="I237" s="54">
        <f>'Level 1'!K236</f>
        <v>34790</v>
      </c>
      <c r="J237" s="96"/>
      <c r="L237" s="324"/>
      <c r="M237" s="40"/>
      <c r="N237" s="38"/>
      <c r="O237" s="51"/>
      <c r="P237" s="53"/>
      <c r="Q237" s="51"/>
      <c r="R237" s="54">
        <v>30000</v>
      </c>
      <c r="S237" s="96"/>
      <c r="U237" s="296">
        <f t="shared" si="37"/>
        <v>4790</v>
      </c>
      <c r="W237" s="297">
        <f t="shared" si="38"/>
        <v>0.15966666666666668</v>
      </c>
      <c r="Y237" s="313"/>
    </row>
    <row r="238" spans="1:25" hidden="1">
      <c r="A238" s="323" t="s">
        <v>698</v>
      </c>
      <c r="B238" s="135"/>
      <c r="C238" s="324" t="str">
        <f>'Level 1'!E237</f>
        <v>Allowance</v>
      </c>
      <c r="D238" s="40" t="str">
        <f>'Level 1'!F237</f>
        <v>LS</v>
      </c>
      <c r="E238" s="38">
        <f>'Level 1'!G237</f>
        <v>1</v>
      </c>
      <c r="F238" s="51">
        <f>'Level 1'!H237</f>
        <v>15000</v>
      </c>
      <c r="G238" s="53">
        <f>'Level 1'!I237</f>
        <v>0</v>
      </c>
      <c r="H238" s="51">
        <f>'Level 1'!J237</f>
        <v>15000</v>
      </c>
      <c r="I238" s="54">
        <f>'Level 1'!K237</f>
        <v>15000</v>
      </c>
      <c r="J238" s="96"/>
      <c r="L238" s="324"/>
      <c r="M238" s="40"/>
      <c r="N238" s="38"/>
      <c r="O238" s="51"/>
      <c r="P238" s="53"/>
      <c r="Q238" s="51"/>
      <c r="R238" s="54">
        <v>10000</v>
      </c>
      <c r="S238" s="96"/>
      <c r="U238" s="296">
        <f t="shared" si="37"/>
        <v>5000</v>
      </c>
      <c r="W238" s="297">
        <f t="shared" si="38"/>
        <v>0.5</v>
      </c>
      <c r="Y238" s="313"/>
    </row>
    <row r="239" spans="1:25" hidden="1">
      <c r="A239" s="323" t="s">
        <v>700</v>
      </c>
      <c r="B239" s="135"/>
      <c r="C239" s="324" t="str">
        <f>'Level 1'!E238</f>
        <v>Torrey Pines</v>
      </c>
      <c r="D239" s="40" t="str">
        <f>'Level 1'!F238</f>
        <v>LF</v>
      </c>
      <c r="E239" s="38">
        <f>'Level 1'!G238</f>
        <v>400</v>
      </c>
      <c r="F239" s="51">
        <f>'Level 1'!H238</f>
        <v>70</v>
      </c>
      <c r="G239" s="53">
        <f>'Level 1'!I238</f>
        <v>0</v>
      </c>
      <c r="H239" s="51">
        <f>'Level 1'!J238</f>
        <v>70</v>
      </c>
      <c r="I239" s="54">
        <f>'Level 1'!K238</f>
        <v>28000</v>
      </c>
      <c r="J239" s="96"/>
      <c r="L239" s="324"/>
      <c r="M239" s="40"/>
      <c r="N239" s="38"/>
      <c r="O239" s="51"/>
      <c r="P239" s="53"/>
      <c r="Q239" s="51"/>
      <c r="R239" s="54">
        <v>16200</v>
      </c>
      <c r="S239" s="96"/>
      <c r="U239" s="296">
        <f t="shared" si="37"/>
        <v>11800</v>
      </c>
      <c r="W239" s="297">
        <f t="shared" si="38"/>
        <v>0.72839506172839508</v>
      </c>
      <c r="Y239" s="313"/>
    </row>
    <row r="240" spans="1:25" hidden="1">
      <c r="A240" s="323" t="s">
        <v>161</v>
      </c>
      <c r="B240" s="135"/>
      <c r="C240" s="324" t="str">
        <f>'Level 1'!E239</f>
        <v>Budget</v>
      </c>
      <c r="D240" s="40" t="str">
        <f>'Level 1'!F239</f>
        <v>LF</v>
      </c>
      <c r="E240" s="38">
        <f>'Level 1'!G239</f>
        <v>437</v>
      </c>
      <c r="F240" s="51">
        <f>'Level 1'!H239</f>
        <v>75</v>
      </c>
      <c r="G240" s="53">
        <f>'Level 1'!I239</f>
        <v>0</v>
      </c>
      <c r="H240" s="51">
        <f>'Level 1'!J239</f>
        <v>75</v>
      </c>
      <c r="I240" s="54">
        <f>'Level 1'!K239</f>
        <v>32775</v>
      </c>
      <c r="J240" s="96"/>
      <c r="L240" s="324"/>
      <c r="M240" s="40"/>
      <c r="N240" s="38"/>
      <c r="O240" s="51"/>
      <c r="P240" s="53"/>
      <c r="Q240" s="51"/>
      <c r="R240" s="54">
        <v>40500</v>
      </c>
      <c r="S240" s="96"/>
      <c r="U240" s="296">
        <f t="shared" si="37"/>
        <v>-7725</v>
      </c>
      <c r="W240" s="297">
        <f t="shared" si="38"/>
        <v>-0.19074074074074074</v>
      </c>
      <c r="Y240" s="313"/>
    </row>
    <row r="241" spans="1:25" hidden="1">
      <c r="A241" s="323" t="s">
        <v>704</v>
      </c>
      <c r="B241" s="135"/>
      <c r="C241" s="324" t="str">
        <f>'Level 1'!E240</f>
        <v>Budget</v>
      </c>
      <c r="D241" s="40" t="str">
        <f>'Level 1'!F240</f>
        <v>Count</v>
      </c>
      <c r="E241" s="38">
        <f>'Level 1'!G240</f>
        <v>2</v>
      </c>
      <c r="F241" s="51">
        <f>'Level 1'!H240</f>
        <v>1950</v>
      </c>
      <c r="G241" s="53">
        <f>'Level 1'!I240</f>
        <v>0</v>
      </c>
      <c r="H241" s="51">
        <f>'Level 1'!J240</f>
        <v>1950</v>
      </c>
      <c r="I241" s="54">
        <f>'Level 1'!K240</f>
        <v>3900</v>
      </c>
      <c r="J241" s="96"/>
      <c r="L241" s="324"/>
      <c r="M241" s="40"/>
      <c r="N241" s="38"/>
      <c r="O241" s="51"/>
      <c r="P241" s="53"/>
      <c r="Q241" s="51"/>
      <c r="R241" s="54">
        <v>2000</v>
      </c>
      <c r="S241" s="96"/>
      <c r="U241" s="296">
        <f t="shared" si="37"/>
        <v>1900</v>
      </c>
      <c r="W241" s="297">
        <f t="shared" si="38"/>
        <v>0.95</v>
      </c>
      <c r="Y241" s="313"/>
    </row>
    <row r="242" spans="1:25" hidden="1">
      <c r="A242" s="323" t="s">
        <v>705</v>
      </c>
      <c r="B242" s="135"/>
      <c r="C242" s="324" t="str">
        <f>'Level 1'!E241</f>
        <v>LS</v>
      </c>
      <c r="D242" s="40" t="str">
        <f>'Level 1'!F241</f>
        <v>Count</v>
      </c>
      <c r="E242" s="38">
        <f>'Level 1'!G241</f>
        <v>2</v>
      </c>
      <c r="F242" s="51">
        <f>'Level 1'!H241</f>
        <v>96000</v>
      </c>
      <c r="G242" s="53">
        <f>'Level 1'!I241</f>
        <v>0</v>
      </c>
      <c r="H242" s="51">
        <f>'Level 1'!J241</f>
        <v>96000</v>
      </c>
      <c r="I242" s="54">
        <f>'Level 1'!K241</f>
        <v>192000</v>
      </c>
      <c r="J242" s="96"/>
      <c r="L242" s="324"/>
      <c r="M242" s="40"/>
      <c r="N242" s="38"/>
      <c r="O242" s="51"/>
      <c r="P242" s="53"/>
      <c r="Q242" s="51"/>
      <c r="R242" s="54">
        <v>96000</v>
      </c>
      <c r="S242" s="96"/>
      <c r="U242" s="296">
        <f t="shared" si="37"/>
        <v>96000</v>
      </c>
      <c r="W242" s="297">
        <f t="shared" si="38"/>
        <v>1</v>
      </c>
      <c r="Y242" s="313"/>
    </row>
    <row r="243" spans="1:25" hidden="1">
      <c r="A243" s="323" t="s">
        <v>707</v>
      </c>
      <c r="B243" s="135"/>
      <c r="C243" s="324" t="str">
        <f>'Level 1'!E242</f>
        <v>LS</v>
      </c>
      <c r="D243" s="40" t="str">
        <f>'Level 1'!F242</f>
        <v>Count</v>
      </c>
      <c r="E243" s="38">
        <f>'Level 1'!G242</f>
        <v>2</v>
      </c>
      <c r="F243" s="51">
        <f>'Level 1'!H242</f>
        <v>3555</v>
      </c>
      <c r="G243" s="53">
        <f>'Level 1'!I242</f>
        <v>0</v>
      </c>
      <c r="H243" s="51">
        <f>'Level 1'!J242</f>
        <v>3555</v>
      </c>
      <c r="I243" s="54">
        <f>'Level 1'!K242</f>
        <v>7110</v>
      </c>
      <c r="J243" s="96"/>
      <c r="L243" s="324"/>
      <c r="M243" s="40"/>
      <c r="N243" s="38"/>
      <c r="O243" s="51"/>
      <c r="P243" s="53"/>
      <c r="Q243" s="51"/>
      <c r="R243" s="54">
        <v>3555</v>
      </c>
      <c r="S243" s="96"/>
      <c r="U243" s="296">
        <f t="shared" si="37"/>
        <v>3555</v>
      </c>
      <c r="W243" s="297">
        <f t="shared" si="38"/>
        <v>1</v>
      </c>
      <c r="Y243" s="313"/>
    </row>
    <row r="244" spans="1:25" hidden="1">
      <c r="A244" s="323" t="s">
        <v>709</v>
      </c>
      <c r="B244" s="135"/>
      <c r="C244" s="324" t="str">
        <f>'Level 1'!E243</f>
        <v>N/A</v>
      </c>
      <c r="D244" s="40">
        <f>'Level 1'!F243</f>
        <v>0</v>
      </c>
      <c r="E244" s="38">
        <f>'Level 1'!G243</f>
        <v>0</v>
      </c>
      <c r="F244" s="51">
        <f>'Level 1'!H243</f>
        <v>44</v>
      </c>
      <c r="G244" s="53">
        <f>'Level 1'!I243</f>
        <v>0</v>
      </c>
      <c r="H244" s="51">
        <f>'Level 1'!J243</f>
        <v>44</v>
      </c>
      <c r="I244" s="54">
        <f>'Level 1'!K243</f>
        <v>0</v>
      </c>
      <c r="J244" s="96"/>
      <c r="L244" s="324"/>
      <c r="M244" s="40"/>
      <c r="N244" s="38"/>
      <c r="O244" s="51"/>
      <c r="P244" s="53"/>
      <c r="Q244" s="51"/>
      <c r="R244" s="54">
        <v>17116</v>
      </c>
      <c r="S244" s="96"/>
      <c r="U244" s="296">
        <f t="shared" si="37"/>
        <v>-17116</v>
      </c>
      <c r="W244" s="297">
        <f t="shared" si="38"/>
        <v>-1</v>
      </c>
      <c r="Y244" s="313"/>
    </row>
    <row r="245" spans="1:25" hidden="1">
      <c r="A245" s="323" t="s">
        <v>711</v>
      </c>
      <c r="B245" s="135"/>
      <c r="C245" s="324" t="str">
        <f>'Level 1'!E244</f>
        <v>N/A</v>
      </c>
      <c r="D245" s="40">
        <f>'Level 1'!F244</f>
        <v>0</v>
      </c>
      <c r="E245" s="38">
        <f>'Level 1'!G244</f>
        <v>0</v>
      </c>
      <c r="F245" s="51">
        <f>'Level 1'!H244</f>
        <v>1950</v>
      </c>
      <c r="G245" s="53">
        <f>'Level 1'!I244</f>
        <v>0</v>
      </c>
      <c r="H245" s="51">
        <f>'Level 1'!J244</f>
        <v>1950</v>
      </c>
      <c r="I245" s="54">
        <f>'Level 1'!K244</f>
        <v>0</v>
      </c>
      <c r="J245" s="96"/>
      <c r="L245" s="324"/>
      <c r="M245" s="40"/>
      <c r="N245" s="38"/>
      <c r="O245" s="51"/>
      <c r="P245" s="53"/>
      <c r="Q245" s="51"/>
      <c r="R245" s="54">
        <v>4800</v>
      </c>
      <c r="S245" s="96"/>
      <c r="U245" s="296">
        <f t="shared" si="37"/>
        <v>-4800</v>
      </c>
      <c r="W245" s="297">
        <f t="shared" si="38"/>
        <v>-1</v>
      </c>
      <c r="Y245" s="313"/>
    </row>
    <row r="246" spans="1:25" hidden="1">
      <c r="A246" s="323" t="s">
        <v>713</v>
      </c>
      <c r="B246" s="135"/>
      <c r="C246" s="324" t="str">
        <f>'Level 1'!E245</f>
        <v>Russell IV</v>
      </c>
      <c r="D246" s="40" t="str">
        <f>'Level 1'!F245</f>
        <v>Acre</v>
      </c>
      <c r="E246" s="183">
        <f>'Level 1'!G245</f>
        <v>15.826000000000001</v>
      </c>
      <c r="F246" s="51">
        <f>'Level 1'!H245</f>
        <v>2500</v>
      </c>
      <c r="G246" s="53">
        <f>'Level 1'!I245</f>
        <v>0</v>
      </c>
      <c r="H246" s="51">
        <f>'Level 1'!J245</f>
        <v>2500</v>
      </c>
      <c r="I246" s="54">
        <f>'Level 1'!K245</f>
        <v>39565</v>
      </c>
      <c r="J246" s="96"/>
      <c r="L246" s="324"/>
      <c r="M246" s="40"/>
      <c r="N246" s="183"/>
      <c r="O246" s="51"/>
      <c r="P246" s="53"/>
      <c r="Q246" s="51"/>
      <c r="R246" s="54">
        <v>32500</v>
      </c>
      <c r="S246" s="96"/>
      <c r="U246" s="296">
        <f t="shared" si="37"/>
        <v>7065</v>
      </c>
      <c r="W246" s="297">
        <f t="shared" si="38"/>
        <v>0.2173846153846154</v>
      </c>
      <c r="Y246" s="313"/>
    </row>
    <row r="247" spans="1:25" hidden="1">
      <c r="A247" s="323" t="s">
        <v>715</v>
      </c>
      <c r="B247" s="135"/>
      <c r="C247" s="324" t="str">
        <f>'Level 1'!E246</f>
        <v>Budget</v>
      </c>
      <c r="D247" s="40" t="str">
        <f>'Level 1'!F246</f>
        <v>LS</v>
      </c>
      <c r="E247" s="38">
        <f>'Level 1'!G246</f>
        <v>1</v>
      </c>
      <c r="F247" s="51">
        <f>'Level 1'!H246</f>
        <v>545312.67999999993</v>
      </c>
      <c r="G247" s="53">
        <f>'Level 1'!I246</f>
        <v>0</v>
      </c>
      <c r="H247" s="51">
        <f>'Level 1'!J246</f>
        <v>545312.67999999993</v>
      </c>
      <c r="I247" s="54">
        <f>'Level 1'!K246</f>
        <v>545312.67999999993</v>
      </c>
      <c r="J247" s="96"/>
      <c r="L247" s="324"/>
      <c r="M247" s="40"/>
      <c r="N247" s="38"/>
      <c r="O247" s="51"/>
      <c r="P247" s="53"/>
      <c r="Q247" s="51"/>
      <c r="R247" s="54">
        <v>244000</v>
      </c>
      <c r="S247" s="96"/>
      <c r="U247" s="296">
        <f t="shared" si="37"/>
        <v>301312.67999999993</v>
      </c>
      <c r="W247" s="297">
        <f t="shared" si="38"/>
        <v>1.234888032786885</v>
      </c>
      <c r="Y247" s="313" t="s">
        <v>1223</v>
      </c>
    </row>
    <row r="248" spans="1:25" hidden="1">
      <c r="A248" s="323" t="s">
        <v>718</v>
      </c>
      <c r="B248" s="135"/>
      <c r="C248" s="324" t="str">
        <f>'Level 1'!E247</f>
        <v>Included</v>
      </c>
      <c r="D248" s="40" t="str">
        <f>'Level 1'!F247</f>
        <v>LS</v>
      </c>
      <c r="E248" s="38">
        <f>'Level 1'!G247</f>
        <v>1</v>
      </c>
      <c r="F248" s="51">
        <f>'Level 1'!H247</f>
        <v>0</v>
      </c>
      <c r="G248" s="53">
        <f>'Level 1'!I247</f>
        <v>0</v>
      </c>
      <c r="H248" s="51">
        <f>'Level 1'!J247</f>
        <v>0</v>
      </c>
      <c r="I248" s="54">
        <f>'Level 1'!K247</f>
        <v>0</v>
      </c>
      <c r="J248" s="96"/>
      <c r="L248" s="324"/>
      <c r="M248" s="40"/>
      <c r="N248" s="38"/>
      <c r="O248" s="51"/>
      <c r="P248" s="53"/>
      <c r="Q248" s="51"/>
      <c r="R248" s="54">
        <v>20866.88</v>
      </c>
      <c r="S248" s="96"/>
      <c r="U248" s="296">
        <f t="shared" si="37"/>
        <v>-20866.88</v>
      </c>
      <c r="W248" s="297">
        <f t="shared" si="38"/>
        <v>-1</v>
      </c>
      <c r="Y248" s="313"/>
    </row>
    <row r="249" spans="1:25" hidden="1">
      <c r="A249" s="323" t="s">
        <v>720</v>
      </c>
      <c r="B249" s="135"/>
      <c r="C249" s="324" t="str">
        <f>'Level 1'!E248</f>
        <v>Allowance</v>
      </c>
      <c r="D249" s="40" t="str">
        <f>'Level 1'!F248</f>
        <v>LS</v>
      </c>
      <c r="E249" s="38">
        <f>'Level 1'!G248</f>
        <v>1</v>
      </c>
      <c r="F249" s="51">
        <f>'Level 1'!H248</f>
        <v>125000</v>
      </c>
      <c r="G249" s="53">
        <f>'Level 1'!I248</f>
        <v>0</v>
      </c>
      <c r="H249" s="51">
        <f>'Level 1'!J248</f>
        <v>125000</v>
      </c>
      <c r="I249" s="54">
        <f>'Level 1'!K248</f>
        <v>125000</v>
      </c>
      <c r="J249" s="96"/>
      <c r="L249" s="324"/>
      <c r="M249" s="40"/>
      <c r="N249" s="38"/>
      <c r="O249" s="51"/>
      <c r="P249" s="53"/>
      <c r="Q249" s="51"/>
      <c r="R249" s="54">
        <v>50000</v>
      </c>
      <c r="S249" s="96"/>
      <c r="U249" s="296">
        <f t="shared" si="37"/>
        <v>75000</v>
      </c>
      <c r="W249" s="297">
        <f t="shared" si="38"/>
        <v>1.5</v>
      </c>
      <c r="Y249" s="313" t="s">
        <v>1079</v>
      </c>
    </row>
    <row r="250" spans="1:25" hidden="1">
      <c r="A250" s="323" t="s">
        <v>722</v>
      </c>
      <c r="B250" s="135"/>
      <c r="C250" s="324" t="str">
        <f>'Level 1'!E249</f>
        <v>Allowance</v>
      </c>
      <c r="D250" s="40" t="str">
        <f>'Level 1'!F249</f>
        <v>LS</v>
      </c>
      <c r="E250" s="38">
        <f>'Level 1'!G249</f>
        <v>1</v>
      </c>
      <c r="F250" s="51">
        <f>'Level 1'!H249</f>
        <v>11000</v>
      </c>
      <c r="G250" s="53">
        <f>'Level 1'!I249</f>
        <v>0</v>
      </c>
      <c r="H250" s="51">
        <f>'Level 1'!J249</f>
        <v>11000</v>
      </c>
      <c r="I250" s="54">
        <f>'Level 1'!K249</f>
        <v>11000</v>
      </c>
      <c r="J250" s="96"/>
      <c r="L250" s="324"/>
      <c r="M250" s="40"/>
      <c r="N250" s="38"/>
      <c r="O250" s="51"/>
      <c r="P250" s="53"/>
      <c r="Q250" s="51"/>
      <c r="R250" s="54">
        <v>10000</v>
      </c>
      <c r="S250" s="96"/>
      <c r="U250" s="296">
        <f t="shared" si="37"/>
        <v>1000</v>
      </c>
      <c r="W250" s="297">
        <f t="shared" si="38"/>
        <v>0.1</v>
      </c>
      <c r="Y250" s="313"/>
    </row>
    <row r="251" spans="1:25" hidden="1">
      <c r="A251" s="323" t="s">
        <v>724</v>
      </c>
      <c r="B251" s="135"/>
      <c r="C251" s="324" t="str">
        <f>'Level 1'!E250</f>
        <v>Allowance</v>
      </c>
      <c r="D251" s="40" t="str">
        <f>'Level 1'!F250</f>
        <v>LS</v>
      </c>
      <c r="E251" s="38">
        <f>'Level 1'!G250</f>
        <v>1</v>
      </c>
      <c r="F251" s="51">
        <f>'Level 1'!H250</f>
        <v>7000</v>
      </c>
      <c r="G251" s="53">
        <f>'Level 1'!I250</f>
        <v>0</v>
      </c>
      <c r="H251" s="51">
        <f>'Level 1'!J250</f>
        <v>7000</v>
      </c>
      <c r="I251" s="54">
        <f>'Level 1'!K250</f>
        <v>7000</v>
      </c>
      <c r="J251" s="96"/>
      <c r="L251" s="324"/>
      <c r="M251" s="40"/>
      <c r="N251" s="38"/>
      <c r="O251" s="51"/>
      <c r="P251" s="53"/>
      <c r="Q251" s="51"/>
      <c r="R251" s="54">
        <v>14000</v>
      </c>
      <c r="S251" s="96"/>
      <c r="U251" s="296">
        <f t="shared" si="37"/>
        <v>-7000</v>
      </c>
      <c r="W251" s="297">
        <f t="shared" si="38"/>
        <v>-0.5</v>
      </c>
      <c r="Y251" s="313"/>
    </row>
    <row r="252" spans="1:25">
      <c r="A252" s="323" t="s">
        <v>726</v>
      </c>
      <c r="B252" s="135"/>
      <c r="C252" s="324" t="str">
        <f>'Level 1'!E251</f>
        <v>Torrey Pines</v>
      </c>
      <c r="D252" s="40" t="str">
        <f>'Level 1'!F251</f>
        <v>SF</v>
      </c>
      <c r="E252" s="42">
        <f>'Level 1'!G251</f>
        <v>187517</v>
      </c>
      <c r="F252" s="51">
        <f>'Level 1'!H251</f>
        <v>16.34</v>
      </c>
      <c r="G252" s="53">
        <f>'Level 1'!I251</f>
        <v>0</v>
      </c>
      <c r="H252" s="51">
        <f>'Level 1'!J251</f>
        <v>16.34</v>
      </c>
      <c r="I252" s="54">
        <f>'Level 1'!K251</f>
        <v>3064027.78</v>
      </c>
      <c r="J252" s="96"/>
      <c r="L252" s="324"/>
      <c r="M252" s="40"/>
      <c r="N252" s="42"/>
      <c r="O252" s="51"/>
      <c r="P252" s="53"/>
      <c r="Q252" s="51"/>
      <c r="R252" s="54">
        <v>2640182.2969999998</v>
      </c>
      <c r="S252" s="96"/>
      <c r="U252" s="296">
        <f>I252-R252</f>
        <v>423845.48300000001</v>
      </c>
      <c r="W252" s="297">
        <f t="shared" si="38"/>
        <v>0.16053644609374487</v>
      </c>
      <c r="Y252" s="313" t="s">
        <v>1108</v>
      </c>
    </row>
    <row r="253" spans="1:25" hidden="1">
      <c r="A253" s="323" t="s">
        <v>729</v>
      </c>
      <c r="B253" s="135"/>
      <c r="C253" s="324" t="str">
        <f>'Level 1'!E252</f>
        <v>N/A</v>
      </c>
      <c r="D253" s="40">
        <f>'Level 1'!F252</f>
        <v>0</v>
      </c>
      <c r="E253" s="38">
        <f>'Level 1'!G252</f>
        <v>0</v>
      </c>
      <c r="F253" s="51">
        <f>'Level 1'!H252</f>
        <v>0</v>
      </c>
      <c r="G253" s="53">
        <f>'Level 1'!I252</f>
        <v>0</v>
      </c>
      <c r="H253" s="51">
        <f>'Level 1'!J252</f>
        <v>0</v>
      </c>
      <c r="I253" s="54">
        <f>'Level 1'!K252</f>
        <v>0</v>
      </c>
      <c r="J253" s="96"/>
      <c r="L253" s="324"/>
      <c r="M253" s="40"/>
      <c r="N253" s="38"/>
      <c r="O253" s="51"/>
      <c r="P253" s="53"/>
      <c r="Q253" s="51"/>
      <c r="R253" s="54">
        <v>0</v>
      </c>
      <c r="S253" s="96"/>
      <c r="U253" s="296">
        <f t="shared" si="37"/>
        <v>0</v>
      </c>
      <c r="W253" s="297">
        <f t="shared" si="38"/>
        <v>0</v>
      </c>
      <c r="Y253" s="313"/>
    </row>
    <row r="254" spans="1:25" hidden="1">
      <c r="A254" s="323" t="s">
        <v>730</v>
      </c>
      <c r="B254" s="135"/>
      <c r="C254" s="324" t="str">
        <f>'Level 1'!E253</f>
        <v>N/A</v>
      </c>
      <c r="D254" s="40">
        <f>'Level 1'!F253</f>
        <v>0</v>
      </c>
      <c r="E254" s="38">
        <f>'Level 1'!G253</f>
        <v>0</v>
      </c>
      <c r="F254" s="51">
        <f>'Level 1'!H253</f>
        <v>0</v>
      </c>
      <c r="G254" s="53">
        <f>'Level 1'!I253</f>
        <v>0</v>
      </c>
      <c r="H254" s="51">
        <f>'Level 1'!J253</f>
        <v>0</v>
      </c>
      <c r="I254" s="54">
        <f>'Level 1'!K253</f>
        <v>0</v>
      </c>
      <c r="J254" s="96"/>
      <c r="L254" s="324"/>
      <c r="M254" s="40"/>
      <c r="N254" s="38"/>
      <c r="O254" s="51"/>
      <c r="P254" s="53"/>
      <c r="Q254" s="51"/>
      <c r="R254" s="54">
        <v>0</v>
      </c>
      <c r="S254" s="96"/>
      <c r="U254" s="296">
        <f t="shared" si="37"/>
        <v>0</v>
      </c>
      <c r="W254" s="297">
        <f t="shared" si="38"/>
        <v>0</v>
      </c>
      <c r="Y254" s="313"/>
    </row>
    <row r="255" spans="1:25" hidden="1">
      <c r="A255" s="323" t="s">
        <v>732</v>
      </c>
      <c r="B255" s="135"/>
      <c r="C255" s="324" t="str">
        <f>'Level 1'!E254</f>
        <v xml:space="preserve">Allowance </v>
      </c>
      <c r="D255" s="40" t="str">
        <f>'Level 1'!F254</f>
        <v>LS</v>
      </c>
      <c r="E255" s="38">
        <f>'Level 1'!G254</f>
        <v>1</v>
      </c>
      <c r="F255" s="51">
        <f>'Level 1'!H254</f>
        <v>25000</v>
      </c>
      <c r="G255" s="53">
        <f>'Level 1'!I254</f>
        <v>0</v>
      </c>
      <c r="H255" s="51">
        <f>'Level 1'!J254</f>
        <v>25000</v>
      </c>
      <c r="I255" s="54">
        <f>'Level 1'!K254</f>
        <v>25000</v>
      </c>
      <c r="J255" s="96"/>
      <c r="L255" s="324"/>
      <c r="M255" s="40"/>
      <c r="N255" s="38"/>
      <c r="O255" s="51"/>
      <c r="P255" s="53"/>
      <c r="Q255" s="51"/>
      <c r="R255" s="54">
        <v>15000</v>
      </c>
      <c r="S255" s="96"/>
      <c r="U255" s="296">
        <f t="shared" si="37"/>
        <v>10000</v>
      </c>
      <c r="W255" s="297">
        <f t="shared" si="38"/>
        <v>0.66666666666666663</v>
      </c>
      <c r="Y255" s="313"/>
    </row>
    <row r="256" spans="1:25">
      <c r="A256" s="323" t="s">
        <v>734</v>
      </c>
      <c r="B256" s="135"/>
      <c r="C256" s="324" t="str">
        <f>'Level 1'!E255</f>
        <v>Budget</v>
      </c>
      <c r="D256" s="40" t="str">
        <f>'Level 1'!F255</f>
        <v>LS</v>
      </c>
      <c r="E256" s="38">
        <f>'Level 1'!G255</f>
        <v>1</v>
      </c>
      <c r="F256" s="51">
        <f>'Level 1'!H255</f>
        <v>1843875.2999999998</v>
      </c>
      <c r="G256" s="53">
        <f>'Level 1'!I255</f>
        <v>0</v>
      </c>
      <c r="H256" s="51">
        <f>'Level 1'!J255</f>
        <v>1843875.2999999998</v>
      </c>
      <c r="I256" s="54">
        <f>'Level 1'!K255</f>
        <v>1843875.2999999998</v>
      </c>
      <c r="J256" s="96"/>
      <c r="L256" s="324"/>
      <c r="M256" s="40"/>
      <c r="N256" s="38"/>
      <c r="O256" s="51"/>
      <c r="P256" s="53"/>
      <c r="Q256" s="51"/>
      <c r="R256" s="54">
        <v>1171600</v>
      </c>
      <c r="S256" s="96"/>
      <c r="U256" s="296">
        <f t="shared" si="37"/>
        <v>672275.29999999981</v>
      </c>
      <c r="W256" s="297">
        <f t="shared" si="38"/>
        <v>0.5738095766473198</v>
      </c>
      <c r="Y256" s="313" t="s">
        <v>1224</v>
      </c>
    </row>
    <row r="257" spans="1:25" hidden="1">
      <c r="A257" s="323" t="s">
        <v>736</v>
      </c>
      <c r="B257" s="135"/>
      <c r="C257" s="324" t="str">
        <f>'Level 1'!E256</f>
        <v>Budget</v>
      </c>
      <c r="D257" s="40" t="str">
        <f>'Level 1'!F256</f>
        <v>LS</v>
      </c>
      <c r="E257" s="38">
        <f>'Level 1'!G256</f>
        <v>1</v>
      </c>
      <c r="F257" s="51">
        <f>'Level 1'!H256</f>
        <v>124911</v>
      </c>
      <c r="G257" s="53">
        <f>'Level 1'!I256</f>
        <v>0</v>
      </c>
      <c r="H257" s="51">
        <f>'Level 1'!J256</f>
        <v>124911</v>
      </c>
      <c r="I257" s="54">
        <f>'Level 1'!K256</f>
        <v>124911</v>
      </c>
      <c r="J257" s="96"/>
      <c r="L257" s="324"/>
      <c r="M257" s="40"/>
      <c r="N257" s="38"/>
      <c r="O257" s="51"/>
      <c r="P257" s="53"/>
      <c r="Q257" s="51"/>
      <c r="R257" s="54">
        <v>17648</v>
      </c>
      <c r="S257" s="96"/>
      <c r="U257" s="296">
        <f t="shared" si="37"/>
        <v>107263</v>
      </c>
      <c r="W257" s="297">
        <f t="shared" si="38"/>
        <v>6.0779125113327286</v>
      </c>
      <c r="Y257" s="313" t="s">
        <v>1225</v>
      </c>
    </row>
    <row r="258" spans="1:25" hidden="1">
      <c r="A258" s="323" t="s">
        <v>737</v>
      </c>
      <c r="B258" s="135"/>
      <c r="C258" s="324" t="str">
        <f>'Level 1'!E257</f>
        <v>Budget</v>
      </c>
      <c r="D258" s="40" t="str">
        <f>'Level 1'!F257</f>
        <v>LS</v>
      </c>
      <c r="E258" s="38">
        <f>'Level 1'!G257</f>
        <v>1</v>
      </c>
      <c r="F258" s="51">
        <f>'Level 1'!H257</f>
        <v>91597</v>
      </c>
      <c r="G258" s="53">
        <f>'Level 1'!I257</f>
        <v>0</v>
      </c>
      <c r="H258" s="51">
        <f>'Level 1'!J257</f>
        <v>91597</v>
      </c>
      <c r="I258" s="54">
        <f>'Level 1'!K257</f>
        <v>91597</v>
      </c>
      <c r="J258" s="96"/>
      <c r="L258" s="324"/>
      <c r="M258" s="40"/>
      <c r="N258" s="38"/>
      <c r="O258" s="51"/>
      <c r="P258" s="53"/>
      <c r="Q258" s="51"/>
      <c r="R258" s="54">
        <v>56300</v>
      </c>
      <c r="S258" s="96"/>
      <c r="U258" s="296">
        <f t="shared" si="37"/>
        <v>35297</v>
      </c>
      <c r="W258" s="297">
        <f t="shared" si="38"/>
        <v>0.62694493783303729</v>
      </c>
      <c r="Y258" s="313" t="s">
        <v>1226</v>
      </c>
    </row>
    <row r="259" spans="1:25" hidden="1">
      <c r="A259" s="314" t="s">
        <v>738</v>
      </c>
      <c r="B259" s="135"/>
      <c r="C259" s="315"/>
      <c r="D259" s="151"/>
      <c r="E259" s="152"/>
      <c r="F259" s="153"/>
      <c r="G259" s="154"/>
      <c r="H259" s="153"/>
      <c r="I259" s="172"/>
      <c r="J259" s="335">
        <f>'Level 1'!L258</f>
        <v>7586858.175714286</v>
      </c>
      <c r="L259" s="315"/>
      <c r="M259" s="151"/>
      <c r="N259" s="152"/>
      <c r="O259" s="153"/>
      <c r="P259" s="154"/>
      <c r="Q259" s="153"/>
      <c r="R259" s="172"/>
      <c r="S259" s="335">
        <v>5999860</v>
      </c>
      <c r="U259" s="336">
        <f>J259-S259</f>
        <v>1586998.175714286</v>
      </c>
      <c r="W259" s="337">
        <f>IF(S259=0,0,U259/S259)</f>
        <v>0.26450586775596197</v>
      </c>
      <c r="Y259" s="313"/>
    </row>
    <row r="260" spans="1:25" hidden="1">
      <c r="A260" s="334" t="s">
        <v>740</v>
      </c>
      <c r="B260" s="135"/>
      <c r="C260" s="322" t="s">
        <v>742</v>
      </c>
      <c r="D260" s="47" t="s">
        <v>88</v>
      </c>
      <c r="E260" s="42">
        <f>'Level 1'!G259</f>
        <v>390</v>
      </c>
      <c r="F260" s="61">
        <f>'Level 1'!H259</f>
        <v>360.11538461538464</v>
      </c>
      <c r="G260" s="63">
        <v>0</v>
      </c>
      <c r="H260" s="66">
        <f t="shared" ref="H260:H274" si="39">F260*(1+G260)</f>
        <v>360.11538461538464</v>
      </c>
      <c r="I260" s="67">
        <f>'Level 1'!K259</f>
        <v>140445</v>
      </c>
      <c r="J260" s="96"/>
      <c r="L260" s="322"/>
      <c r="M260" s="47"/>
      <c r="N260" s="42"/>
      <c r="O260" s="61"/>
      <c r="P260" s="63"/>
      <c r="Q260" s="66"/>
      <c r="R260" s="67">
        <v>0</v>
      </c>
      <c r="S260" s="96"/>
      <c r="U260" s="296">
        <f t="shared" si="37"/>
        <v>140445</v>
      </c>
      <c r="W260" s="297">
        <f t="shared" ref="W260:W274" si="40">IF(R260=0,0,U260/R260)</f>
        <v>0</v>
      </c>
      <c r="Y260" s="313"/>
    </row>
    <row r="261" spans="1:25" hidden="1">
      <c r="A261" s="330" t="s">
        <v>744</v>
      </c>
      <c r="B261" s="135"/>
      <c r="C261" s="324" t="s">
        <v>231</v>
      </c>
      <c r="D261" s="40"/>
      <c r="E261" s="38"/>
      <c r="F261" s="51">
        <f>'Level 1'!H260</f>
        <v>0</v>
      </c>
      <c r="G261" s="53">
        <v>0</v>
      </c>
      <c r="H261" s="51">
        <f t="shared" si="39"/>
        <v>0</v>
      </c>
      <c r="I261" s="54">
        <f>'Level 1'!K260</f>
        <v>0</v>
      </c>
      <c r="J261" s="96"/>
      <c r="L261" s="324"/>
      <c r="M261" s="40"/>
      <c r="N261" s="38"/>
      <c r="O261" s="51"/>
      <c r="P261" s="53"/>
      <c r="Q261" s="51"/>
      <c r="R261" s="54">
        <v>0</v>
      </c>
      <c r="S261" s="96"/>
      <c r="U261" s="296">
        <f t="shared" si="37"/>
        <v>0</v>
      </c>
      <c r="W261" s="297">
        <f t="shared" si="40"/>
        <v>0</v>
      </c>
      <c r="Y261" s="313"/>
    </row>
    <row r="262" spans="1:25">
      <c r="A262" s="330" t="s">
        <v>746</v>
      </c>
      <c r="B262" s="135"/>
      <c r="C262" s="324" t="s">
        <v>6</v>
      </c>
      <c r="D262" s="40" t="s">
        <v>71</v>
      </c>
      <c r="E262" s="38">
        <v>1</v>
      </c>
      <c r="F262" s="51">
        <f>'Level 1'!H261</f>
        <v>832918.12</v>
      </c>
      <c r="G262" s="53">
        <v>0</v>
      </c>
      <c r="H262" s="51">
        <f t="shared" si="39"/>
        <v>832918.12</v>
      </c>
      <c r="I262" s="54">
        <f>'Level 1'!K261</f>
        <v>832918.12</v>
      </c>
      <c r="J262" s="96"/>
      <c r="L262" s="324"/>
      <c r="M262" s="40"/>
      <c r="N262" s="38"/>
      <c r="O262" s="51"/>
      <c r="P262" s="53"/>
      <c r="Q262" s="51"/>
      <c r="R262" s="54">
        <v>1401115</v>
      </c>
      <c r="S262" s="96"/>
      <c r="U262" s="296">
        <f>I262-R262</f>
        <v>-568196.88</v>
      </c>
      <c r="W262" s="297">
        <f t="shared" si="40"/>
        <v>-0.40553193706440943</v>
      </c>
      <c r="Y262" s="313" t="s">
        <v>1226</v>
      </c>
    </row>
    <row r="263" spans="1:25">
      <c r="A263" s="330" t="s">
        <v>748</v>
      </c>
      <c r="B263" s="135"/>
      <c r="C263" s="324" t="s">
        <v>6</v>
      </c>
      <c r="D263" s="40" t="s">
        <v>71</v>
      </c>
      <c r="E263" s="38">
        <v>1</v>
      </c>
      <c r="F263" s="51">
        <f>'Level 1'!H262</f>
        <v>394942</v>
      </c>
      <c r="G263" s="53">
        <v>0</v>
      </c>
      <c r="H263" s="51">
        <f t="shared" si="39"/>
        <v>394942</v>
      </c>
      <c r="I263" s="54">
        <f>'Level 1'!K262</f>
        <v>394942</v>
      </c>
      <c r="J263" s="96"/>
      <c r="L263" s="324"/>
      <c r="M263" s="40"/>
      <c r="N263" s="38"/>
      <c r="O263" s="51"/>
      <c r="P263" s="53"/>
      <c r="Q263" s="51"/>
      <c r="R263" s="54">
        <v>482425</v>
      </c>
      <c r="S263" s="96"/>
      <c r="U263" s="296">
        <f t="shared" si="37"/>
        <v>-87483</v>
      </c>
      <c r="W263" s="297">
        <f t="shared" si="40"/>
        <v>-0.18134010467948386</v>
      </c>
      <c r="Y263" s="313" t="s">
        <v>1226</v>
      </c>
    </row>
    <row r="264" spans="1:25" hidden="1">
      <c r="A264" s="330" t="s">
        <v>751</v>
      </c>
      <c r="B264" s="135"/>
      <c r="C264" s="324" t="s">
        <v>231</v>
      </c>
      <c r="D264" s="40"/>
      <c r="E264" s="38"/>
      <c r="F264" s="51">
        <f>'Level 1'!H263</f>
        <v>0</v>
      </c>
      <c r="G264" s="53">
        <v>0</v>
      </c>
      <c r="H264" s="51">
        <f t="shared" si="39"/>
        <v>0</v>
      </c>
      <c r="I264" s="54">
        <f>'Level 1'!K263</f>
        <v>0</v>
      </c>
      <c r="J264" s="96"/>
      <c r="L264" s="324"/>
      <c r="M264" s="40"/>
      <c r="N264" s="38"/>
      <c r="O264" s="51"/>
      <c r="P264" s="53"/>
      <c r="Q264" s="51"/>
      <c r="R264" s="54">
        <v>0</v>
      </c>
      <c r="S264" s="96"/>
      <c r="U264" s="296">
        <f t="shared" si="37"/>
        <v>0</v>
      </c>
      <c r="W264" s="297">
        <f t="shared" si="40"/>
        <v>0</v>
      </c>
      <c r="Y264" s="313"/>
    </row>
    <row r="265" spans="1:25" hidden="1">
      <c r="A265" s="330" t="s">
        <v>753</v>
      </c>
      <c r="B265" s="135"/>
      <c r="C265" s="324" t="s">
        <v>73</v>
      </c>
      <c r="D265" s="40" t="s">
        <v>71</v>
      </c>
      <c r="E265" s="38">
        <v>1</v>
      </c>
      <c r="F265" s="51">
        <f>'Level 1'!H264</f>
        <v>15000</v>
      </c>
      <c r="G265" s="53">
        <v>0</v>
      </c>
      <c r="H265" s="51">
        <f t="shared" si="39"/>
        <v>15000</v>
      </c>
      <c r="I265" s="54">
        <f>'Level 1'!K264</f>
        <v>15000</v>
      </c>
      <c r="J265" s="96"/>
      <c r="L265" s="324"/>
      <c r="M265" s="40"/>
      <c r="N265" s="38"/>
      <c r="O265" s="51"/>
      <c r="P265" s="53"/>
      <c r="Q265" s="51"/>
      <c r="R265" s="54">
        <v>5000</v>
      </c>
      <c r="S265" s="96"/>
      <c r="U265" s="296">
        <f t="shared" si="37"/>
        <v>10000</v>
      </c>
      <c r="W265" s="297">
        <f t="shared" si="40"/>
        <v>2</v>
      </c>
      <c r="Y265" s="313"/>
    </row>
    <row r="266" spans="1:25" hidden="1">
      <c r="A266" s="323" t="s">
        <v>759</v>
      </c>
      <c r="B266" s="135"/>
      <c r="C266" s="324" t="s">
        <v>6</v>
      </c>
      <c r="D266" s="40" t="s">
        <v>71</v>
      </c>
      <c r="E266" s="38">
        <v>1</v>
      </c>
      <c r="F266" s="51">
        <f>'Level 1'!H266</f>
        <v>432813</v>
      </c>
      <c r="G266" s="53">
        <v>0</v>
      </c>
      <c r="H266" s="51">
        <f t="shared" si="39"/>
        <v>432813</v>
      </c>
      <c r="I266" s="54">
        <f>'Level 1'!K266</f>
        <v>432813</v>
      </c>
      <c r="J266" s="96"/>
      <c r="L266" s="324"/>
      <c r="M266" s="40"/>
      <c r="N266" s="38"/>
      <c r="O266" s="51"/>
      <c r="P266" s="53"/>
      <c r="Q266" s="51"/>
      <c r="R266" s="54">
        <v>514000</v>
      </c>
      <c r="S266" s="96"/>
      <c r="U266" s="296">
        <f t="shared" si="37"/>
        <v>-81187</v>
      </c>
      <c r="W266" s="297">
        <f t="shared" si="40"/>
        <v>-0.15795136186770428</v>
      </c>
      <c r="Y266" s="313" t="s">
        <v>1227</v>
      </c>
    </row>
    <row r="267" spans="1:25" hidden="1">
      <c r="A267" s="323" t="s">
        <v>762</v>
      </c>
      <c r="B267" s="135"/>
      <c r="C267" s="324" t="s">
        <v>73</v>
      </c>
      <c r="D267" s="40" t="s">
        <v>71</v>
      </c>
      <c r="E267" s="38">
        <v>1</v>
      </c>
      <c r="F267" s="51">
        <f>'Level 1'!H267</f>
        <v>25000</v>
      </c>
      <c r="G267" s="53">
        <v>0</v>
      </c>
      <c r="H267" s="51">
        <f t="shared" si="39"/>
        <v>25000</v>
      </c>
      <c r="I267" s="54">
        <f>'Level 1'!K267</f>
        <v>25000</v>
      </c>
      <c r="J267" s="96"/>
      <c r="L267" s="324"/>
      <c r="M267" s="40"/>
      <c r="N267" s="38"/>
      <c r="O267" s="51"/>
      <c r="P267" s="53"/>
      <c r="Q267" s="51"/>
      <c r="R267" s="54">
        <v>20000</v>
      </c>
      <c r="S267" s="96"/>
      <c r="U267" s="296">
        <f t="shared" si="37"/>
        <v>5000</v>
      </c>
      <c r="W267" s="297">
        <f t="shared" si="40"/>
        <v>0.25</v>
      </c>
      <c r="Y267" s="313"/>
    </row>
    <row r="268" spans="1:25" hidden="1">
      <c r="A268" s="323" t="s">
        <v>764</v>
      </c>
      <c r="B268" s="135"/>
      <c r="C268" s="324" t="s">
        <v>231</v>
      </c>
      <c r="D268" s="40"/>
      <c r="E268" s="38"/>
      <c r="F268" s="51">
        <f>'Level 1'!H268</f>
        <v>0</v>
      </c>
      <c r="G268" s="53">
        <v>0</v>
      </c>
      <c r="H268" s="51">
        <f t="shared" si="39"/>
        <v>0</v>
      </c>
      <c r="I268" s="54">
        <f>'Level 1'!K268</f>
        <v>0</v>
      </c>
      <c r="J268" s="96"/>
      <c r="L268" s="324"/>
      <c r="M268" s="40"/>
      <c r="N268" s="38"/>
      <c r="O268" s="51"/>
      <c r="P268" s="53"/>
      <c r="Q268" s="51"/>
      <c r="R268" s="54">
        <v>0</v>
      </c>
      <c r="S268" s="96"/>
      <c r="U268" s="296">
        <f t="shared" si="37"/>
        <v>0</v>
      </c>
      <c r="W268" s="297">
        <f t="shared" si="40"/>
        <v>0</v>
      </c>
      <c r="Y268" s="313"/>
    </row>
    <row r="269" spans="1:25" hidden="1">
      <c r="A269" s="323" t="s">
        <v>766</v>
      </c>
      <c r="B269" s="135"/>
      <c r="C269" s="324" t="s">
        <v>231</v>
      </c>
      <c r="D269" s="40"/>
      <c r="E269" s="38"/>
      <c r="F269" s="51">
        <f>'Level 1'!H269</f>
        <v>0</v>
      </c>
      <c r="G269" s="53">
        <v>0</v>
      </c>
      <c r="H269" s="51">
        <f t="shared" si="39"/>
        <v>0</v>
      </c>
      <c r="I269" s="54">
        <f>'Level 1'!K269</f>
        <v>0</v>
      </c>
      <c r="J269" s="96"/>
      <c r="L269" s="324"/>
      <c r="M269" s="40"/>
      <c r="N269" s="38"/>
      <c r="O269" s="51"/>
      <c r="P269" s="53"/>
      <c r="Q269" s="51"/>
      <c r="R269" s="54">
        <v>25000</v>
      </c>
      <c r="S269" s="96"/>
      <c r="U269" s="296">
        <f t="shared" si="37"/>
        <v>-25000</v>
      </c>
      <c r="W269" s="297">
        <f t="shared" si="40"/>
        <v>-1</v>
      </c>
      <c r="Y269" s="313"/>
    </row>
    <row r="270" spans="1:25" hidden="1">
      <c r="A270" s="323" t="s">
        <v>768</v>
      </c>
      <c r="B270" s="135"/>
      <c r="C270" s="324" t="s">
        <v>231</v>
      </c>
      <c r="D270" s="40"/>
      <c r="E270" s="38"/>
      <c r="F270" s="51">
        <f>'Level 1'!H270</f>
        <v>0</v>
      </c>
      <c r="G270" s="53">
        <v>0</v>
      </c>
      <c r="H270" s="51">
        <f t="shared" si="39"/>
        <v>0</v>
      </c>
      <c r="I270" s="54">
        <f>'Level 1'!K270</f>
        <v>0</v>
      </c>
      <c r="J270" s="96"/>
      <c r="L270" s="324"/>
      <c r="M270" s="40"/>
      <c r="N270" s="38"/>
      <c r="O270" s="51"/>
      <c r="P270" s="53"/>
      <c r="Q270" s="51"/>
      <c r="R270" s="54">
        <v>0</v>
      </c>
      <c r="S270" s="96"/>
      <c r="U270" s="296">
        <f t="shared" si="37"/>
        <v>0</v>
      </c>
      <c r="W270" s="297">
        <f t="shared" si="40"/>
        <v>0</v>
      </c>
      <c r="Y270" s="313"/>
    </row>
    <row r="271" spans="1:25">
      <c r="A271" s="323" t="s">
        <v>770</v>
      </c>
      <c r="B271" s="135"/>
      <c r="C271" s="324" t="s">
        <v>6</v>
      </c>
      <c r="D271" s="40" t="s">
        <v>71</v>
      </c>
      <c r="E271" s="38">
        <v>1</v>
      </c>
      <c r="F271" s="51">
        <f>'Level 1'!H271</f>
        <v>2200067.3966666665</v>
      </c>
      <c r="G271" s="53">
        <v>0</v>
      </c>
      <c r="H271" s="51">
        <f t="shared" si="39"/>
        <v>2200067.3966666665</v>
      </c>
      <c r="I271" s="54">
        <f>'Level 1'!K271</f>
        <v>2200067.3966666665</v>
      </c>
      <c r="J271" s="96"/>
      <c r="L271" s="324"/>
      <c r="M271" s="40"/>
      <c r="N271" s="38"/>
      <c r="O271" s="51"/>
      <c r="P271" s="53"/>
      <c r="Q271" s="51"/>
      <c r="R271" s="54">
        <v>1919160</v>
      </c>
      <c r="S271" s="96"/>
      <c r="U271" s="296">
        <f t="shared" si="37"/>
        <v>280907.39666666649</v>
      </c>
      <c r="W271" s="297">
        <f t="shared" si="40"/>
        <v>0.14636997262691306</v>
      </c>
      <c r="Y271" s="313" t="s">
        <v>1228</v>
      </c>
    </row>
    <row r="272" spans="1:25">
      <c r="A272" s="323" t="s">
        <v>771</v>
      </c>
      <c r="B272" s="135"/>
      <c r="C272" s="324" t="s">
        <v>6</v>
      </c>
      <c r="D272" s="40" t="s">
        <v>71</v>
      </c>
      <c r="E272" s="38">
        <v>1</v>
      </c>
      <c r="F272" s="51">
        <f>'Level 1'!H272</f>
        <v>1474233.6057142857</v>
      </c>
      <c r="G272" s="53">
        <v>0</v>
      </c>
      <c r="H272" s="51">
        <f>F272*(1+G272)</f>
        <v>1474233.6057142857</v>
      </c>
      <c r="I272" s="54">
        <f>'Level 1'!K272</f>
        <v>1474233.6057142857</v>
      </c>
      <c r="J272" s="96"/>
      <c r="L272" s="324"/>
      <c r="M272" s="40"/>
      <c r="N272" s="38"/>
      <c r="O272" s="51"/>
      <c r="P272" s="53"/>
      <c r="Q272" s="51"/>
      <c r="R272" s="54">
        <v>1133160</v>
      </c>
      <c r="S272" s="96"/>
      <c r="U272" s="296">
        <f t="shared" si="37"/>
        <v>341073.60571428575</v>
      </c>
      <c r="W272" s="297">
        <f t="shared" si="40"/>
        <v>0.3009933334341891</v>
      </c>
      <c r="Y272" s="313" t="s">
        <v>1228</v>
      </c>
    </row>
    <row r="273" spans="1:25">
      <c r="A273" s="323" t="s">
        <v>772</v>
      </c>
      <c r="B273" s="135"/>
      <c r="C273" s="324" t="s">
        <v>73</v>
      </c>
      <c r="D273" s="40" t="s">
        <v>71</v>
      </c>
      <c r="E273" s="38">
        <v>1</v>
      </c>
      <c r="F273" s="51">
        <f>'Level 1'!H273</f>
        <v>649389</v>
      </c>
      <c r="G273" s="53">
        <v>0</v>
      </c>
      <c r="H273" s="51">
        <f t="shared" si="39"/>
        <v>649389</v>
      </c>
      <c r="I273" s="54">
        <f>'Level 1'!K273</f>
        <v>649389</v>
      </c>
      <c r="J273" s="96"/>
      <c r="L273" s="324"/>
      <c r="M273" s="40"/>
      <c r="N273" s="38"/>
      <c r="O273" s="51"/>
      <c r="P273" s="53"/>
      <c r="Q273" s="51"/>
      <c r="R273" s="54">
        <v>0</v>
      </c>
      <c r="S273" s="96"/>
      <c r="U273" s="296">
        <f t="shared" si="37"/>
        <v>649389</v>
      </c>
      <c r="W273" s="297">
        <f t="shared" si="40"/>
        <v>0</v>
      </c>
      <c r="Y273" s="313" t="s">
        <v>1115</v>
      </c>
    </row>
    <row r="274" spans="1:25">
      <c r="A274" s="323" t="s">
        <v>773</v>
      </c>
      <c r="B274" s="135"/>
      <c r="C274" s="324" t="s">
        <v>6</v>
      </c>
      <c r="D274" s="40" t="s">
        <v>71</v>
      </c>
      <c r="E274" s="38">
        <v>1</v>
      </c>
      <c r="F274" s="51">
        <f>'Level 1'!H274</f>
        <v>1310050.0533333332</v>
      </c>
      <c r="G274" s="53">
        <v>0</v>
      </c>
      <c r="H274" s="51">
        <f t="shared" si="39"/>
        <v>1310050.0533333332</v>
      </c>
      <c r="I274" s="54">
        <f>'Level 1'!K274</f>
        <v>1310050.0533333332</v>
      </c>
      <c r="J274" s="96"/>
      <c r="L274" s="324"/>
      <c r="M274" s="40"/>
      <c r="N274" s="38"/>
      <c r="O274" s="51"/>
      <c r="P274" s="53"/>
      <c r="Q274" s="51"/>
      <c r="R274" s="54">
        <v>500000</v>
      </c>
      <c r="S274" s="96"/>
      <c r="U274" s="296">
        <f t="shared" si="37"/>
        <v>810050.05333333323</v>
      </c>
      <c r="W274" s="297">
        <f t="shared" si="40"/>
        <v>1.6201001066666665</v>
      </c>
      <c r="Y274" s="313" t="s">
        <v>1229</v>
      </c>
    </row>
    <row r="275" spans="1:25" hidden="1">
      <c r="A275" s="314" t="s">
        <v>774</v>
      </c>
      <c r="B275" s="135"/>
      <c r="C275" s="315"/>
      <c r="D275" s="151"/>
      <c r="E275" s="152"/>
      <c r="F275" s="153"/>
      <c r="G275" s="154"/>
      <c r="H275" s="153"/>
      <c r="I275" s="172"/>
      <c r="J275" s="316">
        <f>'Level 1'!L275</f>
        <v>15000</v>
      </c>
      <c r="L275" s="315"/>
      <c r="M275" s="151"/>
      <c r="N275" s="152"/>
      <c r="O275" s="153"/>
      <c r="P275" s="154"/>
      <c r="Q275" s="153"/>
      <c r="R275" s="172"/>
      <c r="S275" s="316">
        <v>7500</v>
      </c>
      <c r="U275" s="317">
        <f>J275-S275</f>
        <v>7500</v>
      </c>
      <c r="W275" s="318">
        <f>IF(S275=0,0,U275/S275)</f>
        <v>1</v>
      </c>
      <c r="Y275" s="313"/>
    </row>
    <row r="276" spans="1:25" hidden="1">
      <c r="A276" s="319" t="s">
        <v>776</v>
      </c>
      <c r="B276" s="135"/>
      <c r="C276" s="320" t="str">
        <f>'Level 1'!E276</f>
        <v>Allowance</v>
      </c>
      <c r="D276" s="65" t="str">
        <f>'Level 1'!F276</f>
        <v>LS</v>
      </c>
      <c r="E276" s="43">
        <f>'Level 1'!G276</f>
        <v>1</v>
      </c>
      <c r="F276" s="64">
        <f>'Level 1'!H276</f>
        <v>15000</v>
      </c>
      <c r="G276" s="157">
        <f>'Level 1'!I276</f>
        <v>0</v>
      </c>
      <c r="H276" s="158">
        <f>'Level 1'!J276</f>
        <v>15000</v>
      </c>
      <c r="I276" s="159">
        <f>'Level 1'!K276</f>
        <v>15000</v>
      </c>
      <c r="J276" s="96"/>
      <c r="L276" s="320"/>
      <c r="M276" s="65"/>
      <c r="N276" s="43"/>
      <c r="O276" s="64"/>
      <c r="P276" s="157"/>
      <c r="Q276" s="158"/>
      <c r="R276" s="159">
        <v>7500</v>
      </c>
      <c r="S276" s="96"/>
      <c r="U276" s="296">
        <f t="shared" ref="U276" si="41">I276-R276</f>
        <v>7500</v>
      </c>
      <c r="W276" s="297">
        <f>IF(R276=0,0,U276/R276)</f>
        <v>1</v>
      </c>
      <c r="Y276" s="313"/>
    </row>
    <row r="277" spans="1:25" hidden="1">
      <c r="A277" s="314" t="s">
        <v>778</v>
      </c>
      <c r="B277" s="135"/>
      <c r="C277" s="315"/>
      <c r="D277" s="151"/>
      <c r="E277" s="152"/>
      <c r="F277" s="153"/>
      <c r="G277" s="154"/>
      <c r="H277" s="153"/>
      <c r="I277" s="172"/>
      <c r="J277" s="316">
        <f>'Level 1'!L277</f>
        <v>469750</v>
      </c>
      <c r="L277" s="315"/>
      <c r="M277" s="151"/>
      <c r="N277" s="152"/>
      <c r="O277" s="153"/>
      <c r="P277" s="154"/>
      <c r="Q277" s="153"/>
      <c r="R277" s="172"/>
      <c r="S277" s="316">
        <v>373630.07692307694</v>
      </c>
      <c r="U277" s="317">
        <f>J277-S277</f>
        <v>96119.923076923063</v>
      </c>
      <c r="W277" s="318">
        <f>IF(S277=0,0,U277/S277)</f>
        <v>0.25725959716222807</v>
      </c>
      <c r="Y277" s="313"/>
    </row>
    <row r="278" spans="1:25" hidden="1">
      <c r="A278" s="321" t="s">
        <v>780</v>
      </c>
      <c r="B278" s="135"/>
      <c r="C278" s="322" t="str">
        <f>'Level 1'!E278</f>
        <v>Wigwam</v>
      </c>
      <c r="D278" s="47" t="str">
        <f>'Level 1'!F278</f>
        <v>Unit</v>
      </c>
      <c r="E278" s="42">
        <f>'Level 1'!G278</f>
        <v>390</v>
      </c>
      <c r="F278" s="61">
        <f>'Level 1'!H278</f>
        <v>1025</v>
      </c>
      <c r="G278" s="63">
        <f>'Level 1'!I278</f>
        <v>0</v>
      </c>
      <c r="H278" s="66">
        <f>'Level 1'!J278</f>
        <v>1025</v>
      </c>
      <c r="I278" s="67">
        <f>'Level 1'!K278</f>
        <v>399750</v>
      </c>
      <c r="J278" s="96"/>
      <c r="L278" s="322"/>
      <c r="M278" s="47"/>
      <c r="N278" s="42"/>
      <c r="O278" s="61"/>
      <c r="P278" s="63"/>
      <c r="Q278" s="66"/>
      <c r="R278" s="67">
        <v>352793.07692307694</v>
      </c>
      <c r="S278" s="96"/>
      <c r="U278" s="296">
        <f t="shared" ref="U278:U280" si="42">I278-R278</f>
        <v>46956.923076923063</v>
      </c>
      <c r="W278" s="297">
        <f t="shared" ref="W278:W280" si="43">IF(R278=0,0,U278/R278)</f>
        <v>0.13310046638801123</v>
      </c>
      <c r="Y278" s="313"/>
    </row>
    <row r="279" spans="1:25" hidden="1">
      <c r="A279" s="323" t="s">
        <v>783</v>
      </c>
      <c r="B279" s="135"/>
      <c r="C279" s="324" t="str">
        <f>'Level 1'!E279</f>
        <v>Allowance</v>
      </c>
      <c r="D279" s="40" t="str">
        <f>'Level 1'!F279</f>
        <v>LS</v>
      </c>
      <c r="E279" s="38">
        <f>'Level 1'!G279</f>
        <v>1</v>
      </c>
      <c r="F279" s="51">
        <f>'Level 1'!H279</f>
        <v>50000</v>
      </c>
      <c r="G279" s="53">
        <f>'Level 1'!I279</f>
        <v>0</v>
      </c>
      <c r="H279" s="51">
        <f>'Level 1'!J279</f>
        <v>50000</v>
      </c>
      <c r="I279" s="54">
        <f>'Level 1'!K279</f>
        <v>50000</v>
      </c>
      <c r="J279" s="96"/>
      <c r="L279" s="324"/>
      <c r="M279" s="40"/>
      <c r="N279" s="38"/>
      <c r="O279" s="51"/>
      <c r="P279" s="53"/>
      <c r="Q279" s="51"/>
      <c r="R279" s="54">
        <v>20837</v>
      </c>
      <c r="S279" s="96"/>
      <c r="U279" s="296">
        <f t="shared" si="42"/>
        <v>29163</v>
      </c>
      <c r="W279" s="297">
        <f t="shared" si="43"/>
        <v>1.399577674329318</v>
      </c>
      <c r="Y279" s="313"/>
    </row>
    <row r="280" spans="1:25" hidden="1">
      <c r="A280" s="323" t="s">
        <v>786</v>
      </c>
      <c r="B280" s="135"/>
      <c r="C280" s="324" t="str">
        <f>'Level 1'!E280</f>
        <v>Allowance</v>
      </c>
      <c r="D280" s="40" t="str">
        <f>'Level 1'!F280</f>
        <v>LS</v>
      </c>
      <c r="E280" s="38">
        <f>'Level 1'!G280</f>
        <v>1</v>
      </c>
      <c r="F280" s="51">
        <f>'Level 1'!H280</f>
        <v>20000</v>
      </c>
      <c r="G280" s="53">
        <f>'Level 1'!I280</f>
        <v>0</v>
      </c>
      <c r="H280" s="51">
        <f>'Level 1'!J280</f>
        <v>20000</v>
      </c>
      <c r="I280" s="54">
        <f>'Level 1'!K280</f>
        <v>20000</v>
      </c>
      <c r="J280" s="96"/>
      <c r="L280" s="324"/>
      <c r="M280" s="40"/>
      <c r="N280" s="38"/>
      <c r="O280" s="51"/>
      <c r="P280" s="53"/>
      <c r="Q280" s="51"/>
      <c r="R280" s="54">
        <v>0</v>
      </c>
      <c r="S280" s="96"/>
      <c r="U280" s="296">
        <f t="shared" si="42"/>
        <v>20000</v>
      </c>
      <c r="W280" s="297">
        <f t="shared" si="43"/>
        <v>0</v>
      </c>
      <c r="Y280" s="313"/>
    </row>
    <row r="281" spans="1:25" hidden="1">
      <c r="A281" s="314" t="s">
        <v>788</v>
      </c>
      <c r="B281" s="135"/>
      <c r="C281" s="315"/>
      <c r="D281" s="151"/>
      <c r="E281" s="152"/>
      <c r="F281" s="153"/>
      <c r="G281" s="154"/>
      <c r="H281" s="153"/>
      <c r="I281" s="172"/>
      <c r="J281" s="316">
        <f>'Level 1'!L281</f>
        <v>427358.97360000003</v>
      </c>
      <c r="L281" s="315"/>
      <c r="M281" s="151"/>
      <c r="N281" s="152"/>
      <c r="O281" s="153"/>
      <c r="P281" s="154"/>
      <c r="Q281" s="153"/>
      <c r="R281" s="172"/>
      <c r="S281" s="316">
        <v>420665.74400000001</v>
      </c>
      <c r="U281" s="317">
        <f>J281-S281</f>
        <v>6693.2296000000206</v>
      </c>
      <c r="W281" s="318">
        <f>IF(S281=0,0,U281/S281)</f>
        <v>1.5911040286655763E-2</v>
      </c>
      <c r="Y281" s="313"/>
    </row>
    <row r="282" spans="1:25" hidden="1">
      <c r="A282" s="321" t="s">
        <v>790</v>
      </c>
      <c r="B282" s="135"/>
      <c r="C282" s="322" t="str">
        <f>'Level 1'!E282</f>
        <v>Wigwam</v>
      </c>
      <c r="D282" s="47" t="str">
        <f>'Level 1'!F282</f>
        <v>LS</v>
      </c>
      <c r="E282" s="185">
        <f>'Level 1'!G282</f>
        <v>15.826000000000001</v>
      </c>
      <c r="F282" s="61">
        <f>'Level 1'!H282</f>
        <v>2914</v>
      </c>
      <c r="G282" s="63">
        <f>'Level 1'!I282</f>
        <v>0</v>
      </c>
      <c r="H282" s="66">
        <f>'Level 1'!J282</f>
        <v>2914</v>
      </c>
      <c r="I282" s="67">
        <f>'Level 1'!K282</f>
        <v>46116.964</v>
      </c>
      <c r="J282" s="96"/>
      <c r="L282" s="322"/>
      <c r="M282" s="47"/>
      <c r="N282" s="185"/>
      <c r="O282" s="61"/>
      <c r="P282" s="63"/>
      <c r="Q282" s="66"/>
      <c r="R282" s="67">
        <v>37882</v>
      </c>
      <c r="S282" s="96"/>
      <c r="U282" s="296">
        <f t="shared" ref="U282:U290" si="44">I282-R282</f>
        <v>8234.9639999999999</v>
      </c>
      <c r="W282" s="297">
        <f t="shared" ref="W282:W290" si="45">IF(R282=0,0,U282/R282)</f>
        <v>0.21738461538461537</v>
      </c>
      <c r="Y282" s="313"/>
    </row>
    <row r="283" spans="1:25" hidden="1">
      <c r="A283" s="323" t="s">
        <v>792</v>
      </c>
      <c r="B283" s="135"/>
      <c r="C283" s="324" t="str">
        <f>'Level 1'!E283</f>
        <v>Wigwam</v>
      </c>
      <c r="D283" s="40" t="str">
        <f>'Level 1'!F283</f>
        <v>LS</v>
      </c>
      <c r="E283" s="183">
        <f>'Level 1'!G283</f>
        <v>15.826000000000001</v>
      </c>
      <c r="F283" s="51">
        <f>'Level 1'!H283</f>
        <v>1542</v>
      </c>
      <c r="G283" s="53">
        <f>'Level 1'!I283</f>
        <v>0</v>
      </c>
      <c r="H283" s="51">
        <f>'Level 1'!J283</f>
        <v>1542</v>
      </c>
      <c r="I283" s="54">
        <f>'Level 1'!K283</f>
        <v>24403.691999999999</v>
      </c>
      <c r="J283" s="96"/>
      <c r="L283" s="324"/>
      <c r="M283" s="40"/>
      <c r="N283" s="183"/>
      <c r="O283" s="51"/>
      <c r="P283" s="53"/>
      <c r="Q283" s="51"/>
      <c r="R283" s="54">
        <v>24502.38</v>
      </c>
      <c r="S283" s="96"/>
      <c r="U283" s="296">
        <f t="shared" si="44"/>
        <v>-98.688000000001921</v>
      </c>
      <c r="W283" s="297">
        <f t="shared" si="45"/>
        <v>-4.0276903713027841E-3</v>
      </c>
      <c r="Y283" s="313"/>
    </row>
    <row r="284" spans="1:25" hidden="1">
      <c r="A284" s="323" t="s">
        <v>795</v>
      </c>
      <c r="B284" s="135"/>
      <c r="C284" s="324" t="str">
        <f>'Level 1'!E284</f>
        <v>Wigwam</v>
      </c>
      <c r="D284" s="40" t="str">
        <f>'Level 1'!F284</f>
        <v>LS</v>
      </c>
      <c r="E284" s="183">
        <f>'Level 1'!G284</f>
        <v>15.826000000000001</v>
      </c>
      <c r="F284" s="51">
        <f>'Level 1'!H284</f>
        <v>1870</v>
      </c>
      <c r="G284" s="53">
        <f>'Level 1'!I284</f>
        <v>0</v>
      </c>
      <c r="H284" s="51">
        <f>'Level 1'!J284</f>
        <v>1870</v>
      </c>
      <c r="I284" s="54">
        <f>'Level 1'!K284</f>
        <v>29594.620000000003</v>
      </c>
      <c r="J284" s="96"/>
      <c r="L284" s="324"/>
      <c r="M284" s="40"/>
      <c r="N284" s="183"/>
      <c r="O284" s="51"/>
      <c r="P284" s="53"/>
      <c r="Q284" s="51"/>
      <c r="R284" s="54">
        <v>29714.3</v>
      </c>
      <c r="S284" s="96"/>
      <c r="U284" s="296">
        <f t="shared" si="44"/>
        <v>-119.67999999999665</v>
      </c>
      <c r="W284" s="297">
        <f t="shared" si="45"/>
        <v>-4.0276903713025933E-3</v>
      </c>
      <c r="Y284" s="313"/>
    </row>
    <row r="285" spans="1:25" hidden="1">
      <c r="A285" s="323" t="s">
        <v>797</v>
      </c>
      <c r="B285" s="135"/>
      <c r="C285" s="324" t="str">
        <f>'Level 1'!E285</f>
        <v>Wigwam</v>
      </c>
      <c r="D285" s="40" t="str">
        <f>'Level 1'!F285</f>
        <v>LS</v>
      </c>
      <c r="E285" s="183">
        <f>'Level 1'!G285</f>
        <v>15.826000000000001</v>
      </c>
      <c r="F285" s="51">
        <f>'Level 1'!H285</f>
        <v>6618.4</v>
      </c>
      <c r="G285" s="53">
        <f>'Level 1'!I285</f>
        <v>0</v>
      </c>
      <c r="H285" s="51">
        <f>'Level 1'!J285</f>
        <v>6618.4</v>
      </c>
      <c r="I285" s="54">
        <f>'Level 1'!K285</f>
        <v>104742.7984</v>
      </c>
      <c r="J285" s="96"/>
      <c r="L285" s="324"/>
      <c r="M285" s="40"/>
      <c r="N285" s="183"/>
      <c r="O285" s="51"/>
      <c r="P285" s="53"/>
      <c r="Q285" s="51"/>
      <c r="R285" s="54">
        <v>105166.376</v>
      </c>
      <c r="S285" s="96"/>
      <c r="U285" s="296">
        <f t="shared" si="44"/>
        <v>-423.57760000000417</v>
      </c>
      <c r="W285" s="297">
        <f t="shared" si="45"/>
        <v>-4.0276903713027459E-3</v>
      </c>
      <c r="Y285" s="313"/>
    </row>
    <row r="286" spans="1:25" hidden="1">
      <c r="A286" s="323" t="s">
        <v>799</v>
      </c>
      <c r="B286" s="135"/>
      <c r="C286" s="324" t="str">
        <f>'Level 1'!E286</f>
        <v>Wigwam</v>
      </c>
      <c r="D286" s="40" t="str">
        <f>'Level 1'!F286</f>
        <v>LS</v>
      </c>
      <c r="E286" s="183">
        <f>'Level 1'!G286</f>
        <v>15.826000000000001</v>
      </c>
      <c r="F286" s="51">
        <f>'Level 1'!H286</f>
        <v>4006</v>
      </c>
      <c r="G286" s="53">
        <f>'Level 1'!I286</f>
        <v>0</v>
      </c>
      <c r="H286" s="51">
        <f>'Level 1'!J286</f>
        <v>4006</v>
      </c>
      <c r="I286" s="54">
        <f>'Level 1'!K286</f>
        <v>63398.956000000006</v>
      </c>
      <c r="J286" s="96"/>
      <c r="L286" s="324"/>
      <c r="M286" s="40"/>
      <c r="N286" s="183"/>
      <c r="O286" s="51"/>
      <c r="P286" s="53"/>
      <c r="Q286" s="51"/>
      <c r="R286" s="54">
        <v>63655.340000000004</v>
      </c>
      <c r="S286" s="96"/>
      <c r="U286" s="296">
        <f t="shared" si="44"/>
        <v>-256.3839999999982</v>
      </c>
      <c r="W286" s="297">
        <f t="shared" si="45"/>
        <v>-4.0276903713026774E-3</v>
      </c>
      <c r="Y286" s="313"/>
    </row>
    <row r="287" spans="1:25" hidden="1">
      <c r="A287" s="323" t="s">
        <v>801</v>
      </c>
      <c r="B287" s="135"/>
      <c r="C287" s="324" t="str">
        <f>'Level 1'!E287</f>
        <v>Wigwam</v>
      </c>
      <c r="D287" s="40" t="str">
        <f>'Level 1'!F287</f>
        <v>LS</v>
      </c>
      <c r="E287" s="183">
        <f>'Level 1'!G287</f>
        <v>15.826000000000001</v>
      </c>
      <c r="F287" s="51">
        <f>'Level 1'!H287</f>
        <v>3544.2</v>
      </c>
      <c r="G287" s="53">
        <f>'Level 1'!I287</f>
        <v>0</v>
      </c>
      <c r="H287" s="51">
        <f>'Level 1'!J287</f>
        <v>3544.2</v>
      </c>
      <c r="I287" s="54">
        <f>'Level 1'!K287</f>
        <v>56090.5092</v>
      </c>
      <c r="J287" s="96"/>
      <c r="L287" s="324"/>
      <c r="M287" s="40"/>
      <c r="N287" s="183"/>
      <c r="O287" s="51"/>
      <c r="P287" s="53"/>
      <c r="Q287" s="51"/>
      <c r="R287" s="54">
        <v>56317.337999999996</v>
      </c>
      <c r="S287" s="96"/>
      <c r="U287" s="296">
        <f t="shared" si="44"/>
        <v>-226.82879999999568</v>
      </c>
      <c r="W287" s="297">
        <f t="shared" si="45"/>
        <v>-4.0276903713026297E-3</v>
      </c>
      <c r="Y287" s="313"/>
    </row>
    <row r="288" spans="1:25" hidden="1">
      <c r="A288" s="323" t="s">
        <v>803</v>
      </c>
      <c r="B288" s="135"/>
      <c r="C288" s="324" t="str">
        <f>'Level 1'!E288</f>
        <v>Wigwam</v>
      </c>
      <c r="D288" s="40" t="str">
        <f>'Level 1'!F288</f>
        <v>LS</v>
      </c>
      <c r="E288" s="183">
        <f>'Level 1'!G288</f>
        <v>15.826000000000001</v>
      </c>
      <c r="F288" s="51">
        <f>'Level 1'!H288</f>
        <v>816</v>
      </c>
      <c r="G288" s="53">
        <f>'Level 1'!I288</f>
        <v>0</v>
      </c>
      <c r="H288" s="51">
        <f>'Level 1'!J288</f>
        <v>816</v>
      </c>
      <c r="I288" s="54">
        <f>'Level 1'!K288</f>
        <v>12914.016</v>
      </c>
      <c r="J288" s="96"/>
      <c r="L288" s="324"/>
      <c r="M288" s="40"/>
      <c r="N288" s="183"/>
      <c r="O288" s="51"/>
      <c r="P288" s="53"/>
      <c r="Q288" s="51"/>
      <c r="R288" s="54">
        <v>12966.24</v>
      </c>
      <c r="S288" s="96"/>
      <c r="U288" s="296">
        <f t="shared" si="44"/>
        <v>-52.22400000000016</v>
      </c>
      <c r="W288" s="297">
        <f t="shared" si="45"/>
        <v>-4.0276903713027182E-3</v>
      </c>
      <c r="Y288" s="313"/>
    </row>
    <row r="289" spans="1:25" hidden="1">
      <c r="A289" s="323" t="s">
        <v>805</v>
      </c>
      <c r="B289" s="135"/>
      <c r="C289" s="324" t="str">
        <f>'Level 1'!E289</f>
        <v>Wigwam</v>
      </c>
      <c r="D289" s="40" t="str">
        <f>'Level 1'!F289</f>
        <v>LS</v>
      </c>
      <c r="E289" s="183">
        <f>'Level 1'!G289</f>
        <v>15.826000000000001</v>
      </c>
      <c r="F289" s="51">
        <f>'Level 1'!H289</f>
        <v>716.4</v>
      </c>
      <c r="G289" s="53">
        <f>'Level 1'!I289</f>
        <v>0</v>
      </c>
      <c r="H289" s="51">
        <f>'Level 1'!J289</f>
        <v>716.4</v>
      </c>
      <c r="I289" s="54">
        <f>'Level 1'!K289</f>
        <v>11337.7464</v>
      </c>
      <c r="J289" s="96"/>
      <c r="L289" s="324"/>
      <c r="M289" s="40"/>
      <c r="N289" s="183"/>
      <c r="O289" s="51"/>
      <c r="P289" s="53"/>
      <c r="Q289" s="51"/>
      <c r="R289" s="54">
        <v>11383.596</v>
      </c>
      <c r="S289" s="96"/>
      <c r="U289" s="296">
        <f t="shared" si="44"/>
        <v>-45.849599999999555</v>
      </c>
      <c r="W289" s="297">
        <f t="shared" si="45"/>
        <v>-4.027690371302667E-3</v>
      </c>
      <c r="Y289" s="313"/>
    </row>
    <row r="290" spans="1:25" hidden="1">
      <c r="A290" s="323" t="s">
        <v>807</v>
      </c>
      <c r="B290" s="135"/>
      <c r="C290" s="324" t="str">
        <f>'Level 1'!E290</f>
        <v>Wigwam</v>
      </c>
      <c r="D290" s="40" t="str">
        <f>'Level 1'!F290</f>
        <v>LS</v>
      </c>
      <c r="E290" s="183">
        <f>'Level 1'!G290</f>
        <v>15.826000000000001</v>
      </c>
      <c r="F290" s="51">
        <f>'Level 1'!H290</f>
        <v>4976.6000000000004</v>
      </c>
      <c r="G290" s="53">
        <f>'Level 1'!I290</f>
        <v>0</v>
      </c>
      <c r="H290" s="51">
        <f>'Level 1'!J290</f>
        <v>4976.6000000000004</v>
      </c>
      <c r="I290" s="54">
        <f>'Level 1'!K290</f>
        <v>78759.671600000001</v>
      </c>
      <c r="J290" s="96"/>
      <c r="L290" s="324"/>
      <c r="M290" s="40"/>
      <c r="N290" s="183"/>
      <c r="O290" s="51"/>
      <c r="P290" s="53"/>
      <c r="Q290" s="51"/>
      <c r="R290" s="54">
        <v>79078.174000000014</v>
      </c>
      <c r="S290" s="96"/>
      <c r="U290" s="296">
        <f t="shared" si="44"/>
        <v>-318.50240000001213</v>
      </c>
      <c r="W290" s="297">
        <f t="shared" si="45"/>
        <v>-4.0276903713028587E-3</v>
      </c>
      <c r="Y290" s="313"/>
    </row>
    <row r="291" spans="1:25" hidden="1">
      <c r="A291" s="314" t="s">
        <v>809</v>
      </c>
      <c r="B291" s="135"/>
      <c r="C291" s="315"/>
      <c r="D291" s="151"/>
      <c r="E291" s="152"/>
      <c r="F291" s="153"/>
      <c r="G291" s="154"/>
      <c r="H291" s="153"/>
      <c r="I291" s="172"/>
      <c r="J291" s="316">
        <f>'[85]LEVEL 2 BUDGET'!L292</f>
        <v>0</v>
      </c>
      <c r="L291" s="315"/>
      <c r="M291" s="151"/>
      <c r="N291" s="152"/>
      <c r="O291" s="153"/>
      <c r="P291" s="154"/>
      <c r="Q291" s="153"/>
      <c r="R291" s="172"/>
      <c r="S291" s="316">
        <v>0</v>
      </c>
      <c r="U291" s="317">
        <f>J291-S291</f>
        <v>0</v>
      </c>
      <c r="W291" s="318">
        <f>IF(S291=0,0,U291/S291)</f>
        <v>0</v>
      </c>
      <c r="Y291" s="313"/>
    </row>
    <row r="292" spans="1:25" hidden="1">
      <c r="A292" s="321" t="s">
        <v>809</v>
      </c>
      <c r="B292" s="135"/>
      <c r="C292" s="322" t="s">
        <v>231</v>
      </c>
      <c r="D292" s="47">
        <f>'[85]LEVEL 2 BUDGET'!F293</f>
        <v>0</v>
      </c>
      <c r="E292" s="42">
        <f>'[85]LEVEL 2 BUDGET'!G293</f>
        <v>0</v>
      </c>
      <c r="F292" s="61">
        <f>'[85]LEVEL 2 BUDGET'!H293</f>
        <v>0</v>
      </c>
      <c r="G292" s="63">
        <f>'[85]LEVEL 2 BUDGET'!I293</f>
        <v>0</v>
      </c>
      <c r="H292" s="66">
        <f>'[85]LEVEL 2 BUDGET'!J293</f>
        <v>0</v>
      </c>
      <c r="I292" s="67">
        <f>'[85]LEVEL 2 BUDGET'!K293</f>
        <v>0</v>
      </c>
      <c r="J292" s="96"/>
      <c r="L292" s="322"/>
      <c r="M292" s="47"/>
      <c r="N292" s="42"/>
      <c r="O292" s="61"/>
      <c r="P292" s="63"/>
      <c r="Q292" s="66"/>
      <c r="R292" s="67">
        <v>0</v>
      </c>
      <c r="S292" s="96"/>
      <c r="U292" s="296">
        <f t="shared" ref="U292:U299" si="46">I292-R292</f>
        <v>0</v>
      </c>
      <c r="W292" s="297">
        <f t="shared" ref="W292:W299" si="47">IF(R292=0,0,U292/R292)</f>
        <v>0</v>
      </c>
      <c r="Y292" s="313"/>
    </row>
    <row r="293" spans="1:25" hidden="1">
      <c r="A293" s="323" t="s">
        <v>810</v>
      </c>
      <c r="B293" s="135"/>
      <c r="C293" s="324" t="s">
        <v>231</v>
      </c>
      <c r="D293" s="40">
        <f>'[85]LEVEL 2 BUDGET'!F294</f>
        <v>0</v>
      </c>
      <c r="E293" s="38">
        <f>'[85]LEVEL 2 BUDGET'!G294</f>
        <v>0</v>
      </c>
      <c r="F293" s="51">
        <f>'[85]LEVEL 2 BUDGET'!H294</f>
        <v>0</v>
      </c>
      <c r="G293" s="53">
        <f>'[85]LEVEL 2 BUDGET'!I294</f>
        <v>0</v>
      </c>
      <c r="H293" s="51">
        <f>'[85]LEVEL 2 BUDGET'!J294</f>
        <v>0</v>
      </c>
      <c r="I293" s="54">
        <f>'[85]LEVEL 2 BUDGET'!K294</f>
        <v>0</v>
      </c>
      <c r="J293" s="96"/>
      <c r="L293" s="324"/>
      <c r="M293" s="40"/>
      <c r="N293" s="38"/>
      <c r="O293" s="51"/>
      <c r="P293" s="53"/>
      <c r="Q293" s="51"/>
      <c r="R293" s="54">
        <v>0</v>
      </c>
      <c r="S293" s="96"/>
      <c r="U293" s="296">
        <f t="shared" si="46"/>
        <v>0</v>
      </c>
      <c r="W293" s="297">
        <f t="shared" si="47"/>
        <v>0</v>
      </c>
      <c r="Y293" s="313"/>
    </row>
    <row r="294" spans="1:25" hidden="1">
      <c r="A294" s="323" t="s">
        <v>811</v>
      </c>
      <c r="B294" s="135"/>
      <c r="C294" s="324" t="s">
        <v>231</v>
      </c>
      <c r="D294" s="40">
        <f>'[85]LEVEL 2 BUDGET'!F295</f>
        <v>0</v>
      </c>
      <c r="E294" s="38">
        <f>'[85]LEVEL 2 BUDGET'!G295</f>
        <v>0</v>
      </c>
      <c r="F294" s="51">
        <f>'[85]LEVEL 2 BUDGET'!H295</f>
        <v>0</v>
      </c>
      <c r="G294" s="53">
        <f>'[85]LEVEL 2 BUDGET'!I295</f>
        <v>0</v>
      </c>
      <c r="H294" s="51">
        <f>'[85]LEVEL 2 BUDGET'!J295</f>
        <v>0</v>
      </c>
      <c r="I294" s="54">
        <f>'[85]LEVEL 2 BUDGET'!K295</f>
        <v>0</v>
      </c>
      <c r="J294" s="96"/>
      <c r="L294" s="324"/>
      <c r="M294" s="40"/>
      <c r="N294" s="38"/>
      <c r="O294" s="51"/>
      <c r="P294" s="53"/>
      <c r="Q294" s="51"/>
      <c r="R294" s="54">
        <v>0</v>
      </c>
      <c r="S294" s="96"/>
      <c r="U294" s="296">
        <f t="shared" si="46"/>
        <v>0</v>
      </c>
      <c r="W294" s="297">
        <f t="shared" si="47"/>
        <v>0</v>
      </c>
      <c r="Y294" s="313"/>
    </row>
    <row r="295" spans="1:25" hidden="1">
      <c r="A295" s="323" t="s">
        <v>812</v>
      </c>
      <c r="B295" s="135"/>
      <c r="C295" s="324" t="s">
        <v>231</v>
      </c>
      <c r="D295" s="40">
        <f>'[85]LEVEL 2 BUDGET'!F296</f>
        <v>0</v>
      </c>
      <c r="E295" s="38">
        <f>'[85]LEVEL 2 BUDGET'!G296</f>
        <v>0</v>
      </c>
      <c r="F295" s="51">
        <f>'[85]LEVEL 2 BUDGET'!H296</f>
        <v>0</v>
      </c>
      <c r="G295" s="53">
        <f>'[85]LEVEL 2 BUDGET'!I296</f>
        <v>0</v>
      </c>
      <c r="H295" s="51">
        <f>'[85]LEVEL 2 BUDGET'!J296</f>
        <v>0</v>
      </c>
      <c r="I295" s="54">
        <f>'[85]LEVEL 2 BUDGET'!K296</f>
        <v>0</v>
      </c>
      <c r="J295" s="96"/>
      <c r="L295" s="324"/>
      <c r="M295" s="40"/>
      <c r="N295" s="38"/>
      <c r="O295" s="51"/>
      <c r="P295" s="53"/>
      <c r="Q295" s="51"/>
      <c r="R295" s="54">
        <v>0</v>
      </c>
      <c r="S295" s="96"/>
      <c r="U295" s="296">
        <f t="shared" si="46"/>
        <v>0</v>
      </c>
      <c r="W295" s="297">
        <f t="shared" si="47"/>
        <v>0</v>
      </c>
      <c r="Y295" s="313"/>
    </row>
    <row r="296" spans="1:25" hidden="1">
      <c r="A296" s="323" t="s">
        <v>813</v>
      </c>
      <c r="B296" s="135"/>
      <c r="C296" s="324" t="s">
        <v>231</v>
      </c>
      <c r="D296" s="40">
        <f>'[85]LEVEL 2 BUDGET'!F297</f>
        <v>0</v>
      </c>
      <c r="E296" s="38">
        <f>'[85]LEVEL 2 BUDGET'!G297</f>
        <v>0</v>
      </c>
      <c r="F296" s="51">
        <f>'[85]LEVEL 2 BUDGET'!H297</f>
        <v>0</v>
      </c>
      <c r="G296" s="53">
        <f>'[85]LEVEL 2 BUDGET'!I297</f>
        <v>0</v>
      </c>
      <c r="H296" s="51">
        <f>'[85]LEVEL 2 BUDGET'!J297</f>
        <v>0</v>
      </c>
      <c r="I296" s="54">
        <f>'[85]LEVEL 2 BUDGET'!K297</f>
        <v>0</v>
      </c>
      <c r="J296" s="96"/>
      <c r="L296" s="324"/>
      <c r="M296" s="40"/>
      <c r="N296" s="38"/>
      <c r="O296" s="51"/>
      <c r="P296" s="53"/>
      <c r="Q296" s="51"/>
      <c r="R296" s="54">
        <v>0</v>
      </c>
      <c r="S296" s="96"/>
      <c r="U296" s="296">
        <f t="shared" si="46"/>
        <v>0</v>
      </c>
      <c r="W296" s="297">
        <f t="shared" si="47"/>
        <v>0</v>
      </c>
      <c r="Y296" s="313"/>
    </row>
    <row r="297" spans="1:25" hidden="1">
      <c r="A297" s="323" t="s">
        <v>814</v>
      </c>
      <c r="B297" s="135"/>
      <c r="C297" s="324" t="s">
        <v>231</v>
      </c>
      <c r="D297" s="40">
        <f>'[85]LEVEL 2 BUDGET'!F298</f>
        <v>0</v>
      </c>
      <c r="E297" s="38">
        <f>'[85]LEVEL 2 BUDGET'!G298</f>
        <v>0</v>
      </c>
      <c r="F297" s="51">
        <f>'[85]LEVEL 2 BUDGET'!H298</f>
        <v>0</v>
      </c>
      <c r="G297" s="53">
        <f>'[85]LEVEL 2 BUDGET'!I298</f>
        <v>0</v>
      </c>
      <c r="H297" s="51">
        <f>'[85]LEVEL 2 BUDGET'!J298</f>
        <v>0</v>
      </c>
      <c r="I297" s="54">
        <f>'[85]LEVEL 2 BUDGET'!K298</f>
        <v>0</v>
      </c>
      <c r="J297" s="96"/>
      <c r="L297" s="324"/>
      <c r="M297" s="40"/>
      <c r="N297" s="38"/>
      <c r="O297" s="51"/>
      <c r="P297" s="53"/>
      <c r="Q297" s="51"/>
      <c r="R297" s="54">
        <v>0</v>
      </c>
      <c r="S297" s="96"/>
      <c r="U297" s="296">
        <f t="shared" si="46"/>
        <v>0</v>
      </c>
      <c r="W297" s="297">
        <f t="shared" si="47"/>
        <v>0</v>
      </c>
      <c r="Y297" s="313"/>
    </row>
    <row r="298" spans="1:25" hidden="1">
      <c r="A298" s="323" t="s">
        <v>815</v>
      </c>
      <c r="B298" s="135"/>
      <c r="C298" s="324" t="s">
        <v>231</v>
      </c>
      <c r="D298" s="40">
        <f>'[85]LEVEL 2 BUDGET'!F299</f>
        <v>0</v>
      </c>
      <c r="E298" s="38">
        <f>'[85]LEVEL 2 BUDGET'!G299</f>
        <v>0</v>
      </c>
      <c r="F298" s="51">
        <f>'[85]LEVEL 2 BUDGET'!H299</f>
        <v>0</v>
      </c>
      <c r="G298" s="53">
        <f>'[85]LEVEL 2 BUDGET'!I299</f>
        <v>0</v>
      </c>
      <c r="H298" s="51">
        <f>'[85]LEVEL 2 BUDGET'!J299</f>
        <v>0</v>
      </c>
      <c r="I298" s="54">
        <f>'[85]LEVEL 2 BUDGET'!K299</f>
        <v>0</v>
      </c>
      <c r="J298" s="96"/>
      <c r="L298" s="324"/>
      <c r="M298" s="40"/>
      <c r="N298" s="38"/>
      <c r="O298" s="51"/>
      <c r="P298" s="53"/>
      <c r="Q298" s="51"/>
      <c r="R298" s="54">
        <v>0</v>
      </c>
      <c r="S298" s="96"/>
      <c r="U298" s="296">
        <f t="shared" si="46"/>
        <v>0</v>
      </c>
      <c r="W298" s="297">
        <f t="shared" si="47"/>
        <v>0</v>
      </c>
      <c r="Y298" s="313"/>
    </row>
    <row r="299" spans="1:25" hidden="1">
      <c r="A299" s="323" t="s">
        <v>816</v>
      </c>
      <c r="B299" s="135"/>
      <c r="C299" s="324" t="s">
        <v>231</v>
      </c>
      <c r="D299" s="40">
        <f>'[85]LEVEL 2 BUDGET'!F300</f>
        <v>0</v>
      </c>
      <c r="E299" s="38">
        <f>'[85]LEVEL 2 BUDGET'!G300</f>
        <v>0</v>
      </c>
      <c r="F299" s="51">
        <f>'[85]LEVEL 2 BUDGET'!H300</f>
        <v>0</v>
      </c>
      <c r="G299" s="53">
        <f>'[85]LEVEL 2 BUDGET'!I300</f>
        <v>0</v>
      </c>
      <c r="H299" s="51">
        <f>'[85]LEVEL 2 BUDGET'!J300</f>
        <v>0</v>
      </c>
      <c r="I299" s="54">
        <f>'[85]LEVEL 2 BUDGET'!K300</f>
        <v>0</v>
      </c>
      <c r="J299" s="96"/>
      <c r="L299" s="324"/>
      <c r="M299" s="40"/>
      <c r="N299" s="38"/>
      <c r="O299" s="51"/>
      <c r="P299" s="53"/>
      <c r="Q299" s="51"/>
      <c r="R299" s="54">
        <v>0</v>
      </c>
      <c r="S299" s="96"/>
      <c r="U299" s="296">
        <f t="shared" si="46"/>
        <v>0</v>
      </c>
      <c r="W299" s="297">
        <f t="shared" si="47"/>
        <v>0</v>
      </c>
      <c r="Y299" s="313"/>
    </row>
    <row r="300" spans="1:25" hidden="1">
      <c r="A300" s="314" t="s">
        <v>1035</v>
      </c>
      <c r="B300" s="135"/>
      <c r="C300" s="315"/>
      <c r="D300" s="151"/>
      <c r="E300" s="152"/>
      <c r="F300" s="153"/>
      <c r="G300" s="154"/>
      <c r="H300" s="153"/>
      <c r="I300" s="172"/>
      <c r="J300" s="316">
        <f>'Level 1'!L300</f>
        <v>1321372.7348558828</v>
      </c>
      <c r="L300" s="315"/>
      <c r="M300" s="151"/>
      <c r="N300" s="152"/>
      <c r="O300" s="153"/>
      <c r="P300" s="154"/>
      <c r="Q300" s="153"/>
      <c r="R300" s="172"/>
      <c r="S300" s="316">
        <v>1300782.5313262397</v>
      </c>
      <c r="U300" s="317">
        <f>J300-S300</f>
        <v>20590.203529643128</v>
      </c>
      <c r="W300" s="318">
        <f>IF(S300=0,0,U300/S300)</f>
        <v>1.5829089823838547E-2</v>
      </c>
      <c r="Y300" s="313"/>
    </row>
    <row r="301" spans="1:25" hidden="1">
      <c r="A301" s="321" t="s">
        <v>818</v>
      </c>
      <c r="B301" s="135"/>
      <c r="C301" s="322"/>
      <c r="D301" s="47">
        <f>'[85]LEVEL 2 BUDGET'!F302</f>
        <v>0</v>
      </c>
      <c r="E301" s="198">
        <f>'Level 1'!G301</f>
        <v>0</v>
      </c>
      <c r="F301" s="61">
        <f>'Level 1'!H301</f>
        <v>0</v>
      </c>
      <c r="G301" s="63">
        <f>'Level 1'!I301</f>
        <v>0</v>
      </c>
      <c r="H301" s="66">
        <f>'Level 1'!J301</f>
        <v>0</v>
      </c>
      <c r="I301" s="67">
        <f>'Level 1'!K301</f>
        <v>0</v>
      </c>
      <c r="J301" s="96"/>
      <c r="L301" s="322"/>
      <c r="M301" s="47"/>
      <c r="N301" s="198"/>
      <c r="O301" s="61"/>
      <c r="P301" s="63"/>
      <c r="Q301" s="66"/>
      <c r="R301" s="67">
        <v>0</v>
      </c>
      <c r="S301" s="96"/>
      <c r="U301" s="296">
        <f t="shared" ref="U301:U302" si="48">I301-R301</f>
        <v>0</v>
      </c>
      <c r="W301" s="297">
        <f>IF(R301=0,0,U301/R301)</f>
        <v>0</v>
      </c>
      <c r="Y301" s="313"/>
    </row>
    <row r="302" spans="1:25" hidden="1">
      <c r="A302" s="319" t="s">
        <v>817</v>
      </c>
      <c r="B302" s="135"/>
      <c r="C302" s="320"/>
      <c r="D302" s="65">
        <f>'[85]LEVEL 2 BUDGET'!F303</f>
        <v>0</v>
      </c>
      <c r="E302" s="186">
        <f>'Level 1'!G302</f>
        <v>0.02</v>
      </c>
      <c r="F302" s="64">
        <f>'Level 1'!H302</f>
        <v>0</v>
      </c>
      <c r="G302" s="157">
        <f>'Level 1'!I302</f>
        <v>0</v>
      </c>
      <c r="H302" s="158">
        <f>'Level 1'!J302</f>
        <v>0</v>
      </c>
      <c r="I302" s="159">
        <f>'Level 1'!K302</f>
        <v>1321372.7348558828</v>
      </c>
      <c r="J302" s="96"/>
      <c r="L302" s="320"/>
      <c r="M302" s="65"/>
      <c r="N302" s="186"/>
      <c r="O302" s="64"/>
      <c r="P302" s="157"/>
      <c r="Q302" s="158"/>
      <c r="R302" s="159">
        <v>1300782.5313262397</v>
      </c>
      <c r="S302" s="96"/>
      <c r="U302" s="296">
        <f t="shared" si="48"/>
        <v>20590.203529643128</v>
      </c>
      <c r="W302" s="297">
        <f>IF(R302=0,0,U302/R302)</f>
        <v>1.5829089823838547E-2</v>
      </c>
      <c r="Y302" s="313"/>
    </row>
    <row r="303" spans="1:25" hidden="1">
      <c r="A303" s="314" t="s">
        <v>820</v>
      </c>
      <c r="B303" s="135"/>
      <c r="C303" s="315"/>
      <c r="D303" s="151"/>
      <c r="E303" s="152"/>
      <c r="F303" s="153"/>
      <c r="G303" s="154"/>
      <c r="H303" s="153"/>
      <c r="I303" s="172"/>
      <c r="J303" s="316">
        <f>'Level 1'!L303</f>
        <v>1675126.8</v>
      </c>
      <c r="L303" s="315"/>
      <c r="M303" s="151"/>
      <c r="N303" s="152"/>
      <c r="O303" s="153"/>
      <c r="P303" s="154"/>
      <c r="Q303" s="153"/>
      <c r="R303" s="172"/>
      <c r="S303" s="316">
        <v>1875415</v>
      </c>
      <c r="U303" s="317">
        <f>J303-S303</f>
        <v>-200288.19999999995</v>
      </c>
      <c r="W303" s="318">
        <f>IF(S303=0,0,U303/S303)</f>
        <v>-0.10679673565584148</v>
      </c>
      <c r="Y303" s="313"/>
    </row>
    <row r="304" spans="1:25" hidden="1">
      <c r="A304" s="321" t="s">
        <v>822</v>
      </c>
      <c r="B304" s="135"/>
      <c r="C304" s="322" t="str">
        <f>'Level 1'!E304</f>
        <v>Alper</v>
      </c>
      <c r="D304" s="47" t="str">
        <f>'Level 1'!F304</f>
        <v>LS</v>
      </c>
      <c r="E304" s="42">
        <f>'Level 1'!G304</f>
        <v>1</v>
      </c>
      <c r="F304" s="61">
        <f>'Level 1'!H304</f>
        <v>10000</v>
      </c>
      <c r="G304" s="63">
        <f>'Level 1'!I304</f>
        <v>0</v>
      </c>
      <c r="H304" s="66">
        <f>'Level 1'!J304</f>
        <v>10000</v>
      </c>
      <c r="I304" s="67">
        <f>'Level 1'!K304</f>
        <v>10000</v>
      </c>
      <c r="J304" s="96"/>
      <c r="L304" s="322"/>
      <c r="M304" s="47"/>
      <c r="N304" s="42"/>
      <c r="O304" s="61"/>
      <c r="P304" s="63"/>
      <c r="Q304" s="66"/>
      <c r="R304" s="67">
        <v>10000</v>
      </c>
      <c r="S304" s="96"/>
      <c r="U304" s="296">
        <f t="shared" ref="U304:U317" si="49">I304-R304</f>
        <v>0</v>
      </c>
      <c r="W304" s="297">
        <f t="shared" ref="W304:W317" si="50">IF(R304=0,0,U304/R304)</f>
        <v>0</v>
      </c>
      <c r="Y304" s="313"/>
    </row>
    <row r="305" spans="1:25" hidden="1">
      <c r="A305" s="323" t="s">
        <v>825</v>
      </c>
      <c r="B305" s="135"/>
      <c r="C305" s="324" t="str">
        <f>'Level 1'!E305</f>
        <v>N/A</v>
      </c>
      <c r="D305" s="40">
        <f>'Level 1'!F305</f>
        <v>0</v>
      </c>
      <c r="E305" s="38">
        <f>'Level 1'!G305</f>
        <v>0</v>
      </c>
      <c r="F305" s="51">
        <f>'Level 1'!H305</f>
        <v>0</v>
      </c>
      <c r="G305" s="53">
        <f>'Level 1'!I305</f>
        <v>0</v>
      </c>
      <c r="H305" s="51">
        <f>'Level 1'!J305</f>
        <v>0</v>
      </c>
      <c r="I305" s="54">
        <f>'Level 1'!K305</f>
        <v>0</v>
      </c>
      <c r="J305" s="96"/>
      <c r="L305" s="324"/>
      <c r="M305" s="40"/>
      <c r="N305" s="38"/>
      <c r="O305" s="51"/>
      <c r="P305" s="53"/>
      <c r="Q305" s="51"/>
      <c r="R305" s="54">
        <v>0</v>
      </c>
      <c r="S305" s="96"/>
      <c r="U305" s="296">
        <f t="shared" si="49"/>
        <v>0</v>
      </c>
      <c r="W305" s="297">
        <f t="shared" si="50"/>
        <v>0</v>
      </c>
      <c r="Y305" s="313"/>
    </row>
    <row r="306" spans="1:25" hidden="1">
      <c r="A306" s="323" t="s">
        <v>827</v>
      </c>
      <c r="B306" s="135"/>
      <c r="C306" s="324" t="str">
        <f>'Level 1'!E306</f>
        <v>Alper</v>
      </c>
      <c r="D306" s="40" t="str">
        <f>'Level 1'!F306</f>
        <v>LS</v>
      </c>
      <c r="E306" s="38">
        <f>'Level 1'!G306</f>
        <v>1</v>
      </c>
      <c r="F306" s="51">
        <f>'Level 1'!H306</f>
        <v>21000</v>
      </c>
      <c r="G306" s="53">
        <f>'Level 1'!I306</f>
        <v>0</v>
      </c>
      <c r="H306" s="51">
        <f>'Level 1'!J306</f>
        <v>21000</v>
      </c>
      <c r="I306" s="54">
        <f>'Level 1'!K306</f>
        <v>21000</v>
      </c>
      <c r="J306" s="96"/>
      <c r="L306" s="324"/>
      <c r="M306" s="40"/>
      <c r="N306" s="38"/>
      <c r="O306" s="51"/>
      <c r="P306" s="53"/>
      <c r="Q306" s="51"/>
      <c r="R306" s="54">
        <v>21000</v>
      </c>
      <c r="S306" s="96"/>
      <c r="U306" s="296">
        <f t="shared" si="49"/>
        <v>0</v>
      </c>
      <c r="W306" s="297">
        <f t="shared" si="50"/>
        <v>0</v>
      </c>
      <c r="Y306" s="345"/>
    </row>
    <row r="307" spans="1:25" hidden="1">
      <c r="A307" s="323" t="s">
        <v>829</v>
      </c>
      <c r="B307" s="135"/>
      <c r="C307" s="324" t="str">
        <f>'Level 1'!E307</f>
        <v>Russell IV</v>
      </c>
      <c r="D307" s="40" t="str">
        <f>'Level 1'!F307</f>
        <v>LS</v>
      </c>
      <c r="E307" s="38">
        <f>'Level 1'!G307</f>
        <v>1</v>
      </c>
      <c r="F307" s="51">
        <f>'Level 1'!H307</f>
        <v>21900</v>
      </c>
      <c r="G307" s="53">
        <f>'Level 1'!I307</f>
        <v>0</v>
      </c>
      <c r="H307" s="51">
        <f>'Level 1'!J307</f>
        <v>21900</v>
      </c>
      <c r="I307" s="54">
        <f>'Level 1'!K307</f>
        <v>21900</v>
      </c>
      <c r="J307" s="96"/>
      <c r="L307" s="324"/>
      <c r="M307" s="40"/>
      <c r="N307" s="38"/>
      <c r="O307" s="51"/>
      <c r="P307" s="53"/>
      <c r="Q307" s="51"/>
      <c r="R307" s="54">
        <v>17425</v>
      </c>
      <c r="S307" s="96"/>
      <c r="U307" s="296">
        <f t="shared" si="49"/>
        <v>4475</v>
      </c>
      <c r="W307" s="297">
        <f t="shared" si="50"/>
        <v>0.25681492109038739</v>
      </c>
      <c r="Y307" s="313"/>
    </row>
    <row r="308" spans="1:25" hidden="1">
      <c r="A308" s="338" t="s">
        <v>831</v>
      </c>
      <c r="B308" s="135"/>
      <c r="C308" s="324" t="str">
        <f>'Level 1'!E308</f>
        <v>Russell IV</v>
      </c>
      <c r="D308" s="40" t="str">
        <f>'Level 1'!F308</f>
        <v>Cost per SF</v>
      </c>
      <c r="E308" s="38">
        <f>'Level 1'!G308</f>
        <v>2280</v>
      </c>
      <c r="F308" s="50">
        <f>'Level 1'!H308</f>
        <v>56.81</v>
      </c>
      <c r="G308" s="53">
        <f>'Level 1'!I308</f>
        <v>0</v>
      </c>
      <c r="H308" s="51">
        <f>'Level 1'!J308</f>
        <v>56.81</v>
      </c>
      <c r="I308" s="54">
        <f>'Level 1'!K308</f>
        <v>129526.8</v>
      </c>
      <c r="J308" s="96"/>
      <c r="L308" s="324"/>
      <c r="M308" s="40"/>
      <c r="N308" s="38"/>
      <c r="O308" s="50"/>
      <c r="P308" s="53"/>
      <c r="Q308" s="51"/>
      <c r="R308" s="54">
        <v>105465</v>
      </c>
      <c r="S308" s="96"/>
      <c r="U308" s="296">
        <f t="shared" si="49"/>
        <v>24061.800000000003</v>
      </c>
      <c r="W308" s="297">
        <f t="shared" si="50"/>
        <v>0.22814962309771017</v>
      </c>
      <c r="Y308" s="313"/>
    </row>
    <row r="309" spans="1:25" hidden="1">
      <c r="A309" s="338" t="s">
        <v>939</v>
      </c>
      <c r="B309" s="135"/>
      <c r="C309" s="324" t="str">
        <f>'Level 1'!E309</f>
        <v>N/A</v>
      </c>
      <c r="D309" s="40">
        <f>'Level 1'!F309</f>
        <v>0</v>
      </c>
      <c r="E309" s="38">
        <f>'Level 1'!G309</f>
        <v>0</v>
      </c>
      <c r="F309" s="51">
        <f>'Level 1'!H309</f>
        <v>0</v>
      </c>
      <c r="G309" s="53">
        <f>'Level 1'!I309</f>
        <v>0</v>
      </c>
      <c r="H309" s="51">
        <f>'Level 1'!J309</f>
        <v>0</v>
      </c>
      <c r="I309" s="54">
        <f>'Level 1'!K309</f>
        <v>0</v>
      </c>
      <c r="J309" s="96"/>
      <c r="L309" s="324"/>
      <c r="M309" s="40"/>
      <c r="N309" s="38"/>
      <c r="O309" s="51"/>
      <c r="P309" s="53"/>
      <c r="Q309" s="51"/>
      <c r="R309" s="54">
        <v>200000</v>
      </c>
      <c r="S309" s="96"/>
      <c r="U309" s="296">
        <f t="shared" si="49"/>
        <v>-200000</v>
      </c>
      <c r="W309" s="297">
        <f t="shared" si="50"/>
        <v>-1</v>
      </c>
      <c r="Y309" s="313"/>
    </row>
    <row r="310" spans="1:25" hidden="1">
      <c r="A310" s="338" t="s">
        <v>835</v>
      </c>
      <c r="B310" s="135"/>
      <c r="C310" s="324" t="str">
        <f>'Level 1'!E310</f>
        <v>Russell IV</v>
      </c>
      <c r="D310" s="40" t="str">
        <f>'Level 1'!F310</f>
        <v>LS</v>
      </c>
      <c r="E310" s="38">
        <f>'Level 1'!G310</f>
        <v>1</v>
      </c>
      <c r="F310" s="51">
        <f>'Level 1'!H310</f>
        <v>15000</v>
      </c>
      <c r="G310" s="53">
        <f>'Level 1'!I310</f>
        <v>0</v>
      </c>
      <c r="H310" s="51">
        <f>'Level 1'!J310</f>
        <v>15000</v>
      </c>
      <c r="I310" s="54">
        <f>'Level 1'!K310</f>
        <v>15000</v>
      </c>
      <c r="J310" s="96"/>
      <c r="L310" s="324"/>
      <c r="M310" s="40"/>
      <c r="N310" s="38"/>
      <c r="O310" s="51"/>
      <c r="P310" s="53"/>
      <c r="Q310" s="51"/>
      <c r="R310" s="54"/>
      <c r="S310" s="96"/>
      <c r="U310" s="296">
        <f t="shared" si="49"/>
        <v>15000</v>
      </c>
      <c r="W310" s="297">
        <f t="shared" si="50"/>
        <v>0</v>
      </c>
      <c r="Y310" s="313"/>
    </row>
    <row r="311" spans="1:25" hidden="1">
      <c r="A311" s="338" t="s">
        <v>837</v>
      </c>
      <c r="B311" s="135"/>
      <c r="C311" s="324" t="str">
        <f>'Level 1'!E311</f>
        <v>Russell IV</v>
      </c>
      <c r="D311" s="40" t="str">
        <f>'Level 1'!F311</f>
        <v>LS</v>
      </c>
      <c r="E311" s="38">
        <f>'Level 1'!G311</f>
        <v>1</v>
      </c>
      <c r="F311" s="51">
        <f>'Level 1'!H311</f>
        <v>5000</v>
      </c>
      <c r="G311" s="53">
        <f>'Level 1'!I311</f>
        <v>0</v>
      </c>
      <c r="H311" s="51">
        <f>'Level 1'!J311</f>
        <v>5000</v>
      </c>
      <c r="I311" s="54">
        <f>'Level 1'!K311</f>
        <v>5000</v>
      </c>
      <c r="J311" s="96"/>
      <c r="L311" s="324"/>
      <c r="M311" s="40"/>
      <c r="N311" s="38"/>
      <c r="O311" s="51"/>
      <c r="P311" s="53"/>
      <c r="Q311" s="51"/>
      <c r="R311" s="54"/>
      <c r="S311" s="96"/>
      <c r="U311" s="296">
        <f t="shared" si="49"/>
        <v>5000</v>
      </c>
      <c r="W311" s="297">
        <f t="shared" si="50"/>
        <v>0</v>
      </c>
      <c r="Y311" s="313"/>
    </row>
    <row r="312" spans="1:25" hidden="1">
      <c r="A312" s="338" t="s">
        <v>839</v>
      </c>
      <c r="B312" s="135"/>
      <c r="C312" s="324" t="str">
        <f>'Level 1'!E312</f>
        <v>N/A</v>
      </c>
      <c r="D312" s="40">
        <f>'Level 1'!F312</f>
        <v>0</v>
      </c>
      <c r="E312" s="38">
        <f>'Level 1'!G312</f>
        <v>0</v>
      </c>
      <c r="F312" s="51">
        <f>'Level 1'!H312</f>
        <v>0</v>
      </c>
      <c r="G312" s="53">
        <f>'Level 1'!I312</f>
        <v>0</v>
      </c>
      <c r="H312" s="51">
        <f>'Level 1'!J312</f>
        <v>0</v>
      </c>
      <c r="I312" s="54">
        <f>'Level 1'!K312</f>
        <v>0</v>
      </c>
      <c r="J312" s="96"/>
      <c r="L312" s="324"/>
      <c r="M312" s="40"/>
      <c r="N312" s="38"/>
      <c r="O312" s="51"/>
      <c r="P312" s="53"/>
      <c r="Q312" s="51"/>
      <c r="R312" s="54"/>
      <c r="S312" s="96"/>
      <c r="U312" s="296">
        <f t="shared" si="49"/>
        <v>0</v>
      </c>
      <c r="W312" s="297">
        <f t="shared" si="50"/>
        <v>0</v>
      </c>
      <c r="Y312" s="313"/>
    </row>
    <row r="313" spans="1:25" hidden="1">
      <c r="A313" s="323" t="s">
        <v>841</v>
      </c>
      <c r="B313" s="135"/>
      <c r="C313" s="324" t="str">
        <f>'Level 1'!E313</f>
        <v>Allowance</v>
      </c>
      <c r="D313" s="40" t="str">
        <f>'Level 1'!F313</f>
        <v>LS</v>
      </c>
      <c r="E313" s="38">
        <f>'Level 1'!G313</f>
        <v>1</v>
      </c>
      <c r="F313" s="51">
        <f>'Level 1'!H313</f>
        <v>1250000</v>
      </c>
      <c r="G313" s="53">
        <f>'Level 1'!I313</f>
        <v>0</v>
      </c>
      <c r="H313" s="51">
        <f>'Level 1'!J313</f>
        <v>1250000</v>
      </c>
      <c r="I313" s="54">
        <f>'Level 1'!K313</f>
        <v>1250000</v>
      </c>
      <c r="J313" s="96"/>
      <c r="L313" s="324"/>
      <c r="M313" s="40"/>
      <c r="N313" s="38"/>
      <c r="O313" s="51"/>
      <c r="P313" s="53"/>
      <c r="Q313" s="51"/>
      <c r="R313" s="54">
        <v>1219427</v>
      </c>
      <c r="S313" s="96"/>
      <c r="U313" s="296">
        <f t="shared" si="49"/>
        <v>30573</v>
      </c>
      <c r="W313" s="297">
        <f t="shared" si="50"/>
        <v>2.5071611502779582E-2</v>
      </c>
      <c r="Y313" s="345"/>
    </row>
    <row r="314" spans="1:25" hidden="1">
      <c r="A314" s="323" t="s">
        <v>843</v>
      </c>
      <c r="B314" s="135"/>
      <c r="C314" s="324" t="str">
        <f>'Level 1'!E314</f>
        <v xml:space="preserve">Allowance </v>
      </c>
      <c r="D314" s="40" t="str">
        <f>'Level 1'!F314</f>
        <v>LS</v>
      </c>
      <c r="E314" s="38">
        <f>'Level 1'!G314</f>
        <v>1</v>
      </c>
      <c r="F314" s="51">
        <f>'Level 1'!H314</f>
        <v>200000</v>
      </c>
      <c r="G314" s="53">
        <f>'Level 1'!I314</f>
        <v>0</v>
      </c>
      <c r="H314" s="51">
        <f>'Level 1'!J314</f>
        <v>200000</v>
      </c>
      <c r="I314" s="54">
        <f>'Level 1'!K314</f>
        <v>200000</v>
      </c>
      <c r="J314" s="96"/>
      <c r="L314" s="324"/>
      <c r="M314" s="40"/>
      <c r="N314" s="38"/>
      <c r="O314" s="51"/>
      <c r="P314" s="53"/>
      <c r="Q314" s="51"/>
      <c r="R314" s="54">
        <v>259698</v>
      </c>
      <c r="S314" s="96"/>
      <c r="U314" s="296">
        <f t="shared" si="49"/>
        <v>-59698</v>
      </c>
      <c r="W314" s="297">
        <f t="shared" si="50"/>
        <v>-0.22987470061378987</v>
      </c>
      <c r="Y314" s="313"/>
    </row>
    <row r="315" spans="1:25" hidden="1">
      <c r="A315" s="338" t="s">
        <v>846</v>
      </c>
      <c r="B315" s="135"/>
      <c r="C315" s="324" t="str">
        <f>'Level 1'!E315</f>
        <v>Russell IV</v>
      </c>
      <c r="D315" s="40" t="str">
        <f>'Level 1'!F315</f>
        <v>LS</v>
      </c>
      <c r="E315" s="38">
        <f>'Level 1'!G315</f>
        <v>1</v>
      </c>
      <c r="F315" s="51">
        <f>'Level 1'!H315</f>
        <v>19500</v>
      </c>
      <c r="G315" s="53">
        <f>'Level 1'!I315</f>
        <v>0</v>
      </c>
      <c r="H315" s="51">
        <f>'Level 1'!J315</f>
        <v>19500</v>
      </c>
      <c r="I315" s="54">
        <f>'Level 1'!K315</f>
        <v>19500</v>
      </c>
      <c r="J315" s="96"/>
      <c r="L315" s="324"/>
      <c r="M315" s="40"/>
      <c r="N315" s="38"/>
      <c r="O315" s="51"/>
      <c r="P315" s="53"/>
      <c r="Q315" s="51"/>
      <c r="R315" s="54">
        <v>19500</v>
      </c>
      <c r="S315" s="96"/>
      <c r="U315" s="296">
        <f t="shared" si="49"/>
        <v>0</v>
      </c>
      <c r="W315" s="297">
        <f t="shared" si="50"/>
        <v>0</v>
      </c>
      <c r="Y315" s="313"/>
    </row>
    <row r="316" spans="1:25" hidden="1">
      <c r="A316" s="338" t="s">
        <v>847</v>
      </c>
      <c r="B316" s="135"/>
      <c r="C316" s="324" t="str">
        <f>'Level 1'!E316</f>
        <v>Russell IV</v>
      </c>
      <c r="D316" s="40" t="str">
        <f>'Level 1'!F316</f>
        <v>LS</v>
      </c>
      <c r="E316" s="38">
        <f>'Level 1'!G316</f>
        <v>1</v>
      </c>
      <c r="F316" s="51">
        <f>'Level 1'!H316</f>
        <v>2000</v>
      </c>
      <c r="G316" s="53">
        <f>'Level 1'!I316</f>
        <v>0</v>
      </c>
      <c r="H316" s="51">
        <f>'Level 1'!J316</f>
        <v>2000</v>
      </c>
      <c r="I316" s="54">
        <f>'Level 1'!K316</f>
        <v>2000</v>
      </c>
      <c r="J316" s="96"/>
      <c r="L316" s="324"/>
      <c r="M316" s="40"/>
      <c r="N316" s="38"/>
      <c r="O316" s="51"/>
      <c r="P316" s="53"/>
      <c r="Q316" s="51"/>
      <c r="R316" s="54">
        <v>2000</v>
      </c>
      <c r="S316" s="96"/>
      <c r="U316" s="296">
        <f t="shared" si="49"/>
        <v>0</v>
      </c>
      <c r="W316" s="297">
        <f t="shared" si="50"/>
        <v>0</v>
      </c>
      <c r="Y316" s="313"/>
    </row>
    <row r="317" spans="1:25" hidden="1">
      <c r="A317" s="338" t="s">
        <v>849</v>
      </c>
      <c r="B317" s="135"/>
      <c r="C317" s="324" t="str">
        <f>'Level 1'!E317</f>
        <v>Russell IV</v>
      </c>
      <c r="D317" s="40" t="str">
        <f>'Level 1'!F317</f>
        <v>LS</v>
      </c>
      <c r="E317" s="38">
        <f>'Level 1'!G317</f>
        <v>1</v>
      </c>
      <c r="F317" s="51">
        <f>'Level 1'!H317</f>
        <v>1200</v>
      </c>
      <c r="G317" s="53">
        <f>'Level 1'!I317</f>
        <v>0</v>
      </c>
      <c r="H317" s="51">
        <f>'Level 1'!J317</f>
        <v>1200</v>
      </c>
      <c r="I317" s="54">
        <f>'Level 1'!K317</f>
        <v>1200</v>
      </c>
      <c r="J317" s="96"/>
      <c r="L317" s="324"/>
      <c r="M317" s="40"/>
      <c r="N317" s="38"/>
      <c r="O317" s="51"/>
      <c r="P317" s="53"/>
      <c r="Q317" s="51"/>
      <c r="R317" s="54">
        <v>1200</v>
      </c>
      <c r="S317" s="96"/>
      <c r="U317" s="296">
        <f t="shared" si="49"/>
        <v>0</v>
      </c>
      <c r="W317" s="297">
        <f t="shared" si="50"/>
        <v>0</v>
      </c>
      <c r="Y317" s="313"/>
    </row>
    <row r="318" spans="1:25" hidden="1">
      <c r="A318" s="314" t="s">
        <v>851</v>
      </c>
      <c r="B318" s="135"/>
      <c r="C318" s="315"/>
      <c r="D318" s="151"/>
      <c r="E318" s="152"/>
      <c r="F318" s="153"/>
      <c r="G318" s="154"/>
      <c r="H318" s="153"/>
      <c r="I318" s="172"/>
      <c r="J318" s="316">
        <f>'Level 1'!L318</f>
        <v>4028141.9913367699</v>
      </c>
      <c r="L318" s="315"/>
      <c r="M318" s="151"/>
      <c r="N318" s="152"/>
      <c r="O318" s="153"/>
      <c r="P318" s="154"/>
      <c r="Q318" s="153"/>
      <c r="R318" s="172"/>
      <c r="S318" s="316">
        <v>3667254.2206651429</v>
      </c>
      <c r="U318" s="317">
        <f>J318-S318</f>
        <v>360887.77067162702</v>
      </c>
      <c r="W318" s="318">
        <f>IF(S318=0,0,U318/S318)</f>
        <v>9.8408168334228954E-2</v>
      </c>
      <c r="Y318" s="313"/>
    </row>
    <row r="319" spans="1:25" hidden="1">
      <c r="A319" s="319" t="s">
        <v>851</v>
      </c>
      <c r="B319" s="135"/>
      <c r="C319" s="320"/>
      <c r="D319" s="65">
        <f>'Level 1'!F319</f>
        <v>0</v>
      </c>
      <c r="E319" s="186">
        <f>'Level 1'!G319</f>
        <v>0.05</v>
      </c>
      <c r="F319" s="64">
        <f>'Level 1'!H319</f>
        <v>0</v>
      </c>
      <c r="G319" s="157">
        <f>'Level 1'!I319</f>
        <v>0</v>
      </c>
      <c r="H319" s="158">
        <f>'Level 1'!J319</f>
        <v>0</v>
      </c>
      <c r="I319" s="159">
        <f>'Level 1'!K319</f>
        <v>4028141.9913367699</v>
      </c>
      <c r="J319" s="96"/>
      <c r="L319" s="320"/>
      <c r="M319" s="65"/>
      <c r="N319" s="186"/>
      <c r="O319" s="64"/>
      <c r="P319" s="157"/>
      <c r="Q319" s="158"/>
      <c r="R319" s="159">
        <v>3667254.2206651429</v>
      </c>
      <c r="S319" s="96"/>
      <c r="U319" s="296">
        <f t="shared" ref="U319" si="51">I319-R319</f>
        <v>360887.77067162702</v>
      </c>
      <c r="W319" s="297">
        <f>IF(R319=0,0,U319/R319)</f>
        <v>9.8408168334228954E-2</v>
      </c>
      <c r="Y319" s="313"/>
    </row>
    <row r="320" spans="1:25" hidden="1">
      <c r="A320" s="314" t="s">
        <v>855</v>
      </c>
      <c r="B320" s="135"/>
      <c r="C320" s="315"/>
      <c r="D320" s="151"/>
      <c r="E320" s="152"/>
      <c r="F320" s="153"/>
      <c r="G320" s="154"/>
      <c r="H320" s="153"/>
      <c r="I320" s="172"/>
      <c r="J320" s="316">
        <f>'Level 1'!L320</f>
        <v>858892.27765632374</v>
      </c>
      <c r="L320" s="315"/>
      <c r="M320" s="151"/>
      <c r="N320" s="152"/>
      <c r="O320" s="153"/>
      <c r="P320" s="154"/>
      <c r="Q320" s="153"/>
      <c r="R320" s="172"/>
      <c r="S320" s="316">
        <v>845508.64536205574</v>
      </c>
      <c r="U320" s="317">
        <f>J320-S320</f>
        <v>13383.632294267998</v>
      </c>
      <c r="W320" s="318">
        <f>IF(S320=0,0,U320/S320)</f>
        <v>1.5829089823838509E-2</v>
      </c>
      <c r="Y320" s="313"/>
    </row>
    <row r="321" spans="1:25" hidden="1">
      <c r="A321" s="319" t="s">
        <v>855</v>
      </c>
      <c r="B321" s="135"/>
      <c r="C321" s="320"/>
      <c r="D321" s="65">
        <f>'Level 1'!F321</f>
        <v>0</v>
      </c>
      <c r="E321" s="186">
        <f>'Level 1'!G321</f>
        <v>1.2999999999999999E-2</v>
      </c>
      <c r="F321" s="64">
        <f>'Level 1'!H321</f>
        <v>0</v>
      </c>
      <c r="G321" s="157">
        <f>'Level 1'!I321</f>
        <v>0</v>
      </c>
      <c r="H321" s="158">
        <f>'Level 1'!J321</f>
        <v>0</v>
      </c>
      <c r="I321" s="159">
        <f>'Level 1'!K321</f>
        <v>858892.27765632374</v>
      </c>
      <c r="J321" s="96"/>
      <c r="L321" s="320"/>
      <c r="M321" s="65"/>
      <c r="N321" s="186"/>
      <c r="O321" s="64"/>
      <c r="P321" s="157"/>
      <c r="Q321" s="158"/>
      <c r="R321" s="159">
        <v>845508.64536205574</v>
      </c>
      <c r="S321" s="96"/>
      <c r="U321" s="296">
        <f t="shared" ref="U321" si="52">I321-R321</f>
        <v>13383.632294267998</v>
      </c>
      <c r="W321" s="297">
        <f>IF(R321=0,0,U321/R321)</f>
        <v>1.5829089823838509E-2</v>
      </c>
      <c r="Y321" s="313"/>
    </row>
    <row r="322" spans="1:25" hidden="1">
      <c r="A322" s="314" t="s">
        <v>859</v>
      </c>
      <c r="B322" s="135"/>
      <c r="C322" s="315"/>
      <c r="D322" s="151"/>
      <c r="E322" s="152"/>
      <c r="F322" s="153"/>
      <c r="G322" s="154"/>
      <c r="H322" s="153"/>
      <c r="I322" s="172"/>
      <c r="J322" s="316">
        <f>'Level 1'!L322</f>
        <v>745129.18744399119</v>
      </c>
      <c r="L322" s="315"/>
      <c r="M322" s="151"/>
      <c r="N322" s="152"/>
      <c r="O322" s="153"/>
      <c r="P322" s="154"/>
      <c r="Q322" s="153"/>
      <c r="R322" s="172"/>
      <c r="S322" s="316">
        <v>464899.07491981203</v>
      </c>
      <c r="U322" s="317">
        <f>J322-S322</f>
        <v>280230.11252417916</v>
      </c>
      <c r="W322" s="318">
        <f>IF(S322=0,0,U322/S322)</f>
        <v>0.60277623174990091</v>
      </c>
      <c r="Y322" s="313"/>
    </row>
    <row r="323" spans="1:25" hidden="1">
      <c r="A323" s="321" t="s">
        <v>860</v>
      </c>
      <c r="B323" s="135"/>
      <c r="C323" s="322"/>
      <c r="D323" s="47" t="str">
        <f>'Level 1'!F323</f>
        <v>3.03 per $1,000</v>
      </c>
      <c r="E323" s="187">
        <f>'Level 1'!G323</f>
        <v>3.03</v>
      </c>
      <c r="F323" s="61">
        <f>'Level 1'!H323</f>
        <v>0</v>
      </c>
      <c r="G323" s="63">
        <f>'Level 1'!I323</f>
        <v>0</v>
      </c>
      <c r="H323" s="66">
        <f>'Level 1'!J323</f>
        <v>0</v>
      </c>
      <c r="I323" s="67">
        <f>'Level 1'!K323</f>
        <v>372564.5937219956</v>
      </c>
      <c r="J323" s="96"/>
      <c r="L323" s="322"/>
      <c r="M323" s="47"/>
      <c r="N323" s="187"/>
      <c r="O323" s="61"/>
      <c r="P323" s="63"/>
      <c r="Q323" s="66"/>
      <c r="R323" s="67">
        <v>232449.53745990605</v>
      </c>
      <c r="S323" s="96"/>
      <c r="U323" s="296">
        <f t="shared" ref="U323:U325" si="53">I323-R323</f>
        <v>140115.05626208955</v>
      </c>
      <c r="W323" s="297">
        <f t="shared" ref="W323:W325" si="54">IF(R323=0,0,U323/R323)</f>
        <v>0.60277623174990069</v>
      </c>
      <c r="Y323" s="313"/>
    </row>
    <row r="324" spans="1:25" hidden="1">
      <c r="A324" s="338" t="s">
        <v>863</v>
      </c>
      <c r="B324" s="135"/>
      <c r="C324" s="324"/>
      <c r="D324" s="40" t="str">
        <f>'Level 1'!F324</f>
        <v>5% of GL Ins.</v>
      </c>
      <c r="E324" s="53">
        <f>'Level 1'!G324</f>
        <v>0.05</v>
      </c>
      <c r="F324" s="51">
        <f>'Level 1'!H324</f>
        <v>0</v>
      </c>
      <c r="G324" s="53">
        <f>'Level 1'!I324</f>
        <v>0</v>
      </c>
      <c r="H324" s="51">
        <f>'Level 1'!J324</f>
        <v>0</v>
      </c>
      <c r="I324" s="54">
        <f>'Level 1'!K324</f>
        <v>18628.229686099781</v>
      </c>
      <c r="J324" s="96"/>
      <c r="L324" s="324"/>
      <c r="M324" s="40"/>
      <c r="N324" s="53"/>
      <c r="O324" s="51"/>
      <c r="P324" s="53"/>
      <c r="Q324" s="51"/>
      <c r="R324" s="54">
        <v>11622.476872995303</v>
      </c>
      <c r="S324" s="96"/>
      <c r="U324" s="296">
        <f t="shared" si="53"/>
        <v>7005.7528131044783</v>
      </c>
      <c r="W324" s="297">
        <f t="shared" si="54"/>
        <v>0.60277623174990069</v>
      </c>
      <c r="Y324" s="313"/>
    </row>
    <row r="325" spans="1:25" hidden="1">
      <c r="A325" s="338" t="s">
        <v>865</v>
      </c>
      <c r="B325" s="135"/>
      <c r="C325" s="324"/>
      <c r="D325" s="40" t="str">
        <f>'Level 1'!F325</f>
        <v>95% of GL Ins.</v>
      </c>
      <c r="E325" s="53">
        <f>'Level 1'!G325</f>
        <v>0.95</v>
      </c>
      <c r="F325" s="51">
        <f>'Level 1'!H325</f>
        <v>0</v>
      </c>
      <c r="G325" s="53">
        <f>'Level 1'!I325</f>
        <v>0</v>
      </c>
      <c r="H325" s="51">
        <f>'Level 1'!J325</f>
        <v>0</v>
      </c>
      <c r="I325" s="54">
        <f>'Level 1'!K325</f>
        <v>353936.36403589579</v>
      </c>
      <c r="J325" s="96"/>
      <c r="L325" s="324"/>
      <c r="M325" s="40"/>
      <c r="N325" s="53"/>
      <c r="O325" s="51"/>
      <c r="P325" s="53"/>
      <c r="Q325" s="51"/>
      <c r="R325" s="54">
        <v>220827.06058691072</v>
      </c>
      <c r="S325" s="96"/>
      <c r="U325" s="296">
        <f t="shared" si="53"/>
        <v>133109.30344898507</v>
      </c>
      <c r="W325" s="297">
        <f t="shared" si="54"/>
        <v>0.60277623174990069</v>
      </c>
      <c r="Y325" s="313"/>
    </row>
    <row r="326" spans="1:25" hidden="1">
      <c r="A326" s="314" t="s">
        <v>867</v>
      </c>
      <c r="B326" s="135"/>
      <c r="C326" s="315"/>
      <c r="D326" s="151"/>
      <c r="E326" s="152"/>
      <c r="F326" s="153"/>
      <c r="G326" s="154"/>
      <c r="H326" s="153"/>
      <c r="I326" s="172"/>
      <c r="J326" s="316">
        <f>'Level 1'!L326</f>
        <v>5653532.6194200255</v>
      </c>
      <c r="L326" s="315"/>
      <c r="M326" s="151"/>
      <c r="N326" s="152"/>
      <c r="O326" s="153"/>
      <c r="P326" s="154"/>
      <c r="Q326" s="153"/>
      <c r="R326" s="172"/>
      <c r="S326" s="316">
        <v>5562058.545433607</v>
      </c>
      <c r="U326" s="317">
        <f>J326-S326</f>
        <v>91474.073986418545</v>
      </c>
      <c r="W326" s="318">
        <f>IF(S326=0,0,U326/S326)</f>
        <v>1.6446082550051155E-2</v>
      </c>
      <c r="Y326" s="313"/>
    </row>
    <row r="327" spans="1:25" hidden="1">
      <c r="A327" s="311" t="s">
        <v>869</v>
      </c>
      <c r="B327" s="135"/>
      <c r="C327" s="312"/>
      <c r="D327" s="60">
        <f>'Level 1'!F327</f>
        <v>0</v>
      </c>
      <c r="E327" s="188">
        <f>'Level 1'!G327</f>
        <v>0.02</v>
      </c>
      <c r="F327" s="147">
        <f>'Level 1'!H327</f>
        <v>0</v>
      </c>
      <c r="G327" s="148">
        <f>'Level 1'!I327</f>
        <v>0</v>
      </c>
      <c r="H327" s="149">
        <f>'Level 1'!J327</f>
        <v>0</v>
      </c>
      <c r="I327" s="150">
        <f>'Level 1'!K327</f>
        <v>1413383.1548550064</v>
      </c>
      <c r="J327" s="96"/>
      <c r="L327" s="312"/>
      <c r="M327" s="60"/>
      <c r="N327" s="188"/>
      <c r="O327" s="147"/>
      <c r="P327" s="148"/>
      <c r="Q327" s="149"/>
      <c r="R327" s="150">
        <f>2/8*S326</f>
        <v>1390514.6363584017</v>
      </c>
      <c r="S327" s="96"/>
      <c r="U327" s="296">
        <f t="shared" ref="U327:U328" si="55">I327-R327</f>
        <v>22868.518496604636</v>
      </c>
      <c r="W327" s="297">
        <f>IF(R327=0,0,U327/R327)</f>
        <v>1.6446082550051155E-2</v>
      </c>
      <c r="Y327" s="313"/>
    </row>
    <row r="328" spans="1:25" hidden="1">
      <c r="A328" s="311" t="s">
        <v>867</v>
      </c>
      <c r="B328" s="135"/>
      <c r="C328" s="312"/>
      <c r="D328" s="60">
        <f>'Level 1'!F328</f>
        <v>0</v>
      </c>
      <c r="E328" s="188">
        <f>'Level 1'!G328</f>
        <v>0.06</v>
      </c>
      <c r="F328" s="147">
        <f>'Level 1'!H328</f>
        <v>0</v>
      </c>
      <c r="G328" s="148">
        <f>'Level 1'!I328</f>
        <v>0</v>
      </c>
      <c r="H328" s="149">
        <f>'Level 1'!J328</f>
        <v>0</v>
      </c>
      <c r="I328" s="150">
        <f>'Level 1'!K328</f>
        <v>4240149.4645650191</v>
      </c>
      <c r="J328" s="96"/>
      <c r="L328" s="312"/>
      <c r="M328" s="60"/>
      <c r="N328" s="188"/>
      <c r="O328" s="147"/>
      <c r="P328" s="148"/>
      <c r="Q328" s="149"/>
      <c r="R328" s="150">
        <f>6/8*S326</f>
        <v>4171543.9090752052</v>
      </c>
      <c r="S328" s="96"/>
      <c r="U328" s="296">
        <f t="shared" si="55"/>
        <v>68605.555489813909</v>
      </c>
      <c r="W328" s="297">
        <f>IF(R328=0,0,U328/R328)</f>
        <v>1.6446082550051155E-2</v>
      </c>
      <c r="Y328" s="313"/>
    </row>
    <row r="329" spans="1:25" ht="15" thickBot="1">
      <c r="A329" s="339" t="s">
        <v>870</v>
      </c>
      <c r="B329" s="135"/>
      <c r="C329" s="368"/>
      <c r="D329" s="369"/>
      <c r="E329" s="369"/>
      <c r="F329" s="370"/>
      <c r="G329" s="371"/>
      <c r="H329" s="372"/>
      <c r="I329" s="372"/>
      <c r="J329" s="373" t="e">
        <f>SUM(J20:J326)</f>
        <v>#REF!</v>
      </c>
      <c r="L329" s="340"/>
      <c r="M329" s="17"/>
      <c r="N329" s="17"/>
      <c r="O329" s="18"/>
      <c r="P329" s="19"/>
      <c r="Q329" s="20"/>
      <c r="R329" s="20"/>
      <c r="S329" s="341">
        <f>SUM(S20:S328)</f>
        <v>82742976.584018797</v>
      </c>
      <c r="U329" s="342" t="e">
        <f>J329-S329</f>
        <v>#REF!</v>
      </c>
      <c r="W329" s="450" t="e">
        <f>IF(S329=0,0,U329/S329)</f>
        <v>#REF!</v>
      </c>
      <c r="Y329" s="344"/>
    </row>
    <row r="330" spans="1:25">
      <c r="B330" s="135"/>
      <c r="E330" s="56"/>
      <c r="F330" s="56"/>
      <c r="G330" s="189"/>
      <c r="J330" s="190"/>
    </row>
    <row r="332" spans="1:25">
      <c r="S332" s="449" t="s">
        <v>1230</v>
      </c>
      <c r="T332" s="135"/>
      <c r="U332" s="448">
        <f>U196+U211+U217+U252+U256+U262+U263+U271+U272+U273+U274</f>
        <v>2150172.5463642841</v>
      </c>
    </row>
  </sheetData>
  <mergeCells count="1">
    <mergeCell ref="A1:A18"/>
  </mergeCells>
  <conditionalFormatting sqref="C3:D12">
    <cfRule type="expression" dxfId="70" priority="7">
      <formula>MOD(ROW(),2)</formula>
    </cfRule>
  </conditionalFormatting>
  <conditionalFormatting sqref="C45:I49">
    <cfRule type="expression" dxfId="69" priority="20">
      <formula>MOD(ROW(),2)</formula>
    </cfRule>
  </conditionalFormatting>
  <conditionalFormatting sqref="C51:I58">
    <cfRule type="expression" dxfId="68" priority="19">
      <formula>MOD(ROW(),2)</formula>
    </cfRule>
  </conditionalFormatting>
  <conditionalFormatting sqref="H4:J8">
    <cfRule type="expression" dxfId="67" priority="18">
      <formula>MOD(ROW(),2)=0</formula>
    </cfRule>
  </conditionalFormatting>
  <conditionalFormatting sqref="H11:J17">
    <cfRule type="expression" dxfId="66" priority="8">
      <formula>MOD(ROW(),2)</formula>
    </cfRule>
  </conditionalFormatting>
  <conditionalFormatting sqref="H16:J16">
    <cfRule type="expression" dxfId="65" priority="9">
      <formula>MOD(ROW(),2)=0</formula>
    </cfRule>
  </conditionalFormatting>
  <conditionalFormatting sqref="J330">
    <cfRule type="cellIs" dxfId="64" priority="21" operator="lessThan">
      <formula>0</formula>
    </cfRule>
    <cfRule type="cellIs" dxfId="63" priority="22" operator="greaterThan">
      <formula>0</formula>
    </cfRule>
  </conditionalFormatting>
  <conditionalFormatting sqref="L3:M12">
    <cfRule type="expression" dxfId="62" priority="4">
      <formula>MOD(ROW(),2)</formula>
    </cfRule>
  </conditionalFormatting>
  <conditionalFormatting sqref="L45:R49">
    <cfRule type="expression" dxfId="61" priority="6">
      <formula>MOD(ROW(),2)</formula>
    </cfRule>
  </conditionalFormatting>
  <conditionalFormatting sqref="L51:R58">
    <cfRule type="expression" dxfId="60" priority="5">
      <formula>MOD(ROW(),2)</formula>
    </cfRule>
  </conditionalFormatting>
  <conditionalFormatting sqref="Q4:S8">
    <cfRule type="expression" dxfId="59" priority="3">
      <formula>MOD(ROW(),2)=0</formula>
    </cfRule>
  </conditionalFormatting>
  <conditionalFormatting sqref="Q11:S17">
    <cfRule type="expression" dxfId="58" priority="1">
      <formula>MOD(ROW(),2)</formula>
    </cfRule>
  </conditionalFormatting>
  <conditionalFormatting sqref="Q16:S16">
    <cfRule type="expression" dxfId="57" priority="2">
      <formula>MOD(ROW(),2)=0</formula>
    </cfRule>
  </conditionalFormatting>
  <conditionalFormatting sqref="U20 U22 U24 U34:U35 U44 U50 U59 U72 U84 U100 U137 U154 U156 U165 U169 U171 U174 U178 U184 U186 U204 U208 U212 U222 U259 U275 U277 U281 U291 U300 U303 U318 U320 U322 U326">
    <cfRule type="expression" dxfId="56" priority="17">
      <formula>MOD(ROW(),2)</formula>
    </cfRule>
  </conditionalFormatting>
  <conditionalFormatting sqref="U20:U329">
    <cfRule type="cellIs" dxfId="55" priority="12" operator="lessThan">
      <formula>-$U$18</formula>
    </cfRule>
    <cfRule type="cellIs" dxfId="54" priority="13" operator="greaterThan">
      <formula>$U$18</formula>
    </cfRule>
  </conditionalFormatting>
  <conditionalFormatting sqref="U329">
    <cfRule type="expression" dxfId="53" priority="16">
      <formula>MOD(ROW(),2)</formula>
    </cfRule>
  </conditionalFormatting>
  <conditionalFormatting sqref="W20 W22 W24 W34:W35 W44 W50 W59 W72 W84 W100 W137 W154 W156 W165 W169 W171 W174 W178 W184 W186 W204 W208 W212 W222 W259 W275 W277 W281 W291 W300 W303 W318 W320 W322 W326">
    <cfRule type="expression" dxfId="52" priority="15">
      <formula>MOD(ROW(),2)</formula>
    </cfRule>
  </conditionalFormatting>
  <conditionalFormatting sqref="W20:W329">
    <cfRule type="cellIs" dxfId="51" priority="10" operator="lessThan">
      <formula>-$W$18</formula>
    </cfRule>
    <cfRule type="cellIs" dxfId="50" priority="11" operator="greaterThan">
      <formula>$W$18</formula>
    </cfRule>
  </conditionalFormatting>
  <conditionalFormatting sqref="W329">
    <cfRule type="expression" dxfId="49" priority="14">
      <formula>MOD(ROW(),2)</formula>
    </cfRule>
  </conditionalFormatting>
  <dataValidations count="2">
    <dataValidation type="list" allowBlank="1" showInputMessage="1" showErrorMessage="1" sqref="D5 M5" xr:uid="{D26872BE-F29C-445B-9EF6-2B6327519C37}">
      <formula1>"Urban, Market, Senior, Afforable"</formula1>
    </dataValidation>
    <dataValidation type="list" allowBlank="1" showInputMessage="1" showErrorMessage="1" sqref="D4 M4" xr:uid="{8CAD59A1-BF8F-4442-AA36-34DDBE24AE14}">
      <formula1>"Level 1, Level 2, Level 3"</formula1>
    </dataValidation>
  </dataValidations>
  <printOptions horizontalCentered="1"/>
  <pageMargins left="0.1" right="0.1" top="0.75" bottom="0.25" header="0.15" footer="0"/>
  <pageSetup paperSize="3" scale="65" orientation="landscape" r:id="rId1"/>
  <headerFooter>
    <oddHeader>&amp;R&amp;G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4B98-5DDC-4E32-9AC2-263C065E3414}">
  <sheetPr>
    <pageSetUpPr fitToPage="1"/>
  </sheetPr>
  <dimension ref="A1:Y343"/>
  <sheetViews>
    <sheetView zoomScale="70" zoomScaleNormal="70" workbookViewId="0">
      <selection activeCell="R40" sqref="R40"/>
    </sheetView>
  </sheetViews>
  <sheetFormatPr defaultColWidth="9.140625" defaultRowHeight="14.45"/>
  <cols>
    <col min="1" max="1" width="42" style="55" bestFit="1" customWidth="1"/>
    <col min="2" max="2" width="2.5703125" style="55" customWidth="1"/>
    <col min="3" max="3" width="13.140625" style="56" hidden="1" customWidth="1"/>
    <col min="4" max="4" width="17.140625" style="56" hidden="1" customWidth="1"/>
    <col min="5" max="5" width="14.85546875" style="55" bestFit="1" customWidth="1"/>
    <col min="6" max="6" width="13.85546875" style="55" bestFit="1" customWidth="1"/>
    <col min="7" max="7" width="5.7109375" style="55" bestFit="1" customWidth="1"/>
    <col min="8" max="8" width="14.5703125" style="55" customWidth="1"/>
    <col min="9" max="9" width="13.140625" style="55" bestFit="1" customWidth="1"/>
    <col min="10" max="10" width="15.85546875" style="55" bestFit="1" customWidth="1"/>
    <col min="11" max="11" width="0.7109375" style="55" customWidth="1"/>
    <col min="12" max="12" width="17.42578125" style="55" hidden="1" customWidth="1"/>
    <col min="13" max="13" width="17.140625" style="55" hidden="1" customWidth="1"/>
    <col min="14" max="14" width="9.28515625" style="55" bestFit="1" customWidth="1"/>
    <col min="15" max="15" width="13.85546875" style="55" bestFit="1" customWidth="1"/>
    <col min="16" max="16" width="5.7109375" style="55" bestFit="1" customWidth="1"/>
    <col min="17" max="17" width="16.85546875" style="55" customWidth="1"/>
    <col min="18" max="18" width="13.140625" style="55" bestFit="1" customWidth="1"/>
    <col min="19" max="19" width="16.42578125" style="55" bestFit="1" customWidth="1"/>
    <col min="20" max="20" width="0.7109375" style="55" customWidth="1"/>
    <col min="21" max="21" width="15.28515625" style="190" bestFit="1" customWidth="1"/>
    <col min="22" max="22" width="0.7109375" style="55" customWidth="1"/>
    <col min="23" max="23" width="13.85546875" style="190" bestFit="1" customWidth="1"/>
    <col min="24" max="24" width="0.7109375" style="55" customWidth="1"/>
    <col min="25" max="25" width="118.140625" style="55" customWidth="1"/>
    <col min="26" max="16384" width="9.140625" style="55"/>
  </cols>
  <sheetData>
    <row r="1" spans="1:19" ht="27.75" customHeight="1" thickBot="1">
      <c r="B1" s="135"/>
      <c r="C1" s="360" t="s">
        <v>1186</v>
      </c>
      <c r="D1" s="361"/>
      <c r="E1" s="361"/>
      <c r="F1" s="361"/>
      <c r="G1" s="361"/>
      <c r="H1" s="362"/>
      <c r="I1" s="362"/>
      <c r="J1" s="363"/>
      <c r="L1" s="259" t="s">
        <v>1187</v>
      </c>
      <c r="M1" s="260"/>
      <c r="N1" s="260"/>
      <c r="O1" s="260"/>
      <c r="P1" s="260"/>
      <c r="Q1" s="261"/>
      <c r="R1" s="261"/>
      <c r="S1" s="262"/>
    </row>
    <row r="2" spans="1:19" ht="15.75" customHeight="1" thickBot="1">
      <c r="A2" s="453"/>
      <c r="B2" s="135"/>
      <c r="C2" s="263" t="s">
        <v>77</v>
      </c>
      <c r="D2" s="72"/>
      <c r="H2" s="72" t="s">
        <v>78</v>
      </c>
      <c r="I2" s="72"/>
      <c r="J2" s="264"/>
      <c r="L2" s="263" t="s">
        <v>77</v>
      </c>
      <c r="M2" s="72"/>
      <c r="Q2" s="72" t="s">
        <v>78</v>
      </c>
      <c r="R2" s="72"/>
      <c r="S2" s="264"/>
    </row>
    <row r="3" spans="1:19" ht="15" customHeight="1">
      <c r="A3" s="453"/>
      <c r="B3" s="135"/>
      <c r="C3" s="265" t="s">
        <v>81</v>
      </c>
      <c r="D3" s="77" t="s">
        <v>82</v>
      </c>
      <c r="H3" s="78" t="s">
        <v>83</v>
      </c>
      <c r="I3" s="79" t="s">
        <v>84</v>
      </c>
      <c r="J3" s="266" t="s">
        <v>85</v>
      </c>
      <c r="L3" s="265" t="s">
        <v>81</v>
      </c>
      <c r="M3" s="77" t="s">
        <v>82</v>
      </c>
      <c r="Q3" s="78" t="s">
        <v>83</v>
      </c>
      <c r="R3" s="79" t="s">
        <v>84</v>
      </c>
      <c r="S3" s="266" t="s">
        <v>85</v>
      </c>
    </row>
    <row r="4" spans="1:19" ht="15" customHeight="1">
      <c r="A4" s="453"/>
      <c r="B4" s="135"/>
      <c r="C4" s="267" t="s">
        <v>105</v>
      </c>
      <c r="D4" s="86" t="s">
        <v>37</v>
      </c>
      <c r="H4" s="87" t="s">
        <v>106</v>
      </c>
      <c r="I4" s="88">
        <v>0</v>
      </c>
      <c r="J4" s="268">
        <f t="shared" ref="J4:J9" si="0">I4/$I$9</f>
        <v>0</v>
      </c>
      <c r="L4" s="267" t="s">
        <v>105</v>
      </c>
      <c r="M4" s="86" t="s">
        <v>37</v>
      </c>
      <c r="Q4" s="87" t="s">
        <v>106</v>
      </c>
      <c r="R4" s="88">
        <v>0</v>
      </c>
      <c r="S4" s="268">
        <f t="shared" ref="S4:S9" si="1">R4/$I$9</f>
        <v>0</v>
      </c>
    </row>
    <row r="5" spans="1:19" ht="15" customHeight="1">
      <c r="A5" s="453"/>
      <c r="B5" s="135"/>
      <c r="C5" s="267" t="s">
        <v>2</v>
      </c>
      <c r="D5" s="86" t="s">
        <v>120</v>
      </c>
      <c r="H5" s="93" t="s">
        <v>89</v>
      </c>
      <c r="I5" s="86">
        <v>171</v>
      </c>
      <c r="J5" s="269">
        <f t="shared" si="0"/>
        <v>0.43846153846153846</v>
      </c>
      <c r="L5" s="267" t="s">
        <v>2</v>
      </c>
      <c r="M5" s="86" t="s">
        <v>120</v>
      </c>
      <c r="Q5" s="93" t="s">
        <v>89</v>
      </c>
      <c r="R5" s="383">
        <v>166</v>
      </c>
      <c r="S5" s="269">
        <f t="shared" si="1"/>
        <v>0.42564102564102563</v>
      </c>
    </row>
    <row r="6" spans="1:19" ht="15" customHeight="1">
      <c r="A6" s="453"/>
      <c r="B6" s="135"/>
      <c r="C6" s="267" t="s">
        <v>1189</v>
      </c>
      <c r="D6" s="97"/>
      <c r="H6" s="93" t="s">
        <v>90</v>
      </c>
      <c r="I6" s="86">
        <v>52</v>
      </c>
      <c r="J6" s="269">
        <f t="shared" si="0"/>
        <v>0.13333333333333333</v>
      </c>
      <c r="L6" s="267" t="s">
        <v>1189</v>
      </c>
      <c r="M6" s="97"/>
      <c r="Q6" s="93" t="s">
        <v>90</v>
      </c>
      <c r="R6" s="383">
        <v>46</v>
      </c>
      <c r="S6" s="269">
        <f t="shared" si="1"/>
        <v>0.11794871794871795</v>
      </c>
    </row>
    <row r="7" spans="1:19" ht="15" customHeight="1">
      <c r="A7" s="453"/>
      <c r="B7" s="135"/>
      <c r="C7" s="267" t="s">
        <v>130</v>
      </c>
      <c r="D7" s="86">
        <v>26</v>
      </c>
      <c r="H7" s="93" t="s">
        <v>91</v>
      </c>
      <c r="I7" s="86">
        <v>118</v>
      </c>
      <c r="J7" s="269">
        <f t="shared" si="0"/>
        <v>0.30256410256410254</v>
      </c>
      <c r="L7" s="267" t="s">
        <v>130</v>
      </c>
      <c r="M7" s="86">
        <v>26</v>
      </c>
      <c r="Q7" s="93" t="s">
        <v>91</v>
      </c>
      <c r="R7" s="383">
        <v>125</v>
      </c>
      <c r="S7" s="269">
        <f t="shared" si="1"/>
        <v>0.32051282051282054</v>
      </c>
    </row>
    <row r="8" spans="1:19" ht="15" customHeight="1">
      <c r="A8" s="453"/>
      <c r="B8" s="135"/>
      <c r="C8" s="267" t="s">
        <v>115</v>
      </c>
      <c r="D8" s="86" t="s">
        <v>134</v>
      </c>
      <c r="H8" s="100" t="s">
        <v>92</v>
      </c>
      <c r="I8" s="101">
        <v>49</v>
      </c>
      <c r="J8" s="270">
        <f t="shared" si="0"/>
        <v>0.12564102564102564</v>
      </c>
      <c r="L8" s="267" t="s">
        <v>115</v>
      </c>
      <c r="M8" s="86" t="s">
        <v>134</v>
      </c>
      <c r="Q8" s="100" t="s">
        <v>92</v>
      </c>
      <c r="R8" s="384">
        <v>52</v>
      </c>
      <c r="S8" s="270">
        <f t="shared" si="1"/>
        <v>0.13333333333333333</v>
      </c>
    </row>
    <row r="9" spans="1:19" ht="15.75" customHeight="1" thickBot="1">
      <c r="A9" s="453"/>
      <c r="B9" s="135"/>
      <c r="C9" s="267" t="s">
        <v>139</v>
      </c>
      <c r="D9" s="48">
        <v>431911</v>
      </c>
      <c r="H9" s="106" t="s">
        <v>140</v>
      </c>
      <c r="I9" s="107">
        <f>SUM(I4:I8)</f>
        <v>390</v>
      </c>
      <c r="J9" s="271">
        <f t="shared" si="0"/>
        <v>1</v>
      </c>
      <c r="L9" s="267" t="s">
        <v>139</v>
      </c>
      <c r="M9" s="382">
        <v>428629</v>
      </c>
      <c r="Q9" s="106" t="s">
        <v>140</v>
      </c>
      <c r="R9" s="385">
        <f>SUM(R4:R8)</f>
        <v>389</v>
      </c>
      <c r="S9" s="271">
        <f t="shared" si="1"/>
        <v>0.99743589743589745</v>
      </c>
    </row>
    <row r="10" spans="1:19" ht="15.75" customHeight="1" thickBot="1">
      <c r="A10" s="453"/>
      <c r="B10" s="135"/>
      <c r="C10" s="267" t="s">
        <v>145</v>
      </c>
      <c r="D10" s="111">
        <v>15.826000000000001</v>
      </c>
      <c r="H10" s="72" t="s">
        <v>146</v>
      </c>
      <c r="I10" s="72"/>
      <c r="J10" s="264"/>
      <c r="L10" s="267" t="s">
        <v>145</v>
      </c>
      <c r="M10" s="111">
        <v>15.826000000000001</v>
      </c>
      <c r="Q10" s="72" t="s">
        <v>146</v>
      </c>
      <c r="R10" s="72"/>
      <c r="S10" s="264"/>
    </row>
    <row r="11" spans="1:19" ht="15" customHeight="1">
      <c r="A11" s="453"/>
      <c r="B11" s="135"/>
      <c r="C11" s="267" t="s">
        <v>152</v>
      </c>
      <c r="D11" s="48">
        <v>689380.56</v>
      </c>
      <c r="F11" s="272"/>
      <c r="H11" s="85" t="s">
        <v>153</v>
      </c>
      <c r="I11" s="45"/>
      <c r="J11" s="273">
        <v>0</v>
      </c>
      <c r="L11" s="267" t="s">
        <v>152</v>
      </c>
      <c r="M11" s="48">
        <v>689380.56</v>
      </c>
      <c r="Q11" s="85" t="s">
        <v>153</v>
      </c>
      <c r="R11" s="45"/>
      <c r="S11" s="273">
        <v>0</v>
      </c>
    </row>
    <row r="12" spans="1:19" ht="15" customHeight="1">
      <c r="A12" s="453"/>
      <c r="B12" s="135"/>
      <c r="C12" s="267" t="s">
        <v>157</v>
      </c>
      <c r="D12" s="48">
        <v>5</v>
      </c>
      <c r="H12" s="85" t="s">
        <v>158</v>
      </c>
      <c r="I12" s="45"/>
      <c r="J12" s="273">
        <v>388</v>
      </c>
      <c r="L12" s="267" t="s">
        <v>157</v>
      </c>
      <c r="M12" s="48">
        <v>5</v>
      </c>
      <c r="Q12" s="85" t="s">
        <v>158</v>
      </c>
      <c r="R12" s="45"/>
      <c r="S12" s="386">
        <v>360</v>
      </c>
    </row>
    <row r="13" spans="1:19" ht="15.75" customHeight="1" thickBot="1">
      <c r="A13" s="453"/>
      <c r="B13" s="135"/>
      <c r="C13" s="274"/>
      <c r="H13" s="85" t="s">
        <v>165</v>
      </c>
      <c r="I13" s="45"/>
      <c r="J13" s="273">
        <v>403</v>
      </c>
      <c r="L13" s="95"/>
      <c r="Q13" s="85" t="s">
        <v>165</v>
      </c>
      <c r="R13" s="45"/>
      <c r="S13" s="386">
        <v>321</v>
      </c>
    </row>
    <row r="14" spans="1:19" ht="15.75" customHeight="1" thickBot="1">
      <c r="A14" s="453"/>
      <c r="B14" s="135"/>
      <c r="C14" s="274"/>
      <c r="E14" s="275" t="s">
        <v>1190</v>
      </c>
      <c r="F14" s="276"/>
      <c r="H14" s="85" t="s">
        <v>171</v>
      </c>
      <c r="I14" s="45"/>
      <c r="J14" s="273">
        <v>16</v>
      </c>
      <c r="L14" s="95"/>
      <c r="Q14" s="85" t="s">
        <v>171</v>
      </c>
      <c r="R14" s="45"/>
      <c r="S14" s="386">
        <v>14</v>
      </c>
    </row>
    <row r="15" spans="1:19" ht="15" customHeight="1">
      <c r="A15" s="453"/>
      <c r="B15" s="135"/>
      <c r="C15" s="277" t="s">
        <v>177</v>
      </c>
      <c r="D15" s="278" t="e">
        <f>J336</f>
        <v>#REF!</v>
      </c>
      <c r="E15" s="279" t="e">
        <f>D15-M15</f>
        <v>#REF!</v>
      </c>
      <c r="F15" s="381" t="e">
        <f>E15/M15</f>
        <v>#REF!</v>
      </c>
      <c r="H15" s="85" t="s">
        <v>176</v>
      </c>
      <c r="I15" s="45"/>
      <c r="J15" s="273">
        <v>0</v>
      </c>
      <c r="L15" s="277" t="s">
        <v>177</v>
      </c>
      <c r="M15" s="280">
        <f>S336</f>
        <v>82742976.584018797</v>
      </c>
      <c r="Q15" s="85" t="s">
        <v>176</v>
      </c>
      <c r="R15" s="45"/>
      <c r="S15" s="386">
        <v>0</v>
      </c>
    </row>
    <row r="16" spans="1:19" ht="15.75" customHeight="1" thickBot="1">
      <c r="A16" s="453"/>
      <c r="B16" s="135"/>
      <c r="C16" s="281" t="s">
        <v>184</v>
      </c>
      <c r="D16" s="282" t="e">
        <f>D15/I9</f>
        <v>#REF!</v>
      </c>
      <c r="E16" s="279" t="e">
        <f>D16-M16</f>
        <v>#REF!</v>
      </c>
      <c r="F16" s="283"/>
      <c r="H16" s="85" t="s">
        <v>183</v>
      </c>
      <c r="I16" s="45"/>
      <c r="J16" s="273">
        <v>807</v>
      </c>
      <c r="L16" s="281" t="s">
        <v>184</v>
      </c>
      <c r="M16" s="284">
        <f>M15/R9</f>
        <v>212706.88067871155</v>
      </c>
      <c r="Q16" s="85" t="s">
        <v>183</v>
      </c>
      <c r="R16" s="45"/>
      <c r="S16" s="386">
        <v>681</v>
      </c>
    </row>
    <row r="17" spans="1:25" ht="15.75" customHeight="1" thickBot="1">
      <c r="A17" s="453"/>
      <c r="B17" s="135"/>
      <c r="C17" s="285" t="s">
        <v>190</v>
      </c>
      <c r="D17" s="286" t="e">
        <f>D15/D9</f>
        <v>#REF!</v>
      </c>
      <c r="E17" s="287" t="e">
        <f>D17-M17</f>
        <v>#REF!</v>
      </c>
      <c r="F17" s="288"/>
      <c r="H17" s="129" t="s">
        <v>189</v>
      </c>
      <c r="I17" s="130"/>
      <c r="J17" s="289">
        <v>2.0692307692307694</v>
      </c>
      <c r="L17" s="285" t="s">
        <v>190</v>
      </c>
      <c r="M17" s="290">
        <f>M15/M9</f>
        <v>193.04101351989436</v>
      </c>
      <c r="Q17" s="129" t="s">
        <v>189</v>
      </c>
      <c r="R17" s="130"/>
      <c r="S17" s="387">
        <v>1.79</v>
      </c>
      <c r="U17" s="291" t="s">
        <v>1022</v>
      </c>
      <c r="W17" s="291" t="s">
        <v>1022</v>
      </c>
    </row>
    <row r="18" spans="1:25" ht="15.75" customHeight="1" thickBot="1">
      <c r="A18" s="452" t="s">
        <v>1018</v>
      </c>
      <c r="B18" s="135"/>
      <c r="C18" s="292"/>
      <c r="D18" s="293"/>
      <c r="E18" s="138"/>
      <c r="F18" s="138"/>
      <c r="G18" s="138"/>
      <c r="H18" s="294"/>
      <c r="I18" s="294"/>
      <c r="J18" s="295"/>
      <c r="L18" s="137"/>
      <c r="M18" s="138"/>
      <c r="N18" s="138"/>
      <c r="O18" s="138"/>
      <c r="P18" s="138"/>
      <c r="Q18" s="138"/>
      <c r="R18" s="138"/>
      <c r="S18" s="139"/>
      <c r="U18" s="296">
        <v>75000</v>
      </c>
      <c r="W18" s="297">
        <v>0.05</v>
      </c>
    </row>
    <row r="19" spans="1:25" ht="15" thickBot="1">
      <c r="A19" s="298" t="s">
        <v>202</v>
      </c>
      <c r="B19" s="135"/>
      <c r="C19" s="364" t="s">
        <v>206</v>
      </c>
      <c r="D19" s="365" t="s">
        <v>1175</v>
      </c>
      <c r="E19" s="365" t="s">
        <v>208</v>
      </c>
      <c r="F19" s="365" t="s">
        <v>1191</v>
      </c>
      <c r="G19" s="366" t="s">
        <v>85</v>
      </c>
      <c r="H19" s="365" t="s">
        <v>1192</v>
      </c>
      <c r="I19" s="365" t="s">
        <v>212</v>
      </c>
      <c r="J19" s="367" t="s">
        <v>119</v>
      </c>
      <c r="L19" s="299" t="s">
        <v>206</v>
      </c>
      <c r="M19" s="300" t="s">
        <v>1175</v>
      </c>
      <c r="N19" s="300" t="s">
        <v>208</v>
      </c>
      <c r="O19" s="300" t="s">
        <v>1191</v>
      </c>
      <c r="P19" s="301" t="s">
        <v>85</v>
      </c>
      <c r="Q19" s="300" t="s">
        <v>1192</v>
      </c>
      <c r="R19" s="300" t="s">
        <v>212</v>
      </c>
      <c r="S19" s="302" t="s">
        <v>119</v>
      </c>
      <c r="U19" s="303" t="s">
        <v>1023</v>
      </c>
      <c r="W19" s="303" t="s">
        <v>1024</v>
      </c>
      <c r="Y19" s="304" t="s">
        <v>1193</v>
      </c>
    </row>
    <row r="20" spans="1:25">
      <c r="A20" s="305" t="s">
        <v>214</v>
      </c>
      <c r="B20" s="135"/>
      <c r="C20" s="306"/>
      <c r="D20" s="143"/>
      <c r="E20" s="143"/>
      <c r="F20" s="144"/>
      <c r="G20" s="145"/>
      <c r="H20" s="146"/>
      <c r="I20" s="146"/>
      <c r="J20" s="307">
        <f>'Level 1'!L20</f>
        <v>4240149</v>
      </c>
      <c r="L20" s="306"/>
      <c r="M20" s="143"/>
      <c r="N20" s="143"/>
      <c r="O20" s="144"/>
      <c r="P20" s="145"/>
      <c r="Q20" s="146"/>
      <c r="R20" s="146"/>
      <c r="S20" s="307">
        <v>3987932</v>
      </c>
      <c r="U20" s="308">
        <f>J20-S20</f>
        <v>252217</v>
      </c>
      <c r="W20" s="309">
        <f>IF(S20=0,0,U20/S20)</f>
        <v>6.3245060347067103E-2</v>
      </c>
      <c r="Y20" s="310"/>
    </row>
    <row r="21" spans="1:25">
      <c r="A21" s="311" t="s">
        <v>1194</v>
      </c>
      <c r="B21" s="135"/>
      <c r="C21" s="312">
        <f>'Level 1'!E21</f>
        <v>0</v>
      </c>
      <c r="D21" s="60" t="str">
        <f>'Level 1'!F21</f>
        <v>Mo</v>
      </c>
      <c r="E21" s="62">
        <f>'Level 1'!G21</f>
        <v>26</v>
      </c>
      <c r="F21" s="195">
        <f>'Level 1'!H21</f>
        <v>163082.65384615384</v>
      </c>
      <c r="G21" s="148">
        <f>'Level 1'!I21</f>
        <v>0</v>
      </c>
      <c r="H21" s="149">
        <f>'Level 1'!J21</f>
        <v>163082.65384615384</v>
      </c>
      <c r="I21" s="150">
        <f>'Level 1'!K21</f>
        <v>4240149</v>
      </c>
      <c r="J21" s="96"/>
      <c r="L21" s="312"/>
      <c r="M21" s="60"/>
      <c r="N21" s="62"/>
      <c r="O21" s="147"/>
      <c r="P21" s="148"/>
      <c r="Q21" s="149"/>
      <c r="R21" s="150">
        <v>3987932</v>
      </c>
      <c r="S21" s="96"/>
      <c r="U21" s="296">
        <f>I21-R21</f>
        <v>252217</v>
      </c>
      <c r="W21" s="297">
        <f>U21/R21</f>
        <v>6.3245060347067103E-2</v>
      </c>
      <c r="Y21" s="313"/>
    </row>
    <row r="22" spans="1:25">
      <c r="A22" s="314" t="s">
        <v>219</v>
      </c>
      <c r="B22" s="135"/>
      <c r="C22" s="315"/>
      <c r="D22" s="151"/>
      <c r="E22" s="152"/>
      <c r="F22" s="153"/>
      <c r="G22" s="154"/>
      <c r="H22" s="155"/>
      <c r="I22" s="156"/>
      <c r="J22" s="316">
        <f>'Level 1'!L22</f>
        <v>12000</v>
      </c>
      <c r="L22" s="315"/>
      <c r="M22" s="151"/>
      <c r="N22" s="152"/>
      <c r="O22" s="153"/>
      <c r="P22" s="154"/>
      <c r="Q22" s="155"/>
      <c r="R22" s="156"/>
      <c r="S22" s="316">
        <v>10000</v>
      </c>
      <c r="U22" s="317">
        <f>J22-S22</f>
        <v>2000</v>
      </c>
      <c r="W22" s="318">
        <f>IF(S22=0,0,U22/S22)</f>
        <v>0.2</v>
      </c>
      <c r="Y22" s="313"/>
    </row>
    <row r="23" spans="1:25">
      <c r="A23" s="319" t="s">
        <v>221</v>
      </c>
      <c r="B23" s="135"/>
      <c r="C23" s="320" t="str">
        <f>'Level 1'!E23</f>
        <v>Allowance</v>
      </c>
      <c r="D23" s="65">
        <f>'Level 1'!F23</f>
        <v>0</v>
      </c>
      <c r="E23" s="43">
        <f>'Level 1'!G23</f>
        <v>1</v>
      </c>
      <c r="F23" s="64">
        <f>'Level 1'!H23</f>
        <v>12000</v>
      </c>
      <c r="G23" s="157">
        <f>'Level 1'!I23</f>
        <v>0</v>
      </c>
      <c r="H23" s="158">
        <f>'Level 1'!J23</f>
        <v>12000</v>
      </c>
      <c r="I23" s="159">
        <f>'Level 1'!K23</f>
        <v>12000</v>
      </c>
      <c r="J23" s="96"/>
      <c r="L23" s="320"/>
      <c r="M23" s="65"/>
      <c r="N23" s="43"/>
      <c r="O23" s="64"/>
      <c r="P23" s="157"/>
      <c r="Q23" s="158"/>
      <c r="R23" s="159">
        <v>10000</v>
      </c>
      <c r="S23" s="96"/>
      <c r="U23" s="296">
        <f>I23-R23</f>
        <v>2000</v>
      </c>
      <c r="W23" s="297">
        <f>IF(R23=0,0,U23/R23)</f>
        <v>0.2</v>
      </c>
      <c r="Y23" s="313"/>
    </row>
    <row r="24" spans="1:25">
      <c r="A24" s="314" t="s">
        <v>224</v>
      </c>
      <c r="B24" s="135"/>
      <c r="C24" s="315"/>
      <c r="D24" s="151"/>
      <c r="E24" s="152"/>
      <c r="F24" s="153"/>
      <c r="G24" s="154"/>
      <c r="H24" s="155"/>
      <c r="I24" s="156"/>
      <c r="J24" s="316">
        <f>'Level 1'!L24</f>
        <v>2934605.2</v>
      </c>
      <c r="L24" s="315"/>
      <c r="M24" s="151"/>
      <c r="N24" s="152"/>
      <c r="O24" s="153"/>
      <c r="P24" s="154"/>
      <c r="Q24" s="155"/>
      <c r="R24" s="156"/>
      <c r="S24" s="316">
        <v>2940364.46</v>
      </c>
      <c r="U24" s="317">
        <f>J24-S24</f>
        <v>-5759.2599999997765</v>
      </c>
      <c r="W24" s="318">
        <f>IF(S24=0,0,U24/S24)</f>
        <v>-1.9586891619550375E-3</v>
      </c>
      <c r="Y24" s="313"/>
    </row>
    <row r="25" spans="1:25">
      <c r="A25" s="321" t="s">
        <v>226</v>
      </c>
      <c r="B25" s="135"/>
      <c r="C25" s="322" t="str">
        <f>'Level 1'!E25</f>
        <v>Torrey Pines</v>
      </c>
      <c r="D25" s="47" t="str">
        <f>'Level 1'!F25</f>
        <v>SF</v>
      </c>
      <c r="E25" s="42">
        <f>'Level 1'!G25</f>
        <v>172112</v>
      </c>
      <c r="F25" s="61">
        <f>'Level 1'!H25</f>
        <v>11.99</v>
      </c>
      <c r="G25" s="63">
        <f>'Level 1'!I25</f>
        <v>0</v>
      </c>
      <c r="H25" s="66">
        <f>'Level 1'!J25</f>
        <v>11.99</v>
      </c>
      <c r="I25" s="67">
        <f>'Level 1'!K25</f>
        <v>2063622.8800000001</v>
      </c>
      <c r="J25" s="96"/>
      <c r="L25" s="322"/>
      <c r="M25" s="47"/>
      <c r="N25" s="42"/>
      <c r="O25" s="61"/>
      <c r="P25" s="63"/>
      <c r="Q25" s="66"/>
      <c r="R25" s="67">
        <v>1934557.66</v>
      </c>
      <c r="S25" s="96"/>
      <c r="U25" s="296">
        <f t="shared" ref="U25:U88" si="2">I25-R25</f>
        <v>129065.2200000002</v>
      </c>
      <c r="W25" s="297">
        <f t="shared" ref="W25:W34" si="3">IF(R25=0,0,U25/R25)</f>
        <v>6.6715623250019965E-2</v>
      </c>
      <c r="Y25" s="313" t="s">
        <v>1195</v>
      </c>
    </row>
    <row r="26" spans="1:25">
      <c r="A26" s="323" t="s">
        <v>230</v>
      </c>
      <c r="B26" s="135"/>
      <c r="C26" s="324" t="str">
        <f>'Level 1'!E26</f>
        <v>N/A</v>
      </c>
      <c r="D26" s="40">
        <f>'Level 1'!F26</f>
        <v>0</v>
      </c>
      <c r="E26" s="38">
        <f>'Level 1'!G26</f>
        <v>0</v>
      </c>
      <c r="F26" s="51">
        <f>'Level 1'!H26</f>
        <v>0</v>
      </c>
      <c r="G26" s="53">
        <f>'Level 1'!I26</f>
        <v>0</v>
      </c>
      <c r="H26" s="160">
        <f>'Level 1'!J26</f>
        <v>0</v>
      </c>
      <c r="I26" s="67">
        <f>'Level 1'!K26</f>
        <v>0</v>
      </c>
      <c r="J26" s="96"/>
      <c r="L26" s="324"/>
      <c r="M26" s="40"/>
      <c r="N26" s="38"/>
      <c r="O26" s="51"/>
      <c r="P26" s="53"/>
      <c r="Q26" s="160"/>
      <c r="R26" s="67">
        <v>0</v>
      </c>
      <c r="S26" s="96"/>
      <c r="U26" s="296">
        <f t="shared" si="2"/>
        <v>0</v>
      </c>
      <c r="W26" s="297">
        <f t="shared" si="3"/>
        <v>0</v>
      </c>
      <c r="Y26" s="313"/>
    </row>
    <row r="27" spans="1:25">
      <c r="A27" s="323" t="s">
        <v>232</v>
      </c>
      <c r="B27" s="135"/>
      <c r="C27" s="312" t="str">
        <f>'Level 1'!E27</f>
        <v>Allowance</v>
      </c>
      <c r="D27" s="40" t="str">
        <f>'Level 1'!F27</f>
        <v>LS</v>
      </c>
      <c r="E27" s="38">
        <f>'Level 1'!G27</f>
        <v>1</v>
      </c>
      <c r="F27" s="51">
        <f>'Level 1'!H27</f>
        <v>7500</v>
      </c>
      <c r="G27" s="53">
        <f>'Level 1'!I27</f>
        <v>0</v>
      </c>
      <c r="H27" s="160">
        <f>'Level 1'!J27</f>
        <v>7500</v>
      </c>
      <c r="I27" s="67">
        <f>'Level 1'!K27</f>
        <v>7500</v>
      </c>
      <c r="J27" s="96"/>
      <c r="L27" s="312"/>
      <c r="M27" s="40"/>
      <c r="N27" s="38"/>
      <c r="O27" s="51"/>
      <c r="P27" s="53"/>
      <c r="Q27" s="160"/>
      <c r="R27" s="67">
        <v>2500</v>
      </c>
      <c r="S27" s="96"/>
      <c r="U27" s="296">
        <f t="shared" si="2"/>
        <v>5000</v>
      </c>
      <c r="W27" s="297">
        <f t="shared" si="3"/>
        <v>2</v>
      </c>
      <c r="Y27" s="313"/>
    </row>
    <row r="28" spans="1:25">
      <c r="A28" s="323" t="s">
        <v>234</v>
      </c>
      <c r="B28" s="135"/>
      <c r="C28" s="324" t="str">
        <f>'Level 1'!E28</f>
        <v>Torrey Pines</v>
      </c>
      <c r="D28" s="60" t="str">
        <f>'Level 1'!F28</f>
        <v>SF</v>
      </c>
      <c r="E28" s="62">
        <f>'Level 1'!G28</f>
        <v>300</v>
      </c>
      <c r="F28" s="51">
        <f>'Level 1'!H28</f>
        <v>11.99</v>
      </c>
      <c r="G28" s="53">
        <f>'Level 1'!I28</f>
        <v>0</v>
      </c>
      <c r="H28" s="160">
        <f>'Level 1'!J28</f>
        <v>11.99</v>
      </c>
      <c r="I28" s="67">
        <f>'Level 1'!K28</f>
        <v>3597</v>
      </c>
      <c r="J28" s="96"/>
      <c r="L28" s="324"/>
      <c r="M28" s="60"/>
      <c r="N28" s="62"/>
      <c r="O28" s="51"/>
      <c r="P28" s="53"/>
      <c r="Q28" s="160"/>
      <c r="R28" s="67">
        <v>6310</v>
      </c>
      <c r="S28" s="96"/>
      <c r="U28" s="296">
        <f t="shared" si="2"/>
        <v>-2713</v>
      </c>
      <c r="W28" s="297">
        <f t="shared" si="3"/>
        <v>-0.42995245641838353</v>
      </c>
      <c r="Y28" s="313"/>
    </row>
    <row r="29" spans="1:25">
      <c r="A29" s="323" t="s">
        <v>236</v>
      </c>
      <c r="B29" s="135"/>
      <c r="C29" s="324" t="str">
        <f>'Level 1'!E29</f>
        <v>Torrey Pines</v>
      </c>
      <c r="D29" s="40" t="str">
        <f>'Level 1'!F29</f>
        <v>Count</v>
      </c>
      <c r="E29" s="38">
        <f>'Level 1'!G29</f>
        <v>14</v>
      </c>
      <c r="F29" s="51">
        <f>'Level 1'!H29</f>
        <v>2757.75</v>
      </c>
      <c r="G29" s="53">
        <f>'Level 1'!I29</f>
        <v>0</v>
      </c>
      <c r="H29" s="160">
        <f>'Level 1'!J29</f>
        <v>2757.75</v>
      </c>
      <c r="I29" s="67">
        <f>'Level 1'!K29</f>
        <v>38608.5</v>
      </c>
      <c r="J29" s="96"/>
      <c r="L29" s="324"/>
      <c r="M29" s="40"/>
      <c r="N29" s="38"/>
      <c r="O29" s="51"/>
      <c r="P29" s="53"/>
      <c r="Q29" s="160"/>
      <c r="R29" s="67">
        <v>32376</v>
      </c>
      <c r="S29" s="96"/>
      <c r="U29" s="296">
        <f t="shared" si="2"/>
        <v>6232.5</v>
      </c>
      <c r="W29" s="297">
        <f t="shared" si="3"/>
        <v>0.19250370644922166</v>
      </c>
      <c r="Y29" s="313"/>
    </row>
    <row r="30" spans="1:25">
      <c r="A30" s="323" t="s">
        <v>240</v>
      </c>
      <c r="B30" s="135"/>
      <c r="C30" s="324" t="str">
        <f>'Level 1'!E30</f>
        <v>Torrey Pines</v>
      </c>
      <c r="D30" s="40" t="str">
        <f>'Level 1'!F30</f>
        <v>LS</v>
      </c>
      <c r="E30" s="38">
        <f>'Level 1'!G30</f>
        <v>1</v>
      </c>
      <c r="F30" s="51">
        <f>'Level 1'!H30</f>
        <v>2500</v>
      </c>
      <c r="G30" s="53">
        <f>'Level 1'!I30</f>
        <v>0</v>
      </c>
      <c r="H30" s="160">
        <f>'Level 1'!J30</f>
        <v>2500</v>
      </c>
      <c r="I30" s="67">
        <f>'Level 1'!K30</f>
        <v>2500</v>
      </c>
      <c r="J30" s="96"/>
      <c r="L30" s="324"/>
      <c r="M30" s="40"/>
      <c r="N30" s="38"/>
      <c r="O30" s="51"/>
      <c r="P30" s="53"/>
      <c r="Q30" s="160"/>
      <c r="R30" s="67">
        <v>5000</v>
      </c>
      <c r="S30" s="96"/>
      <c r="U30" s="296">
        <f t="shared" si="2"/>
        <v>-2500</v>
      </c>
      <c r="W30" s="297">
        <f t="shared" si="3"/>
        <v>-0.5</v>
      </c>
      <c r="Y30" s="313"/>
    </row>
    <row r="31" spans="1:25">
      <c r="A31" s="323" t="s">
        <v>243</v>
      </c>
      <c r="B31" s="135"/>
      <c r="C31" s="324" t="str">
        <f>'Level 1'!E31</f>
        <v>N/A</v>
      </c>
      <c r="D31" s="40">
        <f>'Level 1'!F31</f>
        <v>0</v>
      </c>
      <c r="E31" s="38">
        <f>'Level 1'!G31</f>
        <v>0</v>
      </c>
      <c r="F31" s="51">
        <f>'Level 1'!H31</f>
        <v>0</v>
      </c>
      <c r="G31" s="53">
        <f>'Level 1'!I31</f>
        <v>0</v>
      </c>
      <c r="H31" s="160">
        <f>'Level 1'!J31</f>
        <v>0</v>
      </c>
      <c r="I31" s="67">
        <f>'Level 1'!K31</f>
        <v>0</v>
      </c>
      <c r="J31" s="96"/>
      <c r="L31" s="324"/>
      <c r="M31" s="40"/>
      <c r="N31" s="38"/>
      <c r="O31" s="51"/>
      <c r="P31" s="53"/>
      <c r="Q31" s="160"/>
      <c r="R31" s="67">
        <v>0</v>
      </c>
      <c r="S31" s="96"/>
      <c r="U31" s="296">
        <f t="shared" si="2"/>
        <v>0</v>
      </c>
      <c r="W31" s="297">
        <f t="shared" si="3"/>
        <v>0</v>
      </c>
      <c r="Y31" s="313"/>
    </row>
    <row r="32" spans="1:25">
      <c r="A32" s="323" t="s">
        <v>248</v>
      </c>
      <c r="B32" s="135"/>
      <c r="C32" s="324" t="str">
        <f>'Level 1'!E32</f>
        <v>N/A</v>
      </c>
      <c r="D32" s="40">
        <f>'Level 1'!F32</f>
        <v>0</v>
      </c>
      <c r="E32" s="38">
        <f>'Level 1'!G32</f>
        <v>0</v>
      </c>
      <c r="F32" s="51">
        <f>'Level 1'!H32</f>
        <v>0</v>
      </c>
      <c r="G32" s="53">
        <f>'Level 1'!I32</f>
        <v>0</v>
      </c>
      <c r="H32" s="160">
        <f>'Level 1'!J32</f>
        <v>0</v>
      </c>
      <c r="I32" s="67">
        <f>'Level 1'!K32</f>
        <v>0</v>
      </c>
      <c r="J32" s="96"/>
      <c r="L32" s="324"/>
      <c r="M32" s="40"/>
      <c r="N32" s="38"/>
      <c r="O32" s="51"/>
      <c r="P32" s="53"/>
      <c r="Q32" s="160"/>
      <c r="R32" s="67">
        <v>0</v>
      </c>
      <c r="S32" s="96"/>
      <c r="U32" s="296">
        <f t="shared" si="2"/>
        <v>0</v>
      </c>
      <c r="W32" s="297">
        <f t="shared" si="3"/>
        <v>0</v>
      </c>
      <c r="Y32" s="313"/>
    </row>
    <row r="33" spans="1:25">
      <c r="A33" s="323" t="s">
        <v>252</v>
      </c>
      <c r="B33" s="135"/>
      <c r="C33" s="324" t="str">
        <f>'Level 1'!E33</f>
        <v>Torrey Pines</v>
      </c>
      <c r="D33" s="40" t="str">
        <f>'Level 1'!F33</f>
        <v>SF</v>
      </c>
      <c r="E33" s="38">
        <f>'Level 1'!G33</f>
        <v>256531</v>
      </c>
      <c r="F33" s="51">
        <f>'Level 1'!H33</f>
        <v>2.94</v>
      </c>
      <c r="G33" s="53">
        <f>'Level 1'!I33</f>
        <v>0</v>
      </c>
      <c r="H33" s="160">
        <f>'Level 1'!J33</f>
        <v>2.94</v>
      </c>
      <c r="I33" s="67">
        <f>'Level 1'!K33</f>
        <v>754201.14</v>
      </c>
      <c r="J33" s="96"/>
      <c r="L33" s="324"/>
      <c r="M33" s="40"/>
      <c r="N33" s="38"/>
      <c r="O33" s="51"/>
      <c r="P33" s="53"/>
      <c r="Q33" s="160"/>
      <c r="R33" s="67">
        <v>724351.4</v>
      </c>
      <c r="S33" s="96"/>
      <c r="U33" s="296">
        <f t="shared" si="2"/>
        <v>29849.739999999991</v>
      </c>
      <c r="W33" s="297">
        <f t="shared" si="3"/>
        <v>4.1208921526209502E-2</v>
      </c>
      <c r="Y33" s="313"/>
    </row>
    <row r="34" spans="1:25">
      <c r="A34" s="325" t="s">
        <v>256</v>
      </c>
      <c r="B34" s="135"/>
      <c r="C34" s="326" t="str">
        <f>'Level 1'!E34</f>
        <v>Torrey Pines</v>
      </c>
      <c r="D34" s="166" t="str">
        <f>'Level 1'!F34</f>
        <v>SF</v>
      </c>
      <c r="E34" s="39">
        <f>'Level 1'!G34</f>
        <v>3268</v>
      </c>
      <c r="F34" s="167">
        <f>'Level 1'!H34</f>
        <v>19.760000000000002</v>
      </c>
      <c r="G34" s="168">
        <f>'Level 1'!I34</f>
        <v>0</v>
      </c>
      <c r="H34" s="169">
        <f>'Level 1'!J34</f>
        <v>19.760000000000002</v>
      </c>
      <c r="I34" s="159">
        <f>'Level 1'!K34</f>
        <v>64575.680000000008</v>
      </c>
      <c r="J34" s="327"/>
      <c r="L34" s="326"/>
      <c r="M34" s="166"/>
      <c r="N34" s="39"/>
      <c r="O34" s="167"/>
      <c r="P34" s="168"/>
      <c r="Q34" s="169"/>
      <c r="R34" s="159">
        <v>235269.40000000002</v>
      </c>
      <c r="S34" s="327"/>
      <c r="U34" s="328">
        <f t="shared" si="2"/>
        <v>-170693.72000000003</v>
      </c>
      <c r="W34" s="329">
        <f t="shared" si="3"/>
        <v>-0.72552452635149323</v>
      </c>
      <c r="Y34" s="313" t="s">
        <v>1196</v>
      </c>
    </row>
    <row r="35" spans="1:25">
      <c r="A35" s="314" t="s">
        <v>259</v>
      </c>
      <c r="B35" s="135"/>
      <c r="C35" s="315"/>
      <c r="D35" s="151"/>
      <c r="E35" s="152"/>
      <c r="F35" s="153"/>
      <c r="G35" s="154"/>
      <c r="H35" s="155"/>
      <c r="I35" s="156"/>
      <c r="J35" s="316">
        <f>'[85]LEVEL 2 BUDGET'!L35</f>
        <v>0</v>
      </c>
      <c r="L35" s="315"/>
      <c r="M35" s="151"/>
      <c r="N35" s="152"/>
      <c r="O35" s="153"/>
      <c r="P35" s="154"/>
      <c r="Q35" s="155"/>
      <c r="R35" s="156"/>
      <c r="S35" s="316">
        <v>0</v>
      </c>
      <c r="U35" s="317">
        <f>J35-S35</f>
        <v>0</v>
      </c>
      <c r="W35" s="318">
        <f>IF(S35=0,0,U35/S35)</f>
        <v>0</v>
      </c>
      <c r="Y35" s="313"/>
    </row>
    <row r="36" spans="1:25">
      <c r="A36" s="321" t="s">
        <v>261</v>
      </c>
      <c r="B36" s="135"/>
      <c r="C36" s="322" t="s">
        <v>231</v>
      </c>
      <c r="D36" s="47">
        <f>'[85]LEVEL 2 BUDGET'!F36</f>
        <v>0</v>
      </c>
      <c r="E36" s="42">
        <f>'[85]LEVEL 2 BUDGET'!G36</f>
        <v>0</v>
      </c>
      <c r="F36" s="61">
        <f>'[85]LEVEL 2 BUDGET'!H36</f>
        <v>0</v>
      </c>
      <c r="G36" s="63">
        <f>'[85]LEVEL 2 BUDGET'!I36</f>
        <v>0</v>
      </c>
      <c r="H36" s="66">
        <f>'[85]LEVEL 2 BUDGET'!J36</f>
        <v>0</v>
      </c>
      <c r="I36" s="67">
        <f>'[85]LEVEL 2 BUDGET'!K36</f>
        <v>0</v>
      </c>
      <c r="J36" s="96"/>
      <c r="L36" s="322"/>
      <c r="M36" s="47"/>
      <c r="N36" s="42"/>
      <c r="O36" s="61"/>
      <c r="P36" s="63"/>
      <c r="Q36" s="66"/>
      <c r="R36" s="67">
        <v>0</v>
      </c>
      <c r="S36" s="96"/>
      <c r="U36" s="296">
        <f t="shared" si="2"/>
        <v>0</v>
      </c>
      <c r="W36" s="297">
        <f t="shared" ref="W36:W43" si="4">IF(R36=0,0,U36/R36)</f>
        <v>0</v>
      </c>
      <c r="Y36" s="313"/>
    </row>
    <row r="37" spans="1:25">
      <c r="A37" s="323" t="s">
        <v>262</v>
      </c>
      <c r="B37" s="135"/>
      <c r="C37" s="324" t="s">
        <v>231</v>
      </c>
      <c r="D37" s="40">
        <f>'[85]LEVEL 2 BUDGET'!F37</f>
        <v>0</v>
      </c>
      <c r="E37" s="38">
        <f>'[85]LEVEL 2 BUDGET'!G37</f>
        <v>0</v>
      </c>
      <c r="F37" s="51">
        <f>'[85]LEVEL 2 BUDGET'!H37</f>
        <v>0</v>
      </c>
      <c r="G37" s="53">
        <f>'[85]LEVEL 2 BUDGET'!I37</f>
        <v>0</v>
      </c>
      <c r="H37" s="160">
        <f>'[85]LEVEL 2 BUDGET'!J37</f>
        <v>0</v>
      </c>
      <c r="I37" s="67">
        <f>'[85]LEVEL 2 BUDGET'!K37</f>
        <v>0</v>
      </c>
      <c r="J37" s="96"/>
      <c r="L37" s="324"/>
      <c r="M37" s="40"/>
      <c r="N37" s="38"/>
      <c r="O37" s="51"/>
      <c r="P37" s="53"/>
      <c r="Q37" s="160"/>
      <c r="R37" s="67">
        <v>0</v>
      </c>
      <c r="S37" s="96"/>
      <c r="U37" s="296">
        <f t="shared" si="2"/>
        <v>0</v>
      </c>
      <c r="W37" s="297">
        <f t="shared" si="4"/>
        <v>0</v>
      </c>
      <c r="Y37" s="313"/>
    </row>
    <row r="38" spans="1:25">
      <c r="A38" s="323" t="s">
        <v>263</v>
      </c>
      <c r="B38" s="135"/>
      <c r="C38" s="324" t="s">
        <v>231</v>
      </c>
      <c r="D38" s="40">
        <f>'[85]LEVEL 2 BUDGET'!F38</f>
        <v>0</v>
      </c>
      <c r="E38" s="38">
        <f>'[85]LEVEL 2 BUDGET'!G38</f>
        <v>0</v>
      </c>
      <c r="F38" s="51">
        <f>'[85]LEVEL 2 BUDGET'!H38</f>
        <v>0</v>
      </c>
      <c r="G38" s="53">
        <f>'[85]LEVEL 2 BUDGET'!I38</f>
        <v>0</v>
      </c>
      <c r="H38" s="160">
        <f>'[85]LEVEL 2 BUDGET'!J38</f>
        <v>0</v>
      </c>
      <c r="I38" s="67">
        <f>'[85]LEVEL 2 BUDGET'!K38</f>
        <v>0</v>
      </c>
      <c r="J38" s="96"/>
      <c r="L38" s="324"/>
      <c r="M38" s="40"/>
      <c r="N38" s="38"/>
      <c r="O38" s="51"/>
      <c r="P38" s="53"/>
      <c r="Q38" s="160"/>
      <c r="R38" s="67">
        <v>0</v>
      </c>
      <c r="S38" s="96"/>
      <c r="U38" s="296">
        <f t="shared" si="2"/>
        <v>0</v>
      </c>
      <c r="W38" s="297">
        <f t="shared" si="4"/>
        <v>0</v>
      </c>
      <c r="Y38" s="313"/>
    </row>
    <row r="39" spans="1:25">
      <c r="A39" s="323" t="s">
        <v>264</v>
      </c>
      <c r="B39" s="135"/>
      <c r="C39" s="324" t="s">
        <v>231</v>
      </c>
      <c r="D39" s="40">
        <f>'[85]LEVEL 2 BUDGET'!F39</f>
        <v>0</v>
      </c>
      <c r="E39" s="38">
        <f>'[85]LEVEL 2 BUDGET'!G39</f>
        <v>0</v>
      </c>
      <c r="F39" s="51">
        <f>'[85]LEVEL 2 BUDGET'!H39</f>
        <v>0</v>
      </c>
      <c r="G39" s="53">
        <f>'[85]LEVEL 2 BUDGET'!I39</f>
        <v>0</v>
      </c>
      <c r="H39" s="160">
        <f>'[85]LEVEL 2 BUDGET'!J39</f>
        <v>0</v>
      </c>
      <c r="I39" s="67">
        <f>'[85]LEVEL 2 BUDGET'!K39</f>
        <v>0</v>
      </c>
      <c r="J39" s="96"/>
      <c r="L39" s="324"/>
      <c r="M39" s="40"/>
      <c r="N39" s="38"/>
      <c r="O39" s="51"/>
      <c r="P39" s="53"/>
      <c r="Q39" s="160"/>
      <c r="R39" s="67">
        <v>0</v>
      </c>
      <c r="S39" s="96"/>
      <c r="U39" s="296">
        <f t="shared" si="2"/>
        <v>0</v>
      </c>
      <c r="W39" s="297">
        <f t="shared" si="4"/>
        <v>0</v>
      </c>
      <c r="Y39" s="313"/>
    </row>
    <row r="40" spans="1:25">
      <c r="A40" s="323" t="s">
        <v>265</v>
      </c>
      <c r="B40" s="135"/>
      <c r="C40" s="324" t="s">
        <v>231</v>
      </c>
      <c r="D40" s="40">
        <f>'[85]LEVEL 2 BUDGET'!F40</f>
        <v>0</v>
      </c>
      <c r="E40" s="38">
        <f>'[85]LEVEL 2 BUDGET'!G40</f>
        <v>0</v>
      </c>
      <c r="F40" s="51">
        <f>'[85]LEVEL 2 BUDGET'!H40</f>
        <v>0</v>
      </c>
      <c r="G40" s="53">
        <f>'[85]LEVEL 2 BUDGET'!I40</f>
        <v>0</v>
      </c>
      <c r="H40" s="160">
        <f>'[85]LEVEL 2 BUDGET'!J40</f>
        <v>0</v>
      </c>
      <c r="I40" s="67">
        <f>'[85]LEVEL 2 BUDGET'!K40</f>
        <v>0</v>
      </c>
      <c r="J40" s="96"/>
      <c r="L40" s="324"/>
      <c r="M40" s="40"/>
      <c r="N40" s="38"/>
      <c r="O40" s="51"/>
      <c r="P40" s="53"/>
      <c r="Q40" s="160"/>
      <c r="R40" s="67">
        <v>0</v>
      </c>
      <c r="S40" s="96"/>
      <c r="U40" s="296">
        <f t="shared" si="2"/>
        <v>0</v>
      </c>
      <c r="W40" s="297">
        <f t="shared" si="4"/>
        <v>0</v>
      </c>
      <c r="Y40" s="313"/>
    </row>
    <row r="41" spans="1:25">
      <c r="A41" s="323" t="s">
        <v>266</v>
      </c>
      <c r="B41" s="135"/>
      <c r="C41" s="324" t="s">
        <v>231</v>
      </c>
      <c r="D41" s="40">
        <f>'[85]LEVEL 2 BUDGET'!F41</f>
        <v>0</v>
      </c>
      <c r="E41" s="38">
        <f>'[85]LEVEL 2 BUDGET'!G41</f>
        <v>0</v>
      </c>
      <c r="F41" s="51">
        <f>'[85]LEVEL 2 BUDGET'!H41</f>
        <v>0</v>
      </c>
      <c r="G41" s="53">
        <f>'[85]LEVEL 2 BUDGET'!I41</f>
        <v>0</v>
      </c>
      <c r="H41" s="160">
        <f>'[85]LEVEL 2 BUDGET'!J41</f>
        <v>0</v>
      </c>
      <c r="I41" s="67">
        <f>'[85]LEVEL 2 BUDGET'!K41</f>
        <v>0</v>
      </c>
      <c r="J41" s="96"/>
      <c r="L41" s="324"/>
      <c r="M41" s="40"/>
      <c r="N41" s="38"/>
      <c r="O41" s="51"/>
      <c r="P41" s="53"/>
      <c r="Q41" s="160"/>
      <c r="R41" s="67">
        <v>0</v>
      </c>
      <c r="S41" s="96"/>
      <c r="U41" s="296">
        <f t="shared" si="2"/>
        <v>0</v>
      </c>
      <c r="W41" s="297">
        <f t="shared" si="4"/>
        <v>0</v>
      </c>
      <c r="Y41" s="313"/>
    </row>
    <row r="42" spans="1:25">
      <c r="A42" s="323" t="s">
        <v>267</v>
      </c>
      <c r="B42" s="135"/>
      <c r="C42" s="324" t="s">
        <v>231</v>
      </c>
      <c r="D42" s="40">
        <f>'[85]LEVEL 2 BUDGET'!F42</f>
        <v>0</v>
      </c>
      <c r="E42" s="38">
        <f>'[85]LEVEL 2 BUDGET'!G42</f>
        <v>0</v>
      </c>
      <c r="F42" s="51">
        <f>'[85]LEVEL 2 BUDGET'!H42</f>
        <v>0</v>
      </c>
      <c r="G42" s="53">
        <f>'[85]LEVEL 2 BUDGET'!I42</f>
        <v>0</v>
      </c>
      <c r="H42" s="160">
        <f>'[85]LEVEL 2 BUDGET'!J42</f>
        <v>0</v>
      </c>
      <c r="I42" s="67">
        <f>'[85]LEVEL 2 BUDGET'!K42</f>
        <v>0</v>
      </c>
      <c r="J42" s="96"/>
      <c r="L42" s="324"/>
      <c r="M42" s="40"/>
      <c r="N42" s="38"/>
      <c r="O42" s="51"/>
      <c r="P42" s="53"/>
      <c r="Q42" s="160"/>
      <c r="R42" s="67">
        <v>0</v>
      </c>
      <c r="S42" s="96"/>
      <c r="U42" s="296">
        <f t="shared" si="2"/>
        <v>0</v>
      </c>
      <c r="W42" s="297">
        <f t="shared" si="4"/>
        <v>0</v>
      </c>
      <c r="Y42" s="313"/>
    </row>
    <row r="43" spans="1:25">
      <c r="A43" s="325" t="s">
        <v>268</v>
      </c>
      <c r="B43" s="135"/>
      <c r="C43" s="326" t="s">
        <v>231</v>
      </c>
      <c r="D43" s="166">
        <f>'[85]LEVEL 2 BUDGET'!F43</f>
        <v>0</v>
      </c>
      <c r="E43" s="39">
        <f>'[85]LEVEL 2 BUDGET'!G43</f>
        <v>0</v>
      </c>
      <c r="F43" s="167">
        <f>'[85]LEVEL 2 BUDGET'!H43</f>
        <v>0</v>
      </c>
      <c r="G43" s="168">
        <f>'[85]LEVEL 2 BUDGET'!I43</f>
        <v>0</v>
      </c>
      <c r="H43" s="169">
        <f>'[85]LEVEL 2 BUDGET'!J43</f>
        <v>0</v>
      </c>
      <c r="I43" s="159">
        <f>'[85]LEVEL 2 BUDGET'!K43</f>
        <v>0</v>
      </c>
      <c r="J43" s="96"/>
      <c r="L43" s="326"/>
      <c r="M43" s="166"/>
      <c r="N43" s="39"/>
      <c r="O43" s="167"/>
      <c r="P43" s="168"/>
      <c r="Q43" s="169"/>
      <c r="R43" s="159">
        <v>0</v>
      </c>
      <c r="S43" s="96"/>
      <c r="U43" s="296">
        <f t="shared" si="2"/>
        <v>0</v>
      </c>
      <c r="W43" s="297">
        <f t="shared" si="4"/>
        <v>0</v>
      </c>
      <c r="Y43" s="313"/>
    </row>
    <row r="44" spans="1:25">
      <c r="A44" s="314" t="s">
        <v>269</v>
      </c>
      <c r="B44" s="135"/>
      <c r="C44" s="315"/>
      <c r="D44" s="151"/>
      <c r="E44" s="152"/>
      <c r="F44" s="153"/>
      <c r="G44" s="154"/>
      <c r="H44" s="153"/>
      <c r="I44" s="172"/>
      <c r="J44" s="316">
        <f>'Level 1'!L44</f>
        <v>246800</v>
      </c>
      <c r="L44" s="315"/>
      <c r="M44" s="151"/>
      <c r="N44" s="152"/>
      <c r="O44" s="153"/>
      <c r="P44" s="154"/>
      <c r="Q44" s="153"/>
      <c r="R44" s="172"/>
      <c r="S44" s="316">
        <v>217200</v>
      </c>
      <c r="U44" s="317">
        <f>J44-S44</f>
        <v>29600</v>
      </c>
      <c r="W44" s="318">
        <f>IF(S44=0,0,U44/S44)</f>
        <v>0.13627992633517497</v>
      </c>
      <c r="Y44" s="313"/>
    </row>
    <row r="45" spans="1:25">
      <c r="A45" s="321" t="s">
        <v>271</v>
      </c>
      <c r="B45" s="135"/>
      <c r="C45" s="322" t="str">
        <f>'Level 1'!E45</f>
        <v>Torrey Pines</v>
      </c>
      <c r="D45" s="47" t="str">
        <f>'Level 1'!F45</f>
        <v>Per Stop</v>
      </c>
      <c r="E45" s="42">
        <f>'Level 1'!G45</f>
        <v>16</v>
      </c>
      <c r="F45" s="61">
        <f>'Level 1'!H45</f>
        <v>9500</v>
      </c>
      <c r="G45" s="63">
        <f>'Level 1'!I45</f>
        <v>0</v>
      </c>
      <c r="H45" s="66">
        <f>'Level 1'!J45</f>
        <v>9500</v>
      </c>
      <c r="I45" s="67">
        <f>'Level 1'!K45</f>
        <v>152000</v>
      </c>
      <c r="J45" s="96"/>
      <c r="L45" s="322"/>
      <c r="M45" s="47"/>
      <c r="N45" s="42"/>
      <c r="O45" s="61"/>
      <c r="P45" s="63"/>
      <c r="Q45" s="66"/>
      <c r="R45" s="67">
        <v>115500.00000000001</v>
      </c>
      <c r="S45" s="96"/>
      <c r="U45" s="296">
        <f t="shared" si="2"/>
        <v>36499.999999999985</v>
      </c>
      <c r="W45" s="297">
        <f t="shared" ref="W45:W49" si="5">IF(R45=0,0,U45/R45)</f>
        <v>0.31601731601731586</v>
      </c>
      <c r="Y45" s="313"/>
    </row>
    <row r="46" spans="1:25">
      <c r="A46" s="323" t="s">
        <v>275</v>
      </c>
      <c r="B46" s="135"/>
      <c r="C46" s="324" t="str">
        <f>'Level 1'!E46</f>
        <v>Torrey Pines</v>
      </c>
      <c r="D46" s="40" t="str">
        <f>'Level 1'!F46</f>
        <v>Count</v>
      </c>
      <c r="E46" s="38">
        <f>'Level 1'!G46</f>
        <v>14</v>
      </c>
      <c r="F46" s="51">
        <f>'Level 1'!H46</f>
        <v>5700</v>
      </c>
      <c r="G46" s="53">
        <f>'Level 1'!I46</f>
        <v>0</v>
      </c>
      <c r="H46" s="160">
        <f>'Level 1'!J46</f>
        <v>5700</v>
      </c>
      <c r="I46" s="67">
        <f>'Level 1'!K46</f>
        <v>79800</v>
      </c>
      <c r="J46" s="96"/>
      <c r="L46" s="324"/>
      <c r="M46" s="40"/>
      <c r="N46" s="38"/>
      <c r="O46" s="51"/>
      <c r="P46" s="53"/>
      <c r="Q46" s="160"/>
      <c r="R46" s="67">
        <v>90000</v>
      </c>
      <c r="S46" s="96"/>
      <c r="U46" s="296">
        <f t="shared" si="2"/>
        <v>-10200</v>
      </c>
      <c r="W46" s="297">
        <f t="shared" si="5"/>
        <v>-0.11333333333333333</v>
      </c>
      <c r="Y46" s="313"/>
    </row>
    <row r="47" spans="1:25">
      <c r="A47" s="323" t="s">
        <v>277</v>
      </c>
      <c r="B47" s="135"/>
      <c r="C47" s="324" t="str">
        <f>'Level 1'!E47</f>
        <v>N/A</v>
      </c>
      <c r="D47" s="40">
        <f>'Level 1'!F47</f>
        <v>0</v>
      </c>
      <c r="E47" s="38">
        <f>'Level 1'!G47</f>
        <v>0</v>
      </c>
      <c r="F47" s="51">
        <f>'Level 1'!H47</f>
        <v>0</v>
      </c>
      <c r="G47" s="53">
        <f>'Level 1'!I47</f>
        <v>0</v>
      </c>
      <c r="H47" s="160">
        <f>'Level 1'!J47</f>
        <v>0</v>
      </c>
      <c r="I47" s="67">
        <f>'Level 1'!K47</f>
        <v>0</v>
      </c>
      <c r="J47" s="96"/>
      <c r="L47" s="324"/>
      <c r="M47" s="40"/>
      <c r="N47" s="38"/>
      <c r="O47" s="51"/>
      <c r="P47" s="53"/>
      <c r="Q47" s="160"/>
      <c r="R47" s="67">
        <v>0</v>
      </c>
      <c r="S47" s="96"/>
      <c r="U47" s="296">
        <f t="shared" si="2"/>
        <v>0</v>
      </c>
      <c r="W47" s="297">
        <f t="shared" si="5"/>
        <v>0</v>
      </c>
      <c r="Y47" s="313"/>
    </row>
    <row r="48" spans="1:25">
      <c r="A48" s="323" t="s">
        <v>279</v>
      </c>
      <c r="B48" s="135"/>
      <c r="C48" s="324" t="str">
        <f>'Level 1'!E48</f>
        <v>Russell IV</v>
      </c>
      <c r="D48" s="40" t="str">
        <f>'Level 1'!F48</f>
        <v>LS</v>
      </c>
      <c r="E48" s="38">
        <f>'Level 1'!G48</f>
        <v>1</v>
      </c>
      <c r="F48" s="51">
        <f>'Level 1'!H48</f>
        <v>6000</v>
      </c>
      <c r="G48" s="53">
        <f>'Level 1'!I48</f>
        <v>0</v>
      </c>
      <c r="H48" s="160">
        <f>'Level 1'!J48</f>
        <v>6000</v>
      </c>
      <c r="I48" s="67">
        <f>'Level 1'!K48</f>
        <v>6000</v>
      </c>
      <c r="J48" s="96"/>
      <c r="L48" s="324"/>
      <c r="M48" s="40"/>
      <c r="N48" s="38"/>
      <c r="O48" s="51"/>
      <c r="P48" s="53"/>
      <c r="Q48" s="160"/>
      <c r="R48" s="67">
        <v>6000</v>
      </c>
      <c r="S48" s="96"/>
      <c r="U48" s="296">
        <f t="shared" si="2"/>
        <v>0</v>
      </c>
      <c r="W48" s="297">
        <f t="shared" si="5"/>
        <v>0</v>
      </c>
      <c r="Y48" s="313"/>
    </row>
    <row r="49" spans="1:25">
      <c r="A49" s="323" t="s">
        <v>281</v>
      </c>
      <c r="B49" s="135"/>
      <c r="C49" s="324" t="str">
        <f>'Level 1'!E49</f>
        <v>Torrey Pines</v>
      </c>
      <c r="D49" s="40" t="str">
        <f>'Level 1'!F49</f>
        <v>LS</v>
      </c>
      <c r="E49" s="38">
        <f>'Level 1'!G49</f>
        <v>1</v>
      </c>
      <c r="F49" s="51">
        <f>'Level 1'!H49</f>
        <v>9000</v>
      </c>
      <c r="G49" s="53">
        <f>'Level 1'!I49</f>
        <v>0</v>
      </c>
      <c r="H49" s="160">
        <f>'Level 1'!J49</f>
        <v>9000</v>
      </c>
      <c r="I49" s="67">
        <f>'Level 1'!K49</f>
        <v>9000</v>
      </c>
      <c r="J49" s="96"/>
      <c r="L49" s="324"/>
      <c r="M49" s="40"/>
      <c r="N49" s="38"/>
      <c r="O49" s="51"/>
      <c r="P49" s="53"/>
      <c r="Q49" s="160"/>
      <c r="R49" s="67">
        <v>5700</v>
      </c>
      <c r="S49" s="96"/>
      <c r="U49" s="296">
        <f t="shared" si="2"/>
        <v>3300</v>
      </c>
      <c r="W49" s="297">
        <f t="shared" si="5"/>
        <v>0.57894736842105265</v>
      </c>
      <c r="Y49" s="313"/>
    </row>
    <row r="50" spans="1:25">
      <c r="A50" s="314" t="s">
        <v>284</v>
      </c>
      <c r="B50" s="135"/>
      <c r="C50" s="315"/>
      <c r="D50" s="151"/>
      <c r="E50" s="152"/>
      <c r="F50" s="153"/>
      <c r="G50" s="154"/>
      <c r="H50" s="153"/>
      <c r="I50" s="172"/>
      <c r="J50" s="316">
        <f>'Level 1'!L50</f>
        <v>522166</v>
      </c>
      <c r="L50" s="315"/>
      <c r="M50" s="151"/>
      <c r="N50" s="152"/>
      <c r="O50" s="153"/>
      <c r="P50" s="154"/>
      <c r="Q50" s="153"/>
      <c r="R50" s="172"/>
      <c r="S50" s="316">
        <v>660950</v>
      </c>
      <c r="U50" s="317">
        <f>J50-S50</f>
        <v>-138784</v>
      </c>
      <c r="W50" s="318">
        <f>IF(S50=0,0,U50/S50)</f>
        <v>-0.20997654890687648</v>
      </c>
      <c r="Y50" s="313"/>
    </row>
    <row r="51" spans="1:25">
      <c r="A51" s="321" t="s">
        <v>286</v>
      </c>
      <c r="B51" s="135"/>
      <c r="C51" s="322" t="str">
        <f>'Level 1'!E51</f>
        <v>Allowance</v>
      </c>
      <c r="D51" s="47" t="str">
        <f>'Level 1'!F51</f>
        <v>LS</v>
      </c>
      <c r="E51" s="42">
        <f>'Level 1'!G51</f>
        <v>1</v>
      </c>
      <c r="F51" s="61">
        <f>'Level 1'!H51</f>
        <v>125000</v>
      </c>
      <c r="G51" s="63">
        <f>'Level 1'!I51</f>
        <v>0</v>
      </c>
      <c r="H51" s="66">
        <f>'Level 1'!J51</f>
        <v>125000</v>
      </c>
      <c r="I51" s="67">
        <f>'Level 1'!K51</f>
        <v>125000</v>
      </c>
      <c r="J51" s="96"/>
      <c r="L51" s="322"/>
      <c r="M51" s="47"/>
      <c r="N51" s="42"/>
      <c r="O51" s="61"/>
      <c r="P51" s="63"/>
      <c r="Q51" s="66"/>
      <c r="R51" s="67">
        <v>267000</v>
      </c>
      <c r="S51" s="96"/>
      <c r="U51" s="296">
        <f>I51-R51</f>
        <v>-142000</v>
      </c>
      <c r="W51" s="297">
        <f t="shared" ref="W51:W58" si="6">IF(R51=0,0,U51/R51)</f>
        <v>-0.53183520599250933</v>
      </c>
      <c r="Y51" s="313"/>
    </row>
    <row r="52" spans="1:25">
      <c r="A52" s="323" t="s">
        <v>289</v>
      </c>
      <c r="B52" s="135"/>
      <c r="C52" s="324" t="str">
        <f>'Level 1'!E52</f>
        <v>Torrey Pines</v>
      </c>
      <c r="D52" s="40" t="str">
        <f>'Level 1'!F52</f>
        <v>Count</v>
      </c>
      <c r="E52" s="38">
        <f>'Level 1'!G52</f>
        <v>6</v>
      </c>
      <c r="F52" s="51">
        <f>'Level 1'!H52</f>
        <v>4040</v>
      </c>
      <c r="G52" s="53">
        <f>'Level 1'!I52</f>
        <v>0</v>
      </c>
      <c r="H52" s="66">
        <f>'Level 1'!J52</f>
        <v>4040</v>
      </c>
      <c r="I52" s="67">
        <f>'Level 1'!K52</f>
        <v>24240</v>
      </c>
      <c r="J52" s="96"/>
      <c r="L52" s="324"/>
      <c r="M52" s="40"/>
      <c r="N52" s="38"/>
      <c r="O52" s="51"/>
      <c r="P52" s="53"/>
      <c r="Q52" s="66"/>
      <c r="R52" s="67">
        <v>24000</v>
      </c>
      <c r="S52" s="96"/>
      <c r="U52" s="296">
        <f t="shared" si="2"/>
        <v>240</v>
      </c>
      <c r="W52" s="297">
        <f t="shared" si="6"/>
        <v>0.01</v>
      </c>
      <c r="Y52" s="313" t="s">
        <v>1197</v>
      </c>
    </row>
    <row r="53" spans="1:25">
      <c r="A53" s="323" t="s">
        <v>291</v>
      </c>
      <c r="B53" s="135"/>
      <c r="C53" s="324" t="str">
        <f>'Level 1'!E53</f>
        <v>Torrey Pines</v>
      </c>
      <c r="D53" s="40" t="str">
        <f>'Level 1'!F53</f>
        <v xml:space="preserve">Per Level </v>
      </c>
      <c r="E53" s="38">
        <f>'Level 1'!G53</f>
        <v>60</v>
      </c>
      <c r="F53" s="51">
        <f>'Level 1'!H53</f>
        <v>2000</v>
      </c>
      <c r="G53" s="53">
        <f>'Level 1'!I53</f>
        <v>0</v>
      </c>
      <c r="H53" s="66">
        <f>'Level 1'!J53</f>
        <v>2000</v>
      </c>
      <c r="I53" s="67">
        <f>'Level 1'!K53</f>
        <v>120000</v>
      </c>
      <c r="J53" s="96"/>
      <c r="L53" s="324"/>
      <c r="M53" s="40"/>
      <c r="N53" s="38"/>
      <c r="O53" s="51"/>
      <c r="P53" s="53"/>
      <c r="Q53" s="66"/>
      <c r="R53" s="67">
        <v>188000</v>
      </c>
      <c r="S53" s="96"/>
      <c r="U53" s="296">
        <f t="shared" si="2"/>
        <v>-68000</v>
      </c>
      <c r="W53" s="297">
        <f t="shared" si="6"/>
        <v>-0.36170212765957449</v>
      </c>
      <c r="Y53" s="313" t="s">
        <v>1197</v>
      </c>
    </row>
    <row r="54" spans="1:25">
      <c r="A54" s="323" t="s">
        <v>293</v>
      </c>
      <c r="B54" s="135"/>
      <c r="C54" s="324" t="str">
        <f>'Level 1'!E54</f>
        <v>N/A</v>
      </c>
      <c r="D54" s="40">
        <f>'Level 1'!F54</f>
        <v>0</v>
      </c>
      <c r="E54" s="38">
        <f>'Level 1'!G54</f>
        <v>0</v>
      </c>
      <c r="F54" s="51">
        <f>'Level 1'!H54</f>
        <v>0</v>
      </c>
      <c r="G54" s="53">
        <f>'Level 1'!I54</f>
        <v>0</v>
      </c>
      <c r="H54" s="66">
        <f>'Level 1'!J54</f>
        <v>0</v>
      </c>
      <c r="I54" s="67">
        <f>'Level 1'!K54</f>
        <v>0</v>
      </c>
      <c r="J54" s="96"/>
      <c r="L54" s="324"/>
      <c r="M54" s="40"/>
      <c r="N54" s="38"/>
      <c r="O54" s="51"/>
      <c r="P54" s="53"/>
      <c r="Q54" s="66"/>
      <c r="R54" s="67">
        <v>0</v>
      </c>
      <c r="S54" s="96"/>
      <c r="U54" s="296">
        <f t="shared" si="2"/>
        <v>0</v>
      </c>
      <c r="W54" s="297">
        <f t="shared" si="6"/>
        <v>0</v>
      </c>
      <c r="Y54" s="313"/>
    </row>
    <row r="55" spans="1:25">
      <c r="A55" s="323" t="s">
        <v>294</v>
      </c>
      <c r="B55" s="135"/>
      <c r="C55" s="324" t="str">
        <f>'Level 1'!E55</f>
        <v>N/A</v>
      </c>
      <c r="D55" s="40">
        <f>'Level 1'!F55</f>
        <v>0</v>
      </c>
      <c r="E55" s="38">
        <f>'Level 1'!G55</f>
        <v>0</v>
      </c>
      <c r="F55" s="51">
        <f>'Level 1'!H55</f>
        <v>0</v>
      </c>
      <c r="G55" s="53">
        <f>'Level 1'!I55</f>
        <v>0</v>
      </c>
      <c r="H55" s="66">
        <f>'Level 1'!J55</f>
        <v>0</v>
      </c>
      <c r="I55" s="67">
        <f>'Level 1'!K55</f>
        <v>0</v>
      </c>
      <c r="J55" s="96"/>
      <c r="L55" s="324"/>
      <c r="M55" s="40"/>
      <c r="N55" s="38"/>
      <c r="O55" s="51"/>
      <c r="P55" s="53"/>
      <c r="Q55" s="66"/>
      <c r="R55" s="67">
        <v>0</v>
      </c>
      <c r="S55" s="96"/>
      <c r="U55" s="296">
        <f t="shared" si="2"/>
        <v>0</v>
      </c>
      <c r="W55" s="297">
        <f t="shared" si="6"/>
        <v>0</v>
      </c>
      <c r="Y55" s="313"/>
    </row>
    <row r="56" spans="1:25">
      <c r="A56" s="323" t="s">
        <v>296</v>
      </c>
      <c r="B56" s="135"/>
      <c r="C56" s="324" t="str">
        <f>'Level 1'!E56</f>
        <v>Torrey Pines</v>
      </c>
      <c r="D56" s="40" t="str">
        <f>'Level 1'!F56</f>
        <v>Count</v>
      </c>
      <c r="E56" s="38">
        <f>'Level 1'!G56</f>
        <v>1</v>
      </c>
      <c r="F56" s="51">
        <f>'Level 1'!H56</f>
        <v>1950</v>
      </c>
      <c r="G56" s="53">
        <f>'Level 1'!I56</f>
        <v>0</v>
      </c>
      <c r="H56" s="66">
        <f>'Level 1'!J56</f>
        <v>1950</v>
      </c>
      <c r="I56" s="67">
        <f>'Level 1'!K56</f>
        <v>1950</v>
      </c>
      <c r="J56" s="96"/>
      <c r="L56" s="324"/>
      <c r="M56" s="40"/>
      <c r="N56" s="38"/>
      <c r="O56" s="51"/>
      <c r="P56" s="53"/>
      <c r="Q56" s="66"/>
      <c r="R56" s="67">
        <v>1950</v>
      </c>
      <c r="S56" s="96"/>
      <c r="U56" s="296">
        <f t="shared" si="2"/>
        <v>0</v>
      </c>
      <c r="W56" s="297">
        <f t="shared" si="6"/>
        <v>0</v>
      </c>
      <c r="Y56" s="313"/>
    </row>
    <row r="57" spans="1:25">
      <c r="A57" s="323" t="s">
        <v>298</v>
      </c>
      <c r="B57" s="135"/>
      <c r="C57" s="324" t="str">
        <f>'Level 1'!E57</f>
        <v>Torrey Pines</v>
      </c>
      <c r="D57" s="40" t="str">
        <f>'Level 1'!F57</f>
        <v>LF</v>
      </c>
      <c r="E57" s="38">
        <f>'Level 1'!G57</f>
        <v>2728</v>
      </c>
      <c r="F57" s="51">
        <f>'Level 1'!H57</f>
        <v>92</v>
      </c>
      <c r="G57" s="53">
        <f>'Level 1'!I57</f>
        <v>0</v>
      </c>
      <c r="H57" s="66">
        <f>'Level 1'!J57</f>
        <v>92</v>
      </c>
      <c r="I57" s="67">
        <f>'Level 1'!K57</f>
        <v>250976</v>
      </c>
      <c r="J57" s="96"/>
      <c r="L57" s="324"/>
      <c r="M57" s="40"/>
      <c r="N57" s="38"/>
      <c r="O57" s="51"/>
      <c r="P57" s="53"/>
      <c r="Q57" s="66"/>
      <c r="R57" s="67">
        <v>180000</v>
      </c>
      <c r="S57" s="96"/>
      <c r="U57" s="296">
        <f t="shared" si="2"/>
        <v>70976</v>
      </c>
      <c r="W57" s="297">
        <f t="shared" si="6"/>
        <v>0.39431111111111111</v>
      </c>
      <c r="Y57" s="313" t="s">
        <v>1197</v>
      </c>
    </row>
    <row r="58" spans="1:25">
      <c r="A58" s="323" t="s">
        <v>301</v>
      </c>
      <c r="B58" s="135"/>
      <c r="C58" s="324" t="str">
        <f>'Level 1'!E58</f>
        <v>N/A</v>
      </c>
      <c r="D58" s="40">
        <f>'Level 1'!F58</f>
        <v>0</v>
      </c>
      <c r="E58" s="38">
        <f>'Level 1'!G58</f>
        <v>0</v>
      </c>
      <c r="F58" s="51">
        <f>'Level 1'!H58</f>
        <v>0</v>
      </c>
      <c r="G58" s="53">
        <f>'Level 1'!I58</f>
        <v>0</v>
      </c>
      <c r="H58" s="66">
        <f>'Level 1'!J58</f>
        <v>0</v>
      </c>
      <c r="I58" s="67">
        <f>'Level 1'!K58</f>
        <v>0</v>
      </c>
      <c r="J58" s="96"/>
      <c r="L58" s="324"/>
      <c r="M58" s="40"/>
      <c r="N58" s="38"/>
      <c r="O58" s="51"/>
      <c r="P58" s="53"/>
      <c r="Q58" s="66"/>
      <c r="R58" s="67">
        <v>0</v>
      </c>
      <c r="S58" s="96"/>
      <c r="U58" s="296">
        <f t="shared" si="2"/>
        <v>0</v>
      </c>
      <c r="W58" s="297">
        <f t="shared" si="6"/>
        <v>0</v>
      </c>
      <c r="Y58" s="313"/>
    </row>
    <row r="59" spans="1:25">
      <c r="A59" s="314" t="s">
        <v>305</v>
      </c>
      <c r="B59" s="135"/>
      <c r="C59" s="315"/>
      <c r="D59" s="151"/>
      <c r="E59" s="152"/>
      <c r="F59" s="153"/>
      <c r="G59" s="154"/>
      <c r="H59" s="153"/>
      <c r="I59" s="172"/>
      <c r="J59" s="316">
        <f>'Level 1'!L59</f>
        <v>10820813.286106404</v>
      </c>
      <c r="L59" s="315"/>
      <c r="M59" s="151"/>
      <c r="N59" s="152"/>
      <c r="O59" s="153"/>
      <c r="P59" s="154"/>
      <c r="Q59" s="153"/>
      <c r="R59" s="172"/>
      <c r="S59" s="316">
        <v>12091877.93</v>
      </c>
      <c r="U59" s="317">
        <f>J59-S59</f>
        <v>-1271064.6438935958</v>
      </c>
      <c r="W59" s="318">
        <f>IF(S59=0,0,U59/S59)</f>
        <v>-0.10511722424356262</v>
      </c>
      <c r="Y59" s="313"/>
    </row>
    <row r="60" spans="1:25">
      <c r="A60" s="321" t="s">
        <v>307</v>
      </c>
      <c r="B60" s="135"/>
      <c r="C60" s="322">
        <f>'Level 1'!E60</f>
        <v>0</v>
      </c>
      <c r="D60" s="47">
        <f>'Level 1'!F60</f>
        <v>0</v>
      </c>
      <c r="E60" s="42">
        <f>'Level 1'!G60</f>
        <v>0</v>
      </c>
      <c r="F60" s="61">
        <f>'Level 1'!H60</f>
        <v>79</v>
      </c>
      <c r="G60" s="63">
        <f>'Level 1'!I60</f>
        <v>0</v>
      </c>
      <c r="H60" s="66">
        <f>'Level 1'!J60</f>
        <v>79</v>
      </c>
      <c r="I60" s="67">
        <f>'Level 1'!K60</f>
        <v>0</v>
      </c>
      <c r="J60" s="96"/>
      <c r="L60" s="322"/>
      <c r="M60" s="47"/>
      <c r="N60" s="42"/>
      <c r="O60" s="61"/>
      <c r="P60" s="63"/>
      <c r="Q60" s="66"/>
      <c r="R60" s="67">
        <v>30731</v>
      </c>
      <c r="S60" s="96"/>
      <c r="U60" s="296">
        <f>I60-R60</f>
        <v>-30731</v>
      </c>
      <c r="W60" s="297">
        <f>IF(R60=0,0,U60/R60)</f>
        <v>-1</v>
      </c>
      <c r="Y60" s="313"/>
    </row>
    <row r="61" spans="1:25">
      <c r="A61" s="323" t="s">
        <v>310</v>
      </c>
      <c r="B61" s="135"/>
      <c r="C61" s="324" t="str">
        <f>'Level 1'!E61</f>
        <v>See Note</v>
      </c>
      <c r="D61" s="40" t="str">
        <f>'Level 1'!F61</f>
        <v>SF</v>
      </c>
      <c r="E61" s="38">
        <f>'Level 1'!G61</f>
        <v>431911</v>
      </c>
      <c r="F61" s="51">
        <f>'Level 1'!H61</f>
        <v>20.96</v>
      </c>
      <c r="G61" s="53">
        <f>'Level 1'!I61</f>
        <v>0</v>
      </c>
      <c r="H61" s="66">
        <f>'Level 1'!J61</f>
        <v>20.96</v>
      </c>
      <c r="I61" s="67">
        <f>'Level 1'!K61</f>
        <v>9052854.5600000005</v>
      </c>
      <c r="J61" s="96"/>
      <c r="L61" s="324"/>
      <c r="M61" s="40"/>
      <c r="N61" s="38"/>
      <c r="O61" s="61">
        <v>19.45</v>
      </c>
      <c r="P61" s="63">
        <v>0.20549999999999999</v>
      </c>
      <c r="Q61" s="66">
        <f>O61*(1+P61)</f>
        <v>23.446974999999998</v>
      </c>
      <c r="R61" s="67">
        <v>10051350.049999999</v>
      </c>
      <c r="S61" s="96"/>
      <c r="U61" s="296">
        <f t="shared" si="2"/>
        <v>-998495.48999999836</v>
      </c>
      <c r="W61" s="297">
        <f t="shared" ref="W61:W71" si="7">IF(R61=0,0,U61/R61)</f>
        <v>-9.9339440476456042E-2</v>
      </c>
      <c r="Y61" s="313" t="s">
        <v>1198</v>
      </c>
    </row>
    <row r="62" spans="1:25">
      <c r="A62" s="323" t="s">
        <v>314</v>
      </c>
      <c r="B62" s="135"/>
      <c r="C62" s="324" t="str">
        <f>'Level 1'!E62</f>
        <v>N/A</v>
      </c>
      <c r="D62" s="40">
        <f>'Level 1'!F62</f>
        <v>0</v>
      </c>
      <c r="E62" s="38">
        <f>'Level 1'!G62</f>
        <v>0</v>
      </c>
      <c r="F62" s="51">
        <f>'Level 1'!H62</f>
        <v>0</v>
      </c>
      <c r="G62" s="53">
        <f>'Level 1'!I62</f>
        <v>0</v>
      </c>
      <c r="H62" s="66">
        <f>'Level 1'!J62</f>
        <v>0</v>
      </c>
      <c r="I62" s="67">
        <f>'Level 1'!K62</f>
        <v>0</v>
      </c>
      <c r="J62" s="96"/>
      <c r="L62" s="324"/>
      <c r="M62" s="40"/>
      <c r="N62" s="38"/>
      <c r="O62" s="51"/>
      <c r="P62" s="53"/>
      <c r="Q62" s="66"/>
      <c r="R62" s="67">
        <v>0</v>
      </c>
      <c r="S62" s="96"/>
      <c r="U62" s="296">
        <f t="shared" si="2"/>
        <v>0</v>
      </c>
      <c r="W62" s="297">
        <f t="shared" si="7"/>
        <v>0</v>
      </c>
      <c r="Y62" s="313"/>
    </row>
    <row r="63" spans="1:25">
      <c r="A63" s="323" t="s">
        <v>315</v>
      </c>
      <c r="B63" s="135"/>
      <c r="C63" s="324" t="str">
        <f>'Level 1'!E63</f>
        <v>N/A</v>
      </c>
      <c r="D63" s="40">
        <f>'Level 1'!F63</f>
        <v>0</v>
      </c>
      <c r="E63" s="38">
        <f>'Level 1'!G63</f>
        <v>0</v>
      </c>
      <c r="F63" s="51">
        <f>'Level 1'!H63</f>
        <v>0</v>
      </c>
      <c r="G63" s="53">
        <f>'Level 1'!I63</f>
        <v>0</v>
      </c>
      <c r="H63" s="66">
        <f>'Level 1'!J63</f>
        <v>0</v>
      </c>
      <c r="I63" s="67">
        <f>'Level 1'!K63</f>
        <v>0</v>
      </c>
      <c r="J63" s="96"/>
      <c r="L63" s="324"/>
      <c r="M63" s="40"/>
      <c r="N63" s="38"/>
      <c r="O63" s="51"/>
      <c r="P63" s="53"/>
      <c r="Q63" s="66"/>
      <c r="R63" s="67">
        <v>0</v>
      </c>
      <c r="S63" s="96"/>
      <c r="U63" s="296">
        <f t="shared" si="2"/>
        <v>0</v>
      </c>
      <c r="W63" s="297">
        <f t="shared" si="7"/>
        <v>0</v>
      </c>
      <c r="Y63" s="313"/>
    </row>
    <row r="64" spans="1:25">
      <c r="A64" s="323" t="s">
        <v>317</v>
      </c>
      <c r="B64" s="135"/>
      <c r="C64" s="324" t="str">
        <f>'Level 1'!E64</f>
        <v>Allowance</v>
      </c>
      <c r="D64" s="40" t="str">
        <f>'Level 1'!F64</f>
        <v>LS</v>
      </c>
      <c r="E64" s="38">
        <f>'Level 1'!G64</f>
        <v>6</v>
      </c>
      <c r="F64" s="51">
        <f>'Level 1'!H64</f>
        <v>2500</v>
      </c>
      <c r="G64" s="53">
        <f>'Level 1'!I64</f>
        <v>0</v>
      </c>
      <c r="H64" s="66">
        <f>'Level 1'!J64</f>
        <v>2500</v>
      </c>
      <c r="I64" s="67">
        <f>'Level 1'!K64</f>
        <v>15000</v>
      </c>
      <c r="J64" s="96"/>
      <c r="L64" s="324"/>
      <c r="M64" s="40"/>
      <c r="N64" s="38"/>
      <c r="O64" s="51"/>
      <c r="P64" s="53"/>
      <c r="Q64" s="66"/>
      <c r="R64" s="67">
        <v>2810</v>
      </c>
      <c r="S64" s="96"/>
      <c r="U64" s="296">
        <f t="shared" si="2"/>
        <v>12190</v>
      </c>
      <c r="W64" s="297">
        <f t="shared" si="7"/>
        <v>4.3380782918149468</v>
      </c>
      <c r="Y64" s="313"/>
    </row>
    <row r="65" spans="1:25">
      <c r="A65" s="323" t="s">
        <v>319</v>
      </c>
      <c r="B65" s="135"/>
      <c r="C65" s="324" t="str">
        <f>'Level 1'!E65</f>
        <v>N/A</v>
      </c>
      <c r="D65" s="40">
        <f>'Level 1'!F65</f>
        <v>0</v>
      </c>
      <c r="E65" s="38">
        <f>'Level 1'!G65</f>
        <v>0</v>
      </c>
      <c r="F65" s="51">
        <f>'Level 1'!H65</f>
        <v>0</v>
      </c>
      <c r="G65" s="53">
        <f>'Level 1'!I65</f>
        <v>0</v>
      </c>
      <c r="H65" s="66">
        <f>'Level 1'!J65</f>
        <v>0</v>
      </c>
      <c r="I65" s="67">
        <f>'Level 1'!K65</f>
        <v>0</v>
      </c>
      <c r="J65" s="96"/>
      <c r="L65" s="324"/>
      <c r="M65" s="40"/>
      <c r="N65" s="38"/>
      <c r="O65" s="51"/>
      <c r="P65" s="53"/>
      <c r="Q65" s="66"/>
      <c r="R65" s="67">
        <v>0</v>
      </c>
      <c r="S65" s="96"/>
      <c r="U65" s="296">
        <f t="shared" si="2"/>
        <v>0</v>
      </c>
      <c r="W65" s="297">
        <f t="shared" si="7"/>
        <v>0</v>
      </c>
      <c r="Y65" s="313"/>
    </row>
    <row r="66" spans="1:25">
      <c r="A66" s="323" t="s">
        <v>321</v>
      </c>
      <c r="B66" s="135"/>
      <c r="C66" s="324" t="str">
        <f>'Level 1'!E66</f>
        <v>N/A</v>
      </c>
      <c r="D66" s="40">
        <f>'Level 1'!F66</f>
        <v>0</v>
      </c>
      <c r="E66" s="38">
        <f>'Level 1'!G66</f>
        <v>0</v>
      </c>
      <c r="F66" s="51">
        <f>'Level 1'!H66</f>
        <v>0</v>
      </c>
      <c r="G66" s="53">
        <f>'Level 1'!I66</f>
        <v>0</v>
      </c>
      <c r="H66" s="66">
        <f>'Level 1'!J66</f>
        <v>0</v>
      </c>
      <c r="I66" s="67">
        <f>'Level 1'!K66</f>
        <v>0</v>
      </c>
      <c r="J66" s="96"/>
      <c r="L66" s="324"/>
      <c r="M66" s="40"/>
      <c r="N66" s="38"/>
      <c r="O66" s="51"/>
      <c r="P66" s="53"/>
      <c r="Q66" s="66"/>
      <c r="R66" s="67">
        <v>0</v>
      </c>
      <c r="S66" s="96"/>
      <c r="U66" s="296">
        <f t="shared" si="2"/>
        <v>0</v>
      </c>
      <c r="W66" s="297">
        <f t="shared" si="7"/>
        <v>0</v>
      </c>
      <c r="Y66" s="313"/>
    </row>
    <row r="67" spans="1:25">
      <c r="A67" s="323" t="s">
        <v>323</v>
      </c>
      <c r="B67" s="135"/>
      <c r="C67" s="324" t="str">
        <f>'Level 1'!E67</f>
        <v>N/A</v>
      </c>
      <c r="D67" s="40">
        <f>'Level 1'!F67</f>
        <v>0</v>
      </c>
      <c r="E67" s="38">
        <f>'Level 1'!G67</f>
        <v>0</v>
      </c>
      <c r="F67" s="51">
        <f>'Level 1'!H67</f>
        <v>0</v>
      </c>
      <c r="G67" s="53">
        <f>'Level 1'!I67</f>
        <v>0</v>
      </c>
      <c r="H67" s="66">
        <f>'Level 1'!J67</f>
        <v>0</v>
      </c>
      <c r="I67" s="67">
        <f>'Level 1'!K67</f>
        <v>0</v>
      </c>
      <c r="J67" s="96"/>
      <c r="L67" s="324"/>
      <c r="M67" s="40"/>
      <c r="N67" s="38"/>
      <c r="O67" s="51"/>
      <c r="P67" s="53"/>
      <c r="Q67" s="66"/>
      <c r="R67" s="67">
        <v>0</v>
      </c>
      <c r="S67" s="96"/>
      <c r="U67" s="296">
        <f t="shared" si="2"/>
        <v>0</v>
      </c>
      <c r="W67" s="297">
        <f t="shared" si="7"/>
        <v>0</v>
      </c>
      <c r="Y67" s="313"/>
    </row>
    <row r="68" spans="1:25">
      <c r="A68" s="330" t="s">
        <v>324</v>
      </c>
      <c r="B68" s="135"/>
      <c r="C68" s="324" t="str">
        <f>'Level 1'!E68</f>
        <v>Torrey Pines</v>
      </c>
      <c r="D68" s="40" t="str">
        <f>'Level 1'!F68</f>
        <v>LSF</v>
      </c>
      <c r="E68" s="38">
        <f>'Level 1'!G68</f>
        <v>332276</v>
      </c>
      <c r="F68" s="51">
        <f>'Level 1'!H68</f>
        <v>4.3044536538980118</v>
      </c>
      <c r="G68" s="53">
        <f>'Level 1'!I68</f>
        <v>0</v>
      </c>
      <c r="H68" s="66">
        <f>'Level 1'!J68</f>
        <v>4.3044536538980118</v>
      </c>
      <c r="I68" s="67">
        <f>'Level 1'!K68</f>
        <v>1430266.6423026158</v>
      </c>
      <c r="J68" s="96"/>
      <c r="L68" s="324"/>
      <c r="M68" s="40"/>
      <c r="N68" s="38"/>
      <c r="O68" s="51"/>
      <c r="P68" s="53"/>
      <c r="Q68" s="66"/>
      <c r="R68" s="67">
        <v>1525891.4000000001</v>
      </c>
      <c r="S68" s="96"/>
      <c r="U68" s="296">
        <f t="shared" si="2"/>
        <v>-95624.757697384339</v>
      </c>
      <c r="W68" s="297">
        <f t="shared" si="7"/>
        <v>-6.2668128083941177E-2</v>
      </c>
      <c r="Y68" s="313" t="s">
        <v>1199</v>
      </c>
    </row>
    <row r="69" spans="1:25">
      <c r="A69" s="323" t="s">
        <v>328</v>
      </c>
      <c r="B69" s="135"/>
      <c r="C69" s="324" t="str">
        <f>'Level 1'!E69</f>
        <v>Torrey Pines</v>
      </c>
      <c r="D69" s="40" t="str">
        <f>'Level 1'!F69</f>
        <v>Common SF</v>
      </c>
      <c r="E69" s="38">
        <f>'Level 1'!G69</f>
        <v>99635</v>
      </c>
      <c r="F69" s="51">
        <f>'Level 1'!H69</f>
        <v>3.1664784845063356</v>
      </c>
      <c r="G69" s="53">
        <f>'Level 1'!I69</f>
        <v>0</v>
      </c>
      <c r="H69" s="66">
        <f>'Level 1'!J69</f>
        <v>3.1664784845063356</v>
      </c>
      <c r="I69" s="67">
        <f>'Level 1'!K69</f>
        <v>315492.08380378876</v>
      </c>
      <c r="J69" s="96"/>
      <c r="L69" s="324"/>
      <c r="M69" s="40"/>
      <c r="N69" s="38"/>
      <c r="O69" s="51"/>
      <c r="P69" s="53"/>
      <c r="Q69" s="66"/>
      <c r="R69" s="67">
        <v>480064.48000000004</v>
      </c>
      <c r="S69" s="96"/>
      <c r="U69" s="296">
        <f t="shared" si="2"/>
        <v>-164572.39619621128</v>
      </c>
      <c r="W69" s="297">
        <f t="shared" si="7"/>
        <v>-0.34281310751466398</v>
      </c>
      <c r="Y69" s="313" t="s">
        <v>1231</v>
      </c>
    </row>
    <row r="70" spans="1:25">
      <c r="A70" s="323" t="s">
        <v>331</v>
      </c>
      <c r="B70" s="135"/>
      <c r="C70" s="324" t="str">
        <f>'Level 1'!E70</f>
        <v>Allowance</v>
      </c>
      <c r="D70" s="40" t="str">
        <f>'Level 1'!F70</f>
        <v>LS</v>
      </c>
      <c r="E70" s="38">
        <f>'Level 1'!G70</f>
        <v>6</v>
      </c>
      <c r="F70" s="51">
        <f>'Level 1'!H70</f>
        <v>1200</v>
      </c>
      <c r="G70" s="53">
        <f>'Level 1'!I70</f>
        <v>0</v>
      </c>
      <c r="H70" s="66">
        <f>'Level 1'!J70</f>
        <v>1200</v>
      </c>
      <c r="I70" s="67">
        <f>'Level 1'!K70</f>
        <v>7200</v>
      </c>
      <c r="J70" s="96"/>
      <c r="L70" s="324"/>
      <c r="M70" s="40"/>
      <c r="N70" s="38"/>
      <c r="O70" s="51"/>
      <c r="P70" s="53"/>
      <c r="Q70" s="66"/>
      <c r="R70" s="67">
        <v>1031</v>
      </c>
      <c r="S70" s="96"/>
      <c r="U70" s="296">
        <f t="shared" si="2"/>
        <v>6169</v>
      </c>
      <c r="W70" s="297">
        <f t="shared" si="7"/>
        <v>5.9835111542192045</v>
      </c>
      <c r="Y70" s="313"/>
    </row>
    <row r="71" spans="1:25">
      <c r="A71" s="323" t="s">
        <v>333</v>
      </c>
      <c r="B71" s="135"/>
      <c r="C71" s="324" t="str">
        <f>'Level 1'!E71</f>
        <v>N/A</v>
      </c>
      <c r="D71" s="40">
        <f>'Level 1'!F71</f>
        <v>0</v>
      </c>
      <c r="E71" s="38">
        <f>'Level 1'!G71</f>
        <v>0</v>
      </c>
      <c r="F71" s="51">
        <f>'Level 1'!H71</f>
        <v>0</v>
      </c>
      <c r="G71" s="53">
        <f>'Level 1'!I71</f>
        <v>0</v>
      </c>
      <c r="H71" s="66">
        <f>'Level 1'!J71</f>
        <v>0</v>
      </c>
      <c r="I71" s="67">
        <f>'Level 1'!K71</f>
        <v>0</v>
      </c>
      <c r="J71" s="96"/>
      <c r="L71" s="324"/>
      <c r="M71" s="40"/>
      <c r="N71" s="38"/>
      <c r="O71" s="51"/>
      <c r="P71" s="53"/>
      <c r="Q71" s="66"/>
      <c r="R71" s="67">
        <v>0</v>
      </c>
      <c r="S71" s="96"/>
      <c r="U71" s="296">
        <f t="shared" si="2"/>
        <v>0</v>
      </c>
      <c r="W71" s="297">
        <f t="shared" si="7"/>
        <v>0</v>
      </c>
      <c r="Y71" s="313"/>
    </row>
    <row r="72" spans="1:25">
      <c r="A72" s="314" t="s">
        <v>335</v>
      </c>
      <c r="B72" s="135"/>
      <c r="C72" s="315"/>
      <c r="D72" s="151"/>
      <c r="E72" s="152"/>
      <c r="F72" s="153"/>
      <c r="G72" s="154"/>
      <c r="H72" s="153"/>
      <c r="I72" s="172"/>
      <c r="J72" s="316">
        <f>'Level 1'!L72</f>
        <v>2429272.5699999998</v>
      </c>
      <c r="L72" s="315"/>
      <c r="M72" s="151"/>
      <c r="N72" s="152"/>
      <c r="O72" s="153"/>
      <c r="P72" s="154"/>
      <c r="Q72" s="153"/>
      <c r="R72" s="172"/>
      <c r="S72" s="316">
        <v>2408537.52</v>
      </c>
      <c r="U72" s="317">
        <f>J72-S72</f>
        <v>20735.049999999814</v>
      </c>
      <c r="W72" s="318">
        <f>IF(S72=0,0,U72/S72)</f>
        <v>8.6089794440901268E-3</v>
      </c>
      <c r="Y72" s="313"/>
    </row>
    <row r="73" spans="1:25">
      <c r="A73" s="321" t="s">
        <v>338</v>
      </c>
      <c r="B73" s="135"/>
      <c r="C73" s="322" t="str">
        <f>'Level 1'!E73</f>
        <v>Torrey Pines</v>
      </c>
      <c r="D73" s="47" t="str">
        <f>'Level 1'!F73</f>
        <v>SF</v>
      </c>
      <c r="E73" s="42">
        <f>'Level 1'!G73</f>
        <v>431911</v>
      </c>
      <c r="F73" s="61">
        <f>'Level 1'!H73</f>
        <v>2.7</v>
      </c>
      <c r="G73" s="63">
        <f>'Level 1'!I73</f>
        <v>0</v>
      </c>
      <c r="H73" s="66">
        <f>'Level 1'!J73</f>
        <v>2.7</v>
      </c>
      <c r="I73" s="67">
        <f>'Level 1'!K73</f>
        <v>1166159.7000000002</v>
      </c>
      <c r="J73" s="96"/>
      <c r="L73" s="322"/>
      <c r="M73" s="47"/>
      <c r="N73" s="42"/>
      <c r="O73" s="61"/>
      <c r="P73" s="63"/>
      <c r="Q73" s="66"/>
      <c r="R73" s="67">
        <v>1178729.75</v>
      </c>
      <c r="S73" s="96"/>
      <c r="U73" s="296">
        <f t="shared" si="2"/>
        <v>-12570.049999999814</v>
      </c>
      <c r="W73" s="297">
        <f t="shared" ref="W73:W83" si="8">IF(R73=0,0,U73/R73)</f>
        <v>-1.0664064430374999E-2</v>
      </c>
      <c r="Y73" s="313"/>
    </row>
    <row r="74" spans="1:25">
      <c r="A74" s="323" t="s">
        <v>154</v>
      </c>
      <c r="B74" s="135"/>
      <c r="C74" s="324" t="str">
        <f>'Level 1'!E74</f>
        <v>Torrey Pines</v>
      </c>
      <c r="D74" s="40" t="str">
        <f>'Level 1'!F74</f>
        <v>Square</v>
      </c>
      <c r="E74" s="38">
        <f>'Level 1'!G74</f>
        <v>1745.48</v>
      </c>
      <c r="F74" s="51">
        <f>'Level 1'!H74</f>
        <v>603</v>
      </c>
      <c r="G74" s="53">
        <f>'Level 1'!I74</f>
        <v>0</v>
      </c>
      <c r="H74" s="51">
        <f>'Level 1'!J74</f>
        <v>603</v>
      </c>
      <c r="I74" s="54">
        <f>'Level 1'!K74</f>
        <v>1052524.44</v>
      </c>
      <c r="J74" s="96"/>
      <c r="L74" s="324"/>
      <c r="M74" s="40"/>
      <c r="N74" s="38"/>
      <c r="O74" s="51"/>
      <c r="P74" s="53"/>
      <c r="Q74" s="51"/>
      <c r="R74" s="54">
        <v>1034786</v>
      </c>
      <c r="S74" s="96"/>
      <c r="U74" s="296">
        <f t="shared" si="2"/>
        <v>17738.439999999944</v>
      </c>
      <c r="W74" s="297">
        <f t="shared" si="8"/>
        <v>1.7142133735864172E-2</v>
      </c>
      <c r="Y74" s="313"/>
    </row>
    <row r="75" spans="1:25">
      <c r="A75" s="323" t="s">
        <v>344</v>
      </c>
      <c r="B75" s="135"/>
      <c r="C75" s="324" t="str">
        <f>'Level 1'!E75</f>
        <v>N/A</v>
      </c>
      <c r="D75" s="40">
        <f>'Level 1'!F75</f>
        <v>0</v>
      </c>
      <c r="E75" s="38">
        <f>'Level 1'!G75</f>
        <v>0</v>
      </c>
      <c r="F75" s="51">
        <f>'Level 1'!H75</f>
        <v>0</v>
      </c>
      <c r="G75" s="53">
        <f>'Level 1'!I75</f>
        <v>0</v>
      </c>
      <c r="H75" s="51">
        <f>'Level 1'!J75</f>
        <v>0</v>
      </c>
      <c r="I75" s="54">
        <f>'Level 1'!K75</f>
        <v>0</v>
      </c>
      <c r="J75" s="96"/>
      <c r="L75" s="324"/>
      <c r="M75" s="40"/>
      <c r="N75" s="38"/>
      <c r="O75" s="51"/>
      <c r="P75" s="53"/>
      <c r="Q75" s="51"/>
      <c r="R75" s="54">
        <v>0</v>
      </c>
      <c r="S75" s="96"/>
      <c r="U75" s="296">
        <f t="shared" si="2"/>
        <v>0</v>
      </c>
      <c r="W75" s="297">
        <f t="shared" si="8"/>
        <v>0</v>
      </c>
      <c r="Y75" s="313"/>
    </row>
    <row r="76" spans="1:25">
      <c r="A76" s="323" t="s">
        <v>346</v>
      </c>
      <c r="B76" s="135"/>
      <c r="C76" s="324" t="str">
        <f>'Level 1'!E76</f>
        <v>Allowance</v>
      </c>
      <c r="D76" s="40" t="str">
        <f>'Level 1'!F76</f>
        <v>LS</v>
      </c>
      <c r="E76" s="38">
        <f>'Level 1'!G76</f>
        <v>1</v>
      </c>
      <c r="F76" s="51">
        <f>'Level 1'!H76</f>
        <v>7500</v>
      </c>
      <c r="G76" s="53">
        <f>'Level 1'!I76</f>
        <v>0</v>
      </c>
      <c r="H76" s="51">
        <f>'Level 1'!J76</f>
        <v>7500</v>
      </c>
      <c r="I76" s="54">
        <f>'Level 1'!K76</f>
        <v>7500</v>
      </c>
      <c r="J76" s="96"/>
      <c r="L76" s="324"/>
      <c r="M76" s="40"/>
      <c r="N76" s="38"/>
      <c r="O76" s="51"/>
      <c r="P76" s="53"/>
      <c r="Q76" s="51"/>
      <c r="R76" s="54">
        <v>6700</v>
      </c>
      <c r="S76" s="96"/>
      <c r="U76" s="296">
        <f t="shared" si="2"/>
        <v>800</v>
      </c>
      <c r="W76" s="297">
        <f t="shared" si="8"/>
        <v>0.11940298507462686</v>
      </c>
      <c r="Y76" s="313"/>
    </row>
    <row r="77" spans="1:25">
      <c r="A77" s="323" t="s">
        <v>347</v>
      </c>
      <c r="B77" s="135"/>
      <c r="C77" s="324" t="str">
        <f>'Level 1'!E77</f>
        <v>Allowance</v>
      </c>
      <c r="D77" s="40" t="str">
        <f>'Level 1'!F77</f>
        <v>LS</v>
      </c>
      <c r="E77" s="38">
        <f>'Level 1'!G77</f>
        <v>1</v>
      </c>
      <c r="F77" s="51">
        <f>'Level 1'!H77</f>
        <v>7500</v>
      </c>
      <c r="G77" s="53">
        <f>'Level 1'!I77</f>
        <v>0.2</v>
      </c>
      <c r="H77" s="51">
        <f>'Level 1'!J77</f>
        <v>9000</v>
      </c>
      <c r="I77" s="54">
        <f>'Level 1'!K77</f>
        <v>9000</v>
      </c>
      <c r="J77" s="96"/>
      <c r="L77" s="324"/>
      <c r="M77" s="40"/>
      <c r="N77" s="38"/>
      <c r="O77" s="51"/>
      <c r="P77" s="53"/>
      <c r="Q77" s="51"/>
      <c r="R77" s="54">
        <v>0</v>
      </c>
      <c r="S77" s="96"/>
      <c r="U77" s="296">
        <f t="shared" si="2"/>
        <v>9000</v>
      </c>
      <c r="W77" s="297">
        <f t="shared" si="8"/>
        <v>0</v>
      </c>
      <c r="Y77" s="313"/>
    </row>
    <row r="78" spans="1:25">
      <c r="A78" s="323" t="s">
        <v>349</v>
      </c>
      <c r="B78" s="135"/>
      <c r="C78" s="324" t="str">
        <f>'Level 1'!E78</f>
        <v>Decatur</v>
      </c>
      <c r="D78" s="40" t="str">
        <f>'Level 1'!F78</f>
        <v>Count</v>
      </c>
      <c r="E78" s="38">
        <f>'Level 1'!G78</f>
        <v>14</v>
      </c>
      <c r="F78" s="51">
        <f>'Level 1'!H78</f>
        <v>5800</v>
      </c>
      <c r="G78" s="53">
        <f>'Level 1'!I78</f>
        <v>0.2</v>
      </c>
      <c r="H78" s="51">
        <f>'Level 1'!J78</f>
        <v>6960</v>
      </c>
      <c r="I78" s="54">
        <f>'Level 1'!K78</f>
        <v>97440</v>
      </c>
      <c r="J78" s="96"/>
      <c r="L78" s="324"/>
      <c r="M78" s="40"/>
      <c r="N78" s="38"/>
      <c r="O78" s="51"/>
      <c r="P78" s="53"/>
      <c r="Q78" s="51"/>
      <c r="R78" s="54">
        <v>84000</v>
      </c>
      <c r="S78" s="96"/>
      <c r="U78" s="296">
        <f t="shared" si="2"/>
        <v>13440</v>
      </c>
      <c r="W78" s="297">
        <f t="shared" si="8"/>
        <v>0.16</v>
      </c>
      <c r="Y78" s="313"/>
    </row>
    <row r="79" spans="1:25">
      <c r="A79" s="323" t="s">
        <v>351</v>
      </c>
      <c r="B79" s="135"/>
      <c r="C79" s="324" t="str">
        <f>'Level 1'!E79</f>
        <v>Torrey Pines</v>
      </c>
      <c r="D79" s="40" t="str">
        <f>'Level 1'!F79</f>
        <v>SF</v>
      </c>
      <c r="E79" s="38">
        <f>'Level 1'!G79</f>
        <v>431911</v>
      </c>
      <c r="F79" s="51">
        <f>'Level 1'!H79</f>
        <v>0.08</v>
      </c>
      <c r="G79" s="53">
        <f>'Level 1'!I79</f>
        <v>0</v>
      </c>
      <c r="H79" s="51">
        <f>'Level 1'!J79</f>
        <v>0.08</v>
      </c>
      <c r="I79" s="54">
        <f>'Level 1'!K79</f>
        <v>34552.879999999997</v>
      </c>
      <c r="J79" s="96"/>
      <c r="L79" s="324"/>
      <c r="M79" s="40"/>
      <c r="N79" s="38"/>
      <c r="O79" s="51"/>
      <c r="P79" s="53"/>
      <c r="Q79" s="51"/>
      <c r="R79" s="54">
        <v>34290.32</v>
      </c>
      <c r="S79" s="96"/>
      <c r="U79" s="296">
        <f t="shared" si="2"/>
        <v>262.55999999999767</v>
      </c>
      <c r="W79" s="297">
        <f t="shared" si="8"/>
        <v>7.6569714135067178E-3</v>
      </c>
      <c r="Y79" s="313"/>
    </row>
    <row r="80" spans="1:25">
      <c r="A80" s="323" t="s">
        <v>353</v>
      </c>
      <c r="B80" s="135"/>
      <c r="C80" s="324" t="str">
        <f>'Level 1'!E80</f>
        <v>Torrey Pines</v>
      </c>
      <c r="D80" s="40" t="str">
        <f>'Level 1'!F80</f>
        <v>SF</v>
      </c>
      <c r="E80" s="38">
        <f>'Level 1'!G80</f>
        <v>431911</v>
      </c>
      <c r="F80" s="51">
        <f>'Level 1'!H80</f>
        <v>0.05</v>
      </c>
      <c r="G80" s="53">
        <f>'Level 1'!I80</f>
        <v>0</v>
      </c>
      <c r="H80" s="51">
        <f>'Level 1'!J80</f>
        <v>0.05</v>
      </c>
      <c r="I80" s="54">
        <f>'Level 1'!K80</f>
        <v>21595.550000000003</v>
      </c>
      <c r="J80" s="96"/>
      <c r="L80" s="324"/>
      <c r="M80" s="40"/>
      <c r="N80" s="38"/>
      <c r="O80" s="51"/>
      <c r="P80" s="53"/>
      <c r="Q80" s="51"/>
      <c r="R80" s="54">
        <v>21431.45</v>
      </c>
      <c r="S80" s="96"/>
      <c r="U80" s="296">
        <f t="shared" si="2"/>
        <v>164.10000000000218</v>
      </c>
      <c r="W80" s="297">
        <f t="shared" si="8"/>
        <v>7.656971413506887E-3</v>
      </c>
      <c r="Y80" s="313"/>
    </row>
    <row r="81" spans="1:25">
      <c r="A81" s="323" t="s">
        <v>355</v>
      </c>
      <c r="B81" s="135"/>
      <c r="C81" s="324" t="str">
        <f>'Level 1'!E81</f>
        <v>Torrey Pines</v>
      </c>
      <c r="D81" s="40" t="str">
        <f>'Level 1'!F81</f>
        <v>Count</v>
      </c>
      <c r="E81" s="38">
        <f>'Level 1'!G81</f>
        <v>10</v>
      </c>
      <c r="F81" s="51">
        <f>'Level 1'!H81</f>
        <v>1550</v>
      </c>
      <c r="G81" s="53">
        <f>'Level 1'!I81</f>
        <v>0</v>
      </c>
      <c r="H81" s="51">
        <f>'Level 1'!J81</f>
        <v>1550</v>
      </c>
      <c r="I81" s="54">
        <f>'Level 1'!K81</f>
        <v>15500</v>
      </c>
      <c r="J81" s="96"/>
      <c r="L81" s="324"/>
      <c r="M81" s="40"/>
      <c r="N81" s="38"/>
      <c r="O81" s="51"/>
      <c r="P81" s="53"/>
      <c r="Q81" s="51"/>
      <c r="R81" s="54">
        <v>18600</v>
      </c>
      <c r="S81" s="96"/>
      <c r="U81" s="296">
        <f t="shared" si="2"/>
        <v>-3100</v>
      </c>
      <c r="W81" s="297">
        <f t="shared" si="8"/>
        <v>-0.16666666666666666</v>
      </c>
      <c r="Y81" s="313"/>
    </row>
    <row r="82" spans="1:25">
      <c r="A82" s="323" t="s">
        <v>358</v>
      </c>
      <c r="B82" s="135"/>
      <c r="C82" s="324" t="str">
        <f>'Level 1'!E82</f>
        <v>Torrey Pines</v>
      </c>
      <c r="D82" s="40" t="str">
        <f>'Level 1'!F82</f>
        <v>Count</v>
      </c>
      <c r="E82" s="38">
        <f>'Level 1'!G82</f>
        <v>10</v>
      </c>
      <c r="F82" s="51">
        <f>'Level 1'!H82</f>
        <v>2500</v>
      </c>
      <c r="G82" s="53">
        <f>'Level 1'!I82</f>
        <v>0</v>
      </c>
      <c r="H82" s="51">
        <f>'Level 1'!J82</f>
        <v>2500</v>
      </c>
      <c r="I82" s="54">
        <f>'Level 1'!K82</f>
        <v>25000</v>
      </c>
      <c r="J82" s="96"/>
      <c r="L82" s="324"/>
      <c r="M82" s="40"/>
      <c r="N82" s="38"/>
      <c r="O82" s="51"/>
      <c r="P82" s="53"/>
      <c r="Q82" s="51"/>
      <c r="R82" s="54">
        <v>30000</v>
      </c>
      <c r="S82" s="96"/>
      <c r="U82" s="296">
        <f t="shared" si="2"/>
        <v>-5000</v>
      </c>
      <c r="W82" s="297">
        <f t="shared" si="8"/>
        <v>-0.16666666666666666</v>
      </c>
      <c r="Y82" s="313"/>
    </row>
    <row r="83" spans="1:25">
      <c r="A83" s="323" t="s">
        <v>360</v>
      </c>
      <c r="B83" s="135"/>
      <c r="C83" s="324" t="str">
        <f>'Level 1'!E83</f>
        <v>N/A</v>
      </c>
      <c r="D83" s="40">
        <f>'Level 1'!F83</f>
        <v>0</v>
      </c>
      <c r="E83" s="38">
        <f>'Level 1'!G83</f>
        <v>0</v>
      </c>
      <c r="F83" s="51">
        <f>'Level 1'!H83</f>
        <v>0</v>
      </c>
      <c r="G83" s="53">
        <f>'Level 1'!I83</f>
        <v>0</v>
      </c>
      <c r="H83" s="51">
        <f>'Level 1'!J83</f>
        <v>0</v>
      </c>
      <c r="I83" s="54">
        <f>'Level 1'!K83</f>
        <v>0</v>
      </c>
      <c r="J83" s="331"/>
      <c r="L83" s="324"/>
      <c r="M83" s="40"/>
      <c r="N83" s="38"/>
      <c r="O83" s="51"/>
      <c r="P83" s="53"/>
      <c r="Q83" s="51"/>
      <c r="R83" s="54">
        <v>0</v>
      </c>
      <c r="S83" s="331"/>
      <c r="U83" s="332">
        <f t="shared" si="2"/>
        <v>0</v>
      </c>
      <c r="W83" s="333">
        <f t="shared" si="8"/>
        <v>0</v>
      </c>
      <c r="Y83" s="313"/>
    </row>
    <row r="84" spans="1:25">
      <c r="A84" s="314" t="s">
        <v>362</v>
      </c>
      <c r="B84" s="135"/>
      <c r="C84" s="315"/>
      <c r="D84" s="151"/>
      <c r="E84" s="152"/>
      <c r="F84" s="153"/>
      <c r="G84" s="154"/>
      <c r="H84" s="153"/>
      <c r="I84" s="172"/>
      <c r="J84" s="316">
        <f>'Level 1'!L84</f>
        <v>639799.78947368404</v>
      </c>
      <c r="L84" s="315"/>
      <c r="M84" s="151"/>
      <c r="N84" s="152"/>
      <c r="O84" s="153"/>
      <c r="P84" s="154"/>
      <c r="Q84" s="153"/>
      <c r="R84" s="172"/>
      <c r="S84" s="316">
        <v>517390.80000000005</v>
      </c>
      <c r="U84" s="317">
        <f>J84-S84</f>
        <v>122408.98947368399</v>
      </c>
      <c r="W84" s="318">
        <f>IF(S84=0,0,U84/S84)</f>
        <v>0.23658903380903562</v>
      </c>
      <c r="Y84" s="313" t="s">
        <v>1201</v>
      </c>
    </row>
    <row r="85" spans="1:25">
      <c r="A85" s="321" t="s">
        <v>307</v>
      </c>
      <c r="B85" s="135"/>
      <c r="C85" s="322">
        <f>'Level 1'!E85</f>
        <v>0</v>
      </c>
      <c r="D85" s="47">
        <f>'Level 1'!F85</f>
        <v>0</v>
      </c>
      <c r="E85" s="42">
        <f>'Level 1'!G85</f>
        <v>0</v>
      </c>
      <c r="F85" s="61">
        <f>'Level 1'!H85</f>
        <v>79</v>
      </c>
      <c r="G85" s="63">
        <f>'Level 1'!I85</f>
        <v>0</v>
      </c>
      <c r="H85" s="66">
        <f>'Level 1'!J85</f>
        <v>79</v>
      </c>
      <c r="I85" s="67">
        <f>'Level 1'!K85</f>
        <v>0</v>
      </c>
      <c r="J85" s="96"/>
      <c r="L85" s="322"/>
      <c r="M85" s="47"/>
      <c r="N85" s="42"/>
      <c r="O85" s="61"/>
      <c r="P85" s="63"/>
      <c r="Q85" s="66"/>
      <c r="R85" s="67">
        <v>30731</v>
      </c>
      <c r="S85" s="96"/>
      <c r="U85" s="296">
        <f t="shared" si="2"/>
        <v>-30731</v>
      </c>
      <c r="W85" s="297">
        <f t="shared" ref="W85:W99" si="9">IF(R85=0,0,U85/R85)</f>
        <v>-1</v>
      </c>
      <c r="Y85" s="313" t="s">
        <v>1201</v>
      </c>
    </row>
    <row r="86" spans="1:25">
      <c r="A86" s="323" t="s">
        <v>365</v>
      </c>
      <c r="B86" s="135"/>
      <c r="C86" s="324" t="str">
        <f>'Level 1'!E86</f>
        <v>N/A</v>
      </c>
      <c r="D86" s="40">
        <f>'Level 1'!F86</f>
        <v>0</v>
      </c>
      <c r="E86" s="38">
        <f>'Level 1'!G86</f>
        <v>0</v>
      </c>
      <c r="F86" s="51">
        <f>'Level 1'!H86</f>
        <v>0</v>
      </c>
      <c r="G86" s="53">
        <f>'Level 1'!I86</f>
        <v>0</v>
      </c>
      <c r="H86" s="51">
        <f>'Level 1'!J86</f>
        <v>0</v>
      </c>
      <c r="I86" s="54">
        <f>'Level 1'!K86</f>
        <v>0</v>
      </c>
      <c r="J86" s="96"/>
      <c r="L86" s="324"/>
      <c r="M86" s="40"/>
      <c r="N86" s="38"/>
      <c r="O86" s="51"/>
      <c r="P86" s="53"/>
      <c r="Q86" s="51"/>
      <c r="R86" s="54">
        <v>15908</v>
      </c>
      <c r="S86" s="96"/>
      <c r="U86" s="296">
        <f t="shared" si="2"/>
        <v>-15908</v>
      </c>
      <c r="W86" s="297">
        <f t="shared" si="9"/>
        <v>-1</v>
      </c>
      <c r="Y86" s="313"/>
    </row>
    <row r="87" spans="1:25">
      <c r="A87" s="323" t="s">
        <v>367</v>
      </c>
      <c r="B87" s="135"/>
      <c r="C87" s="324" t="str">
        <f>'Level 1'!E87</f>
        <v>Included</v>
      </c>
      <c r="D87" s="40">
        <f>'Level 1'!F87</f>
        <v>0</v>
      </c>
      <c r="E87" s="38">
        <f>'Level 1'!G87</f>
        <v>0</v>
      </c>
      <c r="F87" s="51">
        <f>'Level 1'!H87</f>
        <v>0</v>
      </c>
      <c r="G87" s="53">
        <f>'Level 1'!I87</f>
        <v>0</v>
      </c>
      <c r="H87" s="51">
        <f>'Level 1'!J87</f>
        <v>0</v>
      </c>
      <c r="I87" s="54">
        <f>'Level 1'!K87</f>
        <v>0</v>
      </c>
      <c r="J87" s="96"/>
      <c r="L87" s="324"/>
      <c r="M87" s="40"/>
      <c r="N87" s="38"/>
      <c r="O87" s="51"/>
      <c r="P87" s="53"/>
      <c r="Q87" s="51"/>
      <c r="R87" s="54">
        <v>0</v>
      </c>
      <c r="S87" s="96"/>
      <c r="U87" s="296">
        <f t="shared" si="2"/>
        <v>0</v>
      </c>
      <c r="W87" s="297">
        <f t="shared" si="9"/>
        <v>0</v>
      </c>
      <c r="Y87" s="313"/>
    </row>
    <row r="88" spans="1:25">
      <c r="A88" s="323" t="s">
        <v>370</v>
      </c>
      <c r="B88" s="135"/>
      <c r="C88" s="324" t="str">
        <f>'Level 1'!E88</f>
        <v>N/A</v>
      </c>
      <c r="D88" s="40">
        <f>'Level 1'!F88</f>
        <v>0</v>
      </c>
      <c r="E88" s="38">
        <f>'Level 1'!G88</f>
        <v>0</v>
      </c>
      <c r="F88" s="51">
        <f>'Level 1'!H88</f>
        <v>0</v>
      </c>
      <c r="G88" s="53">
        <f>'Level 1'!I88</f>
        <v>0</v>
      </c>
      <c r="H88" s="51">
        <f>'Level 1'!J88</f>
        <v>0</v>
      </c>
      <c r="I88" s="54">
        <f>'Level 1'!K88</f>
        <v>0</v>
      </c>
      <c r="J88" s="96"/>
      <c r="L88" s="324"/>
      <c r="M88" s="40"/>
      <c r="N88" s="38"/>
      <c r="O88" s="51"/>
      <c r="P88" s="53"/>
      <c r="Q88" s="51"/>
      <c r="R88" s="54">
        <v>0</v>
      </c>
      <c r="S88" s="96"/>
      <c r="U88" s="296">
        <f t="shared" si="2"/>
        <v>0</v>
      </c>
      <c r="W88" s="297">
        <f t="shared" si="9"/>
        <v>0</v>
      </c>
      <c r="Y88" s="313"/>
    </row>
    <row r="89" spans="1:25">
      <c r="A89" s="323" t="s">
        <v>371</v>
      </c>
      <c r="B89" s="135"/>
      <c r="C89" s="324" t="str">
        <f>'Level 1'!E89</f>
        <v>N/A</v>
      </c>
      <c r="D89" s="40">
        <f>'Level 1'!F89</f>
        <v>0</v>
      </c>
      <c r="E89" s="38">
        <f>'Level 1'!G89</f>
        <v>0</v>
      </c>
      <c r="F89" s="51">
        <f>'Level 1'!H89</f>
        <v>0</v>
      </c>
      <c r="G89" s="53">
        <f>'Level 1'!I89</f>
        <v>0</v>
      </c>
      <c r="H89" s="51">
        <f>'Level 1'!J89</f>
        <v>0</v>
      </c>
      <c r="I89" s="54">
        <f>'Level 1'!K89</f>
        <v>0</v>
      </c>
      <c r="J89" s="96"/>
      <c r="L89" s="324"/>
      <c r="M89" s="40"/>
      <c r="N89" s="38"/>
      <c r="O89" s="51"/>
      <c r="P89" s="53"/>
      <c r="Q89" s="51"/>
      <c r="R89" s="54">
        <v>0</v>
      </c>
      <c r="S89" s="96"/>
      <c r="U89" s="296">
        <f t="shared" ref="U89:U99" si="10">I89-R89</f>
        <v>0</v>
      </c>
      <c r="W89" s="297">
        <f t="shared" si="9"/>
        <v>0</v>
      </c>
      <c r="Y89" s="313"/>
    </row>
    <row r="90" spans="1:25">
      <c r="A90" s="323" t="s">
        <v>373</v>
      </c>
      <c r="B90" s="135"/>
      <c r="C90" s="324" t="str">
        <f>'Level 1'!E90</f>
        <v>Torrey Pines</v>
      </c>
      <c r="D90" s="40" t="str">
        <f>'Level 1'!F90</f>
        <v>Per Unit</v>
      </c>
      <c r="E90" s="42">
        <f>'Level 1'!G90</f>
        <v>390</v>
      </c>
      <c r="F90" s="51">
        <f>'Level 1'!H90</f>
        <v>1157.8947368421052</v>
      </c>
      <c r="G90" s="53">
        <f>'Level 1'!I90</f>
        <v>0.15</v>
      </c>
      <c r="H90" s="51">
        <f>'Level 1'!J90</f>
        <v>1331.5789473684208</v>
      </c>
      <c r="I90" s="54">
        <f>'Level 1'!K90</f>
        <v>519315.7894736841</v>
      </c>
      <c r="J90" s="96"/>
      <c r="L90" s="324"/>
      <c r="M90" s="40"/>
      <c r="N90" s="42"/>
      <c r="O90" s="51"/>
      <c r="P90" s="53"/>
      <c r="Q90" s="51"/>
      <c r="R90" s="54">
        <v>338896.80000000005</v>
      </c>
      <c r="S90" s="96"/>
      <c r="U90" s="296">
        <f t="shared" si="10"/>
        <v>180418.98947368405</v>
      </c>
      <c r="W90" s="297">
        <f t="shared" si="9"/>
        <v>0.53237147554560571</v>
      </c>
      <c r="Y90" s="313" t="s">
        <v>1202</v>
      </c>
    </row>
    <row r="91" spans="1:25">
      <c r="A91" s="323" t="s">
        <v>377</v>
      </c>
      <c r="B91" s="135"/>
      <c r="C91" s="324" t="str">
        <f>'Level 1'!E91</f>
        <v>Allowance</v>
      </c>
      <c r="D91" s="40" t="str">
        <f>'Level 1'!F91</f>
        <v>Per Unit</v>
      </c>
      <c r="E91" s="42">
        <f>'Level 1'!G91</f>
        <v>390</v>
      </c>
      <c r="F91" s="51">
        <f>'Level 1'!H91</f>
        <v>75</v>
      </c>
      <c r="G91" s="53">
        <f>'Level 1'!I91</f>
        <v>0</v>
      </c>
      <c r="H91" s="51">
        <f>'Level 1'!J91</f>
        <v>75</v>
      </c>
      <c r="I91" s="54">
        <f>'Level 1'!K91</f>
        <v>29250</v>
      </c>
      <c r="J91" s="96"/>
      <c r="L91" s="324"/>
      <c r="M91" s="40"/>
      <c r="N91" s="42"/>
      <c r="O91" s="51"/>
      <c r="P91" s="53"/>
      <c r="Q91" s="51"/>
      <c r="R91" s="54">
        <v>29175</v>
      </c>
      <c r="S91" s="96"/>
      <c r="U91" s="296">
        <f t="shared" si="10"/>
        <v>75</v>
      </c>
      <c r="W91" s="297">
        <f t="shared" si="9"/>
        <v>2.5706940874035988E-3</v>
      </c>
      <c r="Y91" s="313"/>
    </row>
    <row r="92" spans="1:25">
      <c r="A92" s="323" t="s">
        <v>378</v>
      </c>
      <c r="B92" s="135"/>
      <c r="C92" s="324" t="str">
        <f>'Level 1'!E92</f>
        <v>N/A</v>
      </c>
      <c r="D92" s="40">
        <f>'Level 1'!F92</f>
        <v>0</v>
      </c>
      <c r="E92" s="38">
        <f>'Level 1'!G92</f>
        <v>0</v>
      </c>
      <c r="F92" s="51">
        <f>'Level 1'!H92</f>
        <v>0</v>
      </c>
      <c r="G92" s="53">
        <f>'Level 1'!I92</f>
        <v>0</v>
      </c>
      <c r="H92" s="51">
        <f>'Level 1'!J92</f>
        <v>0</v>
      </c>
      <c r="I92" s="54">
        <f>'Level 1'!K92</f>
        <v>0</v>
      </c>
      <c r="J92" s="96"/>
      <c r="L92" s="324"/>
      <c r="M92" s="40"/>
      <c r="N92" s="38"/>
      <c r="O92" s="51"/>
      <c r="P92" s="53"/>
      <c r="Q92" s="51"/>
      <c r="R92" s="54">
        <v>0</v>
      </c>
      <c r="S92" s="96"/>
      <c r="U92" s="296">
        <f t="shared" si="10"/>
        <v>0</v>
      </c>
      <c r="W92" s="297">
        <f t="shared" si="9"/>
        <v>0</v>
      </c>
      <c r="Y92" s="313"/>
    </row>
    <row r="93" spans="1:25">
      <c r="A93" s="323" t="s">
        <v>380</v>
      </c>
      <c r="B93" s="135"/>
      <c r="C93" s="324" t="str">
        <f>'Level 1'!E93</f>
        <v>N/A</v>
      </c>
      <c r="D93" s="40">
        <f>'Level 1'!F93</f>
        <v>0</v>
      </c>
      <c r="E93" s="38">
        <f>'Level 1'!G93</f>
        <v>0</v>
      </c>
      <c r="F93" s="51">
        <f>'Level 1'!H93</f>
        <v>0</v>
      </c>
      <c r="G93" s="53">
        <f>'Level 1'!I93</f>
        <v>0</v>
      </c>
      <c r="H93" s="51">
        <f>'Level 1'!J93</f>
        <v>0</v>
      </c>
      <c r="I93" s="54">
        <f>'Level 1'!K93</f>
        <v>0</v>
      </c>
      <c r="J93" s="96"/>
      <c r="L93" s="324"/>
      <c r="M93" s="40"/>
      <c r="N93" s="38"/>
      <c r="O93" s="51"/>
      <c r="P93" s="53"/>
      <c r="Q93" s="51"/>
      <c r="R93" s="54">
        <v>0</v>
      </c>
      <c r="S93" s="96"/>
      <c r="U93" s="296">
        <f t="shared" si="10"/>
        <v>0</v>
      </c>
      <c r="W93" s="297">
        <f t="shared" si="9"/>
        <v>0</v>
      </c>
      <c r="Y93" s="313"/>
    </row>
    <row r="94" spans="1:25">
      <c r="A94" s="323" t="s">
        <v>382</v>
      </c>
      <c r="B94" s="135"/>
      <c r="C94" s="324" t="str">
        <f>'Level 1'!E94</f>
        <v>N/A</v>
      </c>
      <c r="D94" s="40">
        <f>'Level 1'!F94</f>
        <v>0</v>
      </c>
      <c r="E94" s="38">
        <f>'Level 1'!G94</f>
        <v>0</v>
      </c>
      <c r="F94" s="51">
        <f>'Level 1'!H94</f>
        <v>0</v>
      </c>
      <c r="G94" s="53">
        <f>'Level 1'!I94</f>
        <v>0</v>
      </c>
      <c r="H94" s="51">
        <f>'Level 1'!J94</f>
        <v>0</v>
      </c>
      <c r="I94" s="54">
        <f>'Level 1'!K94</f>
        <v>0</v>
      </c>
      <c r="J94" s="96"/>
      <c r="L94" s="324"/>
      <c r="M94" s="40"/>
      <c r="N94" s="38"/>
      <c r="O94" s="51"/>
      <c r="P94" s="53"/>
      <c r="Q94" s="51"/>
      <c r="R94" s="54">
        <v>0</v>
      </c>
      <c r="S94" s="96"/>
      <c r="U94" s="296">
        <f t="shared" si="10"/>
        <v>0</v>
      </c>
      <c r="W94" s="297">
        <f t="shared" si="9"/>
        <v>0</v>
      </c>
      <c r="Y94" s="313"/>
    </row>
    <row r="95" spans="1:25">
      <c r="A95" s="323" t="s">
        <v>384</v>
      </c>
      <c r="B95" s="135"/>
      <c r="C95" s="324" t="str">
        <f>'Level 1'!E95</f>
        <v>N/A</v>
      </c>
      <c r="D95" s="40">
        <f>'Level 1'!F95</f>
        <v>0</v>
      </c>
      <c r="E95" s="38">
        <f>'Level 1'!G95</f>
        <v>0</v>
      </c>
      <c r="F95" s="51">
        <f>'Level 1'!H95</f>
        <v>0</v>
      </c>
      <c r="G95" s="53">
        <f>'Level 1'!I95</f>
        <v>0</v>
      </c>
      <c r="H95" s="51">
        <f>'Level 1'!J95</f>
        <v>0</v>
      </c>
      <c r="I95" s="54">
        <f>'Level 1'!K95</f>
        <v>0</v>
      </c>
      <c r="J95" s="96"/>
      <c r="L95" s="324"/>
      <c r="M95" s="40"/>
      <c r="N95" s="38"/>
      <c r="O95" s="51"/>
      <c r="P95" s="53"/>
      <c r="Q95" s="51"/>
      <c r="R95" s="54">
        <v>0</v>
      </c>
      <c r="S95" s="96"/>
      <c r="U95" s="296">
        <f t="shared" si="10"/>
        <v>0</v>
      </c>
      <c r="W95" s="297">
        <f t="shared" si="9"/>
        <v>0</v>
      </c>
      <c r="Y95" s="313"/>
    </row>
    <row r="96" spans="1:25">
      <c r="A96" s="323" t="s">
        <v>386</v>
      </c>
      <c r="B96" s="135"/>
      <c r="C96" s="324" t="str">
        <f>'Level 1'!E96</f>
        <v>N/A</v>
      </c>
      <c r="D96" s="40">
        <f>'Level 1'!F96</f>
        <v>0</v>
      </c>
      <c r="E96" s="38">
        <f>'Level 1'!G96</f>
        <v>0</v>
      </c>
      <c r="F96" s="51">
        <f>'Level 1'!H96</f>
        <v>0</v>
      </c>
      <c r="G96" s="53">
        <f>'Level 1'!I96</f>
        <v>0</v>
      </c>
      <c r="H96" s="51">
        <f>'Level 1'!J96</f>
        <v>0</v>
      </c>
      <c r="I96" s="54">
        <f>'Level 1'!K96</f>
        <v>0</v>
      </c>
      <c r="J96" s="96"/>
      <c r="L96" s="324"/>
      <c r="M96" s="40"/>
      <c r="N96" s="38"/>
      <c r="O96" s="51"/>
      <c r="P96" s="53"/>
      <c r="Q96" s="51"/>
      <c r="R96" s="54">
        <v>0</v>
      </c>
      <c r="S96" s="96"/>
      <c r="U96" s="296">
        <f t="shared" si="10"/>
        <v>0</v>
      </c>
      <c r="W96" s="297">
        <f t="shared" si="9"/>
        <v>0</v>
      </c>
      <c r="Y96" s="313"/>
    </row>
    <row r="97" spans="1:25">
      <c r="A97" s="323" t="s">
        <v>388</v>
      </c>
      <c r="B97" s="135"/>
      <c r="C97" s="324" t="str">
        <f>'Level 1'!E97</f>
        <v>N/A</v>
      </c>
      <c r="D97" s="40">
        <f>'Level 1'!F97</f>
        <v>0</v>
      </c>
      <c r="E97" s="38">
        <f>'Level 1'!G97</f>
        <v>0</v>
      </c>
      <c r="F97" s="51">
        <f>'Level 1'!H97</f>
        <v>0</v>
      </c>
      <c r="G97" s="53">
        <f>'Level 1'!I97</f>
        <v>0</v>
      </c>
      <c r="H97" s="51">
        <f>'Level 1'!J97</f>
        <v>0</v>
      </c>
      <c r="I97" s="54">
        <f>'Level 1'!K97</f>
        <v>0</v>
      </c>
      <c r="J97" s="96"/>
      <c r="L97" s="324"/>
      <c r="M97" s="40"/>
      <c r="N97" s="38"/>
      <c r="O97" s="51"/>
      <c r="P97" s="53"/>
      <c r="Q97" s="51"/>
      <c r="R97" s="54">
        <v>0</v>
      </c>
      <c r="S97" s="96"/>
      <c r="U97" s="296">
        <f t="shared" si="10"/>
        <v>0</v>
      </c>
      <c r="W97" s="297">
        <f t="shared" si="9"/>
        <v>0</v>
      </c>
      <c r="Y97" s="313"/>
    </row>
    <row r="98" spans="1:25">
      <c r="A98" s="323" t="s">
        <v>389</v>
      </c>
      <c r="B98" s="135"/>
      <c r="C98" s="324" t="str">
        <f>'Level 1'!E98</f>
        <v>Pebble</v>
      </c>
      <c r="D98" s="40" t="str">
        <f>'Level 1'!F98</f>
        <v xml:space="preserve">Unit </v>
      </c>
      <c r="E98" s="42">
        <f>'Level 1'!G98</f>
        <v>557</v>
      </c>
      <c r="F98" s="51">
        <f>'Level 1'!H98</f>
        <v>162</v>
      </c>
      <c r="G98" s="53">
        <f>'Level 1'!I98</f>
        <v>0</v>
      </c>
      <c r="H98" s="51">
        <f>'Level 1'!J98</f>
        <v>162</v>
      </c>
      <c r="I98" s="54">
        <f>'Level 1'!K98</f>
        <v>90234</v>
      </c>
      <c r="J98" s="96"/>
      <c r="L98" s="324"/>
      <c r="M98" s="40"/>
      <c r="N98" s="42"/>
      <c r="O98" s="51"/>
      <c r="P98" s="53"/>
      <c r="Q98" s="51"/>
      <c r="R98" s="54">
        <v>101880</v>
      </c>
      <c r="S98" s="96"/>
      <c r="U98" s="296">
        <f t="shared" si="10"/>
        <v>-11646</v>
      </c>
      <c r="W98" s="297">
        <f t="shared" si="9"/>
        <v>-0.11431095406360424</v>
      </c>
      <c r="Y98" s="313"/>
    </row>
    <row r="99" spans="1:25">
      <c r="A99" s="323" t="s">
        <v>390</v>
      </c>
      <c r="B99" s="135"/>
      <c r="C99" s="324" t="str">
        <f>'Level 1'!E99</f>
        <v>Allowance</v>
      </c>
      <c r="D99" s="40" t="str">
        <f>'Level 1'!F99</f>
        <v>Count</v>
      </c>
      <c r="E99" s="38">
        <f>'Level 1'!G99</f>
        <v>4</v>
      </c>
      <c r="F99" s="51">
        <f>'Level 1'!H99</f>
        <v>250</v>
      </c>
      <c r="G99" s="53">
        <f>'Level 1'!I99</f>
        <v>0</v>
      </c>
      <c r="H99" s="51">
        <f>'Level 1'!J99</f>
        <v>250</v>
      </c>
      <c r="I99" s="54">
        <f>'Level 1'!K99</f>
        <v>1000</v>
      </c>
      <c r="J99" s="96"/>
      <c r="L99" s="324"/>
      <c r="M99" s="40"/>
      <c r="N99" s="38"/>
      <c r="O99" s="51"/>
      <c r="P99" s="53"/>
      <c r="Q99" s="51"/>
      <c r="R99" s="54">
        <v>800</v>
      </c>
      <c r="S99" s="96"/>
      <c r="U99" s="296">
        <f t="shared" si="10"/>
        <v>200</v>
      </c>
      <c r="W99" s="297">
        <f t="shared" si="9"/>
        <v>0.25</v>
      </c>
      <c r="Y99" s="313"/>
    </row>
    <row r="100" spans="1:25">
      <c r="A100" s="314" t="s">
        <v>391</v>
      </c>
      <c r="B100" s="135"/>
      <c r="C100" s="315"/>
      <c r="D100" s="151"/>
      <c r="E100" s="152"/>
      <c r="F100" s="153"/>
      <c r="G100" s="154"/>
      <c r="H100" s="153"/>
      <c r="I100" s="172"/>
      <c r="J100" s="316">
        <f>'Level 1'!L100</f>
        <v>7023592.8141822321</v>
      </c>
      <c r="L100" s="315"/>
      <c r="M100" s="151"/>
      <c r="N100" s="152"/>
      <c r="O100" s="153"/>
      <c r="P100" s="154"/>
      <c r="Q100" s="153"/>
      <c r="R100" s="172"/>
      <c r="S100" s="316">
        <v>7462650.5573888905</v>
      </c>
      <c r="U100" s="317">
        <f>J100-S100</f>
        <v>-439057.7432066584</v>
      </c>
      <c r="W100" s="318">
        <f>IF(S100=0,0,U100/S100)</f>
        <v>-5.8834021482077871E-2</v>
      </c>
      <c r="Y100" s="313"/>
    </row>
    <row r="101" spans="1:25">
      <c r="A101" s="321" t="s">
        <v>393</v>
      </c>
      <c r="B101" s="135"/>
      <c r="C101" s="322">
        <f>'Level 1'!E101</f>
        <v>0</v>
      </c>
      <c r="D101" s="47">
        <f>'Level 1'!F101</f>
        <v>0</v>
      </c>
      <c r="E101" s="42">
        <f>'Level 1'!G101</f>
        <v>0</v>
      </c>
      <c r="F101" s="61">
        <f>'Level 1'!H101</f>
        <v>0.05</v>
      </c>
      <c r="G101" s="63">
        <f>'Level 1'!I101</f>
        <v>0</v>
      </c>
      <c r="H101" s="66">
        <f>'Level 1'!J101</f>
        <v>0.05</v>
      </c>
      <c r="I101" s="67">
        <f>'Level 1'!K101</f>
        <v>0</v>
      </c>
      <c r="J101" s="96"/>
      <c r="L101" s="322"/>
      <c r="M101" s="47"/>
      <c r="N101" s="42"/>
      <c r="O101" s="61"/>
      <c r="P101" s="63"/>
      <c r="Q101" s="66"/>
      <c r="R101" s="67">
        <v>21431.45</v>
      </c>
      <c r="S101" s="96"/>
      <c r="U101" s="296">
        <f t="shared" ref="U101:U136" si="11">I101-R101</f>
        <v>-21431.45</v>
      </c>
      <c r="W101" s="297">
        <f t="shared" ref="W101:W136" si="12">IF(R101=0,0,U101/R101)</f>
        <v>-1</v>
      </c>
      <c r="Y101" s="313" t="s">
        <v>1203</v>
      </c>
    </row>
    <row r="102" spans="1:25">
      <c r="A102" s="323" t="s">
        <v>395</v>
      </c>
      <c r="B102" s="135"/>
      <c r="C102" s="324" t="str">
        <f>'Level 1'!E102</f>
        <v>Allowance</v>
      </c>
      <c r="D102" s="40" t="str">
        <f>'Level 1'!F102</f>
        <v>LS</v>
      </c>
      <c r="E102" s="38">
        <f>'Level 1'!G102</f>
        <v>1</v>
      </c>
      <c r="F102" s="51">
        <f>'Level 1'!H102</f>
        <v>25000</v>
      </c>
      <c r="G102" s="53">
        <f>'Level 1'!I102</f>
        <v>0</v>
      </c>
      <c r="H102" s="51">
        <f>'Level 1'!J102</f>
        <v>25000</v>
      </c>
      <c r="I102" s="54">
        <f>'Level 1'!K102</f>
        <v>25000</v>
      </c>
      <c r="J102" s="96"/>
      <c r="L102" s="324"/>
      <c r="M102" s="40"/>
      <c r="N102" s="38"/>
      <c r="O102" s="51"/>
      <c r="P102" s="53"/>
      <c r="Q102" s="51"/>
      <c r="R102" s="54">
        <v>34290.32</v>
      </c>
      <c r="S102" s="96"/>
      <c r="U102" s="296">
        <f t="shared" si="11"/>
        <v>-9290.32</v>
      </c>
      <c r="W102" s="297">
        <f t="shared" si="12"/>
        <v>-0.270931271565853</v>
      </c>
      <c r="Y102" s="313" t="s">
        <v>1204</v>
      </c>
    </row>
    <row r="103" spans="1:25">
      <c r="A103" s="323" t="s">
        <v>397</v>
      </c>
      <c r="B103" s="135"/>
      <c r="C103" s="324" t="str">
        <f>'Level 1'!E103</f>
        <v>Torrey Pines</v>
      </c>
      <c r="D103" s="40" t="str">
        <f>'Level 1'!F103</f>
        <v>SF</v>
      </c>
      <c r="E103" s="38">
        <f>'Level 1'!G103</f>
        <v>431911</v>
      </c>
      <c r="F103" s="51">
        <f>'Level 1'!H103</f>
        <v>0.85</v>
      </c>
      <c r="G103" s="53">
        <f>'Level 1'!I103</f>
        <v>0</v>
      </c>
      <c r="H103" s="51">
        <f>'Level 1'!J103</f>
        <v>0.85</v>
      </c>
      <c r="I103" s="54">
        <f>'Level 1'!K103</f>
        <v>367124.35</v>
      </c>
      <c r="J103" s="96"/>
      <c r="L103" s="324"/>
      <c r="M103" s="40"/>
      <c r="N103" s="38"/>
      <c r="O103" s="51"/>
      <c r="P103" s="53"/>
      <c r="Q103" s="51"/>
      <c r="R103" s="54">
        <v>257177.4</v>
      </c>
      <c r="S103" s="96"/>
      <c r="U103" s="296">
        <f t="shared" si="11"/>
        <v>109946.94999999998</v>
      </c>
      <c r="W103" s="297">
        <f t="shared" si="12"/>
        <v>0.42751404283580124</v>
      </c>
      <c r="Y103" s="313"/>
    </row>
    <row r="104" spans="1:25">
      <c r="A104" s="323" t="s">
        <v>399</v>
      </c>
      <c r="B104" s="135"/>
      <c r="C104" s="324" t="str">
        <f>'Level 1'!E104</f>
        <v>Allowance</v>
      </c>
      <c r="D104" s="40" t="str">
        <f>'Level 1'!F104</f>
        <v>LS</v>
      </c>
      <c r="E104" s="38">
        <f>'Level 1'!G104</f>
        <v>1</v>
      </c>
      <c r="F104" s="51">
        <f>'Level 1'!H104</f>
        <v>75000</v>
      </c>
      <c r="G104" s="53">
        <f>'Level 1'!I104</f>
        <v>0</v>
      </c>
      <c r="H104" s="51">
        <f>'Level 1'!J104</f>
        <v>75000</v>
      </c>
      <c r="I104" s="54">
        <f>'Level 1'!K104</f>
        <v>75000</v>
      </c>
      <c r="J104" s="96"/>
      <c r="L104" s="324"/>
      <c r="M104" s="40"/>
      <c r="N104" s="38"/>
      <c r="O104" s="51"/>
      <c r="P104" s="53"/>
      <c r="Q104" s="51"/>
      <c r="R104" s="54">
        <v>154306.44</v>
      </c>
      <c r="S104" s="96"/>
      <c r="U104" s="296">
        <f t="shared" si="11"/>
        <v>-79306.44</v>
      </c>
      <c r="W104" s="297">
        <f t="shared" si="12"/>
        <v>-0.513954181043902</v>
      </c>
      <c r="Y104" s="313"/>
    </row>
    <row r="105" spans="1:25">
      <c r="A105" s="323" t="s">
        <v>307</v>
      </c>
      <c r="B105" s="135"/>
      <c r="C105" s="324" t="str">
        <f>'Level 1'!E105</f>
        <v>Latest</v>
      </c>
      <c r="D105" s="40" t="str">
        <f>'Level 1'!F105</f>
        <v xml:space="preserve">Unit </v>
      </c>
      <c r="E105" s="42">
        <f>'Level 1'!G105</f>
        <v>390</v>
      </c>
      <c r="F105" s="51">
        <f>'Level 1'!H105</f>
        <v>79</v>
      </c>
      <c r="G105" s="53">
        <f>'Level 1'!I105</f>
        <v>0</v>
      </c>
      <c r="H105" s="51">
        <f>'Level 1'!J105</f>
        <v>79</v>
      </c>
      <c r="I105" s="205">
        <f>'Level 1'!K105</f>
        <v>30810</v>
      </c>
      <c r="J105" s="96"/>
      <c r="L105" s="324"/>
      <c r="M105" s="40"/>
      <c r="N105" s="42"/>
      <c r="O105" s="51"/>
      <c r="P105" s="53"/>
      <c r="Q105" s="51"/>
      <c r="R105" s="54">
        <v>30731</v>
      </c>
      <c r="S105" s="96"/>
      <c r="U105" s="296">
        <f t="shared" si="11"/>
        <v>79</v>
      </c>
      <c r="W105" s="297">
        <f t="shared" si="12"/>
        <v>2.5706940874035988E-3</v>
      </c>
      <c r="Y105" s="313"/>
    </row>
    <row r="106" spans="1:25">
      <c r="A106" s="323" t="s">
        <v>404</v>
      </c>
      <c r="B106" s="135"/>
      <c r="C106" s="324" t="str">
        <f>'Level 1'!E106</f>
        <v>Allowance</v>
      </c>
      <c r="D106" s="40" t="str">
        <f>'Level 1'!F106</f>
        <v>LS</v>
      </c>
      <c r="E106" s="38">
        <f>'Level 1'!G106</f>
        <v>1</v>
      </c>
      <c r="F106" s="51">
        <f>'Level 1'!H106</f>
        <v>10000</v>
      </c>
      <c r="G106" s="53">
        <f>'Level 1'!I106</f>
        <v>0</v>
      </c>
      <c r="H106" s="51">
        <f>'Level 1'!J106</f>
        <v>10000</v>
      </c>
      <c r="I106" s="54">
        <f>'Level 1'!K106</f>
        <v>10000</v>
      </c>
      <c r="J106" s="96"/>
      <c r="L106" s="324"/>
      <c r="M106" s="40"/>
      <c r="N106" s="38"/>
      <c r="O106" s="51"/>
      <c r="P106" s="53"/>
      <c r="Q106" s="51"/>
      <c r="R106" s="54">
        <v>47149.19</v>
      </c>
      <c r="S106" s="96"/>
      <c r="U106" s="296">
        <f t="shared" si="11"/>
        <v>-37149.19</v>
      </c>
      <c r="W106" s="297">
        <f t="shared" si="12"/>
        <v>-0.78790727900097546</v>
      </c>
      <c r="Y106" s="313"/>
    </row>
    <row r="107" spans="1:25">
      <c r="A107" s="323" t="s">
        <v>159</v>
      </c>
      <c r="B107" s="135"/>
      <c r="C107" s="324" t="str">
        <f>'Level 1'!E107</f>
        <v>See Note</v>
      </c>
      <c r="D107" s="40" t="str">
        <f>'Level 1'!F107</f>
        <v>SY</v>
      </c>
      <c r="E107" s="38">
        <f>'Level 1'!G107</f>
        <v>26012</v>
      </c>
      <c r="F107" s="51">
        <f>'Level 1'!H107</f>
        <v>42.3</v>
      </c>
      <c r="G107" s="53">
        <f>'Level 1'!I107</f>
        <v>0</v>
      </c>
      <c r="H107" s="51">
        <f>'Level 1'!J107</f>
        <v>40.81</v>
      </c>
      <c r="I107" s="54">
        <f>'Level 1'!K107</f>
        <v>1061549.72</v>
      </c>
      <c r="J107" s="96"/>
      <c r="L107" s="324"/>
      <c r="M107" s="40"/>
      <c r="N107" s="38"/>
      <c r="O107" s="51"/>
      <c r="P107" s="53"/>
      <c r="Q107" s="51"/>
      <c r="R107" s="54">
        <v>1199000</v>
      </c>
      <c r="S107" s="96"/>
      <c r="U107" s="296">
        <f t="shared" si="11"/>
        <v>-137450.28000000003</v>
      </c>
      <c r="W107" s="297">
        <f t="shared" si="12"/>
        <v>-0.11463743119266058</v>
      </c>
      <c r="Y107" s="313"/>
    </row>
    <row r="108" spans="1:25">
      <c r="A108" s="323" t="s">
        <v>407</v>
      </c>
      <c r="B108" s="135"/>
      <c r="C108" s="324" t="str">
        <f>'Level 1'!E108</f>
        <v>Allowance</v>
      </c>
      <c r="D108" s="40" t="str">
        <f>'Level 1'!F108</f>
        <v>LS</v>
      </c>
      <c r="E108" s="38">
        <f>'Level 1'!G108</f>
        <v>1</v>
      </c>
      <c r="F108" s="51">
        <f>'Level 1'!H108</f>
        <v>6000</v>
      </c>
      <c r="G108" s="53">
        <f>'Level 1'!I108</f>
        <v>0</v>
      </c>
      <c r="H108" s="51">
        <f>'Level 1'!J108</f>
        <v>6000</v>
      </c>
      <c r="I108" s="54">
        <f>'Level 1'!K108</f>
        <v>6000</v>
      </c>
      <c r="J108" s="96"/>
      <c r="L108" s="324"/>
      <c r="M108" s="40"/>
      <c r="N108" s="38"/>
      <c r="O108" s="51"/>
      <c r="P108" s="53"/>
      <c r="Q108" s="51"/>
      <c r="R108" s="54">
        <v>6000</v>
      </c>
      <c r="S108" s="96"/>
      <c r="U108" s="296">
        <f t="shared" si="11"/>
        <v>0</v>
      </c>
      <c r="W108" s="297">
        <f t="shared" si="12"/>
        <v>0</v>
      </c>
      <c r="Y108" s="313"/>
    </row>
    <row r="109" spans="1:25">
      <c r="A109" s="323" t="s">
        <v>408</v>
      </c>
      <c r="B109" s="135"/>
      <c r="C109" s="324" t="str">
        <f>'Level 1'!E109</f>
        <v>N/A</v>
      </c>
      <c r="D109" s="40">
        <f>'Level 1'!F109</f>
        <v>0</v>
      </c>
      <c r="E109" s="38">
        <f>'Level 1'!G109</f>
        <v>0</v>
      </c>
      <c r="F109" s="51">
        <f>'Level 1'!H109</f>
        <v>0</v>
      </c>
      <c r="G109" s="53">
        <f>'Level 1'!I109</f>
        <v>0</v>
      </c>
      <c r="H109" s="51">
        <f>'Level 1'!J109</f>
        <v>0</v>
      </c>
      <c r="I109" s="54">
        <f>'Level 1'!K109</f>
        <v>0</v>
      </c>
      <c r="J109" s="96"/>
      <c r="L109" s="324"/>
      <c r="M109" s="40"/>
      <c r="N109" s="38"/>
      <c r="O109" s="51"/>
      <c r="P109" s="53"/>
      <c r="Q109" s="51"/>
      <c r="R109" s="54">
        <v>0</v>
      </c>
      <c r="S109" s="96"/>
      <c r="U109" s="296">
        <f t="shared" si="11"/>
        <v>0</v>
      </c>
      <c r="W109" s="297">
        <f t="shared" si="12"/>
        <v>0</v>
      </c>
      <c r="Y109" s="313"/>
    </row>
    <row r="110" spans="1:25">
      <c r="A110" s="323" t="s">
        <v>410</v>
      </c>
      <c r="B110" s="135"/>
      <c r="C110" s="324" t="str">
        <f>'Level 1'!E110</f>
        <v>Allowance</v>
      </c>
      <c r="D110" s="40" t="str">
        <f>'Level 1'!F110</f>
        <v>LS</v>
      </c>
      <c r="E110" s="38">
        <f>'Level 1'!G110</f>
        <v>1</v>
      </c>
      <c r="F110" s="51">
        <f>'Level 1'!H110</f>
        <v>2000</v>
      </c>
      <c r="G110" s="53">
        <f>'Level 1'!I110</f>
        <v>0</v>
      </c>
      <c r="H110" s="51">
        <f>'Level 1'!J110</f>
        <v>2000</v>
      </c>
      <c r="I110" s="54">
        <f>'Level 1'!K110</f>
        <v>2000</v>
      </c>
      <c r="J110" s="96"/>
      <c r="L110" s="324"/>
      <c r="M110" s="40"/>
      <c r="N110" s="38"/>
      <c r="O110" s="51"/>
      <c r="P110" s="53"/>
      <c r="Q110" s="51"/>
      <c r="R110" s="54">
        <v>2000</v>
      </c>
      <c r="S110" s="96"/>
      <c r="U110" s="296">
        <f t="shared" si="11"/>
        <v>0</v>
      </c>
      <c r="W110" s="297">
        <f t="shared" si="12"/>
        <v>0</v>
      </c>
      <c r="Y110" s="313"/>
    </row>
    <row r="111" spans="1:25">
      <c r="A111" s="323" t="s">
        <v>412</v>
      </c>
      <c r="B111" s="135"/>
      <c r="C111" s="324" t="str">
        <f>'Level 1'!E111</f>
        <v>N/A</v>
      </c>
      <c r="D111" s="40">
        <f>'Level 1'!F111</f>
        <v>0</v>
      </c>
      <c r="E111" s="38">
        <f>'Level 1'!G111</f>
        <v>0</v>
      </c>
      <c r="F111" s="51">
        <f>'Level 1'!H111</f>
        <v>0</v>
      </c>
      <c r="G111" s="53">
        <f>'Level 1'!I111</f>
        <v>0</v>
      </c>
      <c r="H111" s="51">
        <f>'Level 1'!J111</f>
        <v>0</v>
      </c>
      <c r="I111" s="54">
        <f>'Level 1'!K111</f>
        <v>0</v>
      </c>
      <c r="J111" s="96"/>
      <c r="L111" s="324"/>
      <c r="M111" s="40"/>
      <c r="N111" s="38"/>
      <c r="O111" s="51"/>
      <c r="P111" s="53"/>
      <c r="Q111" s="51"/>
      <c r="R111" s="54">
        <v>0</v>
      </c>
      <c r="S111" s="96"/>
      <c r="U111" s="296">
        <f t="shared" si="11"/>
        <v>0</v>
      </c>
      <c r="W111" s="297">
        <f t="shared" si="12"/>
        <v>0</v>
      </c>
      <c r="Y111" s="313"/>
    </row>
    <row r="112" spans="1:25">
      <c r="A112" s="323" t="s">
        <v>414</v>
      </c>
      <c r="B112" s="135"/>
      <c r="C112" s="324" t="str">
        <f>'Level 1'!E112</f>
        <v>N/A</v>
      </c>
      <c r="D112" s="40">
        <f>'Level 1'!F112</f>
        <v>0</v>
      </c>
      <c r="E112" s="38">
        <f>'Level 1'!G112</f>
        <v>0</v>
      </c>
      <c r="F112" s="51">
        <f>'Level 1'!H112</f>
        <v>0</v>
      </c>
      <c r="G112" s="53">
        <f>'Level 1'!I112</f>
        <v>0</v>
      </c>
      <c r="H112" s="51">
        <f>'Level 1'!J112</f>
        <v>0</v>
      </c>
      <c r="I112" s="54">
        <f>'Level 1'!K112</f>
        <v>0</v>
      </c>
      <c r="J112" s="96"/>
      <c r="L112" s="324"/>
      <c r="M112" s="40"/>
      <c r="N112" s="38"/>
      <c r="O112" s="51"/>
      <c r="P112" s="53"/>
      <c r="Q112" s="51"/>
      <c r="R112" s="54">
        <v>0</v>
      </c>
      <c r="S112" s="96"/>
      <c r="U112" s="296">
        <f t="shared" si="11"/>
        <v>0</v>
      </c>
      <c r="W112" s="297">
        <f t="shared" si="12"/>
        <v>0</v>
      </c>
      <c r="Y112" s="313"/>
    </row>
    <row r="113" spans="1:25">
      <c r="A113" s="323" t="s">
        <v>416</v>
      </c>
      <c r="B113" s="135"/>
      <c r="C113" s="324" t="str">
        <f>'Level 1'!E113</f>
        <v>Allowance</v>
      </c>
      <c r="D113" s="40" t="str">
        <f>'Level 1'!F113</f>
        <v>LS</v>
      </c>
      <c r="E113" s="38">
        <f>'Level 1'!G113</f>
        <v>1</v>
      </c>
      <c r="F113" s="51">
        <f>'Level 1'!H113</f>
        <v>4500</v>
      </c>
      <c r="G113" s="53">
        <f>'Level 1'!I113</f>
        <v>0</v>
      </c>
      <c r="H113" s="51">
        <f>'Level 1'!J113</f>
        <v>4500</v>
      </c>
      <c r="I113" s="54">
        <f>'Level 1'!K113</f>
        <v>4500</v>
      </c>
      <c r="J113" s="96"/>
      <c r="L113" s="324"/>
      <c r="M113" s="40"/>
      <c r="N113" s="38"/>
      <c r="O113" s="51"/>
      <c r="P113" s="53"/>
      <c r="Q113" s="51"/>
      <c r="R113" s="54">
        <v>0</v>
      </c>
      <c r="S113" s="96"/>
      <c r="U113" s="296">
        <f t="shared" si="11"/>
        <v>4500</v>
      </c>
      <c r="W113" s="297">
        <f t="shared" si="12"/>
        <v>0</v>
      </c>
      <c r="Y113" s="313"/>
    </row>
    <row r="114" spans="1:25">
      <c r="A114" s="323" t="s">
        <v>417</v>
      </c>
      <c r="B114" s="135"/>
      <c r="C114" s="324" t="str">
        <f>'Level 1'!E114</f>
        <v>Torrey Pines</v>
      </c>
      <c r="D114" s="40" t="str">
        <f>'Level 1'!F114</f>
        <v>SF</v>
      </c>
      <c r="E114" s="38">
        <f>'Level 1'!G114</f>
        <v>431911</v>
      </c>
      <c r="F114" s="51">
        <f>'Level 1'!H114</f>
        <v>8.02</v>
      </c>
      <c r="G114" s="53">
        <f>'Level 1'!I114</f>
        <v>0</v>
      </c>
      <c r="H114" s="51">
        <f>'Level 1'!J114</f>
        <v>8.02</v>
      </c>
      <c r="I114" s="54">
        <f>'Level 1'!K114</f>
        <v>3463926.2199999997</v>
      </c>
      <c r="J114" s="96"/>
      <c r="L114" s="324"/>
      <c r="M114" s="40"/>
      <c r="N114" s="38"/>
      <c r="O114" s="51"/>
      <c r="P114" s="53"/>
      <c r="Q114" s="51"/>
      <c r="R114" s="54">
        <v>3600483.6</v>
      </c>
      <c r="S114" s="96"/>
      <c r="U114" s="296">
        <f t="shared" si="11"/>
        <v>-136557.38000000035</v>
      </c>
      <c r="W114" s="297">
        <f t="shared" si="12"/>
        <v>-3.7927510626628143E-2</v>
      </c>
      <c r="Y114" s="313"/>
    </row>
    <row r="115" spans="1:25">
      <c r="A115" s="323" t="s">
        <v>421</v>
      </c>
      <c r="B115" s="135"/>
      <c r="C115" s="324" t="str">
        <f>'Level 1'!E115</f>
        <v>Allowance</v>
      </c>
      <c r="D115" s="40" t="str">
        <f>'Level 1'!F115</f>
        <v xml:space="preserve">Unit </v>
      </c>
      <c r="E115" s="42">
        <f>'Level 1'!G115</f>
        <v>390</v>
      </c>
      <c r="F115" s="51">
        <f>'Level 1'!H115</f>
        <v>85</v>
      </c>
      <c r="G115" s="53">
        <f>'Level 1'!I115</f>
        <v>0</v>
      </c>
      <c r="H115" s="51">
        <f>'Level 1'!J115</f>
        <v>85</v>
      </c>
      <c r="I115" s="54">
        <f>'Level 1'!K115</f>
        <v>33150</v>
      </c>
      <c r="J115" s="96"/>
      <c r="L115" s="324"/>
      <c r="M115" s="40"/>
      <c r="N115" s="42"/>
      <c r="O115" s="51"/>
      <c r="P115" s="53"/>
      <c r="Q115" s="51"/>
      <c r="R115" s="54">
        <v>33065</v>
      </c>
      <c r="S115" s="96"/>
      <c r="U115" s="296">
        <f t="shared" si="11"/>
        <v>85</v>
      </c>
      <c r="W115" s="297">
        <f t="shared" si="12"/>
        <v>2.5706940874035988E-3</v>
      </c>
      <c r="Y115" s="313"/>
    </row>
    <row r="116" spans="1:25">
      <c r="A116" s="323" t="s">
        <v>422</v>
      </c>
      <c r="B116" s="135"/>
      <c r="C116" s="324" t="str">
        <f>'Level 1'!E116</f>
        <v>N/A</v>
      </c>
      <c r="D116" s="40">
        <f>'Level 1'!F116</f>
        <v>0</v>
      </c>
      <c r="E116" s="38">
        <f>'Level 1'!G116</f>
        <v>0</v>
      </c>
      <c r="F116" s="51">
        <f>'Level 1'!H116</f>
        <v>0</v>
      </c>
      <c r="G116" s="53">
        <f>'Level 1'!I116</f>
        <v>0</v>
      </c>
      <c r="H116" s="51">
        <f>'Level 1'!J116</f>
        <v>0</v>
      </c>
      <c r="I116" s="54">
        <f>'Level 1'!K116</f>
        <v>0</v>
      </c>
      <c r="J116" s="96"/>
      <c r="L116" s="324"/>
      <c r="M116" s="40"/>
      <c r="N116" s="38"/>
      <c r="O116" s="51"/>
      <c r="P116" s="53"/>
      <c r="Q116" s="51"/>
      <c r="R116" s="54">
        <v>0</v>
      </c>
      <c r="S116" s="96"/>
      <c r="U116" s="296">
        <f t="shared" si="11"/>
        <v>0</v>
      </c>
      <c r="W116" s="297">
        <f t="shared" si="12"/>
        <v>0</v>
      </c>
      <c r="Y116" s="313"/>
    </row>
    <row r="117" spans="1:25">
      <c r="A117" s="323" t="s">
        <v>424</v>
      </c>
      <c r="B117" s="135"/>
      <c r="C117" s="324" t="str">
        <f>'Level 1'!E117</f>
        <v>Pebble</v>
      </c>
      <c r="D117" s="40" t="str">
        <f>'Level 1'!F117</f>
        <v>LS</v>
      </c>
      <c r="E117" s="38">
        <f>'Level 1'!G117</f>
        <v>1</v>
      </c>
      <c r="F117" s="51">
        <f>'Level 1'!H117</f>
        <v>67657</v>
      </c>
      <c r="G117" s="53">
        <f>'Level 1'!I117</f>
        <v>0</v>
      </c>
      <c r="H117" s="51">
        <f>'Level 1'!J117</f>
        <v>67657</v>
      </c>
      <c r="I117" s="54">
        <f>'Level 1'!K117</f>
        <v>67657</v>
      </c>
      <c r="J117" s="96"/>
      <c r="L117" s="324"/>
      <c r="M117" s="40"/>
      <c r="N117" s="38"/>
      <c r="O117" s="51"/>
      <c r="P117" s="53"/>
      <c r="Q117" s="51"/>
      <c r="R117" s="54">
        <v>17191</v>
      </c>
      <c r="S117" s="96"/>
      <c r="U117" s="296">
        <f t="shared" si="11"/>
        <v>50466</v>
      </c>
      <c r="W117" s="297">
        <f t="shared" si="12"/>
        <v>2.935605840265255</v>
      </c>
      <c r="Y117" s="313" t="s">
        <v>1205</v>
      </c>
    </row>
    <row r="118" spans="1:25">
      <c r="A118" s="323" t="s">
        <v>427</v>
      </c>
      <c r="B118" s="135"/>
      <c r="C118" s="324" t="str">
        <f>'Level 1'!E118</f>
        <v>N/A</v>
      </c>
      <c r="D118" s="40">
        <f>'Level 1'!F118</f>
        <v>0</v>
      </c>
      <c r="E118" s="38">
        <f>'Level 1'!G118</f>
        <v>0</v>
      </c>
      <c r="F118" s="51">
        <f>'Level 1'!H118</f>
        <v>0</v>
      </c>
      <c r="G118" s="53">
        <f>'Level 1'!I118</f>
        <v>0</v>
      </c>
      <c r="H118" s="51">
        <f>'Level 1'!J118</f>
        <v>0</v>
      </c>
      <c r="I118" s="54">
        <f>'Level 1'!K118</f>
        <v>0</v>
      </c>
      <c r="J118" s="96"/>
      <c r="L118" s="324"/>
      <c r="M118" s="40"/>
      <c r="N118" s="38"/>
      <c r="O118" s="51"/>
      <c r="P118" s="53"/>
      <c r="Q118" s="51"/>
      <c r="R118" s="54">
        <v>0</v>
      </c>
      <c r="S118" s="96"/>
      <c r="U118" s="296">
        <f t="shared" si="11"/>
        <v>0</v>
      </c>
      <c r="W118" s="297">
        <f t="shared" si="12"/>
        <v>0</v>
      </c>
      <c r="Y118" s="313"/>
    </row>
    <row r="119" spans="1:25">
      <c r="A119" s="323" t="s">
        <v>429</v>
      </c>
      <c r="B119" s="135"/>
      <c r="C119" s="324" t="str">
        <f>'Level 1'!E119</f>
        <v>N/A</v>
      </c>
      <c r="D119" s="40">
        <f>'Level 1'!F119</f>
        <v>0</v>
      </c>
      <c r="E119" s="38">
        <f>'Level 1'!G119</f>
        <v>0</v>
      </c>
      <c r="F119" s="51">
        <f>'Level 1'!H119</f>
        <v>0</v>
      </c>
      <c r="G119" s="53">
        <f>'Level 1'!I119</f>
        <v>0</v>
      </c>
      <c r="H119" s="51">
        <f>'Level 1'!J119</f>
        <v>0</v>
      </c>
      <c r="I119" s="54">
        <f>'Level 1'!K119</f>
        <v>0</v>
      </c>
      <c r="J119" s="96"/>
      <c r="L119" s="324"/>
      <c r="M119" s="40"/>
      <c r="N119" s="38"/>
      <c r="O119" s="51"/>
      <c r="P119" s="53"/>
      <c r="Q119" s="51"/>
      <c r="R119" s="54">
        <v>0</v>
      </c>
      <c r="S119" s="96"/>
      <c r="U119" s="296">
        <f t="shared" si="11"/>
        <v>0</v>
      </c>
      <c r="W119" s="297">
        <f t="shared" si="12"/>
        <v>0</v>
      </c>
      <c r="Y119" s="313"/>
    </row>
    <row r="120" spans="1:25">
      <c r="A120" s="323" t="s">
        <v>431</v>
      </c>
      <c r="B120" s="135"/>
      <c r="C120" s="324" t="str">
        <f>'Level 1'!E120</f>
        <v>Decatur</v>
      </c>
      <c r="D120" s="40" t="str">
        <f>'Level 1'!F120</f>
        <v>SY</v>
      </c>
      <c r="E120" s="38">
        <f>'Level 1'!G120</f>
        <v>36919.555555555555</v>
      </c>
      <c r="F120" s="51">
        <f>'Level 1'!H120</f>
        <v>18.754769220888928</v>
      </c>
      <c r="G120" s="53">
        <f>'Level 1'!I120</f>
        <v>0</v>
      </c>
      <c r="H120" s="51">
        <f>'Level 1'!J120</f>
        <v>18.754769220888928</v>
      </c>
      <c r="I120" s="54">
        <f>'Level 1'!K120</f>
        <v>692417.74418223219</v>
      </c>
      <c r="J120" s="96"/>
      <c r="L120" s="324"/>
      <c r="M120" s="40"/>
      <c r="N120" s="38"/>
      <c r="O120" s="51"/>
      <c r="P120" s="53"/>
      <c r="Q120" s="51"/>
      <c r="R120" s="54">
        <v>639683.20888888882</v>
      </c>
      <c r="S120" s="96"/>
      <c r="U120" s="296">
        <f t="shared" si="11"/>
        <v>52734.535293343361</v>
      </c>
      <c r="W120" s="297">
        <f t="shared" si="12"/>
        <v>8.243851731694149E-2</v>
      </c>
      <c r="Y120" s="313" t="s">
        <v>1206</v>
      </c>
    </row>
    <row r="121" spans="1:25">
      <c r="A121" s="323" t="s">
        <v>435</v>
      </c>
      <c r="B121" s="135"/>
      <c r="C121" s="324">
        <f>'Level 1'!E121</f>
        <v>0</v>
      </c>
      <c r="D121" s="40">
        <f>'Level 1'!F121</f>
        <v>0</v>
      </c>
      <c r="E121" s="38">
        <f>'Level 1'!G121</f>
        <v>0</v>
      </c>
      <c r="F121" s="51">
        <f>'Level 1'!H121</f>
        <v>30184</v>
      </c>
      <c r="G121" s="53">
        <f>'Level 1'!I121</f>
        <v>0</v>
      </c>
      <c r="H121" s="51">
        <f>'Level 1'!J121</f>
        <v>30184</v>
      </c>
      <c r="I121" s="54">
        <f>'Level 1'!K121</f>
        <v>0</v>
      </c>
      <c r="J121" s="96"/>
      <c r="L121" s="324"/>
      <c r="M121" s="40"/>
      <c r="N121" s="38"/>
      <c r="O121" s="51"/>
      <c r="P121" s="53"/>
      <c r="Q121" s="51"/>
      <c r="R121" s="54">
        <v>33202.400000000001</v>
      </c>
      <c r="S121" s="96"/>
      <c r="U121" s="296">
        <f t="shared" si="11"/>
        <v>-33202.400000000001</v>
      </c>
      <c r="W121" s="297">
        <f t="shared" si="12"/>
        <v>-1</v>
      </c>
      <c r="Y121" s="313" t="s">
        <v>1203</v>
      </c>
    </row>
    <row r="122" spans="1:25">
      <c r="A122" s="323" t="s">
        <v>437</v>
      </c>
      <c r="B122" s="135"/>
      <c r="C122" s="324">
        <f>'Level 1'!E122</f>
        <v>0</v>
      </c>
      <c r="D122" s="40">
        <f>'Level 1'!F122</f>
        <v>0</v>
      </c>
      <c r="E122" s="38">
        <f>'Level 1'!G122</f>
        <v>0</v>
      </c>
      <c r="F122" s="51">
        <f>'Level 1'!H122</f>
        <v>1994</v>
      </c>
      <c r="G122" s="53">
        <f>'Level 1'!I122</f>
        <v>0</v>
      </c>
      <c r="H122" s="51">
        <f>'Level 1'!J122</f>
        <v>1994</v>
      </c>
      <c r="I122" s="54">
        <f>'Level 1'!K122</f>
        <v>0</v>
      </c>
      <c r="J122" s="96"/>
      <c r="L122" s="324"/>
      <c r="M122" s="40"/>
      <c r="N122" s="38"/>
      <c r="O122" s="51"/>
      <c r="P122" s="53"/>
      <c r="Q122" s="51"/>
      <c r="R122" s="54">
        <v>2193.4</v>
      </c>
      <c r="S122" s="96"/>
      <c r="U122" s="296">
        <f t="shared" si="11"/>
        <v>-2193.4</v>
      </c>
      <c r="W122" s="297">
        <f t="shared" si="12"/>
        <v>-1</v>
      </c>
      <c r="Y122" s="313" t="s">
        <v>1203</v>
      </c>
    </row>
    <row r="123" spans="1:25">
      <c r="A123" s="323" t="s">
        <v>439</v>
      </c>
      <c r="B123" s="135"/>
      <c r="C123" s="324" t="str">
        <f>'Level 1'!E123</f>
        <v>Pebble</v>
      </c>
      <c r="D123" s="40" t="str">
        <f>'Level 1'!F123</f>
        <v>SF</v>
      </c>
      <c r="E123" s="38">
        <f>'Level 1'!G123</f>
        <v>431911</v>
      </c>
      <c r="F123" s="51">
        <f>'Level 1'!H123</f>
        <v>0.37</v>
      </c>
      <c r="G123" s="53">
        <f>'Level 1'!I123</f>
        <v>0</v>
      </c>
      <c r="H123" s="51">
        <f>'Level 1'!J123</f>
        <v>0.37</v>
      </c>
      <c r="I123" s="54">
        <f>'Level 1'!K123</f>
        <v>159807.07</v>
      </c>
      <c r="J123" s="96"/>
      <c r="L123" s="324"/>
      <c r="M123" s="40"/>
      <c r="N123" s="38"/>
      <c r="O123" s="51"/>
      <c r="P123" s="53"/>
      <c r="Q123" s="51"/>
      <c r="R123" s="54">
        <v>235745.95</v>
      </c>
      <c r="S123" s="96"/>
      <c r="U123" s="296">
        <f t="shared" si="11"/>
        <v>-75938.880000000005</v>
      </c>
      <c r="W123" s="297">
        <f t="shared" si="12"/>
        <v>-0.32212167377636819</v>
      </c>
      <c r="Y123" s="313"/>
    </row>
    <row r="124" spans="1:25">
      <c r="A124" s="323" t="s">
        <v>441</v>
      </c>
      <c r="B124" s="135"/>
      <c r="C124" s="324" t="str">
        <f>'Level 1'!E124</f>
        <v>Allowance</v>
      </c>
      <c r="D124" s="40" t="str">
        <f>'Level 1'!F124</f>
        <v>Count</v>
      </c>
      <c r="E124" s="38">
        <f>'Level 1'!G124</f>
        <v>6</v>
      </c>
      <c r="F124" s="51">
        <f>'Level 1'!H124</f>
        <v>1000</v>
      </c>
      <c r="G124" s="53">
        <f>'Level 1'!I124</f>
        <v>0</v>
      </c>
      <c r="H124" s="51">
        <f>'Level 1'!J124</f>
        <v>1000</v>
      </c>
      <c r="I124" s="54">
        <f>'Level 1'!K124</f>
        <v>6000</v>
      </c>
      <c r="J124" s="96"/>
      <c r="L124" s="324"/>
      <c r="M124" s="40"/>
      <c r="N124" s="38"/>
      <c r="O124" s="51"/>
      <c r="P124" s="53"/>
      <c r="Q124" s="51"/>
      <c r="R124" s="54">
        <v>3000</v>
      </c>
      <c r="S124" s="96"/>
      <c r="U124" s="296">
        <f t="shared" si="11"/>
        <v>3000</v>
      </c>
      <c r="W124" s="297">
        <f t="shared" si="12"/>
        <v>1</v>
      </c>
      <c r="Y124" s="313"/>
    </row>
    <row r="125" spans="1:25">
      <c r="A125" s="323" t="s">
        <v>442</v>
      </c>
      <c r="B125" s="135"/>
      <c r="C125" s="324">
        <f>'Level 1'!E125</f>
        <v>0</v>
      </c>
      <c r="D125" s="40" t="str">
        <f>'Level 1'!F125</f>
        <v>SF</v>
      </c>
      <c r="E125" s="38">
        <f>'Level 1'!G125</f>
        <v>0</v>
      </c>
      <c r="F125" s="51">
        <f>'Level 1'!H125</f>
        <v>9.0909000000000004E-2</v>
      </c>
      <c r="G125" s="53">
        <f>'Level 1'!I125</f>
        <v>0</v>
      </c>
      <c r="H125" s="51">
        <f>'Level 1'!J125</f>
        <v>9.0909000000000004E-2</v>
      </c>
      <c r="I125" s="54">
        <f>'Level 1'!K125</f>
        <v>0</v>
      </c>
      <c r="J125" s="96"/>
      <c r="L125" s="324"/>
      <c r="M125" s="40"/>
      <c r="N125" s="38"/>
      <c r="O125" s="51"/>
      <c r="P125" s="53"/>
      <c r="Q125" s="51"/>
      <c r="R125" s="54">
        <v>42862.9</v>
      </c>
      <c r="S125" s="96"/>
      <c r="U125" s="296">
        <f t="shared" si="11"/>
        <v>-42862.9</v>
      </c>
      <c r="W125" s="297">
        <f t="shared" si="12"/>
        <v>-1</v>
      </c>
      <c r="Y125" s="313" t="s">
        <v>1203</v>
      </c>
    </row>
    <row r="126" spans="1:25">
      <c r="A126" s="323" t="s">
        <v>444</v>
      </c>
      <c r="B126" s="135"/>
      <c r="C126" s="324">
        <f>'Level 1'!E126</f>
        <v>0</v>
      </c>
      <c r="D126" s="40" t="str">
        <f>'Level 1'!F126</f>
        <v>SF</v>
      </c>
      <c r="E126" s="38">
        <f>'Level 1'!G126</f>
        <v>0</v>
      </c>
      <c r="F126" s="51">
        <f>'Level 1'!H126</f>
        <v>0.182</v>
      </c>
      <c r="G126" s="53">
        <f>'Level 1'!I126</f>
        <v>0</v>
      </c>
      <c r="H126" s="51">
        <f>'Level 1'!J126</f>
        <v>0.182</v>
      </c>
      <c r="I126" s="54">
        <f>'Level 1'!K126</f>
        <v>0</v>
      </c>
      <c r="J126" s="96"/>
      <c r="L126" s="324"/>
      <c r="M126" s="40"/>
      <c r="N126" s="38"/>
      <c r="O126" s="51"/>
      <c r="P126" s="53"/>
      <c r="Q126" s="51"/>
      <c r="R126" s="54">
        <v>8572.58</v>
      </c>
      <c r="S126" s="96"/>
      <c r="U126" s="296">
        <f t="shared" si="11"/>
        <v>-8572.58</v>
      </c>
      <c r="W126" s="297">
        <f t="shared" si="12"/>
        <v>-1</v>
      </c>
      <c r="Y126" s="313" t="s">
        <v>1203</v>
      </c>
    </row>
    <row r="127" spans="1:25">
      <c r="A127" s="323" t="s">
        <v>446</v>
      </c>
      <c r="B127" s="135"/>
      <c r="C127" s="324" t="str">
        <f>'Level 1'!E127</f>
        <v>Pebble</v>
      </c>
      <c r="D127" s="40" t="str">
        <f>'Level 1'!F127</f>
        <v>SF</v>
      </c>
      <c r="E127" s="38">
        <f>'Level 1'!G127</f>
        <v>2280</v>
      </c>
      <c r="F127" s="51">
        <f>'Level 1'!H127</f>
        <v>16.53</v>
      </c>
      <c r="G127" s="53">
        <f>'Level 1'!I127</f>
        <v>0</v>
      </c>
      <c r="H127" s="51">
        <f>'Level 1'!J127</f>
        <v>16.53</v>
      </c>
      <c r="I127" s="54">
        <f>'Level 1'!K127</f>
        <v>37688.400000000001</v>
      </c>
      <c r="J127" s="96"/>
      <c r="L127" s="324"/>
      <c r="M127" s="40"/>
      <c r="N127" s="38"/>
      <c r="O127" s="51"/>
      <c r="P127" s="53"/>
      <c r="Q127" s="51"/>
      <c r="R127" s="54">
        <v>30004.030000000002</v>
      </c>
      <c r="S127" s="96"/>
      <c r="U127" s="296">
        <f t="shared" si="11"/>
        <v>7684.369999999999</v>
      </c>
      <c r="W127" s="297">
        <f t="shared" si="12"/>
        <v>0.25611126238708593</v>
      </c>
      <c r="Y127" s="313"/>
    </row>
    <row r="128" spans="1:25">
      <c r="A128" s="323" t="s">
        <v>448</v>
      </c>
      <c r="B128" s="135"/>
      <c r="C128" s="324" t="str">
        <f>'Level 1'!E128</f>
        <v>Pebble</v>
      </c>
      <c r="D128" s="40" t="str">
        <f>'Level 1'!F128</f>
        <v>Flight Stais</v>
      </c>
      <c r="E128" s="38">
        <f>'Level 1'!G128</f>
        <v>52</v>
      </c>
      <c r="F128" s="51">
        <f>'Level 1'!H128</f>
        <v>462.03500000000003</v>
      </c>
      <c r="G128" s="53">
        <f>'Level 1'!I128</f>
        <v>0</v>
      </c>
      <c r="H128" s="51">
        <f>'Level 1'!J128</f>
        <v>462.03500000000003</v>
      </c>
      <c r="I128" s="54">
        <f>'Level 1'!K128</f>
        <v>24025.82</v>
      </c>
      <c r="J128" s="96"/>
      <c r="L128" s="324"/>
      <c r="M128" s="40"/>
      <c r="N128" s="38"/>
      <c r="O128" s="51"/>
      <c r="P128" s="53"/>
      <c r="Q128" s="51"/>
      <c r="R128" s="54">
        <v>34290.32</v>
      </c>
      <c r="S128" s="96"/>
      <c r="U128" s="296">
        <f t="shared" si="11"/>
        <v>-10264.5</v>
      </c>
      <c r="W128" s="297">
        <f t="shared" si="12"/>
        <v>-0.2993410385204921</v>
      </c>
      <c r="Y128" s="313"/>
    </row>
    <row r="129" spans="1:25">
      <c r="A129" s="323" t="s">
        <v>451</v>
      </c>
      <c r="B129" s="135"/>
      <c r="C129" s="324" t="str">
        <f>'Level 1'!E129</f>
        <v>Pebble</v>
      </c>
      <c r="D129" s="40" t="str">
        <f>'Level 1'!F129</f>
        <v>SF</v>
      </c>
      <c r="E129" s="38">
        <f>'Level 1'!G129</f>
        <v>11223.5</v>
      </c>
      <c r="F129" s="51">
        <f>'Level 1'!H129</f>
        <v>1.5</v>
      </c>
      <c r="G129" s="53">
        <f>'Level 1'!I129</f>
        <v>0</v>
      </c>
      <c r="H129" s="51">
        <f>'Level 1'!J129</f>
        <v>1.5</v>
      </c>
      <c r="I129" s="54">
        <f>'Level 1'!K129</f>
        <v>16835.25</v>
      </c>
      <c r="J129" s="96"/>
      <c r="L129" s="324"/>
      <c r="M129" s="40"/>
      <c r="N129" s="38"/>
      <c r="O129" s="51"/>
      <c r="P129" s="53"/>
      <c r="Q129" s="51"/>
      <c r="R129" s="54">
        <v>12858.869999999999</v>
      </c>
      <c r="S129" s="96"/>
      <c r="U129" s="296">
        <f t="shared" si="11"/>
        <v>3976.380000000001</v>
      </c>
      <c r="W129" s="297">
        <f t="shared" si="12"/>
        <v>0.30923245977290392</v>
      </c>
      <c r="Y129" s="313"/>
    </row>
    <row r="130" spans="1:25">
      <c r="A130" s="323" t="s">
        <v>453</v>
      </c>
      <c r="B130" s="135"/>
      <c r="C130" s="324" t="str">
        <f>'Level 1'!E130</f>
        <v>Pebble</v>
      </c>
      <c r="D130" s="40" t="str">
        <f>'Level 1'!F130</f>
        <v>SF</v>
      </c>
      <c r="E130" s="38">
        <f>'Level 1'!G130</f>
        <v>11223.5</v>
      </c>
      <c r="F130" s="51">
        <f>'Level 1'!H130</f>
        <v>10</v>
      </c>
      <c r="G130" s="53">
        <f>'Level 1'!I130</f>
        <v>0</v>
      </c>
      <c r="H130" s="51">
        <f>'Level 1'!J130</f>
        <v>10</v>
      </c>
      <c r="I130" s="54">
        <f>'Level 1'!K130</f>
        <v>112235</v>
      </c>
      <c r="J130" s="96"/>
      <c r="L130" s="324"/>
      <c r="M130" s="40"/>
      <c r="N130" s="38"/>
      <c r="O130" s="51"/>
      <c r="P130" s="53"/>
      <c r="Q130" s="51"/>
      <c r="R130" s="54">
        <v>115729.83</v>
      </c>
      <c r="S130" s="96"/>
      <c r="U130" s="296">
        <f t="shared" si="11"/>
        <v>-3494.8300000000017</v>
      </c>
      <c r="W130" s="297">
        <f t="shared" si="12"/>
        <v>-3.0198177945997169E-2</v>
      </c>
      <c r="Y130" s="313"/>
    </row>
    <row r="131" spans="1:25">
      <c r="A131" s="323" t="s">
        <v>455</v>
      </c>
      <c r="B131" s="135"/>
      <c r="C131" s="324" t="str">
        <f>'Level 1'!E131</f>
        <v>Allowance</v>
      </c>
      <c r="D131" s="40" t="str">
        <f>'Level 1'!F131</f>
        <v xml:space="preserve">Unit </v>
      </c>
      <c r="E131" s="42">
        <f>'Level 1'!G131</f>
        <v>390</v>
      </c>
      <c r="F131" s="51">
        <f>'Level 1'!H131</f>
        <v>85</v>
      </c>
      <c r="G131" s="53">
        <f>'Level 1'!I131</f>
        <v>0</v>
      </c>
      <c r="H131" s="51">
        <f>'Level 1'!J131</f>
        <v>85</v>
      </c>
      <c r="I131" s="54">
        <f>'Level 1'!K131</f>
        <v>33150</v>
      </c>
      <c r="J131" s="96"/>
      <c r="L131" s="324"/>
      <c r="M131" s="40"/>
      <c r="N131" s="42"/>
      <c r="O131" s="51"/>
      <c r="P131" s="53"/>
      <c r="Q131" s="51"/>
      <c r="R131" s="54">
        <v>33065</v>
      </c>
      <c r="S131" s="96"/>
      <c r="U131" s="296">
        <f t="shared" si="11"/>
        <v>85</v>
      </c>
      <c r="W131" s="297">
        <f t="shared" si="12"/>
        <v>2.5706940874035988E-3</v>
      </c>
      <c r="Y131" s="313"/>
    </row>
    <row r="132" spans="1:25">
      <c r="A132" s="323" t="s">
        <v>457</v>
      </c>
      <c r="B132" s="135"/>
      <c r="C132" s="324" t="str">
        <f>'Level 1'!E132</f>
        <v>Torrey Pines</v>
      </c>
      <c r="D132" s="40" t="str">
        <f>'Level 1'!F132</f>
        <v>SF</v>
      </c>
      <c r="E132" s="38">
        <f>'Level 1'!G132</f>
        <v>431911</v>
      </c>
      <c r="F132" s="51">
        <f>'Level 1'!H132</f>
        <v>1.84</v>
      </c>
      <c r="G132" s="53">
        <f>'Level 1'!I132</f>
        <v>0</v>
      </c>
      <c r="H132" s="51">
        <f>'Level 1'!J132</f>
        <v>1.84</v>
      </c>
      <c r="I132" s="54">
        <f>'Level 1'!K132</f>
        <v>794716.24</v>
      </c>
      <c r="J132" s="96"/>
      <c r="L132" s="324"/>
      <c r="M132" s="40"/>
      <c r="N132" s="38"/>
      <c r="O132" s="51"/>
      <c r="P132" s="53"/>
      <c r="Q132" s="51"/>
      <c r="R132" s="54">
        <v>868616.66850000003</v>
      </c>
      <c r="S132" s="96"/>
      <c r="U132" s="296">
        <f t="shared" si="11"/>
        <v>-73900.428500000038</v>
      </c>
      <c r="W132" s="297">
        <f t="shared" si="12"/>
        <v>-8.5078298839944527E-2</v>
      </c>
      <c r="Y132" s="313"/>
    </row>
    <row r="133" spans="1:25">
      <c r="A133" s="323" t="s">
        <v>460</v>
      </c>
      <c r="B133" s="135"/>
      <c r="C133" s="324" t="str">
        <f>'Level 1'!E133</f>
        <v>N/A</v>
      </c>
      <c r="D133" s="40">
        <f>'Level 1'!F133</f>
        <v>0</v>
      </c>
      <c r="E133" s="38">
        <f>'Level 1'!G133</f>
        <v>0</v>
      </c>
      <c r="F133" s="51">
        <f>'Level 1'!H133</f>
        <v>0</v>
      </c>
      <c r="G133" s="53">
        <f>'Level 1'!I133</f>
        <v>0</v>
      </c>
      <c r="H133" s="51">
        <f>'Level 1'!J133</f>
        <v>0</v>
      </c>
      <c r="I133" s="54">
        <f>'Level 1'!K133</f>
        <v>0</v>
      </c>
      <c r="J133" s="96"/>
      <c r="L133" s="324"/>
      <c r="M133" s="40"/>
      <c r="N133" s="38"/>
      <c r="O133" s="51"/>
      <c r="P133" s="53"/>
      <c r="Q133" s="51"/>
      <c r="R133" s="54">
        <v>0</v>
      </c>
      <c r="S133" s="96"/>
      <c r="U133" s="296">
        <f t="shared" si="11"/>
        <v>0</v>
      </c>
      <c r="W133" s="297">
        <f t="shared" si="12"/>
        <v>0</v>
      </c>
      <c r="Y133" s="313"/>
    </row>
    <row r="134" spans="1:25">
      <c r="A134" s="323" t="s">
        <v>462</v>
      </c>
      <c r="B134" s="135"/>
      <c r="C134" s="324" t="str">
        <f>'Level 1'!E134</f>
        <v>N/A</v>
      </c>
      <c r="D134" s="40">
        <f>'Level 1'!F134</f>
        <v>0</v>
      </c>
      <c r="E134" s="38">
        <f>'Level 1'!G134</f>
        <v>0</v>
      </c>
      <c r="F134" s="51">
        <f>'Level 1'!H134</f>
        <v>0</v>
      </c>
      <c r="G134" s="53">
        <f>'Level 1'!I134</f>
        <v>0</v>
      </c>
      <c r="H134" s="51">
        <f>'Level 1'!J134</f>
        <v>0</v>
      </c>
      <c r="I134" s="54">
        <f>'Level 1'!K134</f>
        <v>0</v>
      </c>
      <c r="J134" s="96"/>
      <c r="L134" s="324"/>
      <c r="M134" s="40"/>
      <c r="N134" s="38"/>
      <c r="O134" s="51"/>
      <c r="P134" s="53"/>
      <c r="Q134" s="51"/>
      <c r="R134" s="54">
        <v>0</v>
      </c>
      <c r="S134" s="96"/>
      <c r="U134" s="296">
        <f t="shared" si="11"/>
        <v>0</v>
      </c>
      <c r="W134" s="297">
        <f t="shared" si="12"/>
        <v>0</v>
      </c>
      <c r="Y134" s="313"/>
    </row>
    <row r="135" spans="1:25">
      <c r="A135" s="323" t="s">
        <v>464</v>
      </c>
      <c r="B135" s="135"/>
      <c r="C135" s="324" t="str">
        <f>'Level 1'!E135</f>
        <v>N/A</v>
      </c>
      <c r="D135" s="40">
        <f>'Level 1'!F135</f>
        <v>0</v>
      </c>
      <c r="E135" s="38">
        <f>'Level 1'!G135</f>
        <v>0</v>
      </c>
      <c r="F135" s="51">
        <f>'Level 1'!H135</f>
        <v>0</v>
      </c>
      <c r="G135" s="53">
        <f>'Level 1'!I135</f>
        <v>0</v>
      </c>
      <c r="H135" s="51">
        <f>'Level 1'!J135</f>
        <v>0</v>
      </c>
      <c r="I135" s="54">
        <f>'Level 1'!K135</f>
        <v>0</v>
      </c>
      <c r="J135" s="96"/>
      <c r="L135" s="324"/>
      <c r="M135" s="40"/>
      <c r="N135" s="38"/>
      <c r="O135" s="51"/>
      <c r="P135" s="53"/>
      <c r="Q135" s="51"/>
      <c r="R135" s="54">
        <v>0</v>
      </c>
      <c r="S135" s="96"/>
      <c r="U135" s="296">
        <f t="shared" si="11"/>
        <v>0</v>
      </c>
      <c r="W135" s="297">
        <f t="shared" si="12"/>
        <v>0</v>
      </c>
      <c r="Y135" s="313"/>
    </row>
    <row r="136" spans="1:25">
      <c r="A136" s="323" t="s">
        <v>466</v>
      </c>
      <c r="B136" s="135"/>
      <c r="C136" s="324" t="str">
        <f>'Level 1'!E136</f>
        <v>N/A</v>
      </c>
      <c r="D136" s="40">
        <f>'Level 1'!F136</f>
        <v>0</v>
      </c>
      <c r="E136" s="38">
        <f>'Level 1'!G136</f>
        <v>0</v>
      </c>
      <c r="F136" s="51">
        <f>'Level 1'!H136</f>
        <v>0</v>
      </c>
      <c r="G136" s="53">
        <f>'Level 1'!I136</f>
        <v>0</v>
      </c>
      <c r="H136" s="51">
        <f>'Level 1'!J136</f>
        <v>0</v>
      </c>
      <c r="I136" s="54">
        <f>'Level 1'!K136</f>
        <v>0</v>
      </c>
      <c r="J136" s="96"/>
      <c r="L136" s="324"/>
      <c r="M136" s="40"/>
      <c r="N136" s="38"/>
      <c r="O136" s="51"/>
      <c r="P136" s="53"/>
      <c r="Q136" s="51"/>
      <c r="R136" s="54">
        <v>0</v>
      </c>
      <c r="S136" s="96"/>
      <c r="U136" s="296">
        <f t="shared" si="11"/>
        <v>0</v>
      </c>
      <c r="W136" s="297">
        <f t="shared" si="12"/>
        <v>0</v>
      </c>
      <c r="Y136" s="313"/>
    </row>
    <row r="137" spans="1:25">
      <c r="A137" s="314" t="s">
        <v>467</v>
      </c>
      <c r="B137" s="135"/>
      <c r="C137" s="315"/>
      <c r="D137" s="151"/>
      <c r="E137" s="152"/>
      <c r="F137" s="153"/>
      <c r="G137" s="154"/>
      <c r="H137" s="153"/>
      <c r="I137" s="172"/>
      <c r="J137" s="316">
        <f>'Level 1'!L137</f>
        <v>580446</v>
      </c>
      <c r="L137" s="315"/>
      <c r="M137" s="151"/>
      <c r="N137" s="152"/>
      <c r="O137" s="153"/>
      <c r="P137" s="154"/>
      <c r="Q137" s="153"/>
      <c r="R137" s="172"/>
      <c r="S137" s="316">
        <v>376038.3</v>
      </c>
      <c r="U137" s="317">
        <f>J137-S137</f>
        <v>204407.7</v>
      </c>
      <c r="W137" s="318">
        <f>IF(S137=0,0,U137/S137)</f>
        <v>0.54358212979901255</v>
      </c>
      <c r="Y137" s="313"/>
    </row>
    <row r="138" spans="1:25">
      <c r="A138" s="321" t="s">
        <v>469</v>
      </c>
      <c r="B138" s="135"/>
      <c r="C138" s="322" t="str">
        <f>'Level 1'!E138</f>
        <v>N/A</v>
      </c>
      <c r="D138" s="47">
        <f>'Level 1'!F138</f>
        <v>0</v>
      </c>
      <c r="E138" s="42">
        <f>'Level 1'!G138</f>
        <v>0</v>
      </c>
      <c r="F138" s="61">
        <f>'Level 1'!H138</f>
        <v>0</v>
      </c>
      <c r="G138" s="63">
        <f>'Level 1'!I138</f>
        <v>0</v>
      </c>
      <c r="H138" s="66">
        <f>'Level 1'!J138</f>
        <v>0</v>
      </c>
      <c r="I138" s="67">
        <f>'Level 1'!K138</f>
        <v>0</v>
      </c>
      <c r="J138" s="96"/>
      <c r="L138" s="322"/>
      <c r="M138" s="47"/>
      <c r="N138" s="42"/>
      <c r="O138" s="61"/>
      <c r="P138" s="63"/>
      <c r="Q138" s="66"/>
      <c r="R138" s="67">
        <v>5478</v>
      </c>
      <c r="S138" s="96"/>
      <c r="U138" s="296">
        <f t="shared" ref="U138:U153" si="13">I138-R138</f>
        <v>-5478</v>
      </c>
      <c r="W138" s="297">
        <f t="shared" ref="W138:W153" si="14">IF(R138=0,0,U138/R138)</f>
        <v>-1</v>
      </c>
      <c r="Y138" s="313"/>
    </row>
    <row r="139" spans="1:25">
      <c r="A139" s="323" t="s">
        <v>471</v>
      </c>
      <c r="B139" s="135"/>
      <c r="C139" s="324" t="str">
        <f>'Level 1'!E139</f>
        <v>Russell IV</v>
      </c>
      <c r="D139" s="40" t="str">
        <f>'Level 1'!F139</f>
        <v>Unit</v>
      </c>
      <c r="E139" s="42">
        <f>'Level 1'!G139</f>
        <v>390</v>
      </c>
      <c r="F139" s="51">
        <f>'Level 1'!H139</f>
        <v>155</v>
      </c>
      <c r="G139" s="53">
        <f>'Level 1'!I139</f>
        <v>0</v>
      </c>
      <c r="H139" s="51">
        <f>'Level 1'!J139</f>
        <v>155</v>
      </c>
      <c r="I139" s="54">
        <f>'Level 1'!K139</f>
        <v>60450</v>
      </c>
      <c r="J139" s="96"/>
      <c r="L139" s="324"/>
      <c r="M139" s="40"/>
      <c r="N139" s="42"/>
      <c r="O139" s="51"/>
      <c r="P139" s="53"/>
      <c r="Q139" s="51"/>
      <c r="R139" s="54">
        <v>60295</v>
      </c>
      <c r="S139" s="96"/>
      <c r="U139" s="296">
        <f t="shared" si="13"/>
        <v>155</v>
      </c>
      <c r="W139" s="297">
        <f t="shared" si="14"/>
        <v>2.5706940874035988E-3</v>
      </c>
      <c r="Y139" s="313"/>
    </row>
    <row r="140" spans="1:25">
      <c r="A140" s="323" t="s">
        <v>474</v>
      </c>
      <c r="B140" s="135"/>
      <c r="C140" s="312" t="str">
        <f>'Level 1'!E140</f>
        <v>Allowance</v>
      </c>
      <c r="D140" s="40" t="str">
        <f>'Level 1'!F140</f>
        <v>LS</v>
      </c>
      <c r="E140" s="38">
        <f>'Level 1'!G140</f>
        <v>1</v>
      </c>
      <c r="F140" s="51">
        <f>'Level 1'!H140</f>
        <v>6000</v>
      </c>
      <c r="G140" s="53">
        <f>'Level 1'!I140</f>
        <v>0</v>
      </c>
      <c r="H140" s="51">
        <f>'Level 1'!J140</f>
        <v>6000</v>
      </c>
      <c r="I140" s="54">
        <f>'Level 1'!K140</f>
        <v>6000</v>
      </c>
      <c r="J140" s="96"/>
      <c r="L140" s="312"/>
      <c r="M140" s="40"/>
      <c r="N140" s="38"/>
      <c r="O140" s="51"/>
      <c r="P140" s="53"/>
      <c r="Q140" s="51"/>
      <c r="R140" s="54">
        <v>5688</v>
      </c>
      <c r="S140" s="96"/>
      <c r="U140" s="296">
        <f t="shared" si="13"/>
        <v>312</v>
      </c>
      <c r="W140" s="297">
        <f t="shared" si="14"/>
        <v>5.4852320675105488E-2</v>
      </c>
      <c r="Y140" s="313"/>
    </row>
    <row r="141" spans="1:25">
      <c r="A141" s="323" t="s">
        <v>477</v>
      </c>
      <c r="B141" s="135"/>
      <c r="C141" s="324" t="str">
        <f>'Level 1'!E141</f>
        <v>Allowance</v>
      </c>
      <c r="D141" s="40" t="str">
        <f>'Level 1'!F141</f>
        <v>LS</v>
      </c>
      <c r="E141" s="38">
        <f>'Level 1'!G141</f>
        <v>1</v>
      </c>
      <c r="F141" s="51">
        <f>'Level 1'!H141</f>
        <v>5000</v>
      </c>
      <c r="G141" s="53">
        <f>'Level 1'!I141</f>
        <v>0</v>
      </c>
      <c r="H141" s="51">
        <f>'Level 1'!J141</f>
        <v>5000</v>
      </c>
      <c r="I141" s="54">
        <f>'Level 1'!K141</f>
        <v>5000</v>
      </c>
      <c r="J141" s="96"/>
      <c r="L141" s="324"/>
      <c r="M141" s="40"/>
      <c r="N141" s="38"/>
      <c r="O141" s="51"/>
      <c r="P141" s="53"/>
      <c r="Q141" s="51"/>
      <c r="R141" s="54">
        <v>4500</v>
      </c>
      <c r="S141" s="96"/>
      <c r="U141" s="296">
        <f t="shared" si="13"/>
        <v>500</v>
      </c>
      <c r="W141" s="297">
        <f t="shared" si="14"/>
        <v>0.1111111111111111</v>
      </c>
      <c r="Y141" s="313"/>
    </row>
    <row r="142" spans="1:25">
      <c r="A142" s="323" t="s">
        <v>479</v>
      </c>
      <c r="B142" s="135"/>
      <c r="C142" s="324" t="str">
        <f>'Level 1'!E142</f>
        <v>Allowance</v>
      </c>
      <c r="D142" s="40" t="str">
        <f>'Level 1'!F142</f>
        <v>LS</v>
      </c>
      <c r="E142" s="38">
        <f>'Level 1'!G142</f>
        <v>1</v>
      </c>
      <c r="F142" s="51">
        <f>'Level 1'!H142</f>
        <v>7000</v>
      </c>
      <c r="G142" s="53">
        <f>'Level 1'!I142</f>
        <v>0</v>
      </c>
      <c r="H142" s="51">
        <f>'Level 1'!J142</f>
        <v>7000</v>
      </c>
      <c r="I142" s="54">
        <f>'Level 1'!K142</f>
        <v>7000</v>
      </c>
      <c r="J142" s="96"/>
      <c r="L142" s="324"/>
      <c r="M142" s="40"/>
      <c r="N142" s="38"/>
      <c r="O142" s="51"/>
      <c r="P142" s="53"/>
      <c r="Q142" s="51"/>
      <c r="R142" s="54">
        <v>7000</v>
      </c>
      <c r="S142" s="96"/>
      <c r="U142" s="296">
        <f t="shared" si="13"/>
        <v>0</v>
      </c>
      <c r="W142" s="297">
        <f t="shared" si="14"/>
        <v>0</v>
      </c>
      <c r="Y142" s="313"/>
    </row>
    <row r="143" spans="1:25">
      <c r="A143" s="323" t="s">
        <v>482</v>
      </c>
      <c r="B143" s="135"/>
      <c r="C143" s="324" t="str">
        <f>'Level 1'!E143</f>
        <v>Russell IV</v>
      </c>
      <c r="D143" s="40" t="str">
        <f>'Level 1'!F143</f>
        <v>Per Bathroom</v>
      </c>
      <c r="E143" s="42">
        <f>'Level 1'!G143</f>
        <v>557</v>
      </c>
      <c r="F143" s="51">
        <f>'Level 1'!H143</f>
        <v>17</v>
      </c>
      <c r="G143" s="53">
        <f>'Level 1'!I143</f>
        <v>0</v>
      </c>
      <c r="H143" s="51">
        <f>'Level 1'!J143</f>
        <v>17</v>
      </c>
      <c r="I143" s="54">
        <f>'Level 1'!K143</f>
        <v>9469</v>
      </c>
      <c r="J143" s="96"/>
      <c r="L143" s="324"/>
      <c r="M143" s="40"/>
      <c r="N143" s="42"/>
      <c r="O143" s="51"/>
      <c r="P143" s="53"/>
      <c r="Q143" s="51"/>
      <c r="R143" s="54">
        <v>7274.3000000000011</v>
      </c>
      <c r="S143" s="96"/>
      <c r="U143" s="296">
        <f t="shared" si="13"/>
        <v>2194.6999999999989</v>
      </c>
      <c r="W143" s="297">
        <f t="shared" si="14"/>
        <v>0.30170600607618581</v>
      </c>
      <c r="Y143" s="313"/>
    </row>
    <row r="144" spans="1:25">
      <c r="A144" s="323" t="s">
        <v>485</v>
      </c>
      <c r="B144" s="135"/>
      <c r="C144" s="324" t="str">
        <f>'Level 1'!E144</f>
        <v>N/A</v>
      </c>
      <c r="D144" s="40">
        <f>'Level 1'!F144</f>
        <v>0</v>
      </c>
      <c r="E144" s="38">
        <f>'Level 1'!G144</f>
        <v>0</v>
      </c>
      <c r="F144" s="51">
        <f>'Level 1'!H144</f>
        <v>0</v>
      </c>
      <c r="G144" s="53">
        <f>'Level 1'!I144</f>
        <v>0</v>
      </c>
      <c r="H144" s="51">
        <f>'Level 1'!J144</f>
        <v>0</v>
      </c>
      <c r="I144" s="54">
        <f>'Level 1'!K144</f>
        <v>0</v>
      </c>
      <c r="J144" s="96"/>
      <c r="L144" s="324"/>
      <c r="M144" s="40"/>
      <c r="N144" s="38"/>
      <c r="O144" s="51"/>
      <c r="P144" s="53"/>
      <c r="Q144" s="51"/>
      <c r="R144" s="54">
        <v>0</v>
      </c>
      <c r="S144" s="96"/>
      <c r="U144" s="296">
        <f t="shared" si="13"/>
        <v>0</v>
      </c>
      <c r="W144" s="297">
        <f t="shared" si="14"/>
        <v>0</v>
      </c>
      <c r="Y144" s="313"/>
    </row>
    <row r="145" spans="1:25">
      <c r="A145" s="323" t="s">
        <v>487</v>
      </c>
      <c r="B145" s="135"/>
      <c r="C145" s="324" t="str">
        <f>'Level 1'!E145</f>
        <v>N/A</v>
      </c>
      <c r="D145" s="40">
        <f>'Level 1'!F145</f>
        <v>0</v>
      </c>
      <c r="E145" s="38">
        <f>'Level 1'!G145</f>
        <v>0</v>
      </c>
      <c r="F145" s="51">
        <f>'Level 1'!H145</f>
        <v>0</v>
      </c>
      <c r="G145" s="53">
        <f>'Level 1'!I145</f>
        <v>0</v>
      </c>
      <c r="H145" s="51">
        <f>'Level 1'!J145</f>
        <v>0</v>
      </c>
      <c r="I145" s="54">
        <f>'Level 1'!K145</f>
        <v>0</v>
      </c>
      <c r="J145" s="96"/>
      <c r="L145" s="324"/>
      <c r="M145" s="40"/>
      <c r="N145" s="38"/>
      <c r="O145" s="51"/>
      <c r="P145" s="53"/>
      <c r="Q145" s="51"/>
      <c r="R145" s="54">
        <v>0</v>
      </c>
      <c r="S145" s="96"/>
      <c r="U145" s="296">
        <f t="shared" si="13"/>
        <v>0</v>
      </c>
      <c r="W145" s="297">
        <f t="shared" si="14"/>
        <v>0</v>
      </c>
      <c r="Y145" s="313"/>
    </row>
    <row r="146" spans="1:25">
      <c r="A146" s="323" t="s">
        <v>489</v>
      </c>
      <c r="B146" s="135"/>
      <c r="C146" s="324" t="str">
        <f>'Level 1'!E146</f>
        <v>N/A</v>
      </c>
      <c r="D146" s="40">
        <f>'Level 1'!F146</f>
        <v>0</v>
      </c>
      <c r="E146" s="38">
        <f>'Level 1'!G146</f>
        <v>0</v>
      </c>
      <c r="F146" s="51">
        <f>'Level 1'!H146</f>
        <v>0</v>
      </c>
      <c r="G146" s="53">
        <f>'Level 1'!I146</f>
        <v>0</v>
      </c>
      <c r="H146" s="51">
        <f>'Level 1'!J146</f>
        <v>0</v>
      </c>
      <c r="I146" s="54">
        <f>'Level 1'!K146</f>
        <v>0</v>
      </c>
      <c r="J146" s="96"/>
      <c r="L146" s="324"/>
      <c r="M146" s="40"/>
      <c r="N146" s="38"/>
      <c r="O146" s="51"/>
      <c r="P146" s="53"/>
      <c r="Q146" s="51"/>
      <c r="R146" s="54">
        <v>0</v>
      </c>
      <c r="S146" s="96"/>
      <c r="U146" s="296">
        <f t="shared" si="13"/>
        <v>0</v>
      </c>
      <c r="W146" s="297">
        <f t="shared" si="14"/>
        <v>0</v>
      </c>
      <c r="Y146" s="313"/>
    </row>
    <row r="147" spans="1:25">
      <c r="A147" s="323" t="s">
        <v>491</v>
      </c>
      <c r="B147" s="135"/>
      <c r="C147" s="324" t="str">
        <f>'Level 1'!E147</f>
        <v>Arzano</v>
      </c>
      <c r="D147" s="40" t="str">
        <f>'Level 1'!F147</f>
        <v>LS</v>
      </c>
      <c r="E147" s="38">
        <f>'Level 1'!G147</f>
        <v>6</v>
      </c>
      <c r="F147" s="51">
        <f>'Level 1'!H147</f>
        <v>3360</v>
      </c>
      <c r="G147" s="53">
        <f>'Level 1'!I147</f>
        <v>0</v>
      </c>
      <c r="H147" s="51">
        <f>'Level 1'!J147</f>
        <v>3360</v>
      </c>
      <c r="I147" s="54">
        <f>'Level 1'!K147</f>
        <v>20160</v>
      </c>
      <c r="J147" s="96"/>
      <c r="L147" s="324"/>
      <c r="M147" s="40"/>
      <c r="N147" s="38"/>
      <c r="O147" s="51"/>
      <c r="P147" s="53"/>
      <c r="Q147" s="51"/>
      <c r="R147" s="54">
        <v>20000</v>
      </c>
      <c r="S147" s="96"/>
      <c r="U147" s="296">
        <f t="shared" si="13"/>
        <v>160</v>
      </c>
      <c r="W147" s="297">
        <f t="shared" si="14"/>
        <v>8.0000000000000002E-3</v>
      </c>
      <c r="Y147" s="313"/>
    </row>
    <row r="148" spans="1:25">
      <c r="A148" s="323" t="s">
        <v>191</v>
      </c>
      <c r="B148" s="135"/>
      <c r="C148" s="324" t="str">
        <f>'Level 1'!E148</f>
        <v>Allowance</v>
      </c>
      <c r="D148" s="40" t="str">
        <f>'Level 1'!F148</f>
        <v>Count</v>
      </c>
      <c r="E148" s="38">
        <f>'Level 1'!G148</f>
        <v>10</v>
      </c>
      <c r="F148" s="51">
        <f>'Level 1'!H148</f>
        <v>600</v>
      </c>
      <c r="G148" s="53">
        <f>'Level 1'!I148</f>
        <v>0</v>
      </c>
      <c r="H148" s="51">
        <f>'Level 1'!J148</f>
        <v>600</v>
      </c>
      <c r="I148" s="54">
        <f>'Level 1'!K148</f>
        <v>6000</v>
      </c>
      <c r="J148" s="96"/>
      <c r="L148" s="324"/>
      <c r="M148" s="40"/>
      <c r="N148" s="38"/>
      <c r="O148" s="51"/>
      <c r="P148" s="53"/>
      <c r="Q148" s="51"/>
      <c r="R148" s="54">
        <v>2200</v>
      </c>
      <c r="S148" s="96"/>
      <c r="U148" s="296">
        <f t="shared" si="13"/>
        <v>3800</v>
      </c>
      <c r="W148" s="297">
        <f t="shared" si="14"/>
        <v>1.7272727272727273</v>
      </c>
      <c r="Y148" s="313"/>
    </row>
    <row r="149" spans="1:25">
      <c r="A149" s="323" t="s">
        <v>495</v>
      </c>
      <c r="B149" s="135"/>
      <c r="C149" s="324" t="str">
        <f>'Level 1'!E149</f>
        <v>Allowance</v>
      </c>
      <c r="D149" s="40" t="str">
        <f>'Level 1'!F149</f>
        <v>Unit</v>
      </c>
      <c r="E149" s="42">
        <f>'Level 1'!G149</f>
        <v>390</v>
      </c>
      <c r="F149" s="51">
        <f>'Level 1'!H149</f>
        <v>80</v>
      </c>
      <c r="G149" s="53">
        <f>'Level 1'!I149</f>
        <v>0</v>
      </c>
      <c r="H149" s="51">
        <f>'Level 1'!J149</f>
        <v>80</v>
      </c>
      <c r="I149" s="54">
        <f>'Level 1'!K149</f>
        <v>31200</v>
      </c>
      <c r="J149" s="96"/>
      <c r="L149" s="324"/>
      <c r="M149" s="40"/>
      <c r="N149" s="42"/>
      <c r="O149" s="51"/>
      <c r="P149" s="53"/>
      <c r="Q149" s="51"/>
      <c r="R149" s="54">
        <v>30731</v>
      </c>
      <c r="S149" s="96"/>
      <c r="U149" s="296">
        <f t="shared" si="13"/>
        <v>469</v>
      </c>
      <c r="W149" s="297">
        <f t="shared" si="14"/>
        <v>1.5261462366990986E-2</v>
      </c>
      <c r="Y149" s="313"/>
    </row>
    <row r="150" spans="1:25">
      <c r="A150" s="323" t="s">
        <v>497</v>
      </c>
      <c r="B150" s="135"/>
      <c r="C150" s="324" t="str">
        <f>'Level 1'!E150</f>
        <v>Rainbow</v>
      </c>
      <c r="D150" s="40" t="str">
        <f>'Level 1'!F150</f>
        <v>Unit</v>
      </c>
      <c r="E150" s="42">
        <f>'Level 1'!G150</f>
        <v>390</v>
      </c>
      <c r="F150" s="51">
        <f>'Level 1'!H150</f>
        <v>153</v>
      </c>
      <c r="G150" s="53">
        <f>'Level 1'!I150</f>
        <v>0.1</v>
      </c>
      <c r="H150" s="51">
        <f>'Level 1'!J150</f>
        <v>168.3</v>
      </c>
      <c r="I150" s="54">
        <f>'Level 1'!K150</f>
        <v>65637</v>
      </c>
      <c r="J150" s="96"/>
      <c r="L150" s="324"/>
      <c r="M150" s="40"/>
      <c r="N150" s="42"/>
      <c r="O150" s="51"/>
      <c r="P150" s="53"/>
      <c r="Q150" s="51"/>
      <c r="R150" s="54">
        <v>59517</v>
      </c>
      <c r="S150" s="96"/>
      <c r="U150" s="296">
        <f t="shared" si="13"/>
        <v>6120</v>
      </c>
      <c r="W150" s="297">
        <f t="shared" si="14"/>
        <v>0.10282776349614396</v>
      </c>
      <c r="Y150" s="313"/>
    </row>
    <row r="151" spans="1:25">
      <c r="A151" s="323" t="s">
        <v>499</v>
      </c>
      <c r="B151" s="135"/>
      <c r="C151" s="324" t="str">
        <f>'Level 1'!E151</f>
        <v>Torrey Pines</v>
      </c>
      <c r="D151" s="40" t="str">
        <f>'Level 1'!F151</f>
        <v>Unit</v>
      </c>
      <c r="E151" s="42">
        <f>'Level 1'!G151</f>
        <v>390</v>
      </c>
      <c r="F151" s="51">
        <f>'Level 1'!H151</f>
        <v>220</v>
      </c>
      <c r="G151" s="53">
        <f>'Level 1'!I151</f>
        <v>0.1</v>
      </c>
      <c r="H151" s="51">
        <f>'Level 1'!J151</f>
        <v>242.00000000000003</v>
      </c>
      <c r="I151" s="54">
        <f>'Level 1'!K151</f>
        <v>94380.000000000015</v>
      </c>
      <c r="J151" s="96"/>
      <c r="L151" s="324"/>
      <c r="M151" s="40"/>
      <c r="N151" s="42"/>
      <c r="O151" s="51"/>
      <c r="P151" s="53"/>
      <c r="Q151" s="51"/>
      <c r="R151" s="54">
        <v>75855</v>
      </c>
      <c r="S151" s="96"/>
      <c r="U151" s="296">
        <f t="shared" si="13"/>
        <v>18525.000000000015</v>
      </c>
      <c r="W151" s="297">
        <f t="shared" si="14"/>
        <v>0.24421593830334209</v>
      </c>
      <c r="Y151" s="313"/>
    </row>
    <row r="152" spans="1:25">
      <c r="A152" s="323" t="s">
        <v>502</v>
      </c>
      <c r="B152" s="135"/>
      <c r="C152" s="324" t="str">
        <f>'Level 1'!E152</f>
        <v>Torrey Pines</v>
      </c>
      <c r="D152" s="40" t="str">
        <f>'Level 1'!F152</f>
        <v>LF</v>
      </c>
      <c r="E152" s="38">
        <f>'Level 1'!G152</f>
        <v>72</v>
      </c>
      <c r="F152" s="51">
        <f>'Level 1'!H152</f>
        <v>2500</v>
      </c>
      <c r="G152" s="53">
        <f>'Level 1'!I152</f>
        <v>0</v>
      </c>
      <c r="H152" s="51">
        <f>'Level 1'!J152</f>
        <v>2500</v>
      </c>
      <c r="I152" s="54">
        <f>'Level 1'!K152</f>
        <v>180000</v>
      </c>
      <c r="J152" s="96"/>
      <c r="L152" s="324"/>
      <c r="M152" s="40"/>
      <c r="N152" s="38"/>
      <c r="O152" s="51"/>
      <c r="P152" s="53"/>
      <c r="Q152" s="51"/>
      <c r="R152" s="54">
        <v>37500</v>
      </c>
      <c r="S152" s="96"/>
      <c r="U152" s="296">
        <f t="shared" si="13"/>
        <v>142500</v>
      </c>
      <c r="W152" s="297">
        <f t="shared" si="14"/>
        <v>3.8</v>
      </c>
      <c r="Y152" s="313" t="s">
        <v>1207</v>
      </c>
    </row>
    <row r="153" spans="1:25">
      <c r="A153" s="323" t="s">
        <v>504</v>
      </c>
      <c r="B153" s="135"/>
      <c r="C153" s="324" t="str">
        <f>'Level 1'!E153</f>
        <v>Torrey Pines</v>
      </c>
      <c r="D153" s="40" t="str">
        <f>'Level 1'!F153</f>
        <v>LF</v>
      </c>
      <c r="E153" s="38">
        <f>'Level 1'!G153</f>
        <v>11</v>
      </c>
      <c r="F153" s="51">
        <f>'Level 1'!H153</f>
        <v>8650</v>
      </c>
      <c r="G153" s="53">
        <f>'Level 1'!I153</f>
        <v>0</v>
      </c>
      <c r="H153" s="51">
        <f>'Level 1'!J153</f>
        <v>8650</v>
      </c>
      <c r="I153" s="54">
        <f>'Level 1'!K153</f>
        <v>95150</v>
      </c>
      <c r="J153" s="96"/>
      <c r="L153" s="324"/>
      <c r="M153" s="40"/>
      <c r="N153" s="38"/>
      <c r="O153" s="51"/>
      <c r="P153" s="53"/>
      <c r="Q153" s="51"/>
      <c r="R153" s="54">
        <v>60000</v>
      </c>
      <c r="S153" s="96"/>
      <c r="U153" s="296">
        <f t="shared" si="13"/>
        <v>35150</v>
      </c>
      <c r="W153" s="297">
        <f t="shared" si="14"/>
        <v>0.58583333333333332</v>
      </c>
      <c r="Y153" s="313"/>
    </row>
    <row r="154" spans="1:25">
      <c r="A154" s="314" t="s">
        <v>505</v>
      </c>
      <c r="B154" s="135"/>
      <c r="C154" s="315"/>
      <c r="D154" s="151"/>
      <c r="E154" s="152"/>
      <c r="F154" s="153"/>
      <c r="G154" s="154"/>
      <c r="H154" s="153"/>
      <c r="I154" s="172"/>
      <c r="J154" s="316">
        <f>'Level 1'!L154</f>
        <v>1248584</v>
      </c>
      <c r="L154" s="315"/>
      <c r="M154" s="151"/>
      <c r="N154" s="152"/>
      <c r="O154" s="153"/>
      <c r="P154" s="154"/>
      <c r="Q154" s="153"/>
      <c r="R154" s="172"/>
      <c r="S154" s="316">
        <v>1176093.6500000001</v>
      </c>
      <c r="U154" s="317">
        <f>J154-S154</f>
        <v>72490.34999999986</v>
      </c>
      <c r="W154" s="318">
        <f>IF(S154=0,0,U154/S154)</f>
        <v>6.1636545695149238E-2</v>
      </c>
      <c r="Y154" s="313"/>
    </row>
    <row r="155" spans="1:25">
      <c r="A155" s="319" t="s">
        <v>507</v>
      </c>
      <c r="B155" s="135"/>
      <c r="C155" s="320" t="str">
        <f>'Level 1'!E155</f>
        <v>Pebble</v>
      </c>
      <c r="D155" s="65" t="str">
        <f>'Level 1'!F155</f>
        <v>Unit</v>
      </c>
      <c r="E155" s="43">
        <f>'Level 1'!G155</f>
        <v>390</v>
      </c>
      <c r="F155" s="64">
        <f>'Level 1'!H155</f>
        <v>3201.4974358974359</v>
      </c>
      <c r="G155" s="157">
        <f>'Level 1'!I155</f>
        <v>0</v>
      </c>
      <c r="H155" s="158">
        <f>'Level 1'!J155</f>
        <v>3201.4974358974359</v>
      </c>
      <c r="I155" s="159">
        <f>'Level 1'!K155</f>
        <v>1248584</v>
      </c>
      <c r="J155" s="96"/>
      <c r="L155" s="320"/>
      <c r="M155" s="65"/>
      <c r="N155" s="43"/>
      <c r="O155" s="64"/>
      <c r="P155" s="157"/>
      <c r="Q155" s="158"/>
      <c r="R155" s="159">
        <v>1176093.6500000001</v>
      </c>
      <c r="S155" s="96"/>
      <c r="U155" s="296">
        <f t="shared" ref="U155" si="15">I155-R155</f>
        <v>72490.34999999986</v>
      </c>
      <c r="W155" s="297">
        <f>IF(R155=0,0,U155/R155)</f>
        <v>6.1636545695149238E-2</v>
      </c>
      <c r="Y155" s="313"/>
    </row>
    <row r="156" spans="1:25">
      <c r="A156" s="314" t="s">
        <v>510</v>
      </c>
      <c r="B156" s="135"/>
      <c r="C156" s="315"/>
      <c r="D156" s="151"/>
      <c r="E156" s="152"/>
      <c r="F156" s="153"/>
      <c r="G156" s="154"/>
      <c r="H156" s="153"/>
      <c r="I156" s="172"/>
      <c r="J156" s="316">
        <f>'Level 1'!L157</f>
        <v>2373780.1008403362</v>
      </c>
      <c r="L156" s="315"/>
      <c r="M156" s="151"/>
      <c r="N156" s="152"/>
      <c r="O156" s="153"/>
      <c r="P156" s="154"/>
      <c r="Q156" s="153"/>
      <c r="R156" s="172"/>
      <c r="S156" s="316">
        <v>2418291.5</v>
      </c>
      <c r="U156" s="317">
        <f>J156-S156</f>
        <v>-44511.399159663823</v>
      </c>
      <c r="W156" s="318">
        <f>IF(S156=0,0,U156/S156)</f>
        <v>-1.84061347276223E-2</v>
      </c>
      <c r="Y156" s="313"/>
    </row>
    <row r="157" spans="1:25">
      <c r="A157" s="321" t="s">
        <v>307</v>
      </c>
      <c r="B157" s="135"/>
      <c r="C157" s="322">
        <f>'Level 1'!E158</f>
        <v>0</v>
      </c>
      <c r="D157" s="47" t="str">
        <f>'Level 1'!F158</f>
        <v>Unit</v>
      </c>
      <c r="E157" s="42">
        <f>'Level 1'!G158</f>
        <v>0</v>
      </c>
      <c r="F157" s="61">
        <f>'Level 1'!H158</f>
        <v>79</v>
      </c>
      <c r="G157" s="63">
        <f>'Level 1'!I158</f>
        <v>0</v>
      </c>
      <c r="H157" s="66">
        <f>'Level 1'!J158</f>
        <v>79</v>
      </c>
      <c r="I157" s="67">
        <f>'Level 1'!K158</f>
        <v>0</v>
      </c>
      <c r="J157" s="96"/>
      <c r="L157" s="322"/>
      <c r="M157" s="47"/>
      <c r="N157" s="42"/>
      <c r="O157" s="61"/>
      <c r="P157" s="63"/>
      <c r="Q157" s="66"/>
      <c r="R157" s="67">
        <v>30731</v>
      </c>
      <c r="S157" s="96"/>
      <c r="U157" s="296">
        <f t="shared" ref="U157:U164" si="16">I157-R157</f>
        <v>-30731</v>
      </c>
      <c r="W157" s="297">
        <f t="shared" ref="W157:W164" si="17">IF(R157=0,0,U157/R157)</f>
        <v>-1</v>
      </c>
      <c r="Y157" s="313" t="s">
        <v>1201</v>
      </c>
    </row>
    <row r="158" spans="1:25">
      <c r="A158" s="323" t="s">
        <v>513</v>
      </c>
      <c r="B158" s="135"/>
      <c r="C158" s="324" t="str">
        <f>'Level 1'!E159</f>
        <v>Decatur</v>
      </c>
      <c r="D158" s="40" t="str">
        <f>'Level 1'!F159</f>
        <v>Per Unit</v>
      </c>
      <c r="E158" s="42">
        <f>'Level 1'!G159</f>
        <v>390</v>
      </c>
      <c r="F158" s="51">
        <f>'Level 1'!H159</f>
        <v>377.77731092436977</v>
      </c>
      <c r="G158" s="53">
        <f>'Level 1'!I159</f>
        <v>0.15</v>
      </c>
      <c r="H158" s="51">
        <f>'Level 1'!J159</f>
        <v>434.44390756302522</v>
      </c>
      <c r="I158" s="54">
        <f>'Level 1'!K159</f>
        <v>169433.12394957984</v>
      </c>
      <c r="J158" s="96"/>
      <c r="L158" s="324"/>
      <c r="M158" s="40"/>
      <c r="N158" s="42"/>
      <c r="O158" s="51"/>
      <c r="P158" s="53"/>
      <c r="Q158" s="51"/>
      <c r="R158" s="54">
        <v>110495.44999999998</v>
      </c>
      <c r="S158" s="96"/>
      <c r="U158" s="296">
        <f t="shared" si="16"/>
        <v>58937.673949579854</v>
      </c>
      <c r="W158" s="297">
        <f t="shared" si="17"/>
        <v>0.5333945782344871</v>
      </c>
      <c r="Y158" s="313" t="s">
        <v>1066</v>
      </c>
    </row>
    <row r="159" spans="1:25">
      <c r="A159" s="323" t="s">
        <v>516</v>
      </c>
      <c r="B159" s="135"/>
      <c r="C159" s="324" t="str">
        <f>'Level 1'!E160</f>
        <v>Decatur</v>
      </c>
      <c r="D159" s="40" t="str">
        <f>'Level 1'!F160</f>
        <v>Unit</v>
      </c>
      <c r="E159" s="42">
        <f>'Level 1'!G160</f>
        <v>390</v>
      </c>
      <c r="F159" s="51">
        <f>'Level 1'!H160</f>
        <v>3148</v>
      </c>
      <c r="G159" s="53">
        <f>'Level 1'!I160</f>
        <v>0.15</v>
      </c>
      <c r="H159" s="51">
        <f>'Level 1'!J160</f>
        <v>3620.2</v>
      </c>
      <c r="I159" s="54">
        <f>'Level 1'!K160</f>
        <v>1411878</v>
      </c>
      <c r="J159" s="96"/>
      <c r="L159" s="324"/>
      <c r="M159" s="40"/>
      <c r="N159" s="42"/>
      <c r="O159" s="51"/>
      <c r="P159" s="53"/>
      <c r="Q159" s="51"/>
      <c r="R159" s="54">
        <v>1372022.45</v>
      </c>
      <c r="S159" s="96"/>
      <c r="U159" s="296">
        <f t="shared" si="16"/>
        <v>39855.550000000047</v>
      </c>
      <c r="W159" s="297">
        <f t="shared" si="17"/>
        <v>2.904875936979023E-2</v>
      </c>
      <c r="Y159" s="313" t="s">
        <v>1208</v>
      </c>
    </row>
    <row r="160" spans="1:25">
      <c r="A160" s="323" t="s">
        <v>520</v>
      </c>
      <c r="B160" s="135"/>
      <c r="C160" s="324" t="str">
        <f>'Level 1'!E161</f>
        <v>Pebble</v>
      </c>
      <c r="D160" s="40" t="str">
        <f>'Level 1'!F161</f>
        <v>LS</v>
      </c>
      <c r="E160" s="38">
        <f>'Level 1'!G161</f>
        <v>2</v>
      </c>
      <c r="F160" s="51">
        <f>'Level 1'!H161</f>
        <v>15700</v>
      </c>
      <c r="G160" s="53">
        <f>'Level 1'!I161</f>
        <v>0</v>
      </c>
      <c r="H160" s="51">
        <f>'Level 1'!J161</f>
        <v>15700</v>
      </c>
      <c r="I160" s="54">
        <f>'Level 1'!K161</f>
        <v>31400</v>
      </c>
      <c r="J160" s="96"/>
      <c r="L160" s="324"/>
      <c r="M160" s="40"/>
      <c r="N160" s="38"/>
      <c r="O160" s="51"/>
      <c r="P160" s="53"/>
      <c r="Q160" s="51"/>
      <c r="R160" s="54">
        <v>75000</v>
      </c>
      <c r="S160" s="96"/>
      <c r="U160" s="296">
        <f t="shared" si="16"/>
        <v>-43600</v>
      </c>
      <c r="W160" s="297">
        <f t="shared" si="17"/>
        <v>-0.58133333333333337</v>
      </c>
      <c r="Y160" s="313"/>
    </row>
    <row r="161" spans="1:25">
      <c r="A161" s="323" t="s">
        <v>523</v>
      </c>
      <c r="B161" s="135"/>
      <c r="C161" s="324" t="str">
        <f>'Level 1'!E162</f>
        <v>Decatur</v>
      </c>
      <c r="D161" s="40" t="str">
        <f>'Level 1'!F162</f>
        <v>Unit</v>
      </c>
      <c r="E161" s="42">
        <f>'Level 1'!G162</f>
        <v>390</v>
      </c>
      <c r="F161" s="51">
        <f>'Level 1'!H162</f>
        <v>1567.6008403361345</v>
      </c>
      <c r="G161" s="53">
        <f>'Level 1'!I162</f>
        <v>0.15</v>
      </c>
      <c r="H161" s="51">
        <f>'Level 1'!J162</f>
        <v>1802.7409663865546</v>
      </c>
      <c r="I161" s="54">
        <f>'Level 1'!K162</f>
        <v>703068.97689075628</v>
      </c>
      <c r="J161" s="96"/>
      <c r="L161" s="324"/>
      <c r="M161" s="40"/>
      <c r="N161" s="42"/>
      <c r="O161" s="51"/>
      <c r="P161" s="53"/>
      <c r="Q161" s="51"/>
      <c r="R161" s="54">
        <v>781963.60000000009</v>
      </c>
      <c r="S161" s="96"/>
      <c r="U161" s="296">
        <f t="shared" si="16"/>
        <v>-78894.62310924381</v>
      </c>
      <c r="W161" s="297">
        <f t="shared" si="17"/>
        <v>-0.10089296114198129</v>
      </c>
      <c r="Y161" s="313" t="s">
        <v>1209</v>
      </c>
    </row>
    <row r="162" spans="1:25">
      <c r="A162" s="323" t="s">
        <v>526</v>
      </c>
      <c r="B162" s="135"/>
      <c r="C162" s="324" t="str">
        <f>'Level 1'!E163</f>
        <v>Allowance</v>
      </c>
      <c r="D162" s="40" t="str">
        <f>'Level 1'!F163</f>
        <v>LS</v>
      </c>
      <c r="E162" s="38">
        <f>'Level 1'!G163</f>
        <v>2</v>
      </c>
      <c r="F162" s="51">
        <f>'Level 1'!H163</f>
        <v>20000</v>
      </c>
      <c r="G162" s="53">
        <f>'Level 1'!I163</f>
        <v>0</v>
      </c>
      <c r="H162" s="51">
        <f>'Level 1'!J163</f>
        <v>20000</v>
      </c>
      <c r="I162" s="54">
        <f>'Level 1'!K163</f>
        <v>40000</v>
      </c>
      <c r="J162" s="96"/>
      <c r="L162" s="324"/>
      <c r="M162" s="40"/>
      <c r="N162" s="38"/>
      <c r="O162" s="51"/>
      <c r="P162" s="53"/>
      <c r="Q162" s="51"/>
      <c r="R162" s="54">
        <v>35000</v>
      </c>
      <c r="S162" s="96"/>
      <c r="U162" s="296">
        <f t="shared" si="16"/>
        <v>5000</v>
      </c>
      <c r="W162" s="297">
        <f t="shared" si="17"/>
        <v>0.14285714285714285</v>
      </c>
      <c r="Y162" s="313"/>
    </row>
    <row r="163" spans="1:25">
      <c r="A163" s="323" t="s">
        <v>529</v>
      </c>
      <c r="B163" s="135"/>
      <c r="C163" s="324" t="str">
        <f>'Level 1'!E164</f>
        <v>N/A</v>
      </c>
      <c r="D163" s="40">
        <f>'Level 1'!F164</f>
        <v>0</v>
      </c>
      <c r="E163" s="38">
        <f>'Level 1'!G164</f>
        <v>0</v>
      </c>
      <c r="F163" s="51">
        <f>'Level 1'!H164</f>
        <v>0</v>
      </c>
      <c r="G163" s="53">
        <f>'Level 1'!I164</f>
        <v>0</v>
      </c>
      <c r="H163" s="51">
        <f>'Level 1'!J164</f>
        <v>0</v>
      </c>
      <c r="I163" s="54">
        <f>'Level 1'!K164</f>
        <v>0</v>
      </c>
      <c r="J163" s="96"/>
      <c r="L163" s="324"/>
      <c r="M163" s="40"/>
      <c r="N163" s="38"/>
      <c r="O163" s="51"/>
      <c r="P163" s="53"/>
      <c r="Q163" s="51"/>
      <c r="R163" s="54">
        <v>0</v>
      </c>
      <c r="S163" s="96"/>
      <c r="U163" s="296">
        <f t="shared" si="16"/>
        <v>0</v>
      </c>
      <c r="W163" s="297">
        <f t="shared" si="17"/>
        <v>0</v>
      </c>
      <c r="Y163" s="313"/>
    </row>
    <row r="164" spans="1:25">
      <c r="A164" s="323" t="s">
        <v>531</v>
      </c>
      <c r="B164" s="135"/>
      <c r="C164" s="324" t="str">
        <f>'Level 1'!E165</f>
        <v>Allowance</v>
      </c>
      <c r="D164" s="40" t="str">
        <f>'Level 1'!F165</f>
        <v>LS</v>
      </c>
      <c r="E164" s="38">
        <f>'Level 1'!G165</f>
        <v>3</v>
      </c>
      <c r="F164" s="51">
        <f>'Level 1'!H165</f>
        <v>6000</v>
      </c>
      <c r="G164" s="53">
        <f>'Level 1'!I165</f>
        <v>0</v>
      </c>
      <c r="H164" s="51">
        <f>'Level 1'!J165</f>
        <v>6000</v>
      </c>
      <c r="I164" s="54">
        <f>'Level 1'!K165</f>
        <v>18000</v>
      </c>
      <c r="J164" s="96"/>
      <c r="L164" s="324"/>
      <c r="M164" s="40"/>
      <c r="N164" s="38"/>
      <c r="O164" s="51"/>
      <c r="P164" s="53"/>
      <c r="Q164" s="51"/>
      <c r="R164" s="54">
        <v>13079.000000000002</v>
      </c>
      <c r="S164" s="96"/>
      <c r="U164" s="296">
        <f t="shared" si="16"/>
        <v>4920.9999999999982</v>
      </c>
      <c r="W164" s="297">
        <f t="shared" si="17"/>
        <v>0.37625200703417672</v>
      </c>
      <c r="Y164" s="313"/>
    </row>
    <row r="165" spans="1:25">
      <c r="A165" s="314" t="s">
        <v>534</v>
      </c>
      <c r="B165" s="135"/>
      <c r="C165" s="315"/>
      <c r="D165" s="151"/>
      <c r="E165" s="152"/>
      <c r="F165" s="153"/>
      <c r="G165" s="154"/>
      <c r="H165" s="153"/>
      <c r="I165" s="172"/>
      <c r="J165" s="316">
        <f>'Level 1'!L166</f>
        <v>1538212.8068965515</v>
      </c>
      <c r="L165" s="315"/>
      <c r="M165" s="151"/>
      <c r="N165" s="152"/>
      <c r="O165" s="153"/>
      <c r="P165" s="154"/>
      <c r="Q165" s="153"/>
      <c r="R165" s="172"/>
      <c r="S165" s="316">
        <v>1227428.1200000001</v>
      </c>
      <c r="U165" s="317">
        <f>J165-S165</f>
        <v>310784.6868965514</v>
      </c>
      <c r="W165" s="318">
        <f>IF(S165=0,0,U165/S165)</f>
        <v>0.25319990786633711</v>
      </c>
      <c r="Y165" s="313"/>
    </row>
    <row r="166" spans="1:25">
      <c r="A166" s="321" t="s">
        <v>536</v>
      </c>
      <c r="B166" s="135"/>
      <c r="C166" s="322" t="str">
        <f>'Level 1'!E167</f>
        <v>Torrey Pines</v>
      </c>
      <c r="D166" s="47" t="str">
        <f>'Level 1'!F167</f>
        <v>LS</v>
      </c>
      <c r="E166" s="42">
        <f>'Level 1'!G167</f>
        <v>1</v>
      </c>
      <c r="F166" s="61">
        <f>'Level 1'!H167</f>
        <v>245000</v>
      </c>
      <c r="G166" s="63">
        <f>'Level 1'!I167</f>
        <v>0</v>
      </c>
      <c r="H166" s="66">
        <f>'Level 1'!J167</f>
        <v>245000</v>
      </c>
      <c r="I166" s="67">
        <f>'Level 1'!K167</f>
        <v>245000</v>
      </c>
      <c r="J166" s="96"/>
      <c r="L166" s="322"/>
      <c r="M166" s="47"/>
      <c r="N166" s="42"/>
      <c r="O166" s="61"/>
      <c r="P166" s="63"/>
      <c r="Q166" s="66"/>
      <c r="R166" s="67">
        <v>317532</v>
      </c>
      <c r="S166" s="96"/>
      <c r="U166" s="296">
        <f t="shared" ref="U166:U168" si="18">I166-R166</f>
        <v>-72532</v>
      </c>
      <c r="W166" s="297">
        <f t="shared" ref="W166:W168" si="19">IF(R166=0,0,U166/R166)</f>
        <v>-0.22842422181071514</v>
      </c>
      <c r="Y166" s="313" t="s">
        <v>1210</v>
      </c>
    </row>
    <row r="167" spans="1:25">
      <c r="A167" s="323" t="s">
        <v>172</v>
      </c>
      <c r="B167" s="135"/>
      <c r="C167" s="324" t="str">
        <f>'Level 1'!E168</f>
        <v>Pebble</v>
      </c>
      <c r="D167" s="40" t="str">
        <f>'Level 1'!F168</f>
        <v>Count</v>
      </c>
      <c r="E167" s="38">
        <f>'Level 1'!G168</f>
        <v>388</v>
      </c>
      <c r="F167" s="51">
        <f>'Level 1'!H168</f>
        <v>2762.3793103448274</v>
      </c>
      <c r="G167" s="53">
        <f>'Level 1'!I168</f>
        <v>0.2</v>
      </c>
      <c r="H167" s="51">
        <f>'Level 1'!J168</f>
        <v>3314.8551724137928</v>
      </c>
      <c r="I167" s="54">
        <f>'Level 1'!K168</f>
        <v>1286163.8068965515</v>
      </c>
      <c r="J167" s="96"/>
      <c r="L167" s="324" t="s">
        <v>742</v>
      </c>
      <c r="M167" s="40" t="s">
        <v>88</v>
      </c>
      <c r="N167" s="38">
        <v>360</v>
      </c>
      <c r="O167" s="51">
        <v>2488.7170000000001</v>
      </c>
      <c r="P167" s="53">
        <v>0</v>
      </c>
      <c r="Q167" s="51">
        <v>2488.7170000000001</v>
      </c>
      <c r="R167" s="54">
        <v>895938.12</v>
      </c>
      <c r="S167" s="96"/>
      <c r="U167" s="296">
        <f t="shared" si="18"/>
        <v>390225.68689655152</v>
      </c>
      <c r="W167" s="297">
        <f t="shared" si="19"/>
        <v>0.43554981999934494</v>
      </c>
      <c r="Y167" s="313" t="s">
        <v>1102</v>
      </c>
    </row>
    <row r="168" spans="1:25">
      <c r="A168" s="323" t="s">
        <v>541</v>
      </c>
      <c r="B168" s="135"/>
      <c r="C168" s="324" t="str">
        <f>'Level 1'!E169</f>
        <v>Decatur</v>
      </c>
      <c r="D168" s="40" t="str">
        <f>'Level 1'!F169</f>
        <v>Count</v>
      </c>
      <c r="E168" s="38">
        <f>'Level 1'!G169</f>
        <v>1</v>
      </c>
      <c r="F168" s="51">
        <f>'Level 1'!H169</f>
        <v>7049</v>
      </c>
      <c r="G168" s="53">
        <f>'Level 1'!I169</f>
        <v>0</v>
      </c>
      <c r="H168" s="51">
        <f>'Level 1'!J169</f>
        <v>7049</v>
      </c>
      <c r="I168" s="54">
        <f>'Level 1'!K169</f>
        <v>7049</v>
      </c>
      <c r="J168" s="96"/>
      <c r="L168" s="324"/>
      <c r="M168" s="40"/>
      <c r="N168" s="38"/>
      <c r="O168" s="51"/>
      <c r="P168" s="53"/>
      <c r="Q168" s="51"/>
      <c r="R168" s="54">
        <v>13958</v>
      </c>
      <c r="S168" s="96"/>
      <c r="U168" s="296">
        <f t="shared" si="18"/>
        <v>-6909</v>
      </c>
      <c r="W168" s="297">
        <f t="shared" si="19"/>
        <v>-0.49498495486459376</v>
      </c>
      <c r="Y168" s="313"/>
    </row>
    <row r="169" spans="1:25">
      <c r="A169" s="314" t="s">
        <v>546</v>
      </c>
      <c r="B169" s="135"/>
      <c r="C169" s="315"/>
      <c r="D169" s="151"/>
      <c r="E169" s="152"/>
      <c r="F169" s="153"/>
      <c r="G169" s="154"/>
      <c r="H169" s="153"/>
      <c r="I169" s="172"/>
      <c r="J169" s="316" t="e">
        <f>'Level 1'!#REF!</f>
        <v>#REF!</v>
      </c>
      <c r="L169" s="315"/>
      <c r="M169" s="151"/>
      <c r="N169" s="152"/>
      <c r="O169" s="153"/>
      <c r="P169" s="154"/>
      <c r="Q169" s="153"/>
      <c r="R169" s="172"/>
      <c r="S169" s="316">
        <v>0</v>
      </c>
      <c r="U169" s="317" t="e">
        <f>J169-S169</f>
        <v>#REF!</v>
      </c>
      <c r="W169" s="318">
        <f>IF(S169=0,0,U169/S169)</f>
        <v>0</v>
      </c>
      <c r="Y169" s="313"/>
    </row>
    <row r="170" spans="1:25">
      <c r="A170" s="319" t="s">
        <v>546</v>
      </c>
      <c r="B170" s="135"/>
      <c r="C170" s="320" t="e">
        <f>'Level 1'!#REF!</f>
        <v>#REF!</v>
      </c>
      <c r="D170" s="65" t="e">
        <f>'Level 1'!#REF!</f>
        <v>#REF!</v>
      </c>
      <c r="E170" s="43" t="e">
        <f>'Level 1'!#REF!</f>
        <v>#REF!</v>
      </c>
      <c r="F170" s="64" t="e">
        <f>'Level 1'!#REF!</f>
        <v>#REF!</v>
      </c>
      <c r="G170" s="157" t="e">
        <f>'Level 1'!#REF!</f>
        <v>#REF!</v>
      </c>
      <c r="H170" s="158" t="e">
        <f>'Level 1'!#REF!</f>
        <v>#REF!</v>
      </c>
      <c r="I170" s="159" t="e">
        <f>'Level 1'!#REF!</f>
        <v>#REF!</v>
      </c>
      <c r="J170" s="96"/>
      <c r="L170" s="320"/>
      <c r="M170" s="65"/>
      <c r="N170" s="43"/>
      <c r="O170" s="64"/>
      <c r="P170" s="157"/>
      <c r="Q170" s="158"/>
      <c r="R170" s="159">
        <v>0</v>
      </c>
      <c r="S170" s="96"/>
      <c r="U170" s="296" t="e">
        <f t="shared" ref="U170" si="20">I170-R170</f>
        <v>#REF!</v>
      </c>
      <c r="W170" s="297">
        <f>IF(R170=0,0,U170/R170)</f>
        <v>0</v>
      </c>
      <c r="Y170" s="313"/>
    </row>
    <row r="171" spans="1:25">
      <c r="A171" s="314" t="s">
        <v>547</v>
      </c>
      <c r="B171" s="135"/>
      <c r="C171" s="315"/>
      <c r="D171" s="151"/>
      <c r="E171" s="152"/>
      <c r="F171" s="153"/>
      <c r="G171" s="154"/>
      <c r="H171" s="153"/>
      <c r="I171" s="172"/>
      <c r="J171" s="316">
        <f>'Level 1'!L170</f>
        <v>581746.66666666663</v>
      </c>
      <c r="L171" s="315"/>
      <c r="M171" s="151"/>
      <c r="N171" s="152"/>
      <c r="O171" s="153"/>
      <c r="P171" s="154"/>
      <c r="Q171" s="153"/>
      <c r="R171" s="172"/>
      <c r="S171" s="316">
        <v>481216</v>
      </c>
      <c r="U171" s="317">
        <f>J171-S171</f>
        <v>100530.66666666663</v>
      </c>
      <c r="W171" s="318">
        <f>IF(S171=0,0,U171/S171)</f>
        <v>0.20890965110608672</v>
      </c>
      <c r="Y171" s="313"/>
    </row>
    <row r="172" spans="1:25">
      <c r="A172" s="321" t="s">
        <v>549</v>
      </c>
      <c r="B172" s="135"/>
      <c r="C172" s="322" t="str">
        <f>'Level 1'!E171</f>
        <v>Decatur</v>
      </c>
      <c r="D172" s="47" t="str">
        <f>'Level 1'!F171</f>
        <v>Stop</v>
      </c>
      <c r="E172" s="42">
        <f>'Level 1'!G171</f>
        <v>16</v>
      </c>
      <c r="F172" s="61">
        <f>'Level 1'!H171</f>
        <v>35546.666666666664</v>
      </c>
      <c r="G172" s="63">
        <f>'Level 1'!I171</f>
        <v>0</v>
      </c>
      <c r="H172" s="66">
        <f>'Level 1'!J171</f>
        <v>35546.666666666664</v>
      </c>
      <c r="I172" s="67">
        <f>'Level 1'!K171</f>
        <v>568746.66666666663</v>
      </c>
      <c r="J172" s="96"/>
      <c r="L172" s="322"/>
      <c r="M172" s="47"/>
      <c r="N172" s="42"/>
      <c r="O172" s="61"/>
      <c r="P172" s="63"/>
      <c r="Q172" s="66"/>
      <c r="R172" s="67">
        <v>469216</v>
      </c>
      <c r="S172" s="96"/>
      <c r="U172" s="296">
        <f t="shared" ref="U172" si="21">I172-R172</f>
        <v>99530.666666666628</v>
      </c>
      <c r="W172" s="297">
        <f t="shared" ref="W172:W173" si="22">IF(R172=0,0,U172/R172)</f>
        <v>0.21212121212121204</v>
      </c>
      <c r="Y172" s="313" t="s">
        <v>1211</v>
      </c>
    </row>
    <row r="173" spans="1:25">
      <c r="A173" s="323" t="s">
        <v>553</v>
      </c>
      <c r="B173" s="135"/>
      <c r="C173" s="324" t="str">
        <f>'Level 1'!E172</f>
        <v>Russell IV</v>
      </c>
      <c r="D173" s="40" t="str">
        <f>'Level 1'!F172</f>
        <v>Count</v>
      </c>
      <c r="E173" s="38">
        <f>'Level 1'!G172</f>
        <v>2</v>
      </c>
      <c r="F173" s="51">
        <f>'Level 1'!H172</f>
        <v>6500</v>
      </c>
      <c r="G173" s="53">
        <f>'Level 1'!I172</f>
        <v>0</v>
      </c>
      <c r="H173" s="51">
        <f>'Level 1'!J172</f>
        <v>6500</v>
      </c>
      <c r="I173" s="54">
        <f>'Level 1'!K172</f>
        <v>13000</v>
      </c>
      <c r="J173" s="96"/>
      <c r="L173" s="324"/>
      <c r="M173" s="40"/>
      <c r="N173" s="38"/>
      <c r="O173" s="51"/>
      <c r="P173" s="53"/>
      <c r="Q173" s="51"/>
      <c r="R173" s="54">
        <v>12000</v>
      </c>
      <c r="S173" s="96"/>
      <c r="U173" s="296"/>
      <c r="W173" s="297">
        <f t="shared" si="22"/>
        <v>0</v>
      </c>
      <c r="Y173" s="313"/>
    </row>
    <row r="174" spans="1:25">
      <c r="A174" s="314" t="s">
        <v>556</v>
      </c>
      <c r="B174" s="135"/>
      <c r="C174" s="315"/>
      <c r="D174" s="151"/>
      <c r="E174" s="152"/>
      <c r="F174" s="153"/>
      <c r="G174" s="154"/>
      <c r="H174" s="153"/>
      <c r="I174" s="172"/>
      <c r="J174" s="316">
        <f>'Level 1'!L173</f>
        <v>1217096.6100000001</v>
      </c>
      <c r="L174" s="315"/>
      <c r="M174" s="151"/>
      <c r="N174" s="152"/>
      <c r="O174" s="153"/>
      <c r="P174" s="154"/>
      <c r="Q174" s="153"/>
      <c r="R174" s="172"/>
      <c r="S174" s="316">
        <v>1248365.8425</v>
      </c>
      <c r="U174" s="317">
        <f>J174-S174</f>
        <v>-31269.232499999925</v>
      </c>
      <c r="W174" s="318">
        <f>IF(S174=0,0,U174/S174)</f>
        <v>-2.5048132074312123E-2</v>
      </c>
      <c r="Y174" s="313"/>
    </row>
    <row r="175" spans="1:25">
      <c r="A175" s="321" t="s">
        <v>558</v>
      </c>
      <c r="B175" s="135"/>
      <c r="C175" s="322" t="str">
        <f>'Level 1'!E174</f>
        <v>Allowance</v>
      </c>
      <c r="D175" s="47" t="str">
        <f>'Level 1'!F174</f>
        <v>SF</v>
      </c>
      <c r="E175" s="42">
        <f>'Level 1'!G174</f>
        <v>431911</v>
      </c>
      <c r="F175" s="61">
        <f>'Level 1'!H174</f>
        <v>0.06</v>
      </c>
      <c r="G175" s="63">
        <f>'Level 1'!I174</f>
        <v>0</v>
      </c>
      <c r="H175" s="66">
        <f>'Level 1'!J174</f>
        <v>0.06</v>
      </c>
      <c r="I175" s="67">
        <f>'Level 1'!K174</f>
        <v>25914.66</v>
      </c>
      <c r="J175" s="96"/>
      <c r="L175" s="322"/>
      <c r="M175" s="47"/>
      <c r="N175" s="42"/>
      <c r="O175" s="61"/>
      <c r="P175" s="63"/>
      <c r="Q175" s="66"/>
      <c r="R175" s="67">
        <v>25717.739999999998</v>
      </c>
      <c r="S175" s="96"/>
      <c r="U175" s="296">
        <f t="shared" ref="U175:U177" si="23">I175-R175</f>
        <v>196.92000000000189</v>
      </c>
      <c r="W175" s="297">
        <f t="shared" ref="W175:W177" si="24">IF(R175=0,0,U175/R175)</f>
        <v>7.6569714135068601E-3</v>
      </c>
      <c r="Y175" s="313"/>
    </row>
    <row r="176" spans="1:25">
      <c r="A176" s="323" t="s">
        <v>560</v>
      </c>
      <c r="B176" s="135"/>
      <c r="C176" s="324" t="str">
        <f>'Level 1'!E175</f>
        <v>Torrey Pines</v>
      </c>
      <c r="D176" s="40" t="str">
        <f>'Level 1'!F175</f>
        <v>SF</v>
      </c>
      <c r="E176" s="38">
        <f>'Level 1'!G175</f>
        <v>431911</v>
      </c>
      <c r="F176" s="51">
        <f>'Level 1'!H175</f>
        <v>2.4500000000000002</v>
      </c>
      <c r="G176" s="53">
        <f>'Level 1'!I175</f>
        <v>0</v>
      </c>
      <c r="H176" s="51">
        <f>'Level 1'!J175</f>
        <v>2.4500000000000002</v>
      </c>
      <c r="I176" s="54">
        <f>'Level 1'!K175</f>
        <v>1058181.9500000002</v>
      </c>
      <c r="J176" s="96"/>
      <c r="L176" s="324"/>
      <c r="M176" s="40"/>
      <c r="N176" s="38"/>
      <c r="O176" s="51"/>
      <c r="P176" s="53"/>
      <c r="Q176" s="51"/>
      <c r="R176" s="54">
        <v>1102648.1025</v>
      </c>
      <c r="S176" s="96"/>
      <c r="U176" s="296">
        <f t="shared" si="23"/>
        <v>-44466.152499999851</v>
      </c>
      <c r="W176" s="297">
        <f t="shared" si="24"/>
        <v>-4.0326693891898163E-2</v>
      </c>
      <c r="Y176" s="313"/>
    </row>
    <row r="177" spans="1:25">
      <c r="A177" s="323" t="s">
        <v>562</v>
      </c>
      <c r="B177" s="135"/>
      <c r="C177" s="324" t="str">
        <f>'Level 1'!E176</f>
        <v>Torrey Pines</v>
      </c>
      <c r="D177" s="40" t="str">
        <f>'Level 1'!F176</f>
        <v>Count</v>
      </c>
      <c r="E177" s="38">
        <f>'Level 1'!G176</f>
        <v>1</v>
      </c>
      <c r="F177" s="51">
        <f>'Level 1'!H176</f>
        <v>133000</v>
      </c>
      <c r="G177" s="53">
        <f>'Level 1'!I176</f>
        <v>0</v>
      </c>
      <c r="H177" s="51">
        <f>'Level 1'!J176</f>
        <v>133000</v>
      </c>
      <c r="I177" s="54">
        <f>'Level 1'!K176</f>
        <v>133000</v>
      </c>
      <c r="J177" s="96"/>
      <c r="L177" s="324"/>
      <c r="M177" s="40"/>
      <c r="N177" s="38"/>
      <c r="O177" s="51"/>
      <c r="P177" s="53"/>
      <c r="Q177" s="51"/>
      <c r="R177" s="54">
        <v>120000</v>
      </c>
      <c r="S177" s="96"/>
      <c r="U177" s="296">
        <f t="shared" si="23"/>
        <v>13000</v>
      </c>
      <c r="W177" s="297">
        <f t="shared" si="24"/>
        <v>0.10833333333333334</v>
      </c>
      <c r="Y177" s="313"/>
    </row>
    <row r="178" spans="1:25">
      <c r="A178" s="314" t="s">
        <v>564</v>
      </c>
      <c r="B178" s="135"/>
      <c r="C178" s="315"/>
      <c r="D178" s="151"/>
      <c r="E178" s="152"/>
      <c r="F178" s="153"/>
      <c r="G178" s="154"/>
      <c r="H178" s="153"/>
      <c r="I178" s="172"/>
      <c r="J178" s="316">
        <f>'Level 1'!L177</f>
        <v>4668056.9812639821</v>
      </c>
      <c r="L178" s="315"/>
      <c r="M178" s="151"/>
      <c r="N178" s="152"/>
      <c r="O178" s="153"/>
      <c r="P178" s="154"/>
      <c r="Q178" s="153"/>
      <c r="R178" s="172"/>
      <c r="S178" s="316">
        <v>5160559.9000000004</v>
      </c>
      <c r="U178" s="317">
        <f>J178-S178</f>
        <v>-492502.91873601824</v>
      </c>
      <c r="W178" s="318">
        <f>IF(S178=0,0,U178/S178)</f>
        <v>-9.5435946540610495E-2</v>
      </c>
      <c r="Y178" s="313"/>
    </row>
    <row r="179" spans="1:25">
      <c r="A179" s="321" t="s">
        <v>566</v>
      </c>
      <c r="B179" s="135"/>
      <c r="C179" s="322" t="str">
        <f>'Level 1'!E178</f>
        <v>Torrey Pines</v>
      </c>
      <c r="D179" s="47" t="str">
        <f>'Level 1'!F178</f>
        <v>Count</v>
      </c>
      <c r="E179" s="42">
        <f>'Level 1'!G178</f>
        <v>223</v>
      </c>
      <c r="F179" s="61">
        <f>'Level 1'!H178</f>
        <v>10526</v>
      </c>
      <c r="G179" s="63">
        <f>'Level 1'!I178</f>
        <v>0</v>
      </c>
      <c r="H179" s="66">
        <f>'Level 1'!J178</f>
        <v>10526</v>
      </c>
      <c r="I179" s="67">
        <f>'Level 1'!K178</f>
        <v>2347298</v>
      </c>
      <c r="J179" s="96"/>
      <c r="L179" s="322" t="s">
        <v>742</v>
      </c>
      <c r="M179" s="47" t="s">
        <v>88</v>
      </c>
      <c r="N179" s="42">
        <v>212</v>
      </c>
      <c r="O179" s="61">
        <f t="shared" ref="O179:O180" si="25">Q179*0.9</f>
        <v>10443.510000000002</v>
      </c>
      <c r="P179" s="63">
        <v>0.1</v>
      </c>
      <c r="Q179" s="66">
        <v>11603.900000000001</v>
      </c>
      <c r="R179" s="67">
        <v>2460026.8000000003</v>
      </c>
      <c r="S179" s="96"/>
      <c r="U179" s="296">
        <f t="shared" ref="U179:U183" si="26">I179-R179</f>
        <v>-112728.80000000028</v>
      </c>
      <c r="W179" s="297">
        <f t="shared" ref="W179:W183" si="27">IF(R179=0,0,U179/R179)</f>
        <v>-4.5824216223985963E-2</v>
      </c>
      <c r="Y179" s="313" t="s">
        <v>1212</v>
      </c>
    </row>
    <row r="180" spans="1:25">
      <c r="A180" s="323" t="s">
        <v>569</v>
      </c>
      <c r="B180" s="135"/>
      <c r="C180" s="322" t="str">
        <f>'Level 1'!E179</f>
        <v>Flamingo</v>
      </c>
      <c r="D180" s="40" t="str">
        <f>'Level 1'!F179</f>
        <v>Count</v>
      </c>
      <c r="E180" s="38">
        <f>'Level 1'!G179</f>
        <v>167</v>
      </c>
      <c r="F180" s="51">
        <f>'Level 1'!H179</f>
        <v>13713.454977628635</v>
      </c>
      <c r="G180" s="53">
        <f>'Level 1'!I179</f>
        <v>0</v>
      </c>
      <c r="H180" s="51">
        <f>'Level 1'!J179</f>
        <v>13713.454977628635</v>
      </c>
      <c r="I180" s="54">
        <f>'Level 1'!K179</f>
        <v>2290146.9812639821</v>
      </c>
      <c r="J180" s="96"/>
      <c r="L180" s="322" t="s">
        <v>742</v>
      </c>
      <c r="M180" s="40" t="s">
        <v>88</v>
      </c>
      <c r="N180" s="38">
        <v>177</v>
      </c>
      <c r="O180" s="51">
        <f t="shared" si="25"/>
        <v>13575.87</v>
      </c>
      <c r="P180" s="53">
        <v>0.1</v>
      </c>
      <c r="Q180" s="51">
        <v>15084.300000000001</v>
      </c>
      <c r="R180" s="54">
        <v>2669921.1</v>
      </c>
      <c r="S180" s="96"/>
      <c r="U180" s="296">
        <f t="shared" si="26"/>
        <v>-379774.11873601796</v>
      </c>
      <c r="W180" s="297">
        <f t="shared" si="27"/>
        <v>-0.14224170097611422</v>
      </c>
      <c r="Y180" s="313"/>
    </row>
    <row r="181" spans="1:25">
      <c r="A181" s="323" t="s">
        <v>1104</v>
      </c>
      <c r="B181" s="135"/>
      <c r="C181" s="324" t="str">
        <f>'Level 1'!E180</f>
        <v>N/A</v>
      </c>
      <c r="D181" s="40">
        <f>'Level 1'!F180</f>
        <v>0</v>
      </c>
      <c r="E181" s="38">
        <f>'Level 1'!G180</f>
        <v>0</v>
      </c>
      <c r="F181" s="51">
        <f>'Level 1'!H180</f>
        <v>0</v>
      </c>
      <c r="G181" s="53">
        <f>'Level 1'!I180</f>
        <v>0</v>
      </c>
      <c r="H181" s="51">
        <f>'Level 1'!J180</f>
        <v>0</v>
      </c>
      <c r="I181" s="54">
        <f>'Level 1'!K180</f>
        <v>0</v>
      </c>
      <c r="J181" s="96"/>
      <c r="L181" s="324"/>
      <c r="M181" s="40"/>
      <c r="N181" s="38"/>
      <c r="O181" s="51"/>
      <c r="P181" s="53"/>
      <c r="Q181" s="51"/>
      <c r="R181" s="54">
        <v>0</v>
      </c>
      <c r="S181" s="96"/>
      <c r="U181" s="296">
        <f t="shared" si="26"/>
        <v>0</v>
      </c>
      <c r="W181" s="297">
        <f t="shared" si="27"/>
        <v>0</v>
      </c>
      <c r="Y181" s="313"/>
    </row>
    <row r="182" spans="1:25">
      <c r="A182" s="323" t="s">
        <v>572</v>
      </c>
      <c r="B182" s="135"/>
      <c r="C182" s="324" t="str">
        <f>'Level 1'!E181</f>
        <v>Torrey Pines</v>
      </c>
      <c r="D182" s="40" t="str">
        <f>'Level 1'!F181</f>
        <v>LS</v>
      </c>
      <c r="E182" s="38">
        <f>'Level 1'!G181</f>
        <v>1</v>
      </c>
      <c r="F182" s="51">
        <f>'Level 1'!H181</f>
        <v>24612</v>
      </c>
      <c r="G182" s="53">
        <f>'Level 1'!I181</f>
        <v>0</v>
      </c>
      <c r="H182" s="51">
        <f>'Level 1'!J181</f>
        <v>24612</v>
      </c>
      <c r="I182" s="54">
        <f>'Level 1'!K181</f>
        <v>24612</v>
      </c>
      <c r="J182" s="96"/>
      <c r="L182" s="324"/>
      <c r="M182" s="40"/>
      <c r="N182" s="38"/>
      <c r="O182" s="51"/>
      <c r="P182" s="53"/>
      <c r="Q182" s="51"/>
      <c r="R182" s="54">
        <v>24612</v>
      </c>
      <c r="S182" s="96"/>
      <c r="U182" s="296">
        <f t="shared" si="26"/>
        <v>0</v>
      </c>
      <c r="W182" s="297">
        <f t="shared" si="27"/>
        <v>0</v>
      </c>
      <c r="Y182" s="313"/>
    </row>
    <row r="183" spans="1:25">
      <c r="A183" s="323" t="s">
        <v>575</v>
      </c>
      <c r="B183" s="135"/>
      <c r="C183" s="324" t="str">
        <f>'Level 1'!E182</f>
        <v>Allowance</v>
      </c>
      <c r="D183" s="40" t="str">
        <f>'Level 1'!F182</f>
        <v>LS</v>
      </c>
      <c r="E183" s="38">
        <f>'Level 1'!G182</f>
        <v>1</v>
      </c>
      <c r="F183" s="51">
        <f>'Level 1'!H182</f>
        <v>6000</v>
      </c>
      <c r="G183" s="53">
        <f>'Level 1'!I182</f>
        <v>0</v>
      </c>
      <c r="H183" s="51">
        <f>'Level 1'!J182</f>
        <v>6000</v>
      </c>
      <c r="I183" s="54">
        <f>'Level 1'!K182</f>
        <v>6000</v>
      </c>
      <c r="J183" s="96"/>
      <c r="L183" s="324"/>
      <c r="M183" s="40"/>
      <c r="N183" s="38"/>
      <c r="O183" s="51"/>
      <c r="P183" s="53"/>
      <c r="Q183" s="51"/>
      <c r="R183" s="54">
        <v>6000</v>
      </c>
      <c r="S183" s="96"/>
      <c r="U183" s="296">
        <f t="shared" si="26"/>
        <v>0</v>
      </c>
      <c r="W183" s="297">
        <f t="shared" si="27"/>
        <v>0</v>
      </c>
      <c r="Y183" s="313"/>
    </row>
    <row r="184" spans="1:25">
      <c r="A184" s="314" t="s">
        <v>577</v>
      </c>
      <c r="B184" s="135"/>
      <c r="C184" s="315"/>
      <c r="D184" s="151"/>
      <c r="E184" s="152"/>
      <c r="F184" s="153"/>
      <c r="G184" s="154"/>
      <c r="H184" s="153"/>
      <c r="I184" s="172"/>
      <c r="J184" s="316">
        <f>'Level 1'!L183</f>
        <v>4216723.68</v>
      </c>
      <c r="L184" s="315"/>
      <c r="M184" s="151"/>
      <c r="N184" s="152"/>
      <c r="O184" s="153"/>
      <c r="P184" s="154"/>
      <c r="Q184" s="153"/>
      <c r="R184" s="172"/>
      <c r="S184" s="316">
        <v>4472265</v>
      </c>
      <c r="U184" s="317">
        <f>J184-S184</f>
        <v>-255541.3200000003</v>
      </c>
      <c r="W184" s="318">
        <f>IF(S184=0,0,U184/S184)</f>
        <v>-5.7139127489091168E-2</v>
      </c>
      <c r="Y184" s="313"/>
    </row>
    <row r="185" spans="1:25">
      <c r="A185" s="319" t="s">
        <v>582</v>
      </c>
      <c r="B185" s="135"/>
      <c r="C185" s="320" t="str">
        <f>'Level 1'!E184</f>
        <v>Hualapai</v>
      </c>
      <c r="D185" s="65" t="str">
        <f>'Level 1'!F184</f>
        <v>Unit</v>
      </c>
      <c r="E185" s="43">
        <f>'Level 1'!G184</f>
        <v>390</v>
      </c>
      <c r="F185" s="64">
        <f>'Level 1'!H184</f>
        <v>10812.111999999999</v>
      </c>
      <c r="G185" s="157">
        <f>'Level 1'!I184</f>
        <v>0</v>
      </c>
      <c r="H185" s="158">
        <f>'Level 1'!J184</f>
        <v>10812.111999999999</v>
      </c>
      <c r="I185" s="159">
        <f>'Level 1'!K184</f>
        <v>4216723.68</v>
      </c>
      <c r="J185" s="96"/>
      <c r="L185" s="320"/>
      <c r="M185" s="65" t="s">
        <v>88</v>
      </c>
      <c r="N185" s="43">
        <v>389</v>
      </c>
      <c r="O185" s="64">
        <v>10949.35732647815</v>
      </c>
      <c r="P185" s="157">
        <v>0.05</v>
      </c>
      <c r="Q185" s="158">
        <f>O185*1.05</f>
        <v>11496.825192802058</v>
      </c>
      <c r="R185" s="159">
        <v>4472265</v>
      </c>
      <c r="S185" s="96"/>
      <c r="U185" s="296">
        <f t="shared" ref="U185" si="28">I185-R185</f>
        <v>-255541.3200000003</v>
      </c>
      <c r="W185" s="297">
        <f>IF(R185=0,0,U185/R185)</f>
        <v>-5.7139127489091168E-2</v>
      </c>
      <c r="Y185" s="313" t="s">
        <v>1106</v>
      </c>
    </row>
    <row r="186" spans="1:25">
      <c r="A186" s="314" t="s">
        <v>587</v>
      </c>
      <c r="B186" s="135"/>
      <c r="C186" s="315"/>
      <c r="D186" s="151"/>
      <c r="E186" s="152"/>
      <c r="F186" s="153"/>
      <c r="G186" s="154"/>
      <c r="H186" s="153"/>
      <c r="I186" s="172"/>
      <c r="J186" s="316">
        <f>'Level 1'!L185</f>
        <v>5075012.7184999995</v>
      </c>
      <c r="L186" s="315"/>
      <c r="M186" s="151"/>
      <c r="N186" s="152"/>
      <c r="O186" s="153"/>
      <c r="P186" s="154"/>
      <c r="Q186" s="153"/>
      <c r="R186" s="172"/>
      <c r="S186" s="316">
        <v>5228658.78</v>
      </c>
      <c r="U186" s="317">
        <f>J186-S186</f>
        <v>-153646.06150000077</v>
      </c>
      <c r="W186" s="318">
        <f>IF(S186=0,0,U186/S186)</f>
        <v>-2.9385367828497076E-2</v>
      </c>
      <c r="Y186" s="313"/>
    </row>
    <row r="187" spans="1:25">
      <c r="A187" s="321" t="s">
        <v>590</v>
      </c>
      <c r="B187" s="135"/>
      <c r="C187" s="322" t="str">
        <f>'Level 1'!E186</f>
        <v>Torrey Pines</v>
      </c>
      <c r="D187" s="47" t="str">
        <f>'Level 1'!F186</f>
        <v>SF</v>
      </c>
      <c r="E187" s="42">
        <f>'Level 1'!G186</f>
        <v>431911</v>
      </c>
      <c r="F187" s="61">
        <f>'Level 1'!H186</f>
        <v>9.27</v>
      </c>
      <c r="G187" s="63">
        <f>'Level 1'!I186</f>
        <v>0.05</v>
      </c>
      <c r="H187" s="66">
        <f>'Level 1'!J186</f>
        <v>9.7334999999999994</v>
      </c>
      <c r="I187" s="67">
        <f>'Level 1'!K186</f>
        <v>4204005.7184999995</v>
      </c>
      <c r="J187" s="96"/>
      <c r="L187" s="322" t="s">
        <v>426</v>
      </c>
      <c r="M187" s="47" t="s">
        <v>61</v>
      </c>
      <c r="N187" s="42">
        <f>M9</f>
        <v>428629</v>
      </c>
      <c r="O187" s="61">
        <v>9.92</v>
      </c>
      <c r="P187" s="63">
        <v>7.0999999999999994E-2</v>
      </c>
      <c r="Q187" s="66">
        <f>O187*(1+P187)</f>
        <v>10.624319999999999</v>
      </c>
      <c r="R187" s="67">
        <v>4551999.6800000006</v>
      </c>
      <c r="S187" s="96"/>
      <c r="U187" s="296">
        <f t="shared" ref="U187:U203" si="29">I187-R187</f>
        <v>-347993.96150000114</v>
      </c>
      <c r="W187" s="297">
        <f t="shared" ref="W187:W203" si="30">IF(R187=0,0,U187/R187)</f>
        <v>-7.6448590941025962E-2</v>
      </c>
      <c r="Y187" s="313" t="s">
        <v>1213</v>
      </c>
    </row>
    <row r="188" spans="1:25">
      <c r="A188" s="323" t="s">
        <v>594</v>
      </c>
      <c r="B188" s="135"/>
      <c r="C188" s="324" t="str">
        <f>'Level 1'!E187</f>
        <v>Pebble</v>
      </c>
      <c r="D188" s="40" t="str">
        <f>'Level 1'!F187</f>
        <v>Unit</v>
      </c>
      <c r="E188" s="38">
        <f>'Level 1'!G187</f>
        <v>390</v>
      </c>
      <c r="F188" s="51">
        <f>'Level 1'!H187</f>
        <v>594</v>
      </c>
      <c r="G188" s="53">
        <f>'Level 1'!I187</f>
        <v>0.15</v>
      </c>
      <c r="H188" s="51">
        <f>'Level 1'!J187</f>
        <v>683.09999999999991</v>
      </c>
      <c r="I188" s="54">
        <f>'Level 1'!K187</f>
        <v>266408.99999999994</v>
      </c>
      <c r="J188" s="96"/>
      <c r="L188" s="324"/>
      <c r="M188" s="40"/>
      <c r="N188" s="38"/>
      <c r="O188" s="51"/>
      <c r="P188" s="53"/>
      <c r="Q188" s="51"/>
      <c r="R188" s="54">
        <v>229299</v>
      </c>
      <c r="S188" s="96"/>
      <c r="U188" s="296">
        <f t="shared" si="29"/>
        <v>37109.999999999942</v>
      </c>
      <c r="W188" s="297">
        <f t="shared" si="30"/>
        <v>0.16184108958172491</v>
      </c>
      <c r="Y188" s="313" t="s">
        <v>596</v>
      </c>
    </row>
    <row r="189" spans="1:25">
      <c r="A189" s="323" t="s">
        <v>597</v>
      </c>
      <c r="B189" s="135"/>
      <c r="C189" s="324" t="str">
        <f>'Level 1'!E188</f>
        <v>Russell IV</v>
      </c>
      <c r="D189" s="40" t="str">
        <f>'Level 1'!F188</f>
        <v>Unit</v>
      </c>
      <c r="E189" s="38">
        <f>'Level 1'!G188</f>
        <v>390</v>
      </c>
      <c r="F189" s="51">
        <f>'Level 1'!H188</f>
        <v>119</v>
      </c>
      <c r="G189" s="53">
        <f>'Level 1'!I188</f>
        <v>0</v>
      </c>
      <c r="H189" s="51">
        <f>'Level 1'!J188</f>
        <v>119</v>
      </c>
      <c r="I189" s="54">
        <f>'Level 1'!K188</f>
        <v>46410</v>
      </c>
      <c r="J189" s="96"/>
      <c r="L189" s="324"/>
      <c r="M189" s="40"/>
      <c r="N189" s="38"/>
      <c r="O189" s="51"/>
      <c r="P189" s="53"/>
      <c r="Q189" s="51"/>
      <c r="R189" s="54">
        <v>46291</v>
      </c>
      <c r="S189" s="96"/>
      <c r="U189" s="296">
        <f t="shared" si="29"/>
        <v>119</v>
      </c>
      <c r="W189" s="297">
        <f t="shared" si="30"/>
        <v>2.5706940874035988E-3</v>
      </c>
      <c r="Y189" s="313"/>
    </row>
    <row r="190" spans="1:25">
      <c r="A190" s="323" t="s">
        <v>599</v>
      </c>
      <c r="B190" s="135"/>
      <c r="C190" s="324" t="str">
        <f>'Level 1'!E189</f>
        <v>Russell IV</v>
      </c>
      <c r="D190" s="40" t="str">
        <f>'Level 1'!F189</f>
        <v>Unit</v>
      </c>
      <c r="E190" s="38">
        <f>'Level 1'!G189</f>
        <v>390</v>
      </c>
      <c r="F190" s="51">
        <f>'Level 1'!H189</f>
        <v>112</v>
      </c>
      <c r="G190" s="53">
        <f>'Level 1'!I189</f>
        <v>0</v>
      </c>
      <c r="H190" s="51">
        <f>'Level 1'!J189</f>
        <v>112</v>
      </c>
      <c r="I190" s="54">
        <f>'Level 1'!K189</f>
        <v>43680</v>
      </c>
      <c r="J190" s="96"/>
      <c r="L190" s="324"/>
      <c r="M190" s="40"/>
      <c r="N190" s="38"/>
      <c r="O190" s="51"/>
      <c r="P190" s="53"/>
      <c r="Q190" s="51"/>
      <c r="R190" s="54">
        <v>43568</v>
      </c>
      <c r="S190" s="96"/>
      <c r="U190" s="296">
        <f t="shared" si="29"/>
        <v>112</v>
      </c>
      <c r="W190" s="297">
        <f t="shared" si="30"/>
        <v>2.5706940874035988E-3</v>
      </c>
      <c r="Y190" s="313"/>
    </row>
    <row r="191" spans="1:25">
      <c r="A191" s="323" t="s">
        <v>601</v>
      </c>
      <c r="B191" s="135"/>
      <c r="C191" s="324" t="str">
        <f>'Level 1'!E190</f>
        <v>Russell IV</v>
      </c>
      <c r="D191" s="40" t="str">
        <f>'Level 1'!F190</f>
        <v>Space</v>
      </c>
      <c r="E191" s="38">
        <f>'Level 1'!G190</f>
        <v>388</v>
      </c>
      <c r="F191" s="51">
        <f>'Level 1'!H190</f>
        <v>138</v>
      </c>
      <c r="G191" s="53">
        <f>'Level 1'!I190</f>
        <v>0</v>
      </c>
      <c r="H191" s="51">
        <f>'Level 1'!J190</f>
        <v>138</v>
      </c>
      <c r="I191" s="54">
        <f>'Level 1'!K190</f>
        <v>53544</v>
      </c>
      <c r="J191" s="96"/>
      <c r="L191" s="324"/>
      <c r="M191" s="40"/>
      <c r="N191" s="38"/>
      <c r="O191" s="51"/>
      <c r="P191" s="53"/>
      <c r="Q191" s="51"/>
      <c r="R191" s="54">
        <v>49680</v>
      </c>
      <c r="S191" s="96"/>
      <c r="U191" s="296">
        <f t="shared" si="29"/>
        <v>3864</v>
      </c>
      <c r="W191" s="297">
        <f t="shared" si="30"/>
        <v>7.7777777777777779E-2</v>
      </c>
      <c r="Y191" s="313"/>
    </row>
    <row r="192" spans="1:25">
      <c r="A192" s="323" t="s">
        <v>604</v>
      </c>
      <c r="B192" s="135"/>
      <c r="C192" s="324" t="str">
        <f>'Level 1'!E191</f>
        <v>Russell IV</v>
      </c>
      <c r="D192" s="40" t="str">
        <f>'Level 1'!F191</f>
        <v>Space</v>
      </c>
      <c r="E192" s="38">
        <f>'Level 1'!G191</f>
        <v>388</v>
      </c>
      <c r="F192" s="51">
        <f>'Level 1'!H191</f>
        <v>24</v>
      </c>
      <c r="G192" s="53">
        <f>'Level 1'!I191</f>
        <v>0</v>
      </c>
      <c r="H192" s="51">
        <f>'Level 1'!J191</f>
        <v>24</v>
      </c>
      <c r="I192" s="54">
        <f>'Level 1'!K191</f>
        <v>9312</v>
      </c>
      <c r="J192" s="96"/>
      <c r="L192" s="324"/>
      <c r="M192" s="40"/>
      <c r="N192" s="38"/>
      <c r="O192" s="51"/>
      <c r="P192" s="53"/>
      <c r="Q192" s="51"/>
      <c r="R192" s="54">
        <v>18522</v>
      </c>
      <c r="S192" s="96"/>
      <c r="U192" s="296">
        <f t="shared" si="29"/>
        <v>-9210</v>
      </c>
      <c r="W192" s="297">
        <f t="shared" si="30"/>
        <v>-0.49724651765468092</v>
      </c>
      <c r="Y192" s="313"/>
    </row>
    <row r="193" spans="1:25">
      <c r="A193" s="323" t="s">
        <v>605</v>
      </c>
      <c r="B193" s="135"/>
      <c r="C193" s="324" t="str">
        <f>'Level 1'!E192</f>
        <v>N/A</v>
      </c>
      <c r="D193" s="40">
        <f>'Level 1'!F192</f>
        <v>0</v>
      </c>
      <c r="E193" s="38">
        <f>'Level 1'!G192</f>
        <v>0</v>
      </c>
      <c r="F193" s="51">
        <f>'Level 1'!H192</f>
        <v>0</v>
      </c>
      <c r="G193" s="53">
        <f>'Level 1'!I192</f>
        <v>0</v>
      </c>
      <c r="H193" s="51">
        <f>'Level 1'!J192</f>
        <v>0</v>
      </c>
      <c r="I193" s="54">
        <f>'Level 1'!K192</f>
        <v>0</v>
      </c>
      <c r="J193" s="96"/>
      <c r="L193" s="324"/>
      <c r="M193" s="40"/>
      <c r="N193" s="38"/>
      <c r="O193" s="51"/>
      <c r="P193" s="53"/>
      <c r="Q193" s="51"/>
      <c r="R193" s="54">
        <v>0</v>
      </c>
      <c r="S193" s="96"/>
      <c r="U193" s="296">
        <f t="shared" si="29"/>
        <v>0</v>
      </c>
      <c r="W193" s="297">
        <f t="shared" si="30"/>
        <v>0</v>
      </c>
      <c r="Y193" s="313"/>
    </row>
    <row r="194" spans="1:25">
      <c r="A194" s="323" t="s">
        <v>606</v>
      </c>
      <c r="B194" s="135"/>
      <c r="C194" s="324" t="str">
        <f>'Level 1'!E193</f>
        <v>N/A</v>
      </c>
      <c r="D194" s="40">
        <f>'Level 1'!F193</f>
        <v>0</v>
      </c>
      <c r="E194" s="38">
        <f>'Level 1'!G193</f>
        <v>0</v>
      </c>
      <c r="F194" s="51">
        <f>'Level 1'!H193</f>
        <v>0</v>
      </c>
      <c r="G194" s="53">
        <f>'Level 1'!I193</f>
        <v>0</v>
      </c>
      <c r="H194" s="51">
        <f>'Level 1'!J193</f>
        <v>0</v>
      </c>
      <c r="I194" s="54">
        <f>'Level 1'!K193</f>
        <v>0</v>
      </c>
      <c r="J194" s="96"/>
      <c r="L194" s="324"/>
      <c r="M194" s="40"/>
      <c r="N194" s="38"/>
      <c r="O194" s="51"/>
      <c r="P194" s="53"/>
      <c r="Q194" s="51"/>
      <c r="R194" s="54">
        <v>0</v>
      </c>
      <c r="S194" s="96"/>
      <c r="U194" s="296">
        <f t="shared" si="29"/>
        <v>0</v>
      </c>
      <c r="W194" s="297">
        <f t="shared" si="30"/>
        <v>0</v>
      </c>
      <c r="Y194" s="313"/>
    </row>
    <row r="195" spans="1:25">
      <c r="A195" s="323" t="s">
        <v>608</v>
      </c>
      <c r="B195" s="135"/>
      <c r="C195" s="324" t="str">
        <f>'Level 1'!E194</f>
        <v>LS</v>
      </c>
      <c r="D195" s="40" t="str">
        <f>'Level 1'!F194</f>
        <v>LS</v>
      </c>
      <c r="E195" s="38">
        <f>'Level 1'!G194</f>
        <v>1</v>
      </c>
      <c r="F195" s="51">
        <f>'Level 1'!H194</f>
        <v>275000</v>
      </c>
      <c r="G195" s="53">
        <f>'Level 1'!I194</f>
        <v>0</v>
      </c>
      <c r="H195" s="51">
        <f>'Level 1'!J194</f>
        <v>275000</v>
      </c>
      <c r="I195" s="54">
        <f>'Level 1'!K194</f>
        <v>275000</v>
      </c>
      <c r="J195" s="96"/>
      <c r="L195" s="324"/>
      <c r="M195" s="40"/>
      <c r="N195" s="38"/>
      <c r="O195" s="51"/>
      <c r="P195" s="53"/>
      <c r="Q195" s="51"/>
      <c r="R195" s="54">
        <v>175000</v>
      </c>
      <c r="S195" s="96"/>
      <c r="U195" s="425">
        <v>0</v>
      </c>
      <c r="W195" s="297">
        <f>IF(R195=0,0,U195/R195)</f>
        <v>0</v>
      </c>
      <c r="Y195" s="313" t="s">
        <v>1214</v>
      </c>
    </row>
    <row r="196" spans="1:25">
      <c r="A196" s="323" t="s">
        <v>612</v>
      </c>
      <c r="B196" s="135"/>
      <c r="C196" s="324" t="s">
        <v>71</v>
      </c>
      <c r="D196" s="40" t="s">
        <v>71</v>
      </c>
      <c r="E196" s="38">
        <v>1</v>
      </c>
      <c r="F196" s="51">
        <f>'Level 1'!H195</f>
        <v>100000</v>
      </c>
      <c r="G196" s="53">
        <f>'Level 1'!I195</f>
        <v>0</v>
      </c>
      <c r="H196" s="51">
        <f>'Level 1'!J195</f>
        <v>100000</v>
      </c>
      <c r="I196" s="54">
        <f>'Level 1'!K195</f>
        <v>100000</v>
      </c>
      <c r="J196" s="96"/>
      <c r="L196" s="324"/>
      <c r="M196" s="40"/>
      <c r="N196" s="38"/>
      <c r="O196" s="51"/>
      <c r="P196" s="53"/>
      <c r="Q196" s="51"/>
      <c r="R196" s="54">
        <v>0</v>
      </c>
      <c r="S196" s="96"/>
      <c r="U196" s="425">
        <v>0</v>
      </c>
      <c r="W196" s="297">
        <f>IF(R196=0,0,U196/R196)</f>
        <v>0</v>
      </c>
      <c r="Y196" s="313" t="s">
        <v>1215</v>
      </c>
    </row>
    <row r="197" spans="1:25">
      <c r="A197" s="323" t="s">
        <v>613</v>
      </c>
      <c r="B197" s="135"/>
      <c r="C197" s="324" t="str">
        <f>'Level 1'!E196</f>
        <v>Russell IV</v>
      </c>
      <c r="D197" s="40" t="str">
        <f>'Level 1'!F196</f>
        <v>Acre</v>
      </c>
      <c r="E197" s="183">
        <f>'Level 1'!G196</f>
        <v>15.826000000000001</v>
      </c>
      <c r="F197" s="51">
        <f>'Level 1'!H196</f>
        <v>1000</v>
      </c>
      <c r="G197" s="53">
        <f>'Level 1'!I196</f>
        <v>0</v>
      </c>
      <c r="H197" s="51">
        <f>'Level 1'!J196</f>
        <v>1000</v>
      </c>
      <c r="I197" s="54">
        <f>'Level 1'!K196</f>
        <v>15826</v>
      </c>
      <c r="J197" s="96"/>
      <c r="L197" s="324"/>
      <c r="M197" s="40"/>
      <c r="N197" s="183"/>
      <c r="O197" s="51"/>
      <c r="P197" s="53"/>
      <c r="Q197" s="51"/>
      <c r="R197" s="54">
        <v>19500</v>
      </c>
      <c r="S197" s="96"/>
      <c r="U197" s="296">
        <f t="shared" si="29"/>
        <v>-3674</v>
      </c>
      <c r="W197" s="297">
        <f t="shared" si="30"/>
        <v>-0.18841025641025641</v>
      </c>
      <c r="Y197" s="313"/>
    </row>
    <row r="198" spans="1:25">
      <c r="A198" s="323" t="s">
        <v>617</v>
      </c>
      <c r="B198" s="135"/>
      <c r="C198" s="324" t="str">
        <f>'Level 1'!E197</f>
        <v>Russell IV</v>
      </c>
      <c r="D198" s="40" t="str">
        <f>'Level 1'!F197</f>
        <v>Acre</v>
      </c>
      <c r="E198" s="183">
        <f>'Level 1'!G197</f>
        <v>15.826000000000001</v>
      </c>
      <c r="F198" s="51">
        <f>'Level 1'!H197</f>
        <v>1000</v>
      </c>
      <c r="G198" s="53">
        <f>'Level 1'!I197</f>
        <v>0</v>
      </c>
      <c r="H198" s="51">
        <f>'Level 1'!J197</f>
        <v>1000</v>
      </c>
      <c r="I198" s="54">
        <f>'Level 1'!K197</f>
        <v>15826</v>
      </c>
      <c r="J198" s="96"/>
      <c r="L198" s="324"/>
      <c r="M198" s="40"/>
      <c r="N198" s="183"/>
      <c r="O198" s="51"/>
      <c r="P198" s="53"/>
      <c r="Q198" s="51"/>
      <c r="R198" s="54">
        <v>28024.1</v>
      </c>
      <c r="S198" s="96"/>
      <c r="U198" s="296">
        <f t="shared" si="29"/>
        <v>-12198.099999999999</v>
      </c>
      <c r="W198" s="297">
        <f t="shared" si="30"/>
        <v>-0.43527178392883265</v>
      </c>
      <c r="Y198" s="313"/>
    </row>
    <row r="199" spans="1:25">
      <c r="A199" s="323" t="s">
        <v>619</v>
      </c>
      <c r="B199" s="135"/>
      <c r="C199" s="324" t="str">
        <f>'Level 1'!E198</f>
        <v>Russell IV</v>
      </c>
      <c r="D199" s="40" t="str">
        <f>'Level 1'!F198</f>
        <v>LS</v>
      </c>
      <c r="E199" s="38">
        <f>'Level 1'!G198</f>
        <v>1</v>
      </c>
      <c r="F199" s="51">
        <f>'Level 1'!H198</f>
        <v>17000</v>
      </c>
      <c r="G199" s="53">
        <f>'Level 1'!I198</f>
        <v>0</v>
      </c>
      <c r="H199" s="51">
        <f>'Level 1'!J198</f>
        <v>17000</v>
      </c>
      <c r="I199" s="54">
        <f>'Level 1'!K198</f>
        <v>17000</v>
      </c>
      <c r="J199" s="96"/>
      <c r="L199" s="324"/>
      <c r="M199" s="40"/>
      <c r="N199" s="38"/>
      <c r="O199" s="51"/>
      <c r="P199" s="53"/>
      <c r="Q199" s="51"/>
      <c r="R199" s="54">
        <v>13178</v>
      </c>
      <c r="S199" s="96"/>
      <c r="U199" s="296">
        <f>I199-R199</f>
        <v>3822</v>
      </c>
      <c r="W199" s="297">
        <f t="shared" si="30"/>
        <v>0.29002883593868567</v>
      </c>
      <c r="Y199" s="313"/>
    </row>
    <row r="200" spans="1:25">
      <c r="A200" s="323" t="s">
        <v>621</v>
      </c>
      <c r="B200" s="135"/>
      <c r="C200" s="324" t="str">
        <f>'Level 1'!E199</f>
        <v>Russell IV</v>
      </c>
      <c r="D200" s="40" t="str">
        <f>'Level 1'!F199</f>
        <v>LS</v>
      </c>
      <c r="E200" s="38">
        <f>'Level 1'!G199</f>
        <v>1</v>
      </c>
      <c r="F200" s="51">
        <f>'Level 1'!H199</f>
        <v>11000</v>
      </c>
      <c r="G200" s="53">
        <f>'Level 1'!I199</f>
        <v>0</v>
      </c>
      <c r="H200" s="51">
        <f>'Level 1'!J199</f>
        <v>11000</v>
      </c>
      <c r="I200" s="54">
        <f>'Level 1'!K199</f>
        <v>11000</v>
      </c>
      <c r="J200" s="96"/>
      <c r="L200" s="324"/>
      <c r="M200" s="40"/>
      <c r="N200" s="38"/>
      <c r="O200" s="51"/>
      <c r="P200" s="53"/>
      <c r="Q200" s="51"/>
      <c r="R200" s="54">
        <v>22000</v>
      </c>
      <c r="S200" s="96"/>
      <c r="U200" s="296">
        <f t="shared" si="29"/>
        <v>-11000</v>
      </c>
      <c r="W200" s="297">
        <f t="shared" si="30"/>
        <v>-0.5</v>
      </c>
      <c r="Y200" s="313"/>
    </row>
    <row r="201" spans="1:25">
      <c r="A201" s="323" t="s">
        <v>623</v>
      </c>
      <c r="B201" s="135"/>
      <c r="C201" s="324" t="str">
        <f>'Level 1'!E200</f>
        <v>Russell IV</v>
      </c>
      <c r="D201" s="40" t="str">
        <f>'Level 1'!F200</f>
        <v>LS</v>
      </c>
      <c r="E201" s="38">
        <f>'Level 1'!G200</f>
        <v>1</v>
      </c>
      <c r="F201" s="51">
        <f>'Level 1'!H200</f>
        <v>2000</v>
      </c>
      <c r="G201" s="53">
        <f>'Level 1'!I200</f>
        <v>0</v>
      </c>
      <c r="H201" s="51">
        <f>'Level 1'!J200</f>
        <v>2000</v>
      </c>
      <c r="I201" s="54">
        <f>'Level 1'!K200</f>
        <v>2000</v>
      </c>
      <c r="J201" s="96"/>
      <c r="L201" s="324"/>
      <c r="M201" s="40"/>
      <c r="N201" s="38"/>
      <c r="O201" s="51"/>
      <c r="P201" s="53"/>
      <c r="Q201" s="51"/>
      <c r="R201" s="54">
        <v>4000</v>
      </c>
      <c r="S201" s="96"/>
      <c r="U201" s="296">
        <f t="shared" si="29"/>
        <v>-2000</v>
      </c>
      <c r="W201" s="297">
        <f t="shared" si="30"/>
        <v>-0.5</v>
      </c>
      <c r="Y201" s="313"/>
    </row>
    <row r="202" spans="1:25">
      <c r="A202" s="323" t="s">
        <v>625</v>
      </c>
      <c r="B202" s="135"/>
      <c r="C202" s="324" t="str">
        <f>'Level 1'!E201</f>
        <v>Russell IV</v>
      </c>
      <c r="D202" s="40" t="str">
        <f>'Level 1'!F201</f>
        <v>LS</v>
      </c>
      <c r="E202" s="38">
        <f>'Level 1'!G201</f>
        <v>1</v>
      </c>
      <c r="F202" s="51">
        <f>'Level 1'!H201</f>
        <v>14250</v>
      </c>
      <c r="G202" s="53">
        <f>'Level 1'!I201</f>
        <v>0</v>
      </c>
      <c r="H202" s="51">
        <f>'Level 1'!J201</f>
        <v>14250</v>
      </c>
      <c r="I202" s="54">
        <f>'Level 1'!K201</f>
        <v>14250</v>
      </c>
      <c r="J202" s="96"/>
      <c r="L202" s="324"/>
      <c r="M202" s="40"/>
      <c r="N202" s="38"/>
      <c r="O202" s="51"/>
      <c r="P202" s="53"/>
      <c r="Q202" s="51"/>
      <c r="R202" s="54">
        <v>26997</v>
      </c>
      <c r="S202" s="96"/>
      <c r="U202" s="296">
        <f t="shared" si="29"/>
        <v>-12747</v>
      </c>
      <c r="W202" s="297">
        <f t="shared" si="30"/>
        <v>-0.47216357373041451</v>
      </c>
      <c r="Y202" s="313"/>
    </row>
    <row r="203" spans="1:25">
      <c r="A203" s="323" t="s">
        <v>626</v>
      </c>
      <c r="B203" s="135"/>
      <c r="C203" s="324" t="str">
        <f>'Level 1'!E202</f>
        <v>Russell IV</v>
      </c>
      <c r="D203" s="40" t="str">
        <f>'Level 1'!F202</f>
        <v>LS</v>
      </c>
      <c r="E203" s="38">
        <f>'Level 1'!G202</f>
        <v>1</v>
      </c>
      <c r="F203" s="51">
        <f>'Level 1'!H202</f>
        <v>750</v>
      </c>
      <c r="G203" s="53">
        <f>'Level 1'!I202</f>
        <v>0</v>
      </c>
      <c r="H203" s="51">
        <f>'Level 1'!J202</f>
        <v>750</v>
      </c>
      <c r="I203" s="54">
        <f>'Level 1'!K202</f>
        <v>750</v>
      </c>
      <c r="J203" s="96"/>
      <c r="L203" s="324"/>
      <c r="M203" s="40"/>
      <c r="N203" s="38"/>
      <c r="O203" s="51"/>
      <c r="P203" s="53"/>
      <c r="Q203" s="51"/>
      <c r="R203" s="54">
        <v>600</v>
      </c>
      <c r="S203" s="96"/>
      <c r="U203" s="296">
        <f t="shared" si="29"/>
        <v>150</v>
      </c>
      <c r="W203" s="297">
        <f t="shared" si="30"/>
        <v>0.25</v>
      </c>
      <c r="Y203" s="313"/>
    </row>
    <row r="204" spans="1:25">
      <c r="A204" s="314" t="s">
        <v>627</v>
      </c>
      <c r="B204" s="135"/>
      <c r="C204" s="315"/>
      <c r="D204" s="151"/>
      <c r="E204" s="152"/>
      <c r="F204" s="153"/>
      <c r="G204" s="154"/>
      <c r="H204" s="153"/>
      <c r="I204" s="172"/>
      <c r="J204" s="316">
        <f>'Level 1'!L203</f>
        <v>260127.49</v>
      </c>
      <c r="L204" s="315"/>
      <c r="M204" s="151"/>
      <c r="N204" s="152"/>
      <c r="O204" s="153"/>
      <c r="P204" s="154"/>
      <c r="Q204" s="153"/>
      <c r="R204" s="172"/>
      <c r="S204" s="316">
        <v>194211.679</v>
      </c>
      <c r="U204" s="317">
        <f>J204-S204</f>
        <v>65915.810999999987</v>
      </c>
      <c r="W204" s="318">
        <f>IF(S204=0,0,U204/S204)</f>
        <v>0.33940189044964686</v>
      </c>
      <c r="Y204" s="313"/>
    </row>
    <row r="205" spans="1:25">
      <c r="A205" s="321" t="s">
        <v>629</v>
      </c>
      <c r="B205" s="135"/>
      <c r="C205" s="322" t="str">
        <f>'Level 1'!E204</f>
        <v>Allowance</v>
      </c>
      <c r="D205" s="47" t="str">
        <f>'Level 1'!F204</f>
        <v>LS</v>
      </c>
      <c r="E205" s="42">
        <f>'Level 1'!G204</f>
        <v>5</v>
      </c>
      <c r="F205" s="61">
        <f>'Level 1'!H204</f>
        <v>900</v>
      </c>
      <c r="G205" s="63">
        <f>'Level 1'!I204</f>
        <v>0</v>
      </c>
      <c r="H205" s="66">
        <f>'Level 1'!J204</f>
        <v>900</v>
      </c>
      <c r="I205" s="67">
        <f>'Level 1'!K204</f>
        <v>4500</v>
      </c>
      <c r="J205" s="96"/>
      <c r="L205" s="322"/>
      <c r="M205" s="47"/>
      <c r="N205" s="42"/>
      <c r="O205" s="61"/>
      <c r="P205" s="63"/>
      <c r="Q205" s="66"/>
      <c r="R205" s="67">
        <v>900</v>
      </c>
      <c r="S205" s="96"/>
      <c r="U205" s="296">
        <f t="shared" ref="U205:U207" si="31">I205-R205</f>
        <v>3600</v>
      </c>
      <c r="W205" s="297">
        <f t="shared" ref="W205:W207" si="32">IF(R205=0,0,U205/R205)</f>
        <v>4</v>
      </c>
      <c r="Y205" s="313"/>
    </row>
    <row r="206" spans="1:25">
      <c r="A206" s="323" t="s">
        <v>632</v>
      </c>
      <c r="B206" s="135"/>
      <c r="C206" s="324" t="str">
        <f>'Level 1'!E205</f>
        <v>Pebble</v>
      </c>
      <c r="D206" s="40" t="str">
        <f>'Level 1'!F205</f>
        <v>SF</v>
      </c>
      <c r="E206" s="38">
        <f>'Level 1'!G205</f>
        <v>431911</v>
      </c>
      <c r="F206" s="51">
        <f>'Level 1'!H205</f>
        <v>0.59</v>
      </c>
      <c r="G206" s="53">
        <f>'Level 1'!I205</f>
        <v>0</v>
      </c>
      <c r="H206" s="51">
        <f>'Level 1'!J205</f>
        <v>0.59</v>
      </c>
      <c r="I206" s="54">
        <f>'Level 1'!K205</f>
        <v>254827.49</v>
      </c>
      <c r="J206" s="96"/>
      <c r="L206" s="324"/>
      <c r="M206" s="40"/>
      <c r="N206" s="38"/>
      <c r="O206" s="51"/>
      <c r="P206" s="53"/>
      <c r="Q206" s="51"/>
      <c r="R206" s="54">
        <v>193311.679</v>
      </c>
      <c r="S206" s="96"/>
      <c r="U206" s="296">
        <f t="shared" si="31"/>
        <v>61515.810999999987</v>
      </c>
      <c r="W206" s="297">
        <f t="shared" si="32"/>
        <v>0.31822087169394453</v>
      </c>
      <c r="Y206" s="313"/>
    </row>
    <row r="207" spans="1:25">
      <c r="A207" s="323" t="s">
        <v>634</v>
      </c>
      <c r="B207" s="135"/>
      <c r="C207" s="324" t="str">
        <f>'Level 1'!E206</f>
        <v>N/A</v>
      </c>
      <c r="D207" s="40" t="str">
        <f>'Level 1'!F206</f>
        <v>LS</v>
      </c>
      <c r="E207" s="38">
        <f>'Level 1'!G206</f>
        <v>1</v>
      </c>
      <c r="F207" s="51">
        <f>'Level 1'!H206</f>
        <v>800</v>
      </c>
      <c r="G207" s="53">
        <f>'Level 1'!I206</f>
        <v>0</v>
      </c>
      <c r="H207" s="51">
        <f>'Level 1'!J206</f>
        <v>800</v>
      </c>
      <c r="I207" s="54">
        <f>'Level 1'!K206</f>
        <v>800</v>
      </c>
      <c r="J207" s="96"/>
      <c r="L207" s="324"/>
      <c r="M207" s="40"/>
      <c r="N207" s="38"/>
      <c r="O207" s="51"/>
      <c r="P207" s="53"/>
      <c r="Q207" s="51"/>
      <c r="R207" s="54">
        <v>800</v>
      </c>
      <c r="S207" s="96"/>
      <c r="U207" s="296">
        <f t="shared" si="31"/>
        <v>0</v>
      </c>
      <c r="W207" s="297">
        <f t="shared" si="32"/>
        <v>0</v>
      </c>
      <c r="Y207" s="313"/>
    </row>
    <row r="208" spans="1:25">
      <c r="A208" s="314" t="s">
        <v>636</v>
      </c>
      <c r="B208" s="135"/>
      <c r="C208" s="315"/>
      <c r="D208" s="151"/>
      <c r="E208" s="152"/>
      <c r="F208" s="153"/>
      <c r="G208" s="154"/>
      <c r="H208" s="153"/>
      <c r="I208" s="172"/>
      <c r="J208" s="316">
        <f>'Level 1'!L207</f>
        <v>1236018.7376499989</v>
      </c>
      <c r="L208" s="315"/>
      <c r="M208" s="151"/>
      <c r="N208" s="152"/>
      <c r="O208" s="153"/>
      <c r="P208" s="154"/>
      <c r="Q208" s="153"/>
      <c r="R208" s="172"/>
      <c r="S208" s="316">
        <v>952019.15</v>
      </c>
      <c r="U208" s="317">
        <f>J208-S208</f>
        <v>283999.58764999884</v>
      </c>
      <c r="W208" s="318">
        <f>IF(S208=0,0,U208/S208)</f>
        <v>0.29831289386353083</v>
      </c>
      <c r="Y208" s="313"/>
    </row>
    <row r="209" spans="1:25">
      <c r="A209" s="334" t="s">
        <v>638</v>
      </c>
      <c r="B209" s="135"/>
      <c r="C209" s="322" t="str">
        <f>'Level 1'!E208</f>
        <v>Decatur</v>
      </c>
      <c r="D209" s="47" t="str">
        <f>'Level 1'!F208</f>
        <v>Unit</v>
      </c>
      <c r="E209" s="42">
        <f>'Level 1'!G208</f>
        <v>390</v>
      </c>
      <c r="F209" s="61">
        <f>'Level 1'!H208</f>
        <v>581</v>
      </c>
      <c r="G209" s="63">
        <f>'Level 1'!I208</f>
        <v>0</v>
      </c>
      <c r="H209" s="66">
        <f>'Level 1'!J208</f>
        <v>581</v>
      </c>
      <c r="I209" s="67">
        <f>'Level 1'!K208</f>
        <v>226590</v>
      </c>
      <c r="J209" s="96"/>
      <c r="L209" s="322"/>
      <c r="M209" s="47"/>
      <c r="N209" s="42"/>
      <c r="O209" s="61"/>
      <c r="P209" s="63"/>
      <c r="Q209" s="66"/>
      <c r="R209" s="67">
        <v>225620</v>
      </c>
      <c r="S209" s="96"/>
      <c r="U209" s="296">
        <f t="shared" ref="U209:U211" si="33">I209-R209</f>
        <v>970</v>
      </c>
      <c r="W209" s="297">
        <f t="shared" ref="W209:W211" si="34">IF(R209=0,0,U209/R209)</f>
        <v>4.2992642496232601E-3</v>
      </c>
      <c r="Y209" s="313"/>
    </row>
    <row r="210" spans="1:25">
      <c r="A210" s="323" t="s">
        <v>640</v>
      </c>
      <c r="B210" s="135"/>
      <c r="C210" s="324" t="str">
        <f>'Level 1'!E209</f>
        <v>Pebble</v>
      </c>
      <c r="D210" s="40" t="str">
        <f>'Level 1'!F209</f>
        <v>Unit</v>
      </c>
      <c r="E210" s="38">
        <f>'Level 1'!G209</f>
        <v>390</v>
      </c>
      <c r="F210" s="51">
        <f>'Level 1'!H209</f>
        <v>442</v>
      </c>
      <c r="G210" s="53">
        <f>'Level 1'!I209</f>
        <v>0</v>
      </c>
      <c r="H210" s="51">
        <f>'Level 1'!J209</f>
        <v>442</v>
      </c>
      <c r="I210" s="54">
        <f>'Level 1'!K209</f>
        <v>172380</v>
      </c>
      <c r="J210" s="96"/>
      <c r="L210" s="324"/>
      <c r="M210" s="40"/>
      <c r="N210" s="38"/>
      <c r="O210" s="51"/>
      <c r="P210" s="53"/>
      <c r="Q210" s="51"/>
      <c r="R210" s="54">
        <v>127203</v>
      </c>
      <c r="S210" s="96"/>
      <c r="U210" s="296">
        <f t="shared" si="33"/>
        <v>45177</v>
      </c>
      <c r="W210" s="297">
        <f t="shared" si="34"/>
        <v>0.35515671800193394</v>
      </c>
      <c r="Y210" s="313" t="s">
        <v>1216</v>
      </c>
    </row>
    <row r="211" spans="1:25">
      <c r="A211" s="323" t="s">
        <v>1217</v>
      </c>
      <c r="B211" s="135"/>
      <c r="C211" s="324" t="str">
        <f>'Level 1'!E210</f>
        <v>Decatur</v>
      </c>
      <c r="D211" s="40" t="str">
        <f>'Level 1'!F210</f>
        <v>SF</v>
      </c>
      <c r="E211" s="38">
        <f>'Level 1'!G210</f>
        <v>431911</v>
      </c>
      <c r="F211" s="51">
        <f>'Level 1'!H210</f>
        <v>1.9380120850128819</v>
      </c>
      <c r="G211" s="53">
        <f>'Level 1'!I210</f>
        <v>0</v>
      </c>
      <c r="H211" s="51">
        <f>'Level 1'!J210</f>
        <v>1.9380120850128819</v>
      </c>
      <c r="I211" s="54">
        <f>'Level 1'!K210</f>
        <v>837048.73764999886</v>
      </c>
      <c r="J211" s="96"/>
      <c r="L211" s="324"/>
      <c r="M211" s="40" t="s">
        <v>61</v>
      </c>
      <c r="N211" s="42">
        <v>428629</v>
      </c>
      <c r="O211" s="51">
        <v>1.33136815287813</v>
      </c>
      <c r="P211" s="53">
        <v>0.05</v>
      </c>
      <c r="Q211" s="51">
        <f>O211*(1+P211)</f>
        <v>1.3979365605220366</v>
      </c>
      <c r="R211" s="54">
        <v>599196.15</v>
      </c>
      <c r="S211" s="96"/>
      <c r="U211" s="296">
        <f t="shared" si="33"/>
        <v>237852.58764999884</v>
      </c>
      <c r="W211" s="297">
        <f t="shared" si="34"/>
        <v>0.39695279692634677</v>
      </c>
      <c r="Y211" s="313" t="s">
        <v>1218</v>
      </c>
    </row>
    <row r="212" spans="1:25">
      <c r="A212" s="311"/>
      <c r="B212" s="135"/>
      <c r="C212" s="312"/>
      <c r="D212" s="60"/>
      <c r="E212" s="62"/>
      <c r="F212" s="147"/>
      <c r="G212" s="148"/>
      <c r="H212" s="147"/>
      <c r="I212" s="428"/>
      <c r="J212" s="96"/>
      <c r="L212" s="312"/>
      <c r="M212" s="60"/>
      <c r="N212" s="62"/>
      <c r="O212" s="147"/>
      <c r="P212" s="148"/>
      <c r="Q212" s="147"/>
      <c r="R212" s="428"/>
      <c r="S212" s="96"/>
      <c r="U212" s="296"/>
      <c r="W212" s="297"/>
      <c r="Y212" s="313"/>
    </row>
    <row r="213" spans="1:25">
      <c r="A213" s="429"/>
      <c r="B213" s="430"/>
      <c r="C213" s="431"/>
      <c r="D213" s="432"/>
      <c r="E213" s="433"/>
      <c r="F213" s="434"/>
      <c r="G213" s="435"/>
      <c r="H213" s="434"/>
      <c r="I213" s="436"/>
      <c r="J213" s="437"/>
      <c r="K213" s="438"/>
      <c r="L213" s="431"/>
      <c r="M213" s="432"/>
      <c r="N213" s="433"/>
      <c r="O213" s="434"/>
      <c r="P213" s="435"/>
      <c r="Q213" s="434"/>
      <c r="R213" s="436"/>
      <c r="S213" s="437"/>
      <c r="T213" s="438"/>
      <c r="U213" s="439" t="e">
        <f>U208+U204+U186+U184+U178+U174+U171+U169+U165+U156+U154+U137+U100+U84+U72+U59+U50+U44+U35+U24+U22+U20</f>
        <v>#REF!</v>
      </c>
      <c r="V213" s="438"/>
      <c r="W213" s="440"/>
      <c r="X213" s="438"/>
      <c r="Y213" s="441"/>
    </row>
    <row r="214" spans="1:25">
      <c r="A214" s="311"/>
      <c r="B214" s="135"/>
      <c r="C214" s="312"/>
      <c r="D214" s="60"/>
      <c r="E214" s="62"/>
      <c r="F214" s="147"/>
      <c r="G214" s="148"/>
      <c r="H214" s="147"/>
      <c r="I214" s="428"/>
      <c r="J214" s="96"/>
      <c r="L214" s="312"/>
      <c r="M214" s="60"/>
      <c r="N214" s="62"/>
      <c r="O214" s="147"/>
      <c r="P214" s="148"/>
      <c r="Q214" s="147"/>
      <c r="R214" s="428"/>
      <c r="S214" s="96"/>
      <c r="U214" s="296"/>
      <c r="W214" s="297"/>
      <c r="Y214" s="313"/>
    </row>
    <row r="215" spans="1:25">
      <c r="A215" s="314" t="s">
        <v>644</v>
      </c>
      <c r="B215" s="135"/>
      <c r="C215" s="315"/>
      <c r="D215" s="151"/>
      <c r="E215" s="152"/>
      <c r="F215" s="153"/>
      <c r="G215" s="154"/>
      <c r="H215" s="153"/>
      <c r="I215" s="172"/>
      <c r="J215" s="316">
        <f>'Level 1'!L211</f>
        <v>2009333.5559</v>
      </c>
      <c r="L215" s="315"/>
      <c r="M215" s="151"/>
      <c r="N215" s="152"/>
      <c r="O215" s="153"/>
      <c r="P215" s="154"/>
      <c r="Q215" s="153"/>
      <c r="R215" s="172"/>
      <c r="S215" s="316">
        <v>2710157.6135</v>
      </c>
      <c r="U215" s="317">
        <f>J215-S215</f>
        <v>-700824.05759999994</v>
      </c>
      <c r="W215" s="318">
        <f>IF(S215=0,0,U215/S215)</f>
        <v>-0.25859162364174432</v>
      </c>
      <c r="Y215" s="313"/>
    </row>
    <row r="216" spans="1:25">
      <c r="A216" s="321" t="s">
        <v>646</v>
      </c>
      <c r="B216" s="135"/>
      <c r="C216" s="322" t="str">
        <f>'Level 1'!E212</f>
        <v>Wigwam</v>
      </c>
      <c r="D216" s="47" t="str">
        <f>'Level 1'!F212</f>
        <v>Acre</v>
      </c>
      <c r="E216" s="185">
        <f>'Level 1'!G212</f>
        <v>15.826000000000001</v>
      </c>
      <c r="F216" s="61">
        <f>'Level 1'!H212</f>
        <v>6331.5499999999993</v>
      </c>
      <c r="G216" s="63">
        <f>'Level 1'!I212</f>
        <v>0</v>
      </c>
      <c r="H216" s="66">
        <f>'Level 1'!J212</f>
        <v>6331.5499999999993</v>
      </c>
      <c r="I216" s="67">
        <f>'Level 1'!K212</f>
        <v>100203.11029999999</v>
      </c>
      <c r="J216" s="96"/>
      <c r="L216" s="322"/>
      <c r="M216" s="47"/>
      <c r="N216" s="185"/>
      <c r="O216" s="61"/>
      <c r="P216" s="63"/>
      <c r="Q216" s="66"/>
      <c r="R216" s="67">
        <v>100608.32949999999</v>
      </c>
      <c r="S216" s="96"/>
      <c r="U216" s="296">
        <f t="shared" ref="U216:U224" si="35">I216-R216</f>
        <v>-405.21920000000682</v>
      </c>
      <c r="W216" s="297">
        <f t="shared" ref="W216:W224" si="36">IF(R216=0,0,U216/R216)</f>
        <v>-4.0276903713027746E-3</v>
      </c>
      <c r="Y216" s="313"/>
    </row>
    <row r="217" spans="1:25">
      <c r="A217" s="323" t="s">
        <v>648</v>
      </c>
      <c r="B217" s="135"/>
      <c r="C217" s="324" t="str">
        <f>'Level 1'!E213</f>
        <v>Wigwam</v>
      </c>
      <c r="D217" s="40" t="str">
        <f>'Level 1'!F213</f>
        <v>Acre</v>
      </c>
      <c r="E217" s="183">
        <f>'Level 1'!G213</f>
        <v>15.826000000000001</v>
      </c>
      <c r="F217" s="51">
        <f>'Level 1'!H213</f>
        <v>3485.6</v>
      </c>
      <c r="G217" s="53">
        <f>'Level 1'!I213</f>
        <v>0</v>
      </c>
      <c r="H217" s="51">
        <f>'Level 1'!J213</f>
        <v>3485.6</v>
      </c>
      <c r="I217" s="54">
        <f>'Level 1'!K213</f>
        <v>55163.105600000003</v>
      </c>
      <c r="J217" s="96"/>
      <c r="L217" s="324"/>
      <c r="M217" s="40"/>
      <c r="N217" s="183"/>
      <c r="O217" s="51"/>
      <c r="P217" s="53"/>
      <c r="Q217" s="51"/>
      <c r="R217" s="54">
        <v>55386.184000000001</v>
      </c>
      <c r="S217" s="96"/>
      <c r="U217" s="296">
        <f t="shared" si="35"/>
        <v>-223.07839999999851</v>
      </c>
      <c r="W217" s="297">
        <f t="shared" si="36"/>
        <v>-4.0276903713026791E-3</v>
      </c>
      <c r="Y217" s="313"/>
    </row>
    <row r="218" spans="1:25">
      <c r="A218" s="323" t="s">
        <v>650</v>
      </c>
      <c r="B218" s="135"/>
      <c r="C218" s="324" t="str">
        <f>'Level 1'!E214</f>
        <v>N/A</v>
      </c>
      <c r="D218" s="40">
        <f>'Level 1'!F214</f>
        <v>0</v>
      </c>
      <c r="E218" s="38">
        <f>'Level 1'!G214</f>
        <v>0</v>
      </c>
      <c r="F218" s="51">
        <f>'Level 1'!H214</f>
        <v>0</v>
      </c>
      <c r="G218" s="53">
        <f>'Level 1'!I214</f>
        <v>0</v>
      </c>
      <c r="H218" s="51">
        <f>'Level 1'!J214</f>
        <v>0</v>
      </c>
      <c r="I218" s="54">
        <f>'Level 1'!K214</f>
        <v>0</v>
      </c>
      <c r="J218" s="96"/>
      <c r="L218" s="324"/>
      <c r="M218" s="40"/>
      <c r="N218" s="38"/>
      <c r="O218" s="51"/>
      <c r="P218" s="53"/>
      <c r="Q218" s="51"/>
      <c r="R218" s="54">
        <v>0</v>
      </c>
      <c r="S218" s="96"/>
      <c r="U218" s="296">
        <f t="shared" si="35"/>
        <v>0</v>
      </c>
      <c r="W218" s="297">
        <f t="shared" si="36"/>
        <v>0</v>
      </c>
      <c r="Y218" s="313"/>
    </row>
    <row r="219" spans="1:25">
      <c r="A219" s="323" t="s">
        <v>652</v>
      </c>
      <c r="B219" s="135"/>
      <c r="C219" s="324" t="str">
        <f>'Level 1'!E215</f>
        <v>Budget</v>
      </c>
      <c r="D219" s="40" t="str">
        <f>'Level 1'!F215</f>
        <v>LS</v>
      </c>
      <c r="E219" s="38">
        <f>'Level 1'!G215</f>
        <v>1</v>
      </c>
      <c r="F219" s="51">
        <f>'Level 1'!H215</f>
        <v>100000</v>
      </c>
      <c r="G219" s="53">
        <f>'Level 1'!I215</f>
        <v>0</v>
      </c>
      <c r="H219" s="51">
        <f>'Level 1'!J215</f>
        <v>100000</v>
      </c>
      <c r="I219" s="54">
        <f>'Level 1'!K215</f>
        <v>100000</v>
      </c>
      <c r="J219" s="96"/>
      <c r="L219" s="324"/>
      <c r="M219" s="40"/>
      <c r="N219" s="38"/>
      <c r="O219" s="51"/>
      <c r="P219" s="53"/>
      <c r="Q219" s="51"/>
      <c r="R219" s="54">
        <v>100000</v>
      </c>
      <c r="S219" s="96"/>
      <c r="U219" s="296">
        <f t="shared" si="35"/>
        <v>0</v>
      </c>
      <c r="W219" s="297">
        <f t="shared" si="36"/>
        <v>0</v>
      </c>
      <c r="Y219" s="313" t="s">
        <v>1219</v>
      </c>
    </row>
    <row r="220" spans="1:25">
      <c r="A220" s="323" t="s">
        <v>655</v>
      </c>
      <c r="B220" s="135"/>
      <c r="C220" s="324" t="str">
        <f>'Level 1'!E216</f>
        <v>Budget</v>
      </c>
      <c r="D220" s="40" t="str">
        <f>'Level 1'!F216</f>
        <v>LS</v>
      </c>
      <c r="E220" s="38">
        <f>'Level 1'!G216</f>
        <v>1</v>
      </c>
      <c r="F220" s="51">
        <f>'Level 1'!H216</f>
        <v>1319548</v>
      </c>
      <c r="G220" s="53">
        <f>'Level 1'!I216</f>
        <v>0</v>
      </c>
      <c r="H220" s="51">
        <f>'Level 1'!J216</f>
        <v>1319548</v>
      </c>
      <c r="I220" s="54">
        <f>'Level 1'!K216</f>
        <v>1319548</v>
      </c>
      <c r="J220" s="96"/>
      <c r="L220" s="324"/>
      <c r="M220" s="40"/>
      <c r="N220" s="38"/>
      <c r="O220" s="51"/>
      <c r="P220" s="53"/>
      <c r="Q220" s="51"/>
      <c r="R220" s="54">
        <v>2029089</v>
      </c>
      <c r="S220" s="96"/>
      <c r="U220" s="296">
        <f t="shared" si="35"/>
        <v>-709541</v>
      </c>
      <c r="W220" s="297">
        <f t="shared" si="36"/>
        <v>-0.34968451359206026</v>
      </c>
      <c r="Y220" s="313" t="s">
        <v>1076</v>
      </c>
    </row>
    <row r="221" spans="1:25">
      <c r="A221" s="323" t="s">
        <v>658</v>
      </c>
      <c r="B221" s="135"/>
      <c r="C221" s="324" t="str">
        <f>'Level 1'!E217</f>
        <v>Budget</v>
      </c>
      <c r="D221" s="40" t="str">
        <f>'Level 1'!F217</f>
        <v>LS</v>
      </c>
      <c r="E221" s="38">
        <f>'Level 1'!G217</f>
        <v>1</v>
      </c>
      <c r="F221" s="51">
        <f>'Level 1'!H217</f>
        <v>43430</v>
      </c>
      <c r="G221" s="53">
        <f>'Level 1'!I217</f>
        <v>0</v>
      </c>
      <c r="H221" s="51">
        <f>'Level 1'!J217</f>
        <v>43430</v>
      </c>
      <c r="I221" s="54">
        <f>'Level 1'!K217</f>
        <v>43430</v>
      </c>
      <c r="J221" s="96"/>
      <c r="L221" s="324"/>
      <c r="M221" s="40"/>
      <c r="N221" s="38"/>
      <c r="O221" s="51"/>
      <c r="P221" s="53"/>
      <c r="Q221" s="51"/>
      <c r="R221" s="54">
        <v>33919</v>
      </c>
      <c r="S221" s="96"/>
      <c r="U221" s="296">
        <f t="shared" si="35"/>
        <v>9511</v>
      </c>
      <c r="W221" s="297">
        <f t="shared" si="36"/>
        <v>0.28040331377693917</v>
      </c>
      <c r="Y221" s="313"/>
    </row>
    <row r="222" spans="1:25">
      <c r="A222" s="323" t="s">
        <v>660</v>
      </c>
      <c r="B222" s="135"/>
      <c r="C222" s="324" t="str">
        <f>'Level 1'!E218</f>
        <v>Budget</v>
      </c>
      <c r="D222" s="40" t="str">
        <f>'Level 1'!F218</f>
        <v>LS</v>
      </c>
      <c r="E222" s="38">
        <f>'Level 1'!G218</f>
        <v>1</v>
      </c>
      <c r="F222" s="51">
        <f>'Level 1'!H218</f>
        <v>350000</v>
      </c>
      <c r="G222" s="53">
        <f>'Level 1'!I218</f>
        <v>0</v>
      </c>
      <c r="H222" s="51">
        <f>'Level 1'!J218</f>
        <v>350000</v>
      </c>
      <c r="I222" s="54">
        <f>'Level 1'!K218</f>
        <v>350000</v>
      </c>
      <c r="J222" s="96"/>
      <c r="L222" s="324"/>
      <c r="M222" s="40"/>
      <c r="N222" s="38"/>
      <c r="O222" s="51"/>
      <c r="P222" s="53"/>
      <c r="Q222" s="51"/>
      <c r="R222" s="54">
        <v>350000</v>
      </c>
      <c r="S222" s="96"/>
      <c r="U222" s="296">
        <f t="shared" si="35"/>
        <v>0</v>
      </c>
      <c r="W222" s="297">
        <f t="shared" si="36"/>
        <v>0</v>
      </c>
      <c r="Y222" s="313"/>
    </row>
    <row r="223" spans="1:25">
      <c r="A223" s="323" t="s">
        <v>662</v>
      </c>
      <c r="B223" s="135"/>
      <c r="C223" s="324" t="str">
        <f>'Level 1'!E219</f>
        <v>N/A</v>
      </c>
      <c r="D223" s="40">
        <f>'Level 1'!F219</f>
        <v>0</v>
      </c>
      <c r="E223" s="38">
        <f>'Level 1'!G219</f>
        <v>0</v>
      </c>
      <c r="F223" s="51">
        <f>'Level 1'!H219</f>
        <v>0</v>
      </c>
      <c r="G223" s="53">
        <f>'Level 1'!I219</f>
        <v>0</v>
      </c>
      <c r="H223" s="51">
        <f>'Level 1'!J219</f>
        <v>0</v>
      </c>
      <c r="I223" s="54">
        <f>'Level 1'!K219</f>
        <v>0</v>
      </c>
      <c r="J223" s="96"/>
      <c r="L223" s="324"/>
      <c r="M223" s="40"/>
      <c r="N223" s="38"/>
      <c r="O223" s="51"/>
      <c r="P223" s="53"/>
      <c r="Q223" s="51"/>
      <c r="R223" s="54">
        <v>0</v>
      </c>
      <c r="S223" s="96"/>
      <c r="U223" s="296">
        <f t="shared" si="35"/>
        <v>0</v>
      </c>
      <c r="W223" s="297">
        <f t="shared" si="36"/>
        <v>0</v>
      </c>
      <c r="Y223" s="313"/>
    </row>
    <row r="224" spans="1:25">
      <c r="A224" s="323" t="s">
        <v>664</v>
      </c>
      <c r="B224" s="135"/>
      <c r="C224" s="324" t="str">
        <f>'Level 1'!E220</f>
        <v>Wigwam</v>
      </c>
      <c r="D224" s="40" t="str">
        <f>'Level 1'!F220</f>
        <v>Acre</v>
      </c>
      <c r="E224" s="183">
        <f>'Level 1'!G220</f>
        <v>15.826000000000001</v>
      </c>
      <c r="F224" s="51">
        <f>'Level 1'!H220</f>
        <v>2590</v>
      </c>
      <c r="G224" s="53">
        <f>'Level 1'!I220</f>
        <v>0</v>
      </c>
      <c r="H224" s="51">
        <f>'Level 1'!J220</f>
        <v>2590</v>
      </c>
      <c r="I224" s="54">
        <f>'Level 1'!K220</f>
        <v>40989.340000000004</v>
      </c>
      <c r="J224" s="96"/>
      <c r="L224" s="324"/>
      <c r="M224" s="40"/>
      <c r="N224" s="183"/>
      <c r="O224" s="51"/>
      <c r="P224" s="53"/>
      <c r="Q224" s="51"/>
      <c r="R224" s="54">
        <v>41155.1</v>
      </c>
      <c r="S224" s="96"/>
      <c r="U224" s="296">
        <f t="shared" si="35"/>
        <v>-165.75999999999476</v>
      </c>
      <c r="W224" s="297">
        <f t="shared" si="36"/>
        <v>-4.0276903713025785E-3</v>
      </c>
      <c r="Y224" s="313"/>
    </row>
    <row r="225" spans="1:25">
      <c r="A225" s="314" t="s">
        <v>666</v>
      </c>
      <c r="B225" s="135"/>
      <c r="C225" s="315"/>
      <c r="D225" s="151"/>
      <c r="E225" s="152"/>
      <c r="F225" s="153"/>
      <c r="G225" s="154"/>
      <c r="H225" s="153"/>
      <c r="I225" s="172"/>
      <c r="J225" s="316">
        <f>'Level 1'!L221</f>
        <v>7935480.5860000001</v>
      </c>
      <c r="L225" s="315"/>
      <c r="M225" s="151"/>
      <c r="N225" s="152"/>
      <c r="O225" s="153"/>
      <c r="P225" s="154"/>
      <c r="Q225" s="153"/>
      <c r="R225" s="172"/>
      <c r="S225" s="316">
        <v>6283193.943</v>
      </c>
      <c r="U225" s="317">
        <f>J225-S225</f>
        <v>1652286.6430000002</v>
      </c>
      <c r="W225" s="318">
        <f>IF(S225=0,0,U225/S225)</f>
        <v>0.26296922520444954</v>
      </c>
      <c r="Y225" s="313"/>
    </row>
    <row r="226" spans="1:25">
      <c r="A226" s="321" t="s">
        <v>668</v>
      </c>
      <c r="B226" s="135"/>
      <c r="C226" s="322" t="str">
        <f>'Level 1'!E222</f>
        <v>Russell IV</v>
      </c>
      <c r="D226" s="47" t="str">
        <f>'Level 1'!F222</f>
        <v>LS</v>
      </c>
      <c r="E226" s="42">
        <f>'Level 1'!G222</f>
        <v>1</v>
      </c>
      <c r="F226" s="61">
        <f>'Level 1'!H222</f>
        <v>5000</v>
      </c>
      <c r="G226" s="63">
        <f>'Level 1'!I222</f>
        <v>0</v>
      </c>
      <c r="H226" s="66">
        <f>'Level 1'!J222</f>
        <v>5000</v>
      </c>
      <c r="I226" s="67">
        <f>'Level 1'!K222</f>
        <v>5000</v>
      </c>
      <c r="J226" s="96"/>
      <c r="L226" s="322"/>
      <c r="M226" s="47"/>
      <c r="N226" s="42"/>
      <c r="O226" s="61"/>
      <c r="P226" s="63"/>
      <c r="Q226" s="66"/>
      <c r="R226" s="67">
        <v>5000</v>
      </c>
      <c r="S226" s="96"/>
      <c r="U226" s="296">
        <f t="shared" ref="U226:U277" si="37">I226-R226</f>
        <v>0</v>
      </c>
      <c r="W226" s="297">
        <f t="shared" ref="W226:W261" si="38">IF(R226=0,0,U226/R226)</f>
        <v>0</v>
      </c>
      <c r="Y226" s="313"/>
    </row>
    <row r="227" spans="1:25">
      <c r="A227" s="323" t="s">
        <v>670</v>
      </c>
      <c r="B227" s="135"/>
      <c r="C227" s="324" t="str">
        <f>'Level 1'!E223</f>
        <v>Russell IV</v>
      </c>
      <c r="D227" s="40" t="str">
        <f>'Level 1'!F223</f>
        <v>LS</v>
      </c>
      <c r="E227" s="38">
        <f>'Level 1'!G223</f>
        <v>1</v>
      </c>
      <c r="F227" s="51">
        <f>'Level 1'!H223</f>
        <v>7500</v>
      </c>
      <c r="G227" s="53">
        <f>'Level 1'!I223</f>
        <v>0</v>
      </c>
      <c r="H227" s="51">
        <f>'Level 1'!J223</f>
        <v>7500</v>
      </c>
      <c r="I227" s="54">
        <f>'Level 1'!K223</f>
        <v>7500</v>
      </c>
      <c r="J227" s="96"/>
      <c r="L227" s="324"/>
      <c r="M227" s="40"/>
      <c r="N227" s="38"/>
      <c r="O227" s="51"/>
      <c r="P227" s="53"/>
      <c r="Q227" s="51"/>
      <c r="R227" s="54">
        <v>2500</v>
      </c>
      <c r="S227" s="96"/>
      <c r="U227" s="296">
        <f t="shared" si="37"/>
        <v>5000</v>
      </c>
      <c r="W227" s="297">
        <f t="shared" si="38"/>
        <v>2</v>
      </c>
      <c r="Y227" s="313"/>
    </row>
    <row r="228" spans="1:25">
      <c r="A228" s="323" t="s">
        <v>672</v>
      </c>
      <c r="B228" s="135"/>
      <c r="C228" s="324" t="str">
        <f>'Level 1'!E224</f>
        <v>Budget</v>
      </c>
      <c r="D228" s="40" t="str">
        <f>'Level 1'!F224</f>
        <v>LS</v>
      </c>
      <c r="E228" s="38">
        <f>'Level 1'!G224</f>
        <v>1</v>
      </c>
      <c r="F228" s="51">
        <f>'Level 1'!H224</f>
        <v>15000</v>
      </c>
      <c r="G228" s="53">
        <f>'Level 1'!I224</f>
        <v>0</v>
      </c>
      <c r="H228" s="51">
        <f>'Level 1'!J224</f>
        <v>15000</v>
      </c>
      <c r="I228" s="54">
        <f>'Level 1'!K224</f>
        <v>15000</v>
      </c>
      <c r="J228" s="96"/>
      <c r="L228" s="324"/>
      <c r="M228" s="40"/>
      <c r="N228" s="38"/>
      <c r="O228" s="51"/>
      <c r="P228" s="53"/>
      <c r="Q228" s="51"/>
      <c r="R228" s="54">
        <v>15000</v>
      </c>
      <c r="S228" s="96"/>
      <c r="U228" s="296">
        <f t="shared" si="37"/>
        <v>0</v>
      </c>
      <c r="W228" s="297">
        <f t="shared" si="38"/>
        <v>0</v>
      </c>
      <c r="Y228" s="313"/>
    </row>
    <row r="229" spans="1:25">
      <c r="A229" s="323" t="s">
        <v>674</v>
      </c>
      <c r="B229" s="135"/>
      <c r="C229" s="324" t="str">
        <f>'Level 1'!E225</f>
        <v>Budget</v>
      </c>
      <c r="D229" s="40" t="str">
        <f>'Level 1'!F225</f>
        <v>LS</v>
      </c>
      <c r="E229" s="38">
        <f>'Level 1'!G225</f>
        <v>1</v>
      </c>
      <c r="F229" s="51">
        <f>'Level 1'!H225</f>
        <v>708863.2</v>
      </c>
      <c r="G229" s="53">
        <f>'Level 1'!I225</f>
        <v>0</v>
      </c>
      <c r="H229" s="51">
        <f>'Level 1'!J225</f>
        <v>708863.2</v>
      </c>
      <c r="I229" s="54">
        <f>'Level 1'!K225</f>
        <v>708863.2</v>
      </c>
      <c r="J229" s="96"/>
      <c r="L229" s="324"/>
      <c r="M229" s="40"/>
      <c r="N229" s="38"/>
      <c r="O229" s="51"/>
      <c r="P229" s="53"/>
      <c r="Q229" s="51"/>
      <c r="R229" s="54">
        <v>617698.19999999995</v>
      </c>
      <c r="S229" s="96"/>
      <c r="U229" s="296">
        <f t="shared" si="37"/>
        <v>91165</v>
      </c>
      <c r="W229" s="297">
        <f t="shared" si="38"/>
        <v>0.1475882558828891</v>
      </c>
      <c r="Y229" s="313" t="s">
        <v>1222</v>
      </c>
    </row>
    <row r="230" spans="1:25">
      <c r="A230" s="323" t="s">
        <v>676</v>
      </c>
      <c r="B230" s="135"/>
      <c r="C230" s="324" t="str">
        <f>'Level 1'!E226</f>
        <v>Russell IV</v>
      </c>
      <c r="D230" s="40" t="str">
        <f>'Level 1'!F226</f>
        <v>SF</v>
      </c>
      <c r="E230" s="38">
        <f>'Level 1'!G226</f>
        <v>272443</v>
      </c>
      <c r="F230" s="51">
        <f>'Level 1'!H226</f>
        <v>0.15</v>
      </c>
      <c r="G230" s="53">
        <f>'Level 1'!I226</f>
        <v>0</v>
      </c>
      <c r="H230" s="51">
        <f>'Level 1'!J226</f>
        <v>0.15</v>
      </c>
      <c r="I230" s="54">
        <f>'Level 1'!K226</f>
        <v>40866.449999999997</v>
      </c>
      <c r="J230" s="96"/>
      <c r="L230" s="324"/>
      <c r="M230" s="40"/>
      <c r="N230" s="38"/>
      <c r="O230" s="51"/>
      <c r="P230" s="53"/>
      <c r="Q230" s="51"/>
      <c r="R230" s="54">
        <v>41244.905999999995</v>
      </c>
      <c r="S230" s="96"/>
      <c r="U230" s="296">
        <f t="shared" si="37"/>
        <v>-378.45599999999831</v>
      </c>
      <c r="W230" s="297">
        <f t="shared" si="38"/>
        <v>-9.1758240399432197E-3</v>
      </c>
      <c r="Y230" s="313"/>
    </row>
    <row r="231" spans="1:25">
      <c r="A231" s="323" t="s">
        <v>149</v>
      </c>
      <c r="B231" s="135"/>
      <c r="C231" s="324" t="str">
        <f>'Level 1'!E227</f>
        <v>Russell IV</v>
      </c>
      <c r="D231" s="40" t="str">
        <f>'Level 1'!F227</f>
        <v>LF</v>
      </c>
      <c r="E231" s="38">
        <f>'Level 1'!G227</f>
        <v>900</v>
      </c>
      <c r="F231" s="51">
        <f>'Level 1'!H227</f>
        <v>7.5</v>
      </c>
      <c r="G231" s="53">
        <f>'Level 1'!I227</f>
        <v>0</v>
      </c>
      <c r="H231" s="51">
        <f>'Level 1'!J227</f>
        <v>7.5</v>
      </c>
      <c r="I231" s="54">
        <f>'Level 1'!K227</f>
        <v>6750</v>
      </c>
      <c r="J231" s="96"/>
      <c r="L231" s="324"/>
      <c r="M231" s="40"/>
      <c r="N231" s="38"/>
      <c r="O231" s="51"/>
      <c r="P231" s="53"/>
      <c r="Q231" s="51"/>
      <c r="R231" s="54">
        <v>22376</v>
      </c>
      <c r="S231" s="96"/>
      <c r="U231" s="296">
        <f t="shared" si="37"/>
        <v>-15626</v>
      </c>
      <c r="W231" s="297">
        <f t="shared" si="38"/>
        <v>-0.69833750446907406</v>
      </c>
      <c r="Y231" s="313"/>
    </row>
    <row r="232" spans="1:25">
      <c r="A232" s="323" t="s">
        <v>679</v>
      </c>
      <c r="B232" s="135"/>
      <c r="C232" s="324" t="str">
        <f>'Level 1'!E228</f>
        <v>Russell IV</v>
      </c>
      <c r="D232" s="40" t="str">
        <f>'Level 1'!F228</f>
        <v>SF</v>
      </c>
      <c r="E232" s="38">
        <f>'Level 1'!G228</f>
        <v>7964</v>
      </c>
      <c r="F232" s="51">
        <f>'Level 1'!H228</f>
        <v>7.5</v>
      </c>
      <c r="G232" s="53">
        <f>'Level 1'!I228</f>
        <v>0</v>
      </c>
      <c r="H232" s="51">
        <f>'Level 1'!J228</f>
        <v>7.5</v>
      </c>
      <c r="I232" s="54">
        <f>'Level 1'!K228</f>
        <v>59730</v>
      </c>
      <c r="J232" s="96"/>
      <c r="L232" s="324"/>
      <c r="M232" s="40"/>
      <c r="N232" s="38"/>
      <c r="O232" s="51"/>
      <c r="P232" s="53"/>
      <c r="Q232" s="51"/>
      <c r="R232" s="54">
        <v>32102</v>
      </c>
      <c r="S232" s="96"/>
      <c r="U232" s="296">
        <f t="shared" si="37"/>
        <v>27628</v>
      </c>
      <c r="W232" s="297">
        <f t="shared" si="38"/>
        <v>0.8606317363404149</v>
      </c>
      <c r="Y232" s="313"/>
    </row>
    <row r="233" spans="1:25">
      <c r="A233" s="323" t="s">
        <v>681</v>
      </c>
      <c r="B233" s="135"/>
      <c r="C233" s="324" t="str">
        <f>'Level 1'!E229</f>
        <v>Budget</v>
      </c>
      <c r="D233" s="40" t="str">
        <f>'Level 1'!F229</f>
        <v>LS</v>
      </c>
      <c r="E233" s="38">
        <f>'Level 1'!G229</f>
        <v>1</v>
      </c>
      <c r="F233" s="51">
        <f>'Level 1'!H229</f>
        <v>172530</v>
      </c>
      <c r="G233" s="53">
        <f>'Level 1'!I229</f>
        <v>0</v>
      </c>
      <c r="H233" s="51">
        <f>'Level 1'!J229</f>
        <v>172530</v>
      </c>
      <c r="I233" s="54">
        <f>'Level 1'!K229</f>
        <v>172530</v>
      </c>
      <c r="J233" s="96"/>
      <c r="L233" s="324"/>
      <c r="M233" s="40"/>
      <c r="N233" s="38"/>
      <c r="O233" s="51"/>
      <c r="P233" s="53"/>
      <c r="Q233" s="51"/>
      <c r="R233" s="54">
        <v>84271.5</v>
      </c>
      <c r="S233" s="96"/>
      <c r="U233" s="296">
        <f t="shared" si="37"/>
        <v>88258.5</v>
      </c>
      <c r="W233" s="297">
        <f t="shared" si="38"/>
        <v>1.0473113686121642</v>
      </c>
      <c r="Y233" s="313"/>
    </row>
    <row r="234" spans="1:25">
      <c r="A234" s="323" t="s">
        <v>683</v>
      </c>
      <c r="B234" s="135"/>
      <c r="C234" s="324" t="str">
        <f>'Level 1'!E230</f>
        <v>Budget</v>
      </c>
      <c r="D234" s="40" t="str">
        <f>'Level 1'!F230</f>
        <v>LS</v>
      </c>
      <c r="E234" s="38">
        <f>'Level 1'!G230</f>
        <v>1</v>
      </c>
      <c r="F234" s="51">
        <f>'Level 1'!H230</f>
        <v>206646</v>
      </c>
      <c r="G234" s="53">
        <f>'Level 1'!I230</f>
        <v>0</v>
      </c>
      <c r="H234" s="51">
        <f>'Level 1'!J230</f>
        <v>206646</v>
      </c>
      <c r="I234" s="54">
        <f>'Level 1'!K230</f>
        <v>206646</v>
      </c>
      <c r="J234" s="96"/>
      <c r="L234" s="324"/>
      <c r="M234" s="40"/>
      <c r="N234" s="38"/>
      <c r="O234" s="51"/>
      <c r="P234" s="53"/>
      <c r="Q234" s="51"/>
      <c r="R234" s="54">
        <v>145736.32000000001</v>
      </c>
      <c r="S234" s="96"/>
      <c r="U234" s="296">
        <f t="shared" si="37"/>
        <v>60909.679999999993</v>
      </c>
      <c r="W234" s="297">
        <f t="shared" si="38"/>
        <v>0.41794440809264288</v>
      </c>
      <c r="Y234" s="313"/>
    </row>
    <row r="235" spans="1:25">
      <c r="A235" s="330" t="s">
        <v>685</v>
      </c>
      <c r="B235" s="135"/>
      <c r="C235" s="324" t="str">
        <f>'Level 1'!E231</f>
        <v>Budget</v>
      </c>
      <c r="D235" s="40" t="str">
        <f>'Level 1'!F231</f>
        <v>LS</v>
      </c>
      <c r="E235" s="38">
        <f>'Level 1'!G231</f>
        <v>1</v>
      </c>
      <c r="F235" s="51">
        <f>'Level 1'!H231</f>
        <v>309236</v>
      </c>
      <c r="G235" s="53">
        <f>'Level 1'!I231</f>
        <v>0</v>
      </c>
      <c r="H235" s="51">
        <f>'Level 1'!J231</f>
        <v>309236</v>
      </c>
      <c r="I235" s="54">
        <f>'Level 1'!K231</f>
        <v>309236</v>
      </c>
      <c r="J235" s="96"/>
      <c r="L235" s="324"/>
      <c r="M235" s="40"/>
      <c r="N235" s="38"/>
      <c r="O235" s="51"/>
      <c r="P235" s="53"/>
      <c r="Q235" s="51"/>
      <c r="R235" s="54">
        <v>424633.2</v>
      </c>
      <c r="S235" s="96"/>
      <c r="U235" s="296">
        <f t="shared" si="37"/>
        <v>-115397.20000000001</v>
      </c>
      <c r="W235" s="297">
        <f t="shared" si="38"/>
        <v>-0.27175736612210255</v>
      </c>
      <c r="Y235" s="313"/>
    </row>
    <row r="236" spans="1:25">
      <c r="A236" s="323" t="s">
        <v>687</v>
      </c>
      <c r="B236" s="135"/>
      <c r="C236" s="324" t="str">
        <f>'Level 1'!E232</f>
        <v>N/A</v>
      </c>
      <c r="D236" s="40">
        <f>'Level 1'!F232</f>
        <v>0</v>
      </c>
      <c r="E236" s="38">
        <f>'Level 1'!G232</f>
        <v>0</v>
      </c>
      <c r="F236" s="51">
        <f>'Level 1'!H232</f>
        <v>0</v>
      </c>
      <c r="G236" s="53">
        <f>'Level 1'!I232</f>
        <v>0</v>
      </c>
      <c r="H236" s="51">
        <f>'Level 1'!J232</f>
        <v>0</v>
      </c>
      <c r="I236" s="54">
        <f>'Level 1'!K232</f>
        <v>0</v>
      </c>
      <c r="J236" s="96"/>
      <c r="L236" s="324"/>
      <c r="M236" s="40"/>
      <c r="N236" s="38"/>
      <c r="O236" s="51"/>
      <c r="P236" s="53"/>
      <c r="Q236" s="51"/>
      <c r="R236" s="54">
        <v>0</v>
      </c>
      <c r="S236" s="96"/>
      <c r="U236" s="296">
        <f t="shared" si="37"/>
        <v>0</v>
      </c>
      <c r="W236" s="297">
        <f t="shared" si="38"/>
        <v>0</v>
      </c>
      <c r="Y236" s="313"/>
    </row>
    <row r="237" spans="1:25">
      <c r="A237" s="323" t="s">
        <v>689</v>
      </c>
      <c r="B237" s="135"/>
      <c r="C237" s="324" t="str">
        <f>'Level 1'!E233</f>
        <v>Russell IV</v>
      </c>
      <c r="D237" s="40" t="str">
        <f>'Level 1'!F233</f>
        <v>LS</v>
      </c>
      <c r="E237" s="38">
        <f>'Level 1'!G233</f>
        <v>1</v>
      </c>
      <c r="F237" s="51">
        <f>'Level 1'!H233</f>
        <v>9660</v>
      </c>
      <c r="G237" s="53">
        <f>'Level 1'!I233</f>
        <v>0</v>
      </c>
      <c r="H237" s="51">
        <f>'Level 1'!J233</f>
        <v>9660</v>
      </c>
      <c r="I237" s="54">
        <f>'Level 1'!K233</f>
        <v>9660</v>
      </c>
      <c r="J237" s="96"/>
      <c r="L237" s="324"/>
      <c r="M237" s="40"/>
      <c r="N237" s="38"/>
      <c r="O237" s="51"/>
      <c r="P237" s="53"/>
      <c r="Q237" s="51"/>
      <c r="R237" s="54">
        <v>9660</v>
      </c>
      <c r="S237" s="96"/>
      <c r="U237" s="296">
        <f t="shared" si="37"/>
        <v>0</v>
      </c>
      <c r="W237" s="297">
        <f t="shared" si="38"/>
        <v>0</v>
      </c>
      <c r="Y237" s="313"/>
    </row>
    <row r="238" spans="1:25">
      <c r="A238" s="323" t="s">
        <v>691</v>
      </c>
      <c r="B238" s="135"/>
      <c r="C238" s="324" t="str">
        <f>'Level 1'!E234</f>
        <v>Russell IV</v>
      </c>
      <c r="D238" s="40" t="str">
        <f>'Level 1'!F234</f>
        <v>Acre</v>
      </c>
      <c r="E238" s="183">
        <f>'Level 1'!G234</f>
        <v>15.826000000000001</v>
      </c>
      <c r="F238" s="51">
        <f>'Level 1'!H234</f>
        <v>2476</v>
      </c>
      <c r="G238" s="53">
        <f>'Level 1'!I234</f>
        <v>0</v>
      </c>
      <c r="H238" s="51">
        <f>'Level 1'!J234</f>
        <v>2476</v>
      </c>
      <c r="I238" s="54">
        <f>'Level 1'!K234</f>
        <v>39185.175999999999</v>
      </c>
      <c r="J238" s="96"/>
      <c r="L238" s="324"/>
      <c r="M238" s="40"/>
      <c r="N238" s="183"/>
      <c r="O238" s="51"/>
      <c r="P238" s="53"/>
      <c r="Q238" s="51"/>
      <c r="R238" s="54">
        <v>39343.64</v>
      </c>
      <c r="S238" s="96"/>
      <c r="U238" s="296">
        <f t="shared" si="37"/>
        <v>-158.46399999999994</v>
      </c>
      <c r="W238" s="297">
        <f t="shared" si="38"/>
        <v>-4.0276903713027043E-3</v>
      </c>
      <c r="Y238" s="313"/>
    </row>
    <row r="239" spans="1:25">
      <c r="A239" s="323" t="s">
        <v>693</v>
      </c>
      <c r="B239" s="135"/>
      <c r="C239" s="324" t="str">
        <f>'Level 1'!E235</f>
        <v>Budget</v>
      </c>
      <c r="D239" s="40" t="str">
        <f>'Level 1'!F235</f>
        <v>LS</v>
      </c>
      <c r="E239" s="38">
        <f>'Level 1'!G235</f>
        <v>1</v>
      </c>
      <c r="F239" s="51">
        <f>'Level 1'!H235</f>
        <v>163650</v>
      </c>
      <c r="G239" s="53">
        <f>'Level 1'!I235</f>
        <v>0</v>
      </c>
      <c r="H239" s="51">
        <f>'Level 1'!J235</f>
        <v>163650</v>
      </c>
      <c r="I239" s="54">
        <f>'Level 1'!K235</f>
        <v>163650</v>
      </c>
      <c r="J239" s="96"/>
      <c r="L239" s="324"/>
      <c r="M239" s="40"/>
      <c r="N239" s="38"/>
      <c r="O239" s="51"/>
      <c r="P239" s="53"/>
      <c r="Q239" s="51"/>
      <c r="R239" s="54">
        <v>351360</v>
      </c>
      <c r="S239" s="96"/>
      <c r="U239" s="296">
        <f t="shared" si="37"/>
        <v>-187710</v>
      </c>
      <c r="W239" s="297">
        <f t="shared" si="38"/>
        <v>-0.53423838797814205</v>
      </c>
      <c r="Y239" s="313"/>
    </row>
    <row r="240" spans="1:25">
      <c r="A240" s="323" t="s">
        <v>696</v>
      </c>
      <c r="B240" s="135"/>
      <c r="C240" s="324" t="str">
        <f>'Level 1'!E236</f>
        <v>Budget</v>
      </c>
      <c r="D240" s="40" t="str">
        <f>'Level 1'!F236</f>
        <v>Count</v>
      </c>
      <c r="E240" s="38">
        <f>'Level 1'!G236</f>
        <v>14</v>
      </c>
      <c r="F240" s="51">
        <f>'Level 1'!H236</f>
        <v>2485</v>
      </c>
      <c r="G240" s="53">
        <f>'Level 1'!I236</f>
        <v>0</v>
      </c>
      <c r="H240" s="51">
        <f>'Level 1'!J236</f>
        <v>2485</v>
      </c>
      <c r="I240" s="54">
        <f>'Level 1'!K236</f>
        <v>34790</v>
      </c>
      <c r="J240" s="96"/>
      <c r="L240" s="324"/>
      <c r="M240" s="40"/>
      <c r="N240" s="38"/>
      <c r="O240" s="51"/>
      <c r="P240" s="53"/>
      <c r="Q240" s="51"/>
      <c r="R240" s="54">
        <v>30000</v>
      </c>
      <c r="S240" s="96"/>
      <c r="U240" s="296">
        <f t="shared" si="37"/>
        <v>4790</v>
      </c>
      <c r="W240" s="297">
        <f t="shared" si="38"/>
        <v>0.15966666666666668</v>
      </c>
      <c r="Y240" s="313"/>
    </row>
    <row r="241" spans="1:25">
      <c r="A241" s="323" t="s">
        <v>698</v>
      </c>
      <c r="B241" s="135"/>
      <c r="C241" s="324" t="str">
        <f>'Level 1'!E237</f>
        <v>Allowance</v>
      </c>
      <c r="D241" s="40" t="str">
        <f>'Level 1'!F237</f>
        <v>LS</v>
      </c>
      <c r="E241" s="38">
        <f>'Level 1'!G237</f>
        <v>1</v>
      </c>
      <c r="F241" s="51">
        <f>'Level 1'!H237</f>
        <v>15000</v>
      </c>
      <c r="G241" s="53">
        <f>'Level 1'!I237</f>
        <v>0</v>
      </c>
      <c r="H241" s="51">
        <f>'Level 1'!J237</f>
        <v>15000</v>
      </c>
      <c r="I241" s="54">
        <f>'Level 1'!K237</f>
        <v>15000</v>
      </c>
      <c r="J241" s="96"/>
      <c r="L241" s="324"/>
      <c r="M241" s="40"/>
      <c r="N241" s="38"/>
      <c r="O241" s="51"/>
      <c r="P241" s="53"/>
      <c r="Q241" s="51"/>
      <c r="R241" s="54">
        <v>10000</v>
      </c>
      <c r="S241" s="96"/>
      <c r="U241" s="296">
        <f t="shared" si="37"/>
        <v>5000</v>
      </c>
      <c r="W241" s="297">
        <f t="shared" si="38"/>
        <v>0.5</v>
      </c>
      <c r="Y241" s="313"/>
    </row>
    <row r="242" spans="1:25">
      <c r="A242" s="323" t="s">
        <v>700</v>
      </c>
      <c r="B242" s="135"/>
      <c r="C242" s="324" t="str">
        <f>'Level 1'!E238</f>
        <v>Torrey Pines</v>
      </c>
      <c r="D242" s="40" t="str">
        <f>'Level 1'!F238</f>
        <v>LF</v>
      </c>
      <c r="E242" s="38">
        <f>'Level 1'!G238</f>
        <v>400</v>
      </c>
      <c r="F242" s="51">
        <f>'Level 1'!H238</f>
        <v>70</v>
      </c>
      <c r="G242" s="53">
        <f>'Level 1'!I238</f>
        <v>0</v>
      </c>
      <c r="H242" s="51">
        <f>'Level 1'!J238</f>
        <v>70</v>
      </c>
      <c r="I242" s="54">
        <f>'Level 1'!K238</f>
        <v>28000</v>
      </c>
      <c r="J242" s="96"/>
      <c r="L242" s="324"/>
      <c r="M242" s="40"/>
      <c r="N242" s="38"/>
      <c r="O242" s="51"/>
      <c r="P242" s="53"/>
      <c r="Q242" s="51"/>
      <c r="R242" s="54">
        <v>16200</v>
      </c>
      <c r="S242" s="96"/>
      <c r="U242" s="296">
        <f t="shared" si="37"/>
        <v>11800</v>
      </c>
      <c r="W242" s="297">
        <f t="shared" si="38"/>
        <v>0.72839506172839508</v>
      </c>
      <c r="Y242" s="313"/>
    </row>
    <row r="243" spans="1:25">
      <c r="A243" s="323" t="s">
        <v>161</v>
      </c>
      <c r="B243" s="135"/>
      <c r="C243" s="324" t="str">
        <f>'Level 1'!E239</f>
        <v>Budget</v>
      </c>
      <c r="D243" s="40" t="str">
        <f>'Level 1'!F239</f>
        <v>LF</v>
      </c>
      <c r="E243" s="38">
        <f>'Level 1'!G239</f>
        <v>437</v>
      </c>
      <c r="F243" s="51">
        <f>'Level 1'!H239</f>
        <v>75</v>
      </c>
      <c r="G243" s="53">
        <f>'Level 1'!I239</f>
        <v>0</v>
      </c>
      <c r="H243" s="51">
        <f>'Level 1'!J239</f>
        <v>75</v>
      </c>
      <c r="I243" s="54">
        <f>'Level 1'!K239</f>
        <v>32775</v>
      </c>
      <c r="J243" s="96"/>
      <c r="L243" s="324"/>
      <c r="M243" s="40"/>
      <c r="N243" s="38"/>
      <c r="O243" s="51"/>
      <c r="P243" s="53"/>
      <c r="Q243" s="51"/>
      <c r="R243" s="54">
        <v>40500</v>
      </c>
      <c r="S243" s="96"/>
      <c r="U243" s="296">
        <f t="shared" si="37"/>
        <v>-7725</v>
      </c>
      <c r="W243" s="297">
        <f t="shared" si="38"/>
        <v>-0.19074074074074074</v>
      </c>
      <c r="Y243" s="313"/>
    </row>
    <row r="244" spans="1:25">
      <c r="A244" s="323" t="s">
        <v>704</v>
      </c>
      <c r="B244" s="135"/>
      <c r="C244" s="324" t="str">
        <f>'Level 1'!E240</f>
        <v>Budget</v>
      </c>
      <c r="D244" s="40" t="str">
        <f>'Level 1'!F240</f>
        <v>Count</v>
      </c>
      <c r="E244" s="38">
        <f>'Level 1'!G240</f>
        <v>2</v>
      </c>
      <c r="F244" s="51">
        <f>'Level 1'!H240</f>
        <v>1950</v>
      </c>
      <c r="G244" s="53">
        <f>'Level 1'!I240</f>
        <v>0</v>
      </c>
      <c r="H244" s="51">
        <f>'Level 1'!J240</f>
        <v>1950</v>
      </c>
      <c r="I244" s="54">
        <f>'Level 1'!K240</f>
        <v>3900</v>
      </c>
      <c r="J244" s="96"/>
      <c r="L244" s="324"/>
      <c r="M244" s="40"/>
      <c r="N244" s="38"/>
      <c r="O244" s="51"/>
      <c r="P244" s="53"/>
      <c r="Q244" s="51"/>
      <c r="R244" s="54">
        <v>2000</v>
      </c>
      <c r="S244" s="96"/>
      <c r="U244" s="296">
        <f t="shared" si="37"/>
        <v>1900</v>
      </c>
      <c r="W244" s="297">
        <f t="shared" si="38"/>
        <v>0.95</v>
      </c>
      <c r="Y244" s="313"/>
    </row>
    <row r="245" spans="1:25">
      <c r="A245" s="323" t="s">
        <v>705</v>
      </c>
      <c r="B245" s="135"/>
      <c r="C245" s="324" t="str">
        <f>'Level 1'!E241</f>
        <v>LS</v>
      </c>
      <c r="D245" s="40" t="str">
        <f>'Level 1'!F241</f>
        <v>Count</v>
      </c>
      <c r="E245" s="38">
        <f>'Level 1'!G241</f>
        <v>2</v>
      </c>
      <c r="F245" s="51">
        <f>'Level 1'!H241</f>
        <v>96000</v>
      </c>
      <c r="G245" s="53">
        <f>'Level 1'!I241</f>
        <v>0</v>
      </c>
      <c r="H245" s="51">
        <f>'Level 1'!J241</f>
        <v>96000</v>
      </c>
      <c r="I245" s="54">
        <f>'Level 1'!K241</f>
        <v>192000</v>
      </c>
      <c r="J245" s="96"/>
      <c r="L245" s="324"/>
      <c r="M245" s="40"/>
      <c r="N245" s="38"/>
      <c r="O245" s="51"/>
      <c r="P245" s="53"/>
      <c r="Q245" s="51"/>
      <c r="R245" s="54">
        <v>96000</v>
      </c>
      <c r="S245" s="96"/>
      <c r="U245" s="296">
        <f t="shared" si="37"/>
        <v>96000</v>
      </c>
      <c r="W245" s="297">
        <f t="shared" si="38"/>
        <v>1</v>
      </c>
      <c r="Y245" s="313"/>
    </row>
    <row r="246" spans="1:25">
      <c r="A246" s="323" t="s">
        <v>707</v>
      </c>
      <c r="B246" s="135"/>
      <c r="C246" s="324" t="str">
        <f>'Level 1'!E242</f>
        <v>LS</v>
      </c>
      <c r="D246" s="40" t="str">
        <f>'Level 1'!F242</f>
        <v>Count</v>
      </c>
      <c r="E246" s="38">
        <f>'Level 1'!G242</f>
        <v>2</v>
      </c>
      <c r="F246" s="51">
        <f>'Level 1'!H242</f>
        <v>3555</v>
      </c>
      <c r="G246" s="53">
        <f>'Level 1'!I242</f>
        <v>0</v>
      </c>
      <c r="H246" s="51">
        <f>'Level 1'!J242</f>
        <v>3555</v>
      </c>
      <c r="I246" s="54">
        <f>'Level 1'!K242</f>
        <v>7110</v>
      </c>
      <c r="J246" s="96"/>
      <c r="L246" s="324"/>
      <c r="M246" s="40"/>
      <c r="N246" s="38"/>
      <c r="O246" s="51"/>
      <c r="P246" s="53"/>
      <c r="Q246" s="51"/>
      <c r="R246" s="54">
        <v>3555</v>
      </c>
      <c r="S246" s="96"/>
      <c r="U246" s="296">
        <f t="shared" si="37"/>
        <v>3555</v>
      </c>
      <c r="W246" s="297">
        <f t="shared" si="38"/>
        <v>1</v>
      </c>
      <c r="Y246" s="313"/>
    </row>
    <row r="247" spans="1:25">
      <c r="A247" s="323" t="s">
        <v>709</v>
      </c>
      <c r="B247" s="135"/>
      <c r="C247" s="324" t="str">
        <f>'Level 1'!E243</f>
        <v>N/A</v>
      </c>
      <c r="D247" s="40">
        <f>'Level 1'!F243</f>
        <v>0</v>
      </c>
      <c r="E247" s="38">
        <f>'Level 1'!G243</f>
        <v>0</v>
      </c>
      <c r="F247" s="51">
        <f>'Level 1'!H243</f>
        <v>44</v>
      </c>
      <c r="G247" s="53">
        <f>'Level 1'!I243</f>
        <v>0</v>
      </c>
      <c r="H247" s="51">
        <f>'Level 1'!J243</f>
        <v>44</v>
      </c>
      <c r="I247" s="54">
        <f>'Level 1'!K243</f>
        <v>0</v>
      </c>
      <c r="J247" s="96"/>
      <c r="L247" s="324"/>
      <c r="M247" s="40"/>
      <c r="N247" s="38"/>
      <c r="O247" s="51"/>
      <c r="P247" s="53"/>
      <c r="Q247" s="51"/>
      <c r="R247" s="54">
        <v>17116</v>
      </c>
      <c r="S247" s="96"/>
      <c r="U247" s="296">
        <f t="shared" si="37"/>
        <v>-17116</v>
      </c>
      <c r="W247" s="297">
        <f t="shared" si="38"/>
        <v>-1</v>
      </c>
      <c r="Y247" s="313"/>
    </row>
    <row r="248" spans="1:25">
      <c r="A248" s="323" t="s">
        <v>711</v>
      </c>
      <c r="B248" s="135"/>
      <c r="C248" s="324" t="str">
        <f>'Level 1'!E244</f>
        <v>N/A</v>
      </c>
      <c r="D248" s="40">
        <f>'Level 1'!F244</f>
        <v>0</v>
      </c>
      <c r="E248" s="38">
        <f>'Level 1'!G244</f>
        <v>0</v>
      </c>
      <c r="F248" s="51">
        <f>'Level 1'!H244</f>
        <v>1950</v>
      </c>
      <c r="G248" s="53">
        <f>'Level 1'!I244</f>
        <v>0</v>
      </c>
      <c r="H248" s="51">
        <f>'Level 1'!J244</f>
        <v>1950</v>
      </c>
      <c r="I248" s="54">
        <f>'Level 1'!K244</f>
        <v>0</v>
      </c>
      <c r="J248" s="96"/>
      <c r="L248" s="324"/>
      <c r="M248" s="40"/>
      <c r="N248" s="38"/>
      <c r="O248" s="51"/>
      <c r="P248" s="53"/>
      <c r="Q248" s="51"/>
      <c r="R248" s="54">
        <v>4800</v>
      </c>
      <c r="S248" s="96"/>
      <c r="U248" s="296">
        <f t="shared" si="37"/>
        <v>-4800</v>
      </c>
      <c r="W248" s="297">
        <f t="shared" si="38"/>
        <v>-1</v>
      </c>
      <c r="Y248" s="313"/>
    </row>
    <row r="249" spans="1:25">
      <c r="A249" s="323" t="s">
        <v>713</v>
      </c>
      <c r="B249" s="135"/>
      <c r="C249" s="324" t="str">
        <f>'Level 1'!E245</f>
        <v>Russell IV</v>
      </c>
      <c r="D249" s="40" t="str">
        <f>'Level 1'!F245</f>
        <v>Acre</v>
      </c>
      <c r="E249" s="183">
        <f>'Level 1'!G245</f>
        <v>15.826000000000001</v>
      </c>
      <c r="F249" s="51">
        <f>'Level 1'!H245</f>
        <v>2500</v>
      </c>
      <c r="G249" s="53">
        <f>'Level 1'!I245</f>
        <v>0</v>
      </c>
      <c r="H249" s="51">
        <f>'Level 1'!J245</f>
        <v>2500</v>
      </c>
      <c r="I249" s="54">
        <f>'Level 1'!K245</f>
        <v>39565</v>
      </c>
      <c r="J249" s="96"/>
      <c r="L249" s="324"/>
      <c r="M249" s="40"/>
      <c r="N249" s="183"/>
      <c r="O249" s="51"/>
      <c r="P249" s="53"/>
      <c r="Q249" s="51"/>
      <c r="R249" s="54">
        <v>32500</v>
      </c>
      <c r="S249" s="96"/>
      <c r="U249" s="296">
        <f t="shared" si="37"/>
        <v>7065</v>
      </c>
      <c r="W249" s="297">
        <f t="shared" si="38"/>
        <v>0.2173846153846154</v>
      </c>
      <c r="Y249" s="313"/>
    </row>
    <row r="250" spans="1:25">
      <c r="A250" s="323" t="s">
        <v>715</v>
      </c>
      <c r="B250" s="135"/>
      <c r="C250" s="324" t="str">
        <f>'Level 1'!E246</f>
        <v>Budget</v>
      </c>
      <c r="D250" s="40" t="str">
        <f>'Level 1'!F246</f>
        <v>LS</v>
      </c>
      <c r="E250" s="38">
        <f>'Level 1'!G246</f>
        <v>1</v>
      </c>
      <c r="F250" s="51">
        <f>'Level 1'!H246</f>
        <v>545312.67999999993</v>
      </c>
      <c r="G250" s="53">
        <f>'Level 1'!I246</f>
        <v>0</v>
      </c>
      <c r="H250" s="51">
        <f>'Level 1'!J246</f>
        <v>545312.67999999993</v>
      </c>
      <c r="I250" s="54">
        <f>'Level 1'!K246</f>
        <v>545312.67999999993</v>
      </c>
      <c r="J250" s="96"/>
      <c r="L250" s="324"/>
      <c r="M250" s="40"/>
      <c r="N250" s="38"/>
      <c r="O250" s="51"/>
      <c r="P250" s="53"/>
      <c r="Q250" s="51"/>
      <c r="R250" s="54">
        <v>244000</v>
      </c>
      <c r="S250" s="96"/>
      <c r="U250" s="296">
        <f t="shared" si="37"/>
        <v>301312.67999999993</v>
      </c>
      <c r="W250" s="297">
        <f t="shared" si="38"/>
        <v>1.234888032786885</v>
      </c>
      <c r="Y250" s="313" t="s">
        <v>1223</v>
      </c>
    </row>
    <row r="251" spans="1:25">
      <c r="A251" s="323" t="s">
        <v>718</v>
      </c>
      <c r="B251" s="135"/>
      <c r="C251" s="324" t="str">
        <f>'Level 1'!E247</f>
        <v>Included</v>
      </c>
      <c r="D251" s="40" t="str">
        <f>'Level 1'!F247</f>
        <v>LS</v>
      </c>
      <c r="E251" s="38">
        <f>'Level 1'!G247</f>
        <v>1</v>
      </c>
      <c r="F251" s="51">
        <f>'Level 1'!H247</f>
        <v>0</v>
      </c>
      <c r="G251" s="53">
        <f>'Level 1'!I247</f>
        <v>0</v>
      </c>
      <c r="H251" s="51">
        <f>'Level 1'!J247</f>
        <v>0</v>
      </c>
      <c r="I251" s="54">
        <f>'Level 1'!K247</f>
        <v>0</v>
      </c>
      <c r="J251" s="96"/>
      <c r="L251" s="324"/>
      <c r="M251" s="40"/>
      <c r="N251" s="38"/>
      <c r="O251" s="51"/>
      <c r="P251" s="53"/>
      <c r="Q251" s="51"/>
      <c r="R251" s="54">
        <v>20866.88</v>
      </c>
      <c r="S251" s="96"/>
      <c r="U251" s="296">
        <f t="shared" si="37"/>
        <v>-20866.88</v>
      </c>
      <c r="W251" s="297">
        <f t="shared" si="38"/>
        <v>-1</v>
      </c>
      <c r="Y251" s="313"/>
    </row>
    <row r="252" spans="1:25">
      <c r="A252" s="323" t="s">
        <v>720</v>
      </c>
      <c r="B252" s="135"/>
      <c r="C252" s="324" t="str">
        <f>'Level 1'!E248</f>
        <v>Allowance</v>
      </c>
      <c r="D252" s="40" t="str">
        <f>'Level 1'!F248</f>
        <v>LS</v>
      </c>
      <c r="E252" s="38">
        <f>'Level 1'!G248</f>
        <v>1</v>
      </c>
      <c r="F252" s="51">
        <f>'Level 1'!H248</f>
        <v>125000</v>
      </c>
      <c r="G252" s="53">
        <f>'Level 1'!I248</f>
        <v>0</v>
      </c>
      <c r="H252" s="51">
        <f>'Level 1'!J248</f>
        <v>125000</v>
      </c>
      <c r="I252" s="54">
        <f>'Level 1'!K248</f>
        <v>125000</v>
      </c>
      <c r="J252" s="96"/>
      <c r="L252" s="324"/>
      <c r="M252" s="40"/>
      <c r="N252" s="38"/>
      <c r="O252" s="51"/>
      <c r="P252" s="53"/>
      <c r="Q252" s="51"/>
      <c r="R252" s="54">
        <v>50000</v>
      </c>
      <c r="S252" s="96"/>
      <c r="U252" s="296">
        <f t="shared" si="37"/>
        <v>75000</v>
      </c>
      <c r="W252" s="297">
        <f t="shared" si="38"/>
        <v>1.5</v>
      </c>
      <c r="Y252" s="313" t="s">
        <v>1079</v>
      </c>
    </row>
    <row r="253" spans="1:25">
      <c r="A253" s="323" t="s">
        <v>722</v>
      </c>
      <c r="B253" s="135"/>
      <c r="C253" s="324" t="str">
        <f>'Level 1'!E249</f>
        <v>Allowance</v>
      </c>
      <c r="D253" s="40" t="str">
        <f>'Level 1'!F249</f>
        <v>LS</v>
      </c>
      <c r="E253" s="38">
        <f>'Level 1'!G249</f>
        <v>1</v>
      </c>
      <c r="F253" s="51">
        <f>'Level 1'!H249</f>
        <v>11000</v>
      </c>
      <c r="G253" s="53">
        <f>'Level 1'!I249</f>
        <v>0</v>
      </c>
      <c r="H253" s="51">
        <f>'Level 1'!J249</f>
        <v>11000</v>
      </c>
      <c r="I253" s="54">
        <f>'Level 1'!K249</f>
        <v>11000</v>
      </c>
      <c r="J253" s="96"/>
      <c r="L253" s="324"/>
      <c r="M253" s="40"/>
      <c r="N253" s="38"/>
      <c r="O253" s="51"/>
      <c r="P253" s="53"/>
      <c r="Q253" s="51"/>
      <c r="R253" s="54">
        <v>10000</v>
      </c>
      <c r="S253" s="96"/>
      <c r="U253" s="296">
        <f t="shared" si="37"/>
        <v>1000</v>
      </c>
      <c r="W253" s="297">
        <f t="shared" si="38"/>
        <v>0.1</v>
      </c>
      <c r="Y253" s="313"/>
    </row>
    <row r="254" spans="1:25">
      <c r="A254" s="323" t="s">
        <v>724</v>
      </c>
      <c r="B254" s="135"/>
      <c r="C254" s="324" t="str">
        <f>'Level 1'!E250</f>
        <v>Allowance</v>
      </c>
      <c r="D254" s="40" t="str">
        <f>'Level 1'!F250</f>
        <v>LS</v>
      </c>
      <c r="E254" s="38">
        <f>'Level 1'!G250</f>
        <v>1</v>
      </c>
      <c r="F254" s="51">
        <f>'Level 1'!H250</f>
        <v>7000</v>
      </c>
      <c r="G254" s="53">
        <f>'Level 1'!I250</f>
        <v>0</v>
      </c>
      <c r="H254" s="51">
        <f>'Level 1'!J250</f>
        <v>7000</v>
      </c>
      <c r="I254" s="54">
        <f>'Level 1'!K250</f>
        <v>7000</v>
      </c>
      <c r="J254" s="96"/>
      <c r="L254" s="324"/>
      <c r="M254" s="40"/>
      <c r="N254" s="38"/>
      <c r="O254" s="51"/>
      <c r="P254" s="53"/>
      <c r="Q254" s="51"/>
      <c r="R254" s="54">
        <v>14000</v>
      </c>
      <c r="S254" s="96"/>
      <c r="U254" s="296">
        <f t="shared" si="37"/>
        <v>-7000</v>
      </c>
      <c r="W254" s="297">
        <f t="shared" si="38"/>
        <v>-0.5</v>
      </c>
      <c r="Y254" s="313"/>
    </row>
    <row r="255" spans="1:25">
      <c r="A255" s="323" t="s">
        <v>726</v>
      </c>
      <c r="B255" s="135"/>
      <c r="C255" s="324" t="str">
        <f>'Level 1'!E251</f>
        <v>Torrey Pines</v>
      </c>
      <c r="D255" s="40" t="str">
        <f>'Level 1'!F251</f>
        <v>SF</v>
      </c>
      <c r="E255" s="42">
        <f>'Level 1'!G251</f>
        <v>187517</v>
      </c>
      <c r="F255" s="51">
        <f>'Level 1'!H251</f>
        <v>16.34</v>
      </c>
      <c r="G255" s="53">
        <f>'Level 1'!I251</f>
        <v>0</v>
      </c>
      <c r="H255" s="51">
        <f>'Level 1'!J251</f>
        <v>16.34</v>
      </c>
      <c r="I255" s="54">
        <f>'Level 1'!K251</f>
        <v>3064027.78</v>
      </c>
      <c r="J255" s="96"/>
      <c r="L255" s="324"/>
      <c r="M255" s="40"/>
      <c r="N255" s="42"/>
      <c r="O255" s="51"/>
      <c r="P255" s="53"/>
      <c r="Q255" s="51"/>
      <c r="R255" s="54">
        <v>2640182.2969999998</v>
      </c>
      <c r="S255" s="96"/>
      <c r="U255" s="296">
        <f>I255-R255</f>
        <v>423845.48300000001</v>
      </c>
      <c r="W255" s="297">
        <f t="shared" si="38"/>
        <v>0.16053644609374487</v>
      </c>
      <c r="Y255" s="313" t="s">
        <v>1108</v>
      </c>
    </row>
    <row r="256" spans="1:25">
      <c r="A256" s="323" t="s">
        <v>729</v>
      </c>
      <c r="B256" s="135"/>
      <c r="C256" s="324" t="str">
        <f>'Level 1'!E252</f>
        <v>N/A</v>
      </c>
      <c r="D256" s="40">
        <f>'Level 1'!F252</f>
        <v>0</v>
      </c>
      <c r="E256" s="38">
        <f>'Level 1'!G252</f>
        <v>0</v>
      </c>
      <c r="F256" s="51">
        <f>'Level 1'!H252</f>
        <v>0</v>
      </c>
      <c r="G256" s="53">
        <f>'Level 1'!I252</f>
        <v>0</v>
      </c>
      <c r="H256" s="51">
        <f>'Level 1'!J252</f>
        <v>0</v>
      </c>
      <c r="I256" s="54">
        <f>'Level 1'!K252</f>
        <v>0</v>
      </c>
      <c r="J256" s="96"/>
      <c r="L256" s="324"/>
      <c r="M256" s="40"/>
      <c r="N256" s="38"/>
      <c r="O256" s="51"/>
      <c r="P256" s="53"/>
      <c r="Q256" s="51"/>
      <c r="R256" s="54">
        <v>0</v>
      </c>
      <c r="S256" s="96"/>
      <c r="U256" s="426">
        <v>100000</v>
      </c>
      <c r="W256" s="297">
        <f t="shared" si="38"/>
        <v>0</v>
      </c>
      <c r="Y256" s="427"/>
    </row>
    <row r="257" spans="1:25">
      <c r="A257" s="323" t="s">
        <v>730</v>
      </c>
      <c r="B257" s="135"/>
      <c r="C257" s="324" t="str">
        <f>'Level 1'!E253</f>
        <v>N/A</v>
      </c>
      <c r="D257" s="40">
        <f>'Level 1'!F253</f>
        <v>0</v>
      </c>
      <c r="E257" s="38">
        <f>'Level 1'!G253</f>
        <v>0</v>
      </c>
      <c r="F257" s="51">
        <f>'Level 1'!H253</f>
        <v>0</v>
      </c>
      <c r="G257" s="53">
        <f>'Level 1'!I253</f>
        <v>0</v>
      </c>
      <c r="H257" s="51">
        <f>'Level 1'!J253</f>
        <v>0</v>
      </c>
      <c r="I257" s="54">
        <f>'Level 1'!K253</f>
        <v>0</v>
      </c>
      <c r="J257" s="96"/>
      <c r="L257" s="324"/>
      <c r="M257" s="40"/>
      <c r="N257" s="38"/>
      <c r="O257" s="51"/>
      <c r="P257" s="53"/>
      <c r="Q257" s="51"/>
      <c r="R257" s="54">
        <v>0</v>
      </c>
      <c r="S257" s="96"/>
      <c r="U257" s="426">
        <v>360000</v>
      </c>
      <c r="W257" s="297">
        <f t="shared" si="38"/>
        <v>0</v>
      </c>
      <c r="Y257" s="427"/>
    </row>
    <row r="258" spans="1:25">
      <c r="A258" s="323" t="s">
        <v>732</v>
      </c>
      <c r="B258" s="135"/>
      <c r="C258" s="324" t="str">
        <f>'Level 1'!E254</f>
        <v xml:space="preserve">Allowance </v>
      </c>
      <c r="D258" s="40" t="str">
        <f>'Level 1'!F254</f>
        <v>LS</v>
      </c>
      <c r="E258" s="38">
        <f>'Level 1'!G254</f>
        <v>1</v>
      </c>
      <c r="F258" s="51">
        <f>'Level 1'!H254</f>
        <v>25000</v>
      </c>
      <c r="G258" s="53">
        <f>'Level 1'!I254</f>
        <v>0</v>
      </c>
      <c r="H258" s="51">
        <f>'Level 1'!J254</f>
        <v>25000</v>
      </c>
      <c r="I258" s="54">
        <f>'Level 1'!K254</f>
        <v>25000</v>
      </c>
      <c r="J258" s="96"/>
      <c r="L258" s="324"/>
      <c r="M258" s="40"/>
      <c r="N258" s="38"/>
      <c r="O258" s="51"/>
      <c r="P258" s="53"/>
      <c r="Q258" s="51"/>
      <c r="R258" s="54">
        <v>15000</v>
      </c>
      <c r="S258" s="96"/>
      <c r="U258" s="296">
        <f t="shared" si="37"/>
        <v>10000</v>
      </c>
      <c r="W258" s="297">
        <f t="shared" si="38"/>
        <v>0.66666666666666663</v>
      </c>
      <c r="Y258" s="313"/>
    </row>
    <row r="259" spans="1:25">
      <c r="A259" s="323" t="s">
        <v>734</v>
      </c>
      <c r="B259" s="135"/>
      <c r="C259" s="324" t="str">
        <f>'Level 1'!E255</f>
        <v>Budget</v>
      </c>
      <c r="D259" s="40" t="str">
        <f>'Level 1'!F255</f>
        <v>LS</v>
      </c>
      <c r="E259" s="38">
        <f>'Level 1'!G255</f>
        <v>1</v>
      </c>
      <c r="F259" s="51">
        <f>'Level 1'!H255</f>
        <v>1843875.2999999998</v>
      </c>
      <c r="G259" s="53">
        <f>'Level 1'!I255</f>
        <v>0</v>
      </c>
      <c r="H259" s="51">
        <f>'Level 1'!J255</f>
        <v>1843875.2999999998</v>
      </c>
      <c r="I259" s="54">
        <f>'Level 1'!K255</f>
        <v>1843875.2999999998</v>
      </c>
      <c r="J259" s="96"/>
      <c r="L259" s="324"/>
      <c r="M259" s="40"/>
      <c r="N259" s="38"/>
      <c r="O259" s="51"/>
      <c r="P259" s="53"/>
      <c r="Q259" s="51"/>
      <c r="R259" s="54">
        <v>1171600</v>
      </c>
      <c r="S259" s="96"/>
      <c r="U259" s="296">
        <f t="shared" si="37"/>
        <v>672275.29999999981</v>
      </c>
      <c r="W259" s="297">
        <f t="shared" si="38"/>
        <v>0.5738095766473198</v>
      </c>
      <c r="Y259" s="313" t="s">
        <v>1224</v>
      </c>
    </row>
    <row r="260" spans="1:25">
      <c r="A260" s="323" t="s">
        <v>736</v>
      </c>
      <c r="B260" s="135"/>
      <c r="C260" s="324" t="str">
        <f>'Level 1'!E256</f>
        <v>Budget</v>
      </c>
      <c r="D260" s="40" t="str">
        <f>'Level 1'!F256</f>
        <v>LS</v>
      </c>
      <c r="E260" s="38">
        <f>'Level 1'!G256</f>
        <v>1</v>
      </c>
      <c r="F260" s="51">
        <f>'Level 1'!H256</f>
        <v>124911</v>
      </c>
      <c r="G260" s="53">
        <f>'Level 1'!I256</f>
        <v>0</v>
      </c>
      <c r="H260" s="51">
        <f>'Level 1'!J256</f>
        <v>124911</v>
      </c>
      <c r="I260" s="54">
        <f>'Level 1'!K256</f>
        <v>124911</v>
      </c>
      <c r="J260" s="96"/>
      <c r="L260" s="324"/>
      <c r="M260" s="40"/>
      <c r="N260" s="38"/>
      <c r="O260" s="51"/>
      <c r="P260" s="53"/>
      <c r="Q260" s="51"/>
      <c r="R260" s="54">
        <v>17648</v>
      </c>
      <c r="S260" s="96"/>
      <c r="U260" s="296">
        <f t="shared" si="37"/>
        <v>107263</v>
      </c>
      <c r="W260" s="297">
        <f t="shared" si="38"/>
        <v>6.0779125113327286</v>
      </c>
      <c r="Y260" s="313" t="s">
        <v>1225</v>
      </c>
    </row>
    <row r="261" spans="1:25">
      <c r="A261" s="323" t="s">
        <v>737</v>
      </c>
      <c r="B261" s="135"/>
      <c r="C261" s="324" t="str">
        <f>'Level 1'!E257</f>
        <v>Budget</v>
      </c>
      <c r="D261" s="40" t="str">
        <f>'Level 1'!F257</f>
        <v>LS</v>
      </c>
      <c r="E261" s="38">
        <f>'Level 1'!G257</f>
        <v>1</v>
      </c>
      <c r="F261" s="51">
        <f>'Level 1'!H257</f>
        <v>91597</v>
      </c>
      <c r="G261" s="53">
        <f>'Level 1'!I257</f>
        <v>0</v>
      </c>
      <c r="H261" s="51">
        <f>'Level 1'!J257</f>
        <v>91597</v>
      </c>
      <c r="I261" s="54">
        <f>'Level 1'!K257</f>
        <v>91597</v>
      </c>
      <c r="J261" s="96"/>
      <c r="L261" s="324"/>
      <c r="M261" s="40"/>
      <c r="N261" s="38"/>
      <c r="O261" s="51"/>
      <c r="P261" s="53"/>
      <c r="Q261" s="51"/>
      <c r="R261" s="54">
        <v>56300</v>
      </c>
      <c r="S261" s="96"/>
      <c r="U261" s="296">
        <f t="shared" si="37"/>
        <v>35297</v>
      </c>
      <c r="W261" s="297">
        <f t="shared" si="38"/>
        <v>0.62694493783303729</v>
      </c>
      <c r="Y261" s="313" t="s">
        <v>1226</v>
      </c>
    </row>
    <row r="262" spans="1:25">
      <c r="A262" s="314" t="s">
        <v>738</v>
      </c>
      <c r="B262" s="135"/>
      <c r="C262" s="315"/>
      <c r="D262" s="151"/>
      <c r="E262" s="152"/>
      <c r="F262" s="153"/>
      <c r="G262" s="154"/>
      <c r="H262" s="153"/>
      <c r="I262" s="172"/>
      <c r="J262" s="335">
        <f>'Level 1'!L258</f>
        <v>7586858.175714286</v>
      </c>
      <c r="L262" s="315"/>
      <c r="M262" s="151"/>
      <c r="N262" s="152"/>
      <c r="O262" s="153"/>
      <c r="P262" s="154"/>
      <c r="Q262" s="153"/>
      <c r="R262" s="172"/>
      <c r="S262" s="335">
        <v>5999860</v>
      </c>
      <c r="U262" s="336">
        <f>J262-S262</f>
        <v>1586998.175714286</v>
      </c>
      <c r="W262" s="337">
        <f>IF(S262=0,0,U262/S262)</f>
        <v>0.26450586775596197</v>
      </c>
      <c r="Y262" s="313"/>
    </row>
    <row r="263" spans="1:25">
      <c r="A263" s="334" t="s">
        <v>740</v>
      </c>
      <c r="B263" s="135"/>
      <c r="C263" s="322" t="s">
        <v>742</v>
      </c>
      <c r="D263" s="47" t="s">
        <v>88</v>
      </c>
      <c r="E263" s="42">
        <f>'Level 1'!G259</f>
        <v>390</v>
      </c>
      <c r="F263" s="61">
        <f>'Level 1'!H259</f>
        <v>360.11538461538464</v>
      </c>
      <c r="G263" s="63">
        <v>0</v>
      </c>
      <c r="H263" s="66">
        <f t="shared" ref="H263:H277" si="39">F263*(1+G263)</f>
        <v>360.11538461538464</v>
      </c>
      <c r="I263" s="67">
        <f>'Level 1'!K259</f>
        <v>140445</v>
      </c>
      <c r="J263" s="96"/>
      <c r="L263" s="322"/>
      <c r="M263" s="47"/>
      <c r="N263" s="42"/>
      <c r="O263" s="61"/>
      <c r="P263" s="63"/>
      <c r="Q263" s="66"/>
      <c r="R263" s="67">
        <v>0</v>
      </c>
      <c r="S263" s="96"/>
      <c r="U263" s="296">
        <f t="shared" si="37"/>
        <v>140445</v>
      </c>
      <c r="W263" s="297">
        <f t="shared" ref="W263:W277" si="40">IF(R263=0,0,U263/R263)</f>
        <v>0</v>
      </c>
      <c r="Y263" s="313"/>
    </row>
    <row r="264" spans="1:25">
      <c r="A264" s="330" t="s">
        <v>744</v>
      </c>
      <c r="B264" s="135"/>
      <c r="C264" s="324" t="s">
        <v>231</v>
      </c>
      <c r="D264" s="40"/>
      <c r="E264" s="38"/>
      <c r="F264" s="51">
        <f>'Level 1'!H260</f>
        <v>0</v>
      </c>
      <c r="G264" s="53">
        <v>0</v>
      </c>
      <c r="H264" s="51">
        <f t="shared" si="39"/>
        <v>0</v>
      </c>
      <c r="I264" s="54">
        <f>'Level 1'!K260</f>
        <v>0</v>
      </c>
      <c r="J264" s="96"/>
      <c r="L264" s="324"/>
      <c r="M264" s="40"/>
      <c r="N264" s="38"/>
      <c r="O264" s="51"/>
      <c r="P264" s="53"/>
      <c r="Q264" s="51"/>
      <c r="R264" s="54">
        <v>0</v>
      </c>
      <c r="S264" s="96"/>
      <c r="U264" s="296">
        <f t="shared" si="37"/>
        <v>0</v>
      </c>
      <c r="W264" s="297">
        <f t="shared" si="40"/>
        <v>0</v>
      </c>
      <c r="Y264" s="313"/>
    </row>
    <row r="265" spans="1:25">
      <c r="A265" s="330" t="s">
        <v>746</v>
      </c>
      <c r="B265" s="135"/>
      <c r="C265" s="324" t="s">
        <v>6</v>
      </c>
      <c r="D265" s="40" t="s">
        <v>71</v>
      </c>
      <c r="E265" s="38">
        <v>1</v>
      </c>
      <c r="F265" s="51">
        <f>'Level 1'!H261</f>
        <v>832918.12</v>
      </c>
      <c r="G265" s="53">
        <v>0</v>
      </c>
      <c r="H265" s="51">
        <f t="shared" si="39"/>
        <v>832918.12</v>
      </c>
      <c r="I265" s="54">
        <f>'Level 1'!K261</f>
        <v>832918.12</v>
      </c>
      <c r="J265" s="96"/>
      <c r="L265" s="324"/>
      <c r="M265" s="40"/>
      <c r="N265" s="38"/>
      <c r="O265" s="51"/>
      <c r="P265" s="53"/>
      <c r="Q265" s="51"/>
      <c r="R265" s="54">
        <v>1401115</v>
      </c>
      <c r="S265" s="96"/>
      <c r="U265" s="296">
        <f>I265-R265</f>
        <v>-568196.88</v>
      </c>
      <c r="W265" s="297">
        <f t="shared" si="40"/>
        <v>-0.40553193706440943</v>
      </c>
      <c r="Y265" s="313" t="s">
        <v>1226</v>
      </c>
    </row>
    <row r="266" spans="1:25">
      <c r="A266" s="330" t="s">
        <v>748</v>
      </c>
      <c r="B266" s="135"/>
      <c r="C266" s="324" t="s">
        <v>6</v>
      </c>
      <c r="D266" s="40" t="s">
        <v>71</v>
      </c>
      <c r="E266" s="38">
        <v>1</v>
      </c>
      <c r="F266" s="51">
        <f>'Level 1'!H262</f>
        <v>394942</v>
      </c>
      <c r="G266" s="53">
        <v>0</v>
      </c>
      <c r="H266" s="51">
        <f t="shared" si="39"/>
        <v>394942</v>
      </c>
      <c r="I266" s="54">
        <f>'Level 1'!K262</f>
        <v>394942</v>
      </c>
      <c r="J266" s="96"/>
      <c r="L266" s="324"/>
      <c r="M266" s="40"/>
      <c r="N266" s="38"/>
      <c r="O266" s="51"/>
      <c r="P266" s="53"/>
      <c r="Q266" s="51"/>
      <c r="R266" s="54">
        <v>482425</v>
      </c>
      <c r="S266" s="96"/>
      <c r="U266" s="296">
        <f t="shared" si="37"/>
        <v>-87483</v>
      </c>
      <c r="W266" s="297">
        <f t="shared" si="40"/>
        <v>-0.18134010467948386</v>
      </c>
      <c r="Y266" s="313" t="s">
        <v>1226</v>
      </c>
    </row>
    <row r="267" spans="1:25">
      <c r="A267" s="330" t="s">
        <v>751</v>
      </c>
      <c r="B267" s="135"/>
      <c r="C267" s="324" t="s">
        <v>231</v>
      </c>
      <c r="D267" s="40"/>
      <c r="E267" s="38"/>
      <c r="F267" s="51">
        <f>'Level 1'!H263</f>
        <v>0</v>
      </c>
      <c r="G267" s="53">
        <v>0</v>
      </c>
      <c r="H267" s="51">
        <f t="shared" si="39"/>
        <v>0</v>
      </c>
      <c r="I267" s="54">
        <f>'Level 1'!K263</f>
        <v>0</v>
      </c>
      <c r="J267" s="96"/>
      <c r="L267" s="324"/>
      <c r="M267" s="40"/>
      <c r="N267" s="38"/>
      <c r="O267" s="51"/>
      <c r="P267" s="53"/>
      <c r="Q267" s="51"/>
      <c r="R267" s="54">
        <v>0</v>
      </c>
      <c r="S267" s="96"/>
      <c r="U267" s="296">
        <f t="shared" si="37"/>
        <v>0</v>
      </c>
      <c r="W267" s="297">
        <f t="shared" si="40"/>
        <v>0</v>
      </c>
      <c r="Y267" s="313"/>
    </row>
    <row r="268" spans="1:25">
      <c r="A268" s="330" t="s">
        <v>753</v>
      </c>
      <c r="B268" s="135"/>
      <c r="C268" s="324" t="s">
        <v>73</v>
      </c>
      <c r="D268" s="40" t="s">
        <v>71</v>
      </c>
      <c r="E268" s="38">
        <v>1</v>
      </c>
      <c r="F268" s="51">
        <f>'Level 1'!H264</f>
        <v>15000</v>
      </c>
      <c r="G268" s="53">
        <v>0</v>
      </c>
      <c r="H268" s="51">
        <f t="shared" si="39"/>
        <v>15000</v>
      </c>
      <c r="I268" s="54">
        <f>'Level 1'!K264</f>
        <v>15000</v>
      </c>
      <c r="J268" s="96"/>
      <c r="L268" s="324"/>
      <c r="M268" s="40"/>
      <c r="N268" s="38"/>
      <c r="O268" s="51"/>
      <c r="P268" s="53"/>
      <c r="Q268" s="51"/>
      <c r="R268" s="54">
        <v>5000</v>
      </c>
      <c r="S268" s="96"/>
      <c r="U268" s="296">
        <f t="shared" si="37"/>
        <v>10000</v>
      </c>
      <c r="W268" s="297">
        <f t="shared" si="40"/>
        <v>2</v>
      </c>
      <c r="Y268" s="313"/>
    </row>
    <row r="269" spans="1:25">
      <c r="A269" s="323" t="s">
        <v>759</v>
      </c>
      <c r="B269" s="135"/>
      <c r="C269" s="324" t="s">
        <v>6</v>
      </c>
      <c r="D269" s="40" t="s">
        <v>71</v>
      </c>
      <c r="E269" s="38">
        <v>1</v>
      </c>
      <c r="F269" s="51">
        <f>'Level 1'!H266</f>
        <v>432813</v>
      </c>
      <c r="G269" s="53">
        <v>0</v>
      </c>
      <c r="H269" s="51">
        <f t="shared" si="39"/>
        <v>432813</v>
      </c>
      <c r="I269" s="54">
        <f>'Level 1'!K266</f>
        <v>432813</v>
      </c>
      <c r="J269" s="96"/>
      <c r="L269" s="324"/>
      <c r="M269" s="40"/>
      <c r="N269" s="38"/>
      <c r="O269" s="51"/>
      <c r="P269" s="53"/>
      <c r="Q269" s="51"/>
      <c r="R269" s="54">
        <v>514000</v>
      </c>
      <c r="S269" s="96"/>
      <c r="U269" s="296">
        <f t="shared" si="37"/>
        <v>-81187</v>
      </c>
      <c r="W269" s="297">
        <f t="shared" si="40"/>
        <v>-0.15795136186770428</v>
      </c>
      <c r="Y269" s="313" t="s">
        <v>1227</v>
      </c>
    </row>
    <row r="270" spans="1:25">
      <c r="A270" s="323" t="s">
        <v>762</v>
      </c>
      <c r="B270" s="135"/>
      <c r="C270" s="324" t="s">
        <v>73</v>
      </c>
      <c r="D270" s="40" t="s">
        <v>71</v>
      </c>
      <c r="E270" s="38">
        <v>1</v>
      </c>
      <c r="F270" s="51">
        <f>'Level 1'!H267</f>
        <v>25000</v>
      </c>
      <c r="G270" s="53">
        <v>0</v>
      </c>
      <c r="H270" s="51">
        <f t="shared" si="39"/>
        <v>25000</v>
      </c>
      <c r="I270" s="54">
        <f>'Level 1'!K267</f>
        <v>25000</v>
      </c>
      <c r="J270" s="96"/>
      <c r="L270" s="324"/>
      <c r="M270" s="40"/>
      <c r="N270" s="38"/>
      <c r="O270" s="51"/>
      <c r="P270" s="53"/>
      <c r="Q270" s="51"/>
      <c r="R270" s="54">
        <v>20000</v>
      </c>
      <c r="S270" s="96"/>
      <c r="U270" s="296">
        <f t="shared" si="37"/>
        <v>5000</v>
      </c>
      <c r="W270" s="297">
        <f t="shared" si="40"/>
        <v>0.25</v>
      </c>
      <c r="Y270" s="313"/>
    </row>
    <row r="271" spans="1:25">
      <c r="A271" s="323" t="s">
        <v>764</v>
      </c>
      <c r="B271" s="135"/>
      <c r="C271" s="324" t="s">
        <v>231</v>
      </c>
      <c r="D271" s="40"/>
      <c r="E271" s="38"/>
      <c r="F271" s="51">
        <f>'Level 1'!H268</f>
        <v>0</v>
      </c>
      <c r="G271" s="53">
        <v>0</v>
      </c>
      <c r="H271" s="51">
        <f t="shared" si="39"/>
        <v>0</v>
      </c>
      <c r="I271" s="54">
        <f>'Level 1'!K268</f>
        <v>0</v>
      </c>
      <c r="J271" s="96"/>
      <c r="L271" s="324"/>
      <c r="M271" s="40"/>
      <c r="N271" s="38"/>
      <c r="O271" s="51"/>
      <c r="P271" s="53"/>
      <c r="Q271" s="51"/>
      <c r="R271" s="54">
        <v>0</v>
      </c>
      <c r="S271" s="96"/>
      <c r="U271" s="296">
        <f t="shared" si="37"/>
        <v>0</v>
      </c>
      <c r="W271" s="297">
        <f t="shared" si="40"/>
        <v>0</v>
      </c>
      <c r="Y271" s="313"/>
    </row>
    <row r="272" spans="1:25">
      <c r="A272" s="323" t="s">
        <v>766</v>
      </c>
      <c r="B272" s="135"/>
      <c r="C272" s="324" t="s">
        <v>231</v>
      </c>
      <c r="D272" s="40"/>
      <c r="E272" s="38"/>
      <c r="F272" s="51">
        <f>'Level 1'!H269</f>
        <v>0</v>
      </c>
      <c r="G272" s="53">
        <v>0</v>
      </c>
      <c r="H272" s="51">
        <f t="shared" si="39"/>
        <v>0</v>
      </c>
      <c r="I272" s="54">
        <f>'Level 1'!K269</f>
        <v>0</v>
      </c>
      <c r="J272" s="96"/>
      <c r="L272" s="324"/>
      <c r="M272" s="40"/>
      <c r="N272" s="38"/>
      <c r="O272" s="51"/>
      <c r="P272" s="53"/>
      <c r="Q272" s="51"/>
      <c r="R272" s="54">
        <v>25000</v>
      </c>
      <c r="S272" s="96"/>
      <c r="U272" s="296">
        <f t="shared" si="37"/>
        <v>-25000</v>
      </c>
      <c r="W272" s="297">
        <f t="shared" si="40"/>
        <v>-1</v>
      </c>
      <c r="Y272" s="313"/>
    </row>
    <row r="273" spans="1:25">
      <c r="A273" s="323" t="s">
        <v>768</v>
      </c>
      <c r="B273" s="135"/>
      <c r="C273" s="324" t="s">
        <v>231</v>
      </c>
      <c r="D273" s="40"/>
      <c r="E273" s="38"/>
      <c r="F273" s="51">
        <f>'Level 1'!H270</f>
        <v>0</v>
      </c>
      <c r="G273" s="53">
        <v>0</v>
      </c>
      <c r="H273" s="51">
        <f t="shared" si="39"/>
        <v>0</v>
      </c>
      <c r="I273" s="54">
        <f>'Level 1'!K270</f>
        <v>0</v>
      </c>
      <c r="J273" s="96"/>
      <c r="L273" s="324"/>
      <c r="M273" s="40"/>
      <c r="N273" s="38"/>
      <c r="O273" s="51"/>
      <c r="P273" s="53"/>
      <c r="Q273" s="51"/>
      <c r="R273" s="54">
        <v>0</v>
      </c>
      <c r="S273" s="96"/>
      <c r="U273" s="296">
        <f t="shared" si="37"/>
        <v>0</v>
      </c>
      <c r="W273" s="297">
        <f t="shared" si="40"/>
        <v>0</v>
      </c>
      <c r="Y273" s="313"/>
    </row>
    <row r="274" spans="1:25">
      <c r="A274" s="323" t="s">
        <v>770</v>
      </c>
      <c r="B274" s="135"/>
      <c r="C274" s="324" t="s">
        <v>6</v>
      </c>
      <c r="D274" s="40" t="s">
        <v>71</v>
      </c>
      <c r="E274" s="38">
        <v>1</v>
      </c>
      <c r="F274" s="51">
        <f>'Level 1'!H271</f>
        <v>2200067.3966666665</v>
      </c>
      <c r="G274" s="53">
        <v>0</v>
      </c>
      <c r="H274" s="51">
        <f t="shared" si="39"/>
        <v>2200067.3966666665</v>
      </c>
      <c r="I274" s="54">
        <f>'Level 1'!K271</f>
        <v>2200067.3966666665</v>
      </c>
      <c r="J274" s="96"/>
      <c r="L274" s="324"/>
      <c r="M274" s="40"/>
      <c r="N274" s="38"/>
      <c r="O274" s="51"/>
      <c r="P274" s="53"/>
      <c r="Q274" s="51"/>
      <c r="R274" s="54">
        <v>1919160</v>
      </c>
      <c r="S274" s="96"/>
      <c r="U274" s="296">
        <f t="shared" si="37"/>
        <v>280907.39666666649</v>
      </c>
      <c r="W274" s="297">
        <f t="shared" si="40"/>
        <v>0.14636997262691306</v>
      </c>
      <c r="Y274" s="313" t="s">
        <v>1228</v>
      </c>
    </row>
    <row r="275" spans="1:25">
      <c r="A275" s="323" t="s">
        <v>771</v>
      </c>
      <c r="B275" s="135"/>
      <c r="C275" s="324" t="s">
        <v>6</v>
      </c>
      <c r="D275" s="40" t="s">
        <v>71</v>
      </c>
      <c r="E275" s="38">
        <v>1</v>
      </c>
      <c r="F275" s="51">
        <f>'Level 1'!H272</f>
        <v>1474233.6057142857</v>
      </c>
      <c r="G275" s="53">
        <v>0</v>
      </c>
      <c r="H275" s="51">
        <f>F275*(1+G275)</f>
        <v>1474233.6057142857</v>
      </c>
      <c r="I275" s="54">
        <f>'Level 1'!K272</f>
        <v>1474233.6057142857</v>
      </c>
      <c r="J275" s="96"/>
      <c r="L275" s="324"/>
      <c r="M275" s="40"/>
      <c r="N275" s="38"/>
      <c r="O275" s="51"/>
      <c r="P275" s="53"/>
      <c r="Q275" s="51"/>
      <c r="R275" s="54">
        <v>1133160</v>
      </c>
      <c r="S275" s="96"/>
      <c r="U275" s="296">
        <f t="shared" si="37"/>
        <v>341073.60571428575</v>
      </c>
      <c r="W275" s="297">
        <f t="shared" si="40"/>
        <v>0.3009933334341891</v>
      </c>
      <c r="Y275" s="313" t="s">
        <v>1228</v>
      </c>
    </row>
    <row r="276" spans="1:25">
      <c r="A276" s="323" t="s">
        <v>772</v>
      </c>
      <c r="B276" s="135"/>
      <c r="C276" s="324" t="s">
        <v>73</v>
      </c>
      <c r="D276" s="40" t="s">
        <v>71</v>
      </c>
      <c r="E276" s="38">
        <v>1</v>
      </c>
      <c r="F276" s="51">
        <f>'Level 1'!H273</f>
        <v>649389</v>
      </c>
      <c r="G276" s="53">
        <v>0</v>
      </c>
      <c r="H276" s="51">
        <f t="shared" si="39"/>
        <v>649389</v>
      </c>
      <c r="I276" s="54">
        <f>'Level 1'!K273</f>
        <v>649389</v>
      </c>
      <c r="J276" s="96"/>
      <c r="L276" s="324"/>
      <c r="M276" s="40"/>
      <c r="N276" s="38"/>
      <c r="O276" s="51"/>
      <c r="P276" s="53"/>
      <c r="Q276" s="51"/>
      <c r="R276" s="54">
        <v>0</v>
      </c>
      <c r="S276" s="96"/>
      <c r="U276" s="296">
        <f t="shared" si="37"/>
        <v>649389</v>
      </c>
      <c r="W276" s="297">
        <f t="shared" si="40"/>
        <v>0</v>
      </c>
      <c r="Y276" s="313" t="s">
        <v>1115</v>
      </c>
    </row>
    <row r="277" spans="1:25">
      <c r="A277" s="323" t="s">
        <v>773</v>
      </c>
      <c r="B277" s="135"/>
      <c r="C277" s="324" t="s">
        <v>6</v>
      </c>
      <c r="D277" s="40" t="s">
        <v>71</v>
      </c>
      <c r="E277" s="38">
        <v>1</v>
      </c>
      <c r="F277" s="51">
        <f>'Level 1'!H274</f>
        <v>1310050.0533333332</v>
      </c>
      <c r="G277" s="53">
        <v>0</v>
      </c>
      <c r="H277" s="51">
        <f t="shared" si="39"/>
        <v>1310050.0533333332</v>
      </c>
      <c r="I277" s="54">
        <f>'Level 1'!K274</f>
        <v>1310050.0533333332</v>
      </c>
      <c r="J277" s="96"/>
      <c r="L277" s="324"/>
      <c r="M277" s="40"/>
      <c r="N277" s="38"/>
      <c r="O277" s="51"/>
      <c r="P277" s="53"/>
      <c r="Q277" s="51"/>
      <c r="R277" s="54">
        <v>500000</v>
      </c>
      <c r="S277" s="96"/>
      <c r="U277" s="296">
        <f t="shared" si="37"/>
        <v>810050.05333333323</v>
      </c>
      <c r="W277" s="297">
        <f t="shared" si="40"/>
        <v>1.6201001066666665</v>
      </c>
      <c r="Y277" s="313" t="s">
        <v>1229</v>
      </c>
    </row>
    <row r="278" spans="1:25">
      <c r="A278" s="311"/>
      <c r="B278" s="135"/>
      <c r="C278" s="312"/>
      <c r="D278" s="60"/>
      <c r="E278" s="62"/>
      <c r="F278" s="147"/>
      <c r="G278" s="148"/>
      <c r="H278" s="147"/>
      <c r="I278" s="428"/>
      <c r="J278" s="96"/>
      <c r="L278" s="312"/>
      <c r="M278" s="60"/>
      <c r="N278" s="62"/>
      <c r="O278" s="147"/>
      <c r="P278" s="148"/>
      <c r="Q278" s="147"/>
      <c r="R278" s="428"/>
      <c r="S278" s="96"/>
      <c r="U278" s="296"/>
      <c r="W278" s="297"/>
      <c r="Y278" s="313"/>
    </row>
    <row r="279" spans="1:25">
      <c r="A279" s="311"/>
      <c r="B279" s="135"/>
      <c r="C279" s="312"/>
      <c r="D279" s="60"/>
      <c r="E279" s="62"/>
      <c r="F279" s="147"/>
      <c r="G279" s="148"/>
      <c r="H279" s="147"/>
      <c r="I279" s="428"/>
      <c r="J279" s="96"/>
      <c r="L279" s="312"/>
      <c r="M279" s="60"/>
      <c r="N279" s="62"/>
      <c r="O279" s="147"/>
      <c r="P279" s="148"/>
      <c r="Q279" s="147"/>
      <c r="R279" s="428"/>
      <c r="S279" s="96"/>
      <c r="U279" s="296">
        <f>U262+U225+U215</f>
        <v>2538460.7611142863</v>
      </c>
      <c r="W279" s="297"/>
      <c r="Y279" s="313"/>
    </row>
    <row r="280" spans="1:25">
      <c r="A280" s="311"/>
      <c r="B280" s="135"/>
      <c r="C280" s="312"/>
      <c r="D280" s="60"/>
      <c r="E280" s="62"/>
      <c r="F280" s="147"/>
      <c r="G280" s="148"/>
      <c r="H280" s="147"/>
      <c r="I280" s="428"/>
      <c r="J280" s="96"/>
      <c r="L280" s="312"/>
      <c r="M280" s="60"/>
      <c r="N280" s="62"/>
      <c r="O280" s="147"/>
      <c r="P280" s="148"/>
      <c r="Q280" s="147"/>
      <c r="R280" s="428"/>
      <c r="S280" s="96"/>
      <c r="U280" s="296"/>
      <c r="W280" s="297"/>
      <c r="Y280" s="313"/>
    </row>
    <row r="281" spans="1:25">
      <c r="A281" s="311"/>
      <c r="B281" s="135"/>
      <c r="C281" s="312"/>
      <c r="D281" s="60"/>
      <c r="E281" s="62"/>
      <c r="F281" s="147"/>
      <c r="G281" s="148"/>
      <c r="H281" s="147"/>
      <c r="I281" s="428"/>
      <c r="J281" s="96"/>
      <c r="L281" s="312"/>
      <c r="M281" s="60"/>
      <c r="N281" s="62"/>
      <c r="O281" s="147"/>
      <c r="P281" s="148"/>
      <c r="Q281" s="147"/>
      <c r="R281" s="428"/>
      <c r="S281" s="96"/>
      <c r="U281" s="296"/>
      <c r="W281" s="297"/>
      <c r="Y281" s="313"/>
    </row>
    <row r="282" spans="1:25">
      <c r="A282" s="314" t="s">
        <v>774</v>
      </c>
      <c r="B282" s="135"/>
      <c r="C282" s="315"/>
      <c r="D282" s="151"/>
      <c r="E282" s="152"/>
      <c r="F282" s="153"/>
      <c r="G282" s="154"/>
      <c r="H282" s="153"/>
      <c r="I282" s="172"/>
      <c r="J282" s="316">
        <f>'Level 1'!L275</f>
        <v>15000</v>
      </c>
      <c r="L282" s="315"/>
      <c r="M282" s="151"/>
      <c r="N282" s="152"/>
      <c r="O282" s="153"/>
      <c r="P282" s="154"/>
      <c r="Q282" s="153"/>
      <c r="R282" s="172"/>
      <c r="S282" s="316">
        <v>7500</v>
      </c>
      <c r="U282" s="317">
        <f>J282-S282</f>
        <v>7500</v>
      </c>
      <c r="W282" s="318">
        <f>IF(S282=0,0,U282/S282)</f>
        <v>1</v>
      </c>
      <c r="Y282" s="313"/>
    </row>
    <row r="283" spans="1:25">
      <c r="A283" s="319" t="s">
        <v>776</v>
      </c>
      <c r="B283" s="135"/>
      <c r="C283" s="320" t="str">
        <f>'Level 1'!E276</f>
        <v>Allowance</v>
      </c>
      <c r="D283" s="65" t="str">
        <f>'Level 1'!F276</f>
        <v>LS</v>
      </c>
      <c r="E283" s="43">
        <f>'Level 1'!G276</f>
        <v>1</v>
      </c>
      <c r="F283" s="64">
        <f>'Level 1'!H276</f>
        <v>15000</v>
      </c>
      <c r="G283" s="157">
        <f>'Level 1'!I276</f>
        <v>0</v>
      </c>
      <c r="H283" s="158">
        <f>'Level 1'!J276</f>
        <v>15000</v>
      </c>
      <c r="I283" s="159">
        <f>'Level 1'!K276</f>
        <v>15000</v>
      </c>
      <c r="J283" s="96"/>
      <c r="L283" s="320"/>
      <c r="M283" s="65"/>
      <c r="N283" s="43"/>
      <c r="O283" s="64"/>
      <c r="P283" s="157"/>
      <c r="Q283" s="158"/>
      <c r="R283" s="159">
        <v>7500</v>
      </c>
      <c r="S283" s="96"/>
      <c r="U283" s="296">
        <f t="shared" ref="U283" si="41">I283-R283</f>
        <v>7500</v>
      </c>
      <c r="W283" s="297">
        <f>IF(R283=0,0,U283/R283)</f>
        <v>1</v>
      </c>
      <c r="Y283" s="313"/>
    </row>
    <row r="284" spans="1:25">
      <c r="A284" s="314" t="s">
        <v>778</v>
      </c>
      <c r="B284" s="135"/>
      <c r="C284" s="315"/>
      <c r="D284" s="151"/>
      <c r="E284" s="152"/>
      <c r="F284" s="153"/>
      <c r="G284" s="154"/>
      <c r="H284" s="153"/>
      <c r="I284" s="172"/>
      <c r="J284" s="316">
        <f>'Level 1'!L277</f>
        <v>469750</v>
      </c>
      <c r="L284" s="315"/>
      <c r="M284" s="151"/>
      <c r="N284" s="152"/>
      <c r="O284" s="153"/>
      <c r="P284" s="154"/>
      <c r="Q284" s="153"/>
      <c r="R284" s="172"/>
      <c r="S284" s="316">
        <v>373630.07692307694</v>
      </c>
      <c r="U284" s="317">
        <f>J284-S284</f>
        <v>96119.923076923063</v>
      </c>
      <c r="W284" s="318">
        <f>IF(S284=0,0,U284/S284)</f>
        <v>0.25725959716222807</v>
      </c>
      <c r="Y284" s="313"/>
    </row>
    <row r="285" spans="1:25">
      <c r="A285" s="321" t="s">
        <v>780</v>
      </c>
      <c r="B285" s="135"/>
      <c r="C285" s="322" t="str">
        <f>'Level 1'!E278</f>
        <v>Wigwam</v>
      </c>
      <c r="D285" s="47" t="str">
        <f>'Level 1'!F278</f>
        <v>Unit</v>
      </c>
      <c r="E285" s="42">
        <f>'Level 1'!G278</f>
        <v>390</v>
      </c>
      <c r="F285" s="61">
        <f>'Level 1'!H278</f>
        <v>1025</v>
      </c>
      <c r="G285" s="63">
        <f>'Level 1'!I278</f>
        <v>0</v>
      </c>
      <c r="H285" s="66">
        <f>'Level 1'!J278</f>
        <v>1025</v>
      </c>
      <c r="I285" s="67">
        <f>'Level 1'!K278</f>
        <v>399750</v>
      </c>
      <c r="J285" s="96"/>
      <c r="L285" s="322"/>
      <c r="M285" s="47"/>
      <c r="N285" s="42"/>
      <c r="O285" s="61"/>
      <c r="P285" s="63"/>
      <c r="Q285" s="66"/>
      <c r="R285" s="67">
        <v>352793.07692307694</v>
      </c>
      <c r="S285" s="96"/>
      <c r="U285" s="296">
        <f t="shared" ref="U285:U287" si="42">I285-R285</f>
        <v>46956.923076923063</v>
      </c>
      <c r="W285" s="297">
        <f t="shared" ref="W285:W287" si="43">IF(R285=0,0,U285/R285)</f>
        <v>0.13310046638801123</v>
      </c>
      <c r="Y285" s="313"/>
    </row>
    <row r="286" spans="1:25">
      <c r="A286" s="323" t="s">
        <v>783</v>
      </c>
      <c r="B286" s="135"/>
      <c r="C286" s="324" t="str">
        <f>'Level 1'!E279</f>
        <v>Allowance</v>
      </c>
      <c r="D286" s="40" t="str">
        <f>'Level 1'!F279</f>
        <v>LS</v>
      </c>
      <c r="E286" s="38">
        <f>'Level 1'!G279</f>
        <v>1</v>
      </c>
      <c r="F286" s="51">
        <f>'Level 1'!H279</f>
        <v>50000</v>
      </c>
      <c r="G286" s="53">
        <f>'Level 1'!I279</f>
        <v>0</v>
      </c>
      <c r="H286" s="51">
        <f>'Level 1'!J279</f>
        <v>50000</v>
      </c>
      <c r="I286" s="54">
        <f>'Level 1'!K279</f>
        <v>50000</v>
      </c>
      <c r="J286" s="96"/>
      <c r="L286" s="324"/>
      <c r="M286" s="40"/>
      <c r="N286" s="38"/>
      <c r="O286" s="51"/>
      <c r="P286" s="53"/>
      <c r="Q286" s="51"/>
      <c r="R286" s="54">
        <v>20837</v>
      </c>
      <c r="S286" s="96"/>
      <c r="U286" s="296">
        <f t="shared" si="42"/>
        <v>29163</v>
      </c>
      <c r="W286" s="297">
        <f t="shared" si="43"/>
        <v>1.399577674329318</v>
      </c>
      <c r="Y286" s="313"/>
    </row>
    <row r="287" spans="1:25">
      <c r="A287" s="323" t="s">
        <v>786</v>
      </c>
      <c r="B287" s="135"/>
      <c r="C287" s="324" t="str">
        <f>'Level 1'!E280</f>
        <v>Allowance</v>
      </c>
      <c r="D287" s="40" t="str">
        <f>'Level 1'!F280</f>
        <v>LS</v>
      </c>
      <c r="E287" s="38">
        <f>'Level 1'!G280</f>
        <v>1</v>
      </c>
      <c r="F287" s="51">
        <f>'Level 1'!H280</f>
        <v>20000</v>
      </c>
      <c r="G287" s="53">
        <f>'Level 1'!I280</f>
        <v>0</v>
      </c>
      <c r="H287" s="51">
        <f>'Level 1'!J280</f>
        <v>20000</v>
      </c>
      <c r="I287" s="54">
        <f>'Level 1'!K280</f>
        <v>20000</v>
      </c>
      <c r="J287" s="96"/>
      <c r="L287" s="324"/>
      <c r="M287" s="40"/>
      <c r="N287" s="38"/>
      <c r="O287" s="51"/>
      <c r="P287" s="53"/>
      <c r="Q287" s="51"/>
      <c r="R287" s="54">
        <v>0</v>
      </c>
      <c r="S287" s="96"/>
      <c r="U287" s="296">
        <f t="shared" si="42"/>
        <v>20000</v>
      </c>
      <c r="W287" s="297">
        <f t="shared" si="43"/>
        <v>0</v>
      </c>
      <c r="Y287" s="313"/>
    </row>
    <row r="288" spans="1:25">
      <c r="A288" s="314" t="s">
        <v>788</v>
      </c>
      <c r="B288" s="135"/>
      <c r="C288" s="315"/>
      <c r="D288" s="151"/>
      <c r="E288" s="152"/>
      <c r="F288" s="153"/>
      <c r="G288" s="154"/>
      <c r="H288" s="153"/>
      <c r="I288" s="172"/>
      <c r="J288" s="316">
        <f>'Level 1'!L281</f>
        <v>427358.97360000003</v>
      </c>
      <c r="L288" s="315"/>
      <c r="M288" s="151"/>
      <c r="N288" s="152"/>
      <c r="O288" s="153"/>
      <c r="P288" s="154"/>
      <c r="Q288" s="153"/>
      <c r="R288" s="172"/>
      <c r="S288" s="316">
        <v>420665.74400000001</v>
      </c>
      <c r="U288" s="317">
        <f>J288-S288</f>
        <v>6693.2296000000206</v>
      </c>
      <c r="W288" s="318">
        <f>IF(S288=0,0,U288/S288)</f>
        <v>1.5911040286655763E-2</v>
      </c>
      <c r="Y288" s="313"/>
    </row>
    <row r="289" spans="1:25">
      <c r="A289" s="321" t="s">
        <v>790</v>
      </c>
      <c r="B289" s="135"/>
      <c r="C289" s="322" t="str">
        <f>'Level 1'!E282</f>
        <v>Wigwam</v>
      </c>
      <c r="D289" s="47" t="str">
        <f>'Level 1'!F282</f>
        <v>LS</v>
      </c>
      <c r="E289" s="185">
        <f>'Level 1'!G282</f>
        <v>15.826000000000001</v>
      </c>
      <c r="F289" s="61">
        <f>'Level 1'!H282</f>
        <v>2914</v>
      </c>
      <c r="G289" s="63">
        <f>'Level 1'!I282</f>
        <v>0</v>
      </c>
      <c r="H289" s="66">
        <f>'Level 1'!J282</f>
        <v>2914</v>
      </c>
      <c r="I289" s="67">
        <f>'Level 1'!K282</f>
        <v>46116.964</v>
      </c>
      <c r="J289" s="96"/>
      <c r="L289" s="322"/>
      <c r="M289" s="47"/>
      <c r="N289" s="185"/>
      <c r="O289" s="61"/>
      <c r="P289" s="63"/>
      <c r="Q289" s="66"/>
      <c r="R289" s="67">
        <v>37882</v>
      </c>
      <c r="S289" s="96"/>
      <c r="U289" s="296">
        <f t="shared" ref="U289:U297" si="44">I289-R289</f>
        <v>8234.9639999999999</v>
      </c>
      <c r="W289" s="297">
        <f t="shared" ref="W289:W297" si="45">IF(R289=0,0,U289/R289)</f>
        <v>0.21738461538461537</v>
      </c>
      <c r="Y289" s="313"/>
    </row>
    <row r="290" spans="1:25">
      <c r="A290" s="323" t="s">
        <v>792</v>
      </c>
      <c r="B290" s="135"/>
      <c r="C290" s="324" t="str">
        <f>'Level 1'!E283</f>
        <v>Wigwam</v>
      </c>
      <c r="D290" s="40" t="str">
        <f>'Level 1'!F283</f>
        <v>LS</v>
      </c>
      <c r="E290" s="183">
        <f>'Level 1'!G283</f>
        <v>15.826000000000001</v>
      </c>
      <c r="F290" s="51">
        <f>'Level 1'!H283</f>
        <v>1542</v>
      </c>
      <c r="G290" s="53">
        <f>'Level 1'!I283</f>
        <v>0</v>
      </c>
      <c r="H290" s="51">
        <f>'Level 1'!J283</f>
        <v>1542</v>
      </c>
      <c r="I290" s="54">
        <f>'Level 1'!K283</f>
        <v>24403.691999999999</v>
      </c>
      <c r="J290" s="96"/>
      <c r="L290" s="324"/>
      <c r="M290" s="40"/>
      <c r="N290" s="183"/>
      <c r="O290" s="51"/>
      <c r="P290" s="53"/>
      <c r="Q290" s="51"/>
      <c r="R290" s="54">
        <v>24502.38</v>
      </c>
      <c r="S290" s="96"/>
      <c r="U290" s="296">
        <f t="shared" si="44"/>
        <v>-98.688000000001921</v>
      </c>
      <c r="W290" s="297">
        <f t="shared" si="45"/>
        <v>-4.0276903713027841E-3</v>
      </c>
      <c r="Y290" s="313"/>
    </row>
    <row r="291" spans="1:25">
      <c r="A291" s="323" t="s">
        <v>795</v>
      </c>
      <c r="B291" s="135"/>
      <c r="C291" s="324" t="str">
        <f>'Level 1'!E284</f>
        <v>Wigwam</v>
      </c>
      <c r="D291" s="40" t="str">
        <f>'Level 1'!F284</f>
        <v>LS</v>
      </c>
      <c r="E291" s="183">
        <f>'Level 1'!G284</f>
        <v>15.826000000000001</v>
      </c>
      <c r="F291" s="51">
        <f>'Level 1'!H284</f>
        <v>1870</v>
      </c>
      <c r="G291" s="53">
        <f>'Level 1'!I284</f>
        <v>0</v>
      </c>
      <c r="H291" s="51">
        <f>'Level 1'!J284</f>
        <v>1870</v>
      </c>
      <c r="I291" s="54">
        <f>'Level 1'!K284</f>
        <v>29594.620000000003</v>
      </c>
      <c r="J291" s="96"/>
      <c r="L291" s="324"/>
      <c r="M291" s="40"/>
      <c r="N291" s="183"/>
      <c r="O291" s="51"/>
      <c r="P291" s="53"/>
      <c r="Q291" s="51"/>
      <c r="R291" s="54">
        <v>29714.3</v>
      </c>
      <c r="S291" s="96"/>
      <c r="U291" s="296">
        <f t="shared" si="44"/>
        <v>-119.67999999999665</v>
      </c>
      <c r="W291" s="297">
        <f t="shared" si="45"/>
        <v>-4.0276903713025933E-3</v>
      </c>
      <c r="Y291" s="313"/>
    </row>
    <row r="292" spans="1:25">
      <c r="A292" s="323" t="s">
        <v>797</v>
      </c>
      <c r="B292" s="135"/>
      <c r="C292" s="324" t="str">
        <f>'Level 1'!E285</f>
        <v>Wigwam</v>
      </c>
      <c r="D292" s="40" t="str">
        <f>'Level 1'!F285</f>
        <v>LS</v>
      </c>
      <c r="E292" s="183">
        <f>'Level 1'!G285</f>
        <v>15.826000000000001</v>
      </c>
      <c r="F292" s="51">
        <f>'Level 1'!H285</f>
        <v>6618.4</v>
      </c>
      <c r="G292" s="53">
        <f>'Level 1'!I285</f>
        <v>0</v>
      </c>
      <c r="H292" s="51">
        <f>'Level 1'!J285</f>
        <v>6618.4</v>
      </c>
      <c r="I292" s="54">
        <f>'Level 1'!K285</f>
        <v>104742.7984</v>
      </c>
      <c r="J292" s="96"/>
      <c r="L292" s="324"/>
      <c r="M292" s="40"/>
      <c r="N292" s="183"/>
      <c r="O292" s="51"/>
      <c r="P292" s="53"/>
      <c r="Q292" s="51"/>
      <c r="R292" s="54">
        <v>105166.376</v>
      </c>
      <c r="S292" s="96"/>
      <c r="U292" s="296">
        <f t="shared" si="44"/>
        <v>-423.57760000000417</v>
      </c>
      <c r="W292" s="297">
        <f t="shared" si="45"/>
        <v>-4.0276903713027459E-3</v>
      </c>
      <c r="Y292" s="313"/>
    </row>
    <row r="293" spans="1:25">
      <c r="A293" s="323" t="s">
        <v>799</v>
      </c>
      <c r="B293" s="135"/>
      <c r="C293" s="324" t="str">
        <f>'Level 1'!E286</f>
        <v>Wigwam</v>
      </c>
      <c r="D293" s="40" t="str">
        <f>'Level 1'!F286</f>
        <v>LS</v>
      </c>
      <c r="E293" s="183">
        <f>'Level 1'!G286</f>
        <v>15.826000000000001</v>
      </c>
      <c r="F293" s="51">
        <f>'Level 1'!H286</f>
        <v>4006</v>
      </c>
      <c r="G293" s="53">
        <f>'Level 1'!I286</f>
        <v>0</v>
      </c>
      <c r="H293" s="51">
        <f>'Level 1'!J286</f>
        <v>4006</v>
      </c>
      <c r="I293" s="54">
        <f>'Level 1'!K286</f>
        <v>63398.956000000006</v>
      </c>
      <c r="J293" s="96"/>
      <c r="L293" s="324"/>
      <c r="M293" s="40"/>
      <c r="N293" s="183"/>
      <c r="O293" s="51"/>
      <c r="P293" s="53"/>
      <c r="Q293" s="51"/>
      <c r="R293" s="54">
        <v>63655.340000000004</v>
      </c>
      <c r="S293" s="96"/>
      <c r="U293" s="296">
        <f t="shared" si="44"/>
        <v>-256.3839999999982</v>
      </c>
      <c r="W293" s="297">
        <f t="shared" si="45"/>
        <v>-4.0276903713026774E-3</v>
      </c>
      <c r="Y293" s="313"/>
    </row>
    <row r="294" spans="1:25">
      <c r="A294" s="323" t="s">
        <v>801</v>
      </c>
      <c r="B294" s="135"/>
      <c r="C294" s="324" t="str">
        <f>'Level 1'!E287</f>
        <v>Wigwam</v>
      </c>
      <c r="D294" s="40" t="str">
        <f>'Level 1'!F287</f>
        <v>LS</v>
      </c>
      <c r="E294" s="183">
        <f>'Level 1'!G287</f>
        <v>15.826000000000001</v>
      </c>
      <c r="F294" s="51">
        <f>'Level 1'!H287</f>
        <v>3544.2</v>
      </c>
      <c r="G294" s="53">
        <f>'Level 1'!I287</f>
        <v>0</v>
      </c>
      <c r="H294" s="51">
        <f>'Level 1'!J287</f>
        <v>3544.2</v>
      </c>
      <c r="I294" s="54">
        <f>'Level 1'!K287</f>
        <v>56090.5092</v>
      </c>
      <c r="J294" s="96"/>
      <c r="L294" s="324"/>
      <c r="M294" s="40"/>
      <c r="N294" s="183"/>
      <c r="O294" s="51"/>
      <c r="P294" s="53"/>
      <c r="Q294" s="51"/>
      <c r="R294" s="54">
        <v>56317.337999999996</v>
      </c>
      <c r="S294" s="96"/>
      <c r="U294" s="296">
        <f t="shared" si="44"/>
        <v>-226.82879999999568</v>
      </c>
      <c r="W294" s="297">
        <f t="shared" si="45"/>
        <v>-4.0276903713026297E-3</v>
      </c>
      <c r="Y294" s="313"/>
    </row>
    <row r="295" spans="1:25">
      <c r="A295" s="323" t="s">
        <v>803</v>
      </c>
      <c r="B295" s="135"/>
      <c r="C295" s="324" t="str">
        <f>'Level 1'!E288</f>
        <v>Wigwam</v>
      </c>
      <c r="D295" s="40" t="str">
        <f>'Level 1'!F288</f>
        <v>LS</v>
      </c>
      <c r="E295" s="183">
        <f>'Level 1'!G288</f>
        <v>15.826000000000001</v>
      </c>
      <c r="F295" s="51">
        <f>'Level 1'!H288</f>
        <v>816</v>
      </c>
      <c r="G295" s="53">
        <f>'Level 1'!I288</f>
        <v>0</v>
      </c>
      <c r="H295" s="51">
        <f>'Level 1'!J288</f>
        <v>816</v>
      </c>
      <c r="I295" s="54">
        <f>'Level 1'!K288</f>
        <v>12914.016</v>
      </c>
      <c r="J295" s="96"/>
      <c r="L295" s="324"/>
      <c r="M295" s="40"/>
      <c r="N295" s="183"/>
      <c r="O295" s="51"/>
      <c r="P295" s="53"/>
      <c r="Q295" s="51"/>
      <c r="R295" s="54">
        <v>12966.24</v>
      </c>
      <c r="S295" s="96"/>
      <c r="U295" s="296">
        <f t="shared" si="44"/>
        <v>-52.22400000000016</v>
      </c>
      <c r="W295" s="297">
        <f t="shared" si="45"/>
        <v>-4.0276903713027182E-3</v>
      </c>
      <c r="Y295" s="313"/>
    </row>
    <row r="296" spans="1:25">
      <c r="A296" s="323" t="s">
        <v>805</v>
      </c>
      <c r="B296" s="135"/>
      <c r="C296" s="324" t="str">
        <f>'Level 1'!E289</f>
        <v>Wigwam</v>
      </c>
      <c r="D296" s="40" t="str">
        <f>'Level 1'!F289</f>
        <v>LS</v>
      </c>
      <c r="E296" s="183">
        <f>'Level 1'!G289</f>
        <v>15.826000000000001</v>
      </c>
      <c r="F296" s="51">
        <f>'Level 1'!H289</f>
        <v>716.4</v>
      </c>
      <c r="G296" s="53">
        <f>'Level 1'!I289</f>
        <v>0</v>
      </c>
      <c r="H296" s="51">
        <f>'Level 1'!J289</f>
        <v>716.4</v>
      </c>
      <c r="I296" s="54">
        <f>'Level 1'!K289</f>
        <v>11337.7464</v>
      </c>
      <c r="J296" s="96"/>
      <c r="L296" s="324"/>
      <c r="M296" s="40"/>
      <c r="N296" s="183"/>
      <c r="O296" s="51"/>
      <c r="P296" s="53"/>
      <c r="Q296" s="51"/>
      <c r="R296" s="54">
        <v>11383.596</v>
      </c>
      <c r="S296" s="96"/>
      <c r="U296" s="296">
        <f t="shared" si="44"/>
        <v>-45.849599999999555</v>
      </c>
      <c r="W296" s="297">
        <f t="shared" si="45"/>
        <v>-4.027690371302667E-3</v>
      </c>
      <c r="Y296" s="313"/>
    </row>
    <row r="297" spans="1:25">
      <c r="A297" s="323" t="s">
        <v>807</v>
      </c>
      <c r="B297" s="135"/>
      <c r="C297" s="324" t="str">
        <f>'Level 1'!E290</f>
        <v>Wigwam</v>
      </c>
      <c r="D297" s="40" t="str">
        <f>'Level 1'!F290</f>
        <v>LS</v>
      </c>
      <c r="E297" s="183">
        <f>'Level 1'!G290</f>
        <v>15.826000000000001</v>
      </c>
      <c r="F297" s="51">
        <f>'Level 1'!H290</f>
        <v>4976.6000000000004</v>
      </c>
      <c r="G297" s="53">
        <f>'Level 1'!I290</f>
        <v>0</v>
      </c>
      <c r="H297" s="51">
        <f>'Level 1'!J290</f>
        <v>4976.6000000000004</v>
      </c>
      <c r="I297" s="54">
        <f>'Level 1'!K290</f>
        <v>78759.671600000001</v>
      </c>
      <c r="J297" s="96"/>
      <c r="L297" s="324"/>
      <c r="M297" s="40"/>
      <c r="N297" s="183"/>
      <c r="O297" s="51"/>
      <c r="P297" s="53"/>
      <c r="Q297" s="51"/>
      <c r="R297" s="54">
        <v>79078.174000000014</v>
      </c>
      <c r="S297" s="96"/>
      <c r="U297" s="296">
        <f t="shared" si="44"/>
        <v>-318.50240000001213</v>
      </c>
      <c r="W297" s="297">
        <f t="shared" si="45"/>
        <v>-4.0276903713028587E-3</v>
      </c>
      <c r="Y297" s="313"/>
    </row>
    <row r="298" spans="1:25">
      <c r="A298" s="314" t="s">
        <v>809</v>
      </c>
      <c r="B298" s="135"/>
      <c r="C298" s="315"/>
      <c r="D298" s="151"/>
      <c r="E298" s="152"/>
      <c r="F298" s="153"/>
      <c r="G298" s="154"/>
      <c r="H298" s="153"/>
      <c r="I298" s="172"/>
      <c r="J298" s="316">
        <f>'[85]LEVEL 2 BUDGET'!L292</f>
        <v>0</v>
      </c>
      <c r="L298" s="315"/>
      <c r="M298" s="151"/>
      <c r="N298" s="152"/>
      <c r="O298" s="153"/>
      <c r="P298" s="154"/>
      <c r="Q298" s="153"/>
      <c r="R298" s="172"/>
      <c r="S298" s="316">
        <v>0</v>
      </c>
      <c r="U298" s="317">
        <f>J298-S298</f>
        <v>0</v>
      </c>
      <c r="W298" s="318">
        <f>IF(S298=0,0,U298/S298)</f>
        <v>0</v>
      </c>
      <c r="Y298" s="313"/>
    </row>
    <row r="299" spans="1:25">
      <c r="A299" s="321" t="s">
        <v>809</v>
      </c>
      <c r="B299" s="135"/>
      <c r="C299" s="322" t="s">
        <v>231</v>
      </c>
      <c r="D299" s="47">
        <f>'[85]LEVEL 2 BUDGET'!F293</f>
        <v>0</v>
      </c>
      <c r="E299" s="42">
        <f>'[85]LEVEL 2 BUDGET'!G293</f>
        <v>0</v>
      </c>
      <c r="F299" s="61">
        <f>'[85]LEVEL 2 BUDGET'!H293</f>
        <v>0</v>
      </c>
      <c r="G299" s="63">
        <f>'[85]LEVEL 2 BUDGET'!I293</f>
        <v>0</v>
      </c>
      <c r="H299" s="66">
        <f>'[85]LEVEL 2 BUDGET'!J293</f>
        <v>0</v>
      </c>
      <c r="I299" s="67">
        <f>'[85]LEVEL 2 BUDGET'!K293</f>
        <v>0</v>
      </c>
      <c r="J299" s="96"/>
      <c r="L299" s="322"/>
      <c r="M299" s="47"/>
      <c r="N299" s="42"/>
      <c r="O299" s="61"/>
      <c r="P299" s="63"/>
      <c r="Q299" s="66"/>
      <c r="R299" s="67">
        <v>0</v>
      </c>
      <c r="S299" s="96"/>
      <c r="U299" s="296">
        <f t="shared" ref="U299:U306" si="46">I299-R299</f>
        <v>0</v>
      </c>
      <c r="W299" s="297">
        <f t="shared" ref="W299:W306" si="47">IF(R299=0,0,U299/R299)</f>
        <v>0</v>
      </c>
      <c r="Y299" s="313"/>
    </row>
    <row r="300" spans="1:25">
      <c r="A300" s="323" t="s">
        <v>810</v>
      </c>
      <c r="B300" s="135"/>
      <c r="C300" s="324" t="s">
        <v>231</v>
      </c>
      <c r="D300" s="40">
        <f>'[85]LEVEL 2 BUDGET'!F294</f>
        <v>0</v>
      </c>
      <c r="E300" s="38">
        <f>'[85]LEVEL 2 BUDGET'!G294</f>
        <v>0</v>
      </c>
      <c r="F300" s="51">
        <f>'[85]LEVEL 2 BUDGET'!H294</f>
        <v>0</v>
      </c>
      <c r="G300" s="53">
        <f>'[85]LEVEL 2 BUDGET'!I294</f>
        <v>0</v>
      </c>
      <c r="H300" s="51">
        <f>'[85]LEVEL 2 BUDGET'!J294</f>
        <v>0</v>
      </c>
      <c r="I300" s="54">
        <f>'[85]LEVEL 2 BUDGET'!K294</f>
        <v>0</v>
      </c>
      <c r="J300" s="96"/>
      <c r="L300" s="324"/>
      <c r="M300" s="40"/>
      <c r="N300" s="38"/>
      <c r="O300" s="51"/>
      <c r="P300" s="53"/>
      <c r="Q300" s="51"/>
      <c r="R300" s="54">
        <v>0</v>
      </c>
      <c r="S300" s="96"/>
      <c r="U300" s="296">
        <f t="shared" si="46"/>
        <v>0</v>
      </c>
      <c r="W300" s="297">
        <f t="shared" si="47"/>
        <v>0</v>
      </c>
      <c r="Y300" s="313"/>
    </row>
    <row r="301" spans="1:25">
      <c r="A301" s="323" t="s">
        <v>811</v>
      </c>
      <c r="B301" s="135"/>
      <c r="C301" s="324" t="s">
        <v>231</v>
      </c>
      <c r="D301" s="40">
        <f>'[85]LEVEL 2 BUDGET'!F295</f>
        <v>0</v>
      </c>
      <c r="E301" s="38">
        <f>'[85]LEVEL 2 BUDGET'!G295</f>
        <v>0</v>
      </c>
      <c r="F301" s="51">
        <f>'[85]LEVEL 2 BUDGET'!H295</f>
        <v>0</v>
      </c>
      <c r="G301" s="53">
        <f>'[85]LEVEL 2 BUDGET'!I295</f>
        <v>0</v>
      </c>
      <c r="H301" s="51">
        <f>'[85]LEVEL 2 BUDGET'!J295</f>
        <v>0</v>
      </c>
      <c r="I301" s="54">
        <f>'[85]LEVEL 2 BUDGET'!K295</f>
        <v>0</v>
      </c>
      <c r="J301" s="96"/>
      <c r="L301" s="324"/>
      <c r="M301" s="40"/>
      <c r="N301" s="38"/>
      <c r="O301" s="51"/>
      <c r="P301" s="53"/>
      <c r="Q301" s="51"/>
      <c r="R301" s="54">
        <v>0</v>
      </c>
      <c r="S301" s="96"/>
      <c r="U301" s="296">
        <f t="shared" si="46"/>
        <v>0</v>
      </c>
      <c r="W301" s="297">
        <f t="shared" si="47"/>
        <v>0</v>
      </c>
      <c r="Y301" s="313"/>
    </row>
    <row r="302" spans="1:25">
      <c r="A302" s="323" t="s">
        <v>812</v>
      </c>
      <c r="B302" s="135"/>
      <c r="C302" s="324" t="s">
        <v>231</v>
      </c>
      <c r="D302" s="40">
        <f>'[85]LEVEL 2 BUDGET'!F296</f>
        <v>0</v>
      </c>
      <c r="E302" s="38">
        <f>'[85]LEVEL 2 BUDGET'!G296</f>
        <v>0</v>
      </c>
      <c r="F302" s="51">
        <f>'[85]LEVEL 2 BUDGET'!H296</f>
        <v>0</v>
      </c>
      <c r="G302" s="53">
        <f>'[85]LEVEL 2 BUDGET'!I296</f>
        <v>0</v>
      </c>
      <c r="H302" s="51">
        <f>'[85]LEVEL 2 BUDGET'!J296</f>
        <v>0</v>
      </c>
      <c r="I302" s="54">
        <f>'[85]LEVEL 2 BUDGET'!K296</f>
        <v>0</v>
      </c>
      <c r="J302" s="96"/>
      <c r="L302" s="324"/>
      <c r="M302" s="40"/>
      <c r="N302" s="38"/>
      <c r="O302" s="51"/>
      <c r="P302" s="53"/>
      <c r="Q302" s="51"/>
      <c r="R302" s="54">
        <v>0</v>
      </c>
      <c r="S302" s="96"/>
      <c r="U302" s="296">
        <f t="shared" si="46"/>
        <v>0</v>
      </c>
      <c r="W302" s="297">
        <f t="shared" si="47"/>
        <v>0</v>
      </c>
      <c r="Y302" s="313"/>
    </row>
    <row r="303" spans="1:25">
      <c r="A303" s="323" t="s">
        <v>813</v>
      </c>
      <c r="B303" s="135"/>
      <c r="C303" s="324" t="s">
        <v>231</v>
      </c>
      <c r="D303" s="40">
        <f>'[85]LEVEL 2 BUDGET'!F297</f>
        <v>0</v>
      </c>
      <c r="E303" s="38">
        <f>'[85]LEVEL 2 BUDGET'!G297</f>
        <v>0</v>
      </c>
      <c r="F303" s="51">
        <f>'[85]LEVEL 2 BUDGET'!H297</f>
        <v>0</v>
      </c>
      <c r="G303" s="53">
        <f>'[85]LEVEL 2 BUDGET'!I297</f>
        <v>0</v>
      </c>
      <c r="H303" s="51">
        <f>'[85]LEVEL 2 BUDGET'!J297</f>
        <v>0</v>
      </c>
      <c r="I303" s="54">
        <f>'[85]LEVEL 2 BUDGET'!K297</f>
        <v>0</v>
      </c>
      <c r="J303" s="96"/>
      <c r="L303" s="324"/>
      <c r="M303" s="40"/>
      <c r="N303" s="38"/>
      <c r="O303" s="51"/>
      <c r="P303" s="53"/>
      <c r="Q303" s="51"/>
      <c r="R303" s="54">
        <v>0</v>
      </c>
      <c r="S303" s="96"/>
      <c r="U303" s="296">
        <f t="shared" si="46"/>
        <v>0</v>
      </c>
      <c r="W303" s="297">
        <f t="shared" si="47"/>
        <v>0</v>
      </c>
      <c r="Y303" s="313"/>
    </row>
    <row r="304" spans="1:25">
      <c r="A304" s="323" t="s">
        <v>814</v>
      </c>
      <c r="B304" s="135"/>
      <c r="C304" s="324" t="s">
        <v>231</v>
      </c>
      <c r="D304" s="40">
        <f>'[85]LEVEL 2 BUDGET'!F298</f>
        <v>0</v>
      </c>
      <c r="E304" s="38">
        <f>'[85]LEVEL 2 BUDGET'!G298</f>
        <v>0</v>
      </c>
      <c r="F304" s="51">
        <f>'[85]LEVEL 2 BUDGET'!H298</f>
        <v>0</v>
      </c>
      <c r="G304" s="53">
        <f>'[85]LEVEL 2 BUDGET'!I298</f>
        <v>0</v>
      </c>
      <c r="H304" s="51">
        <f>'[85]LEVEL 2 BUDGET'!J298</f>
        <v>0</v>
      </c>
      <c r="I304" s="54">
        <f>'[85]LEVEL 2 BUDGET'!K298</f>
        <v>0</v>
      </c>
      <c r="J304" s="96"/>
      <c r="L304" s="324"/>
      <c r="M304" s="40"/>
      <c r="N304" s="38"/>
      <c r="O304" s="51"/>
      <c r="P304" s="53"/>
      <c r="Q304" s="51"/>
      <c r="R304" s="54">
        <v>0</v>
      </c>
      <c r="S304" s="96"/>
      <c r="U304" s="296">
        <f t="shared" si="46"/>
        <v>0</v>
      </c>
      <c r="W304" s="297">
        <f t="shared" si="47"/>
        <v>0</v>
      </c>
      <c r="Y304" s="313"/>
    </row>
    <row r="305" spans="1:25">
      <c r="A305" s="323" t="s">
        <v>815</v>
      </c>
      <c r="B305" s="135"/>
      <c r="C305" s="324" t="s">
        <v>231</v>
      </c>
      <c r="D305" s="40">
        <f>'[85]LEVEL 2 BUDGET'!F299</f>
        <v>0</v>
      </c>
      <c r="E305" s="38">
        <f>'[85]LEVEL 2 BUDGET'!G299</f>
        <v>0</v>
      </c>
      <c r="F305" s="51">
        <f>'[85]LEVEL 2 BUDGET'!H299</f>
        <v>0</v>
      </c>
      <c r="G305" s="53">
        <f>'[85]LEVEL 2 BUDGET'!I299</f>
        <v>0</v>
      </c>
      <c r="H305" s="51">
        <f>'[85]LEVEL 2 BUDGET'!J299</f>
        <v>0</v>
      </c>
      <c r="I305" s="54">
        <f>'[85]LEVEL 2 BUDGET'!K299</f>
        <v>0</v>
      </c>
      <c r="J305" s="96"/>
      <c r="L305" s="324"/>
      <c r="M305" s="40"/>
      <c r="N305" s="38"/>
      <c r="O305" s="51"/>
      <c r="P305" s="53"/>
      <c r="Q305" s="51"/>
      <c r="R305" s="54">
        <v>0</v>
      </c>
      <c r="S305" s="96"/>
      <c r="U305" s="296">
        <f t="shared" si="46"/>
        <v>0</v>
      </c>
      <c r="W305" s="297">
        <f t="shared" si="47"/>
        <v>0</v>
      </c>
      <c r="Y305" s="313"/>
    </row>
    <row r="306" spans="1:25">
      <c r="A306" s="323" t="s">
        <v>816</v>
      </c>
      <c r="B306" s="135"/>
      <c r="C306" s="324" t="s">
        <v>231</v>
      </c>
      <c r="D306" s="40">
        <f>'[85]LEVEL 2 BUDGET'!F300</f>
        <v>0</v>
      </c>
      <c r="E306" s="38">
        <f>'[85]LEVEL 2 BUDGET'!G300</f>
        <v>0</v>
      </c>
      <c r="F306" s="51">
        <f>'[85]LEVEL 2 BUDGET'!H300</f>
        <v>0</v>
      </c>
      <c r="G306" s="53">
        <f>'[85]LEVEL 2 BUDGET'!I300</f>
        <v>0</v>
      </c>
      <c r="H306" s="51">
        <f>'[85]LEVEL 2 BUDGET'!J300</f>
        <v>0</v>
      </c>
      <c r="I306" s="54">
        <f>'[85]LEVEL 2 BUDGET'!K300</f>
        <v>0</v>
      </c>
      <c r="J306" s="96"/>
      <c r="L306" s="324"/>
      <c r="M306" s="40"/>
      <c r="N306" s="38"/>
      <c r="O306" s="51"/>
      <c r="P306" s="53"/>
      <c r="Q306" s="51"/>
      <c r="R306" s="54">
        <v>0</v>
      </c>
      <c r="S306" s="96"/>
      <c r="U306" s="296">
        <f t="shared" si="46"/>
        <v>0</v>
      </c>
      <c r="W306" s="297">
        <f t="shared" si="47"/>
        <v>0</v>
      </c>
      <c r="Y306" s="313"/>
    </row>
    <row r="307" spans="1:25">
      <c r="A307" s="314" t="s">
        <v>1035</v>
      </c>
      <c r="B307" s="135"/>
      <c r="C307" s="315"/>
      <c r="D307" s="151"/>
      <c r="E307" s="152"/>
      <c r="F307" s="153"/>
      <c r="G307" s="154"/>
      <c r="H307" s="153"/>
      <c r="I307" s="172"/>
      <c r="J307" s="316">
        <f>'Level 1'!L300</f>
        <v>1321372.7348558828</v>
      </c>
      <c r="L307" s="315"/>
      <c r="M307" s="151"/>
      <c r="N307" s="152"/>
      <c r="O307" s="153"/>
      <c r="P307" s="154"/>
      <c r="Q307" s="153"/>
      <c r="R307" s="172"/>
      <c r="S307" s="316">
        <v>1300782.5313262397</v>
      </c>
      <c r="U307" s="317">
        <f>J307-S307</f>
        <v>20590.203529643128</v>
      </c>
      <c r="W307" s="318">
        <f>IF(S307=0,0,U307/S307)</f>
        <v>1.5829089823838547E-2</v>
      </c>
      <c r="Y307" s="313"/>
    </row>
    <row r="308" spans="1:25">
      <c r="A308" s="321" t="s">
        <v>818</v>
      </c>
      <c r="B308" s="135"/>
      <c r="C308" s="322"/>
      <c r="D308" s="47">
        <f>'[85]LEVEL 2 BUDGET'!F302</f>
        <v>0</v>
      </c>
      <c r="E308" s="198">
        <f>'Level 1'!G301</f>
        <v>0</v>
      </c>
      <c r="F308" s="61">
        <f>'Level 1'!H301</f>
        <v>0</v>
      </c>
      <c r="G308" s="63">
        <f>'Level 1'!I301</f>
        <v>0</v>
      </c>
      <c r="H308" s="66">
        <f>'Level 1'!J301</f>
        <v>0</v>
      </c>
      <c r="I308" s="67">
        <f>'Level 1'!K301</f>
        <v>0</v>
      </c>
      <c r="J308" s="96"/>
      <c r="L308" s="322"/>
      <c r="M308" s="47"/>
      <c r="N308" s="198"/>
      <c r="O308" s="61"/>
      <c r="P308" s="63"/>
      <c r="Q308" s="66"/>
      <c r="R308" s="67">
        <v>0</v>
      </c>
      <c r="S308" s="96"/>
      <c r="U308" s="296">
        <f t="shared" ref="U308:U309" si="48">I308-R308</f>
        <v>0</v>
      </c>
      <c r="W308" s="297">
        <f>IF(R308=0,0,U308/R308)</f>
        <v>0</v>
      </c>
      <c r="Y308" s="313"/>
    </row>
    <row r="309" spans="1:25">
      <c r="A309" s="319" t="s">
        <v>817</v>
      </c>
      <c r="B309" s="135"/>
      <c r="C309" s="320"/>
      <c r="D309" s="65">
        <f>'[85]LEVEL 2 BUDGET'!F303</f>
        <v>0</v>
      </c>
      <c r="E309" s="186">
        <f>'Level 1'!G302</f>
        <v>0.02</v>
      </c>
      <c r="F309" s="64">
        <f>'Level 1'!H302</f>
        <v>0</v>
      </c>
      <c r="G309" s="157">
        <f>'Level 1'!I302</f>
        <v>0</v>
      </c>
      <c r="H309" s="158">
        <f>'Level 1'!J302</f>
        <v>0</v>
      </c>
      <c r="I309" s="159">
        <f>'Level 1'!K302</f>
        <v>1321372.7348558828</v>
      </c>
      <c r="J309" s="96"/>
      <c r="L309" s="320"/>
      <c r="M309" s="65"/>
      <c r="N309" s="186"/>
      <c r="O309" s="64"/>
      <c r="P309" s="157"/>
      <c r="Q309" s="158"/>
      <c r="R309" s="159">
        <v>1300782.5313262397</v>
      </c>
      <c r="S309" s="96"/>
      <c r="U309" s="296">
        <f t="shared" si="48"/>
        <v>20590.203529643128</v>
      </c>
      <c r="W309" s="297">
        <f>IF(R309=0,0,U309/R309)</f>
        <v>1.5829089823838547E-2</v>
      </c>
      <c r="Y309" s="313"/>
    </row>
    <row r="310" spans="1:25">
      <c r="A310" s="314" t="s">
        <v>820</v>
      </c>
      <c r="B310" s="135"/>
      <c r="C310" s="315"/>
      <c r="D310" s="151"/>
      <c r="E310" s="152"/>
      <c r="F310" s="153"/>
      <c r="G310" s="154"/>
      <c r="H310" s="153"/>
      <c r="I310" s="172"/>
      <c r="J310" s="316">
        <f>'Level 1'!L303</f>
        <v>1675126.8</v>
      </c>
      <c r="L310" s="315"/>
      <c r="M310" s="151"/>
      <c r="N310" s="152"/>
      <c r="O310" s="153"/>
      <c r="P310" s="154"/>
      <c r="Q310" s="153"/>
      <c r="R310" s="172"/>
      <c r="S310" s="316">
        <v>1875415</v>
      </c>
      <c r="U310" s="317">
        <f>J310-S310</f>
        <v>-200288.19999999995</v>
      </c>
      <c r="W310" s="318">
        <f>IF(S310=0,0,U310/S310)</f>
        <v>-0.10679673565584148</v>
      </c>
      <c r="Y310" s="313"/>
    </row>
    <row r="311" spans="1:25">
      <c r="A311" s="321" t="s">
        <v>822</v>
      </c>
      <c r="B311" s="135"/>
      <c r="C311" s="322" t="str">
        <f>'Level 1'!E304</f>
        <v>Alper</v>
      </c>
      <c r="D311" s="47" t="str">
        <f>'Level 1'!F304</f>
        <v>LS</v>
      </c>
      <c r="E311" s="42">
        <f>'Level 1'!G304</f>
        <v>1</v>
      </c>
      <c r="F311" s="61">
        <f>'Level 1'!H304</f>
        <v>10000</v>
      </c>
      <c r="G311" s="63">
        <f>'Level 1'!I304</f>
        <v>0</v>
      </c>
      <c r="H311" s="66">
        <f>'Level 1'!J304</f>
        <v>10000</v>
      </c>
      <c r="I311" s="67">
        <f>'Level 1'!K304</f>
        <v>10000</v>
      </c>
      <c r="J311" s="96"/>
      <c r="L311" s="322"/>
      <c r="M311" s="47"/>
      <c r="N311" s="42"/>
      <c r="O311" s="61"/>
      <c r="P311" s="63"/>
      <c r="Q311" s="66"/>
      <c r="R311" s="67">
        <v>10000</v>
      </c>
      <c r="S311" s="96"/>
      <c r="U311" s="296">
        <f t="shared" ref="U311:U324" si="49">I311-R311</f>
        <v>0</v>
      </c>
      <c r="W311" s="297">
        <f t="shared" ref="W311:W324" si="50">IF(R311=0,0,U311/R311)</f>
        <v>0</v>
      </c>
      <c r="Y311" s="313"/>
    </row>
    <row r="312" spans="1:25">
      <c r="A312" s="323" t="s">
        <v>825</v>
      </c>
      <c r="B312" s="135"/>
      <c r="C312" s="324" t="str">
        <f>'Level 1'!E305</f>
        <v>N/A</v>
      </c>
      <c r="D312" s="40">
        <f>'Level 1'!F305</f>
        <v>0</v>
      </c>
      <c r="E312" s="38">
        <f>'Level 1'!G305</f>
        <v>0</v>
      </c>
      <c r="F312" s="51">
        <f>'Level 1'!H305</f>
        <v>0</v>
      </c>
      <c r="G312" s="53">
        <f>'Level 1'!I305</f>
        <v>0</v>
      </c>
      <c r="H312" s="51">
        <f>'Level 1'!J305</f>
        <v>0</v>
      </c>
      <c r="I312" s="54">
        <f>'Level 1'!K305</f>
        <v>0</v>
      </c>
      <c r="J312" s="96"/>
      <c r="L312" s="324"/>
      <c r="M312" s="40"/>
      <c r="N312" s="38"/>
      <c r="O312" s="51"/>
      <c r="P312" s="53"/>
      <c r="Q312" s="51"/>
      <c r="R312" s="54">
        <v>0</v>
      </c>
      <c r="S312" s="96"/>
      <c r="U312" s="296">
        <f t="shared" si="49"/>
        <v>0</v>
      </c>
      <c r="W312" s="297">
        <f t="shared" si="50"/>
        <v>0</v>
      </c>
      <c r="Y312" s="313"/>
    </row>
    <row r="313" spans="1:25">
      <c r="A313" s="323" t="s">
        <v>827</v>
      </c>
      <c r="B313" s="135"/>
      <c r="C313" s="324" t="str">
        <f>'Level 1'!E306</f>
        <v>Alper</v>
      </c>
      <c r="D313" s="40" t="str">
        <f>'Level 1'!F306</f>
        <v>LS</v>
      </c>
      <c r="E313" s="38">
        <f>'Level 1'!G306</f>
        <v>1</v>
      </c>
      <c r="F313" s="51">
        <f>'Level 1'!H306</f>
        <v>21000</v>
      </c>
      <c r="G313" s="53">
        <f>'Level 1'!I306</f>
        <v>0</v>
      </c>
      <c r="H313" s="51">
        <f>'Level 1'!J306</f>
        <v>21000</v>
      </c>
      <c r="I313" s="54">
        <f>'Level 1'!K306</f>
        <v>21000</v>
      </c>
      <c r="J313" s="96"/>
      <c r="L313" s="324"/>
      <c r="M313" s="40"/>
      <c r="N313" s="38"/>
      <c r="O313" s="51"/>
      <c r="P313" s="53"/>
      <c r="Q313" s="51"/>
      <c r="R313" s="54">
        <v>21000</v>
      </c>
      <c r="S313" s="96"/>
      <c r="U313" s="296">
        <f t="shared" si="49"/>
        <v>0</v>
      </c>
      <c r="W313" s="297">
        <f t="shared" si="50"/>
        <v>0</v>
      </c>
      <c r="Y313" s="345"/>
    </row>
    <row r="314" spans="1:25">
      <c r="A314" s="323" t="s">
        <v>829</v>
      </c>
      <c r="B314" s="135"/>
      <c r="C314" s="324" t="str">
        <f>'Level 1'!E307</f>
        <v>Russell IV</v>
      </c>
      <c r="D314" s="40" t="str">
        <f>'Level 1'!F307</f>
        <v>LS</v>
      </c>
      <c r="E314" s="38">
        <f>'Level 1'!G307</f>
        <v>1</v>
      </c>
      <c r="F314" s="51">
        <f>'Level 1'!H307</f>
        <v>21900</v>
      </c>
      <c r="G314" s="53">
        <f>'Level 1'!I307</f>
        <v>0</v>
      </c>
      <c r="H314" s="51">
        <f>'Level 1'!J307</f>
        <v>21900</v>
      </c>
      <c r="I314" s="54">
        <f>'Level 1'!K307</f>
        <v>21900</v>
      </c>
      <c r="J314" s="96"/>
      <c r="L314" s="324"/>
      <c r="M314" s="40"/>
      <c r="N314" s="38"/>
      <c r="O314" s="51"/>
      <c r="P314" s="53"/>
      <c r="Q314" s="51"/>
      <c r="R314" s="54">
        <v>17425</v>
      </c>
      <c r="S314" s="96"/>
      <c r="U314" s="296">
        <f t="shared" si="49"/>
        <v>4475</v>
      </c>
      <c r="W314" s="297">
        <f t="shared" si="50"/>
        <v>0.25681492109038739</v>
      </c>
      <c r="Y314" s="313"/>
    </row>
    <row r="315" spans="1:25">
      <c r="A315" s="338" t="s">
        <v>831</v>
      </c>
      <c r="B315" s="135"/>
      <c r="C315" s="324" t="str">
        <f>'Level 1'!E308</f>
        <v>Russell IV</v>
      </c>
      <c r="D315" s="40" t="str">
        <f>'Level 1'!F308</f>
        <v>Cost per SF</v>
      </c>
      <c r="E315" s="38">
        <f>'Level 1'!G308</f>
        <v>2280</v>
      </c>
      <c r="F315" s="50">
        <f>'Level 1'!H308</f>
        <v>56.81</v>
      </c>
      <c r="G315" s="53">
        <f>'Level 1'!I308</f>
        <v>0</v>
      </c>
      <c r="H315" s="51">
        <f>'Level 1'!J308</f>
        <v>56.81</v>
      </c>
      <c r="I315" s="54">
        <f>'Level 1'!K308</f>
        <v>129526.8</v>
      </c>
      <c r="J315" s="96"/>
      <c r="L315" s="324"/>
      <c r="M315" s="40"/>
      <c r="N315" s="38"/>
      <c r="O315" s="50"/>
      <c r="P315" s="53"/>
      <c r="Q315" s="51"/>
      <c r="R315" s="54">
        <v>105465</v>
      </c>
      <c r="S315" s="96"/>
      <c r="U315" s="296">
        <f t="shared" si="49"/>
        <v>24061.800000000003</v>
      </c>
      <c r="W315" s="297">
        <f t="shared" si="50"/>
        <v>0.22814962309771017</v>
      </c>
      <c r="Y315" s="313"/>
    </row>
    <row r="316" spans="1:25">
      <c r="A316" s="338" t="s">
        <v>939</v>
      </c>
      <c r="B316" s="135"/>
      <c r="C316" s="324" t="str">
        <f>'Level 1'!E309</f>
        <v>N/A</v>
      </c>
      <c r="D316" s="40">
        <f>'Level 1'!F309</f>
        <v>0</v>
      </c>
      <c r="E316" s="38">
        <f>'Level 1'!G309</f>
        <v>0</v>
      </c>
      <c r="F316" s="51">
        <f>'Level 1'!H309</f>
        <v>0</v>
      </c>
      <c r="G316" s="53">
        <f>'Level 1'!I309</f>
        <v>0</v>
      </c>
      <c r="H316" s="51">
        <f>'Level 1'!J309</f>
        <v>0</v>
      </c>
      <c r="I316" s="54">
        <f>'Level 1'!K309</f>
        <v>0</v>
      </c>
      <c r="J316" s="96"/>
      <c r="L316" s="324"/>
      <c r="M316" s="40"/>
      <c r="N316" s="38"/>
      <c r="O316" s="51"/>
      <c r="P316" s="53"/>
      <c r="Q316" s="51"/>
      <c r="R316" s="54">
        <v>200000</v>
      </c>
      <c r="S316" s="96"/>
      <c r="U316" s="296">
        <f t="shared" si="49"/>
        <v>-200000</v>
      </c>
      <c r="W316" s="297">
        <f t="shared" si="50"/>
        <v>-1</v>
      </c>
      <c r="Y316" s="313"/>
    </row>
    <row r="317" spans="1:25">
      <c r="A317" s="338" t="s">
        <v>835</v>
      </c>
      <c r="B317" s="135"/>
      <c r="C317" s="324" t="str">
        <f>'Level 1'!E310</f>
        <v>Russell IV</v>
      </c>
      <c r="D317" s="40" t="str">
        <f>'Level 1'!F310</f>
        <v>LS</v>
      </c>
      <c r="E317" s="38">
        <f>'Level 1'!G310</f>
        <v>1</v>
      </c>
      <c r="F317" s="51">
        <f>'Level 1'!H310</f>
        <v>15000</v>
      </c>
      <c r="G317" s="53">
        <f>'Level 1'!I310</f>
        <v>0</v>
      </c>
      <c r="H317" s="51">
        <f>'Level 1'!J310</f>
        <v>15000</v>
      </c>
      <c r="I317" s="54">
        <f>'Level 1'!K310</f>
        <v>15000</v>
      </c>
      <c r="J317" s="96"/>
      <c r="L317" s="324"/>
      <c r="M317" s="40"/>
      <c r="N317" s="38"/>
      <c r="O317" s="51"/>
      <c r="P317" s="53"/>
      <c r="Q317" s="51"/>
      <c r="R317" s="54"/>
      <c r="S317" s="96"/>
      <c r="U317" s="296">
        <f t="shared" si="49"/>
        <v>15000</v>
      </c>
      <c r="W317" s="297">
        <f t="shared" si="50"/>
        <v>0</v>
      </c>
      <c r="Y317" s="313"/>
    </row>
    <row r="318" spans="1:25">
      <c r="A318" s="338" t="s">
        <v>837</v>
      </c>
      <c r="B318" s="135"/>
      <c r="C318" s="324" t="str">
        <f>'Level 1'!E311</f>
        <v>Russell IV</v>
      </c>
      <c r="D318" s="40" t="str">
        <f>'Level 1'!F311</f>
        <v>LS</v>
      </c>
      <c r="E318" s="38">
        <f>'Level 1'!G311</f>
        <v>1</v>
      </c>
      <c r="F318" s="51">
        <f>'Level 1'!H311</f>
        <v>5000</v>
      </c>
      <c r="G318" s="53">
        <f>'Level 1'!I311</f>
        <v>0</v>
      </c>
      <c r="H318" s="51">
        <f>'Level 1'!J311</f>
        <v>5000</v>
      </c>
      <c r="I318" s="54">
        <f>'Level 1'!K311</f>
        <v>5000</v>
      </c>
      <c r="J318" s="96"/>
      <c r="L318" s="324"/>
      <c r="M318" s="40"/>
      <c r="N318" s="38"/>
      <c r="O318" s="51"/>
      <c r="P318" s="53"/>
      <c r="Q318" s="51"/>
      <c r="R318" s="54"/>
      <c r="S318" s="96"/>
      <c r="U318" s="296">
        <f t="shared" si="49"/>
        <v>5000</v>
      </c>
      <c r="W318" s="297">
        <f t="shared" si="50"/>
        <v>0</v>
      </c>
      <c r="Y318" s="313"/>
    </row>
    <row r="319" spans="1:25">
      <c r="A319" s="338" t="s">
        <v>839</v>
      </c>
      <c r="B319" s="135"/>
      <c r="C319" s="324" t="str">
        <f>'Level 1'!E312</f>
        <v>N/A</v>
      </c>
      <c r="D319" s="40">
        <f>'Level 1'!F312</f>
        <v>0</v>
      </c>
      <c r="E319" s="38">
        <f>'Level 1'!G312</f>
        <v>0</v>
      </c>
      <c r="F319" s="51">
        <f>'Level 1'!H312</f>
        <v>0</v>
      </c>
      <c r="G319" s="53">
        <f>'Level 1'!I312</f>
        <v>0</v>
      </c>
      <c r="H319" s="51">
        <f>'Level 1'!J312</f>
        <v>0</v>
      </c>
      <c r="I319" s="54">
        <f>'Level 1'!K312</f>
        <v>0</v>
      </c>
      <c r="J319" s="96"/>
      <c r="L319" s="324"/>
      <c r="M319" s="40"/>
      <c r="N319" s="38"/>
      <c r="O319" s="51"/>
      <c r="P319" s="53"/>
      <c r="Q319" s="51"/>
      <c r="R319" s="54"/>
      <c r="S319" s="96"/>
      <c r="U319" s="296">
        <f t="shared" si="49"/>
        <v>0</v>
      </c>
      <c r="W319" s="297">
        <f t="shared" si="50"/>
        <v>0</v>
      </c>
      <c r="Y319" s="313"/>
    </row>
    <row r="320" spans="1:25">
      <c r="A320" s="323" t="s">
        <v>841</v>
      </c>
      <c r="B320" s="135"/>
      <c r="C320" s="324" t="str">
        <f>'Level 1'!E313</f>
        <v>Allowance</v>
      </c>
      <c r="D320" s="40" t="str">
        <f>'Level 1'!F313</f>
        <v>LS</v>
      </c>
      <c r="E320" s="38">
        <f>'Level 1'!G313</f>
        <v>1</v>
      </c>
      <c r="F320" s="51">
        <f>'Level 1'!H313</f>
        <v>1250000</v>
      </c>
      <c r="G320" s="53">
        <f>'Level 1'!I313</f>
        <v>0</v>
      </c>
      <c r="H320" s="51">
        <f>'Level 1'!J313</f>
        <v>1250000</v>
      </c>
      <c r="I320" s="54">
        <f>'Level 1'!K313</f>
        <v>1250000</v>
      </c>
      <c r="J320" s="96"/>
      <c r="L320" s="324"/>
      <c r="M320" s="40"/>
      <c r="N320" s="38"/>
      <c r="O320" s="51"/>
      <c r="P320" s="53"/>
      <c r="Q320" s="51"/>
      <c r="R320" s="54">
        <v>1219427</v>
      </c>
      <c r="S320" s="96"/>
      <c r="U320" s="296">
        <f t="shared" si="49"/>
        <v>30573</v>
      </c>
      <c r="W320" s="297">
        <f t="shared" si="50"/>
        <v>2.5071611502779582E-2</v>
      </c>
      <c r="Y320" s="345"/>
    </row>
    <row r="321" spans="1:25">
      <c r="A321" s="323" t="s">
        <v>843</v>
      </c>
      <c r="B321" s="135"/>
      <c r="C321" s="324" t="str">
        <f>'Level 1'!E314</f>
        <v xml:space="preserve">Allowance </v>
      </c>
      <c r="D321" s="40" t="str">
        <f>'Level 1'!F314</f>
        <v>LS</v>
      </c>
      <c r="E321" s="38">
        <f>'Level 1'!G314</f>
        <v>1</v>
      </c>
      <c r="F321" s="51">
        <f>'Level 1'!H314</f>
        <v>200000</v>
      </c>
      <c r="G321" s="53">
        <f>'Level 1'!I314</f>
        <v>0</v>
      </c>
      <c r="H321" s="51">
        <f>'Level 1'!J314</f>
        <v>200000</v>
      </c>
      <c r="I321" s="54">
        <f>'Level 1'!K314</f>
        <v>200000</v>
      </c>
      <c r="J321" s="96"/>
      <c r="L321" s="324"/>
      <c r="M321" s="40"/>
      <c r="N321" s="38"/>
      <c r="O321" s="51"/>
      <c r="P321" s="53"/>
      <c r="Q321" s="51"/>
      <c r="R321" s="54">
        <v>259698</v>
      </c>
      <c r="S321" s="96"/>
      <c r="U321" s="296">
        <f t="shared" si="49"/>
        <v>-59698</v>
      </c>
      <c r="W321" s="297">
        <f t="shared" si="50"/>
        <v>-0.22987470061378987</v>
      </c>
      <c r="Y321" s="313"/>
    </row>
    <row r="322" spans="1:25">
      <c r="A322" s="338" t="s">
        <v>846</v>
      </c>
      <c r="B322" s="135"/>
      <c r="C322" s="324" t="str">
        <f>'Level 1'!E315</f>
        <v>Russell IV</v>
      </c>
      <c r="D322" s="40" t="str">
        <f>'Level 1'!F315</f>
        <v>LS</v>
      </c>
      <c r="E322" s="38">
        <f>'Level 1'!G315</f>
        <v>1</v>
      </c>
      <c r="F322" s="51">
        <f>'Level 1'!H315</f>
        <v>19500</v>
      </c>
      <c r="G322" s="53">
        <f>'Level 1'!I315</f>
        <v>0</v>
      </c>
      <c r="H322" s="51">
        <f>'Level 1'!J315</f>
        <v>19500</v>
      </c>
      <c r="I322" s="54">
        <f>'Level 1'!K315</f>
        <v>19500</v>
      </c>
      <c r="J322" s="96"/>
      <c r="L322" s="324"/>
      <c r="M322" s="40"/>
      <c r="N322" s="38"/>
      <c r="O322" s="51"/>
      <c r="P322" s="53"/>
      <c r="Q322" s="51"/>
      <c r="R322" s="54">
        <v>19500</v>
      </c>
      <c r="S322" s="96"/>
      <c r="U322" s="296">
        <f t="shared" si="49"/>
        <v>0</v>
      </c>
      <c r="W322" s="297">
        <f t="shared" si="50"/>
        <v>0</v>
      </c>
      <c r="Y322" s="313"/>
    </row>
    <row r="323" spans="1:25">
      <c r="A323" s="338" t="s">
        <v>847</v>
      </c>
      <c r="B323" s="135"/>
      <c r="C323" s="324" t="str">
        <f>'Level 1'!E316</f>
        <v>Russell IV</v>
      </c>
      <c r="D323" s="40" t="str">
        <f>'Level 1'!F316</f>
        <v>LS</v>
      </c>
      <c r="E323" s="38">
        <f>'Level 1'!G316</f>
        <v>1</v>
      </c>
      <c r="F323" s="51">
        <f>'Level 1'!H316</f>
        <v>2000</v>
      </c>
      <c r="G323" s="53">
        <f>'Level 1'!I316</f>
        <v>0</v>
      </c>
      <c r="H323" s="51">
        <f>'Level 1'!J316</f>
        <v>2000</v>
      </c>
      <c r="I323" s="54">
        <f>'Level 1'!K316</f>
        <v>2000</v>
      </c>
      <c r="J323" s="96"/>
      <c r="L323" s="324"/>
      <c r="M323" s="40"/>
      <c r="N323" s="38"/>
      <c r="O323" s="51"/>
      <c r="P323" s="53"/>
      <c r="Q323" s="51"/>
      <c r="R323" s="54">
        <v>2000</v>
      </c>
      <c r="S323" s="96"/>
      <c r="U323" s="296">
        <f t="shared" si="49"/>
        <v>0</v>
      </c>
      <c r="W323" s="297">
        <f t="shared" si="50"/>
        <v>0</v>
      </c>
      <c r="Y323" s="313"/>
    </row>
    <row r="324" spans="1:25">
      <c r="A324" s="338" t="s">
        <v>849</v>
      </c>
      <c r="B324" s="135"/>
      <c r="C324" s="324" t="str">
        <f>'Level 1'!E317</f>
        <v>Russell IV</v>
      </c>
      <c r="D324" s="40" t="str">
        <f>'Level 1'!F317</f>
        <v>LS</v>
      </c>
      <c r="E324" s="38">
        <f>'Level 1'!G317</f>
        <v>1</v>
      </c>
      <c r="F324" s="51">
        <f>'Level 1'!H317</f>
        <v>1200</v>
      </c>
      <c r="G324" s="53">
        <f>'Level 1'!I317</f>
        <v>0</v>
      </c>
      <c r="H324" s="51">
        <f>'Level 1'!J317</f>
        <v>1200</v>
      </c>
      <c r="I324" s="54">
        <f>'Level 1'!K317</f>
        <v>1200</v>
      </c>
      <c r="J324" s="96"/>
      <c r="L324" s="324"/>
      <c r="M324" s="40"/>
      <c r="N324" s="38"/>
      <c r="O324" s="51"/>
      <c r="P324" s="53"/>
      <c r="Q324" s="51"/>
      <c r="R324" s="54">
        <v>1200</v>
      </c>
      <c r="S324" s="96"/>
      <c r="U324" s="296">
        <f t="shared" si="49"/>
        <v>0</v>
      </c>
      <c r="W324" s="297">
        <f t="shared" si="50"/>
        <v>0</v>
      </c>
      <c r="Y324" s="313"/>
    </row>
    <row r="325" spans="1:25">
      <c r="A325" s="314" t="s">
        <v>851</v>
      </c>
      <c r="B325" s="135"/>
      <c r="C325" s="315"/>
      <c r="D325" s="151"/>
      <c r="E325" s="152"/>
      <c r="F325" s="153"/>
      <c r="G325" s="154"/>
      <c r="H325" s="153"/>
      <c r="I325" s="172"/>
      <c r="J325" s="316">
        <f>'Level 1'!L318</f>
        <v>4028141.9913367699</v>
      </c>
      <c r="L325" s="315"/>
      <c r="M325" s="151"/>
      <c r="N325" s="152"/>
      <c r="O325" s="153"/>
      <c r="P325" s="154"/>
      <c r="Q325" s="153"/>
      <c r="R325" s="172"/>
      <c r="S325" s="316">
        <v>3667254.2206651429</v>
      </c>
      <c r="U325" s="317">
        <f>J325-S325</f>
        <v>360887.77067162702</v>
      </c>
      <c r="W325" s="318">
        <f>IF(S325=0,0,U325/S325)</f>
        <v>9.8408168334228954E-2</v>
      </c>
      <c r="Y325" s="313"/>
    </row>
    <row r="326" spans="1:25">
      <c r="A326" s="319" t="s">
        <v>851</v>
      </c>
      <c r="B326" s="135"/>
      <c r="C326" s="320"/>
      <c r="D326" s="65">
        <f>'Level 1'!F319</f>
        <v>0</v>
      </c>
      <c r="E326" s="186">
        <f>'Level 1'!G319</f>
        <v>0.05</v>
      </c>
      <c r="F326" s="64">
        <f>'Level 1'!H319</f>
        <v>0</v>
      </c>
      <c r="G326" s="157">
        <f>'Level 1'!I319</f>
        <v>0</v>
      </c>
      <c r="H326" s="158">
        <f>'Level 1'!J319</f>
        <v>0</v>
      </c>
      <c r="I326" s="159">
        <f>'Level 1'!K319</f>
        <v>4028141.9913367699</v>
      </c>
      <c r="J326" s="96"/>
      <c r="L326" s="320"/>
      <c r="M326" s="65"/>
      <c r="N326" s="186"/>
      <c r="O326" s="64"/>
      <c r="P326" s="157"/>
      <c r="Q326" s="158"/>
      <c r="R326" s="159">
        <v>3667254.2206651429</v>
      </c>
      <c r="S326" s="96"/>
      <c r="U326" s="296">
        <f t="shared" ref="U326" si="51">I326-R326</f>
        <v>360887.77067162702</v>
      </c>
      <c r="W326" s="297">
        <f>IF(R326=0,0,U326/R326)</f>
        <v>9.8408168334228954E-2</v>
      </c>
      <c r="Y326" s="313"/>
    </row>
    <row r="327" spans="1:25">
      <c r="A327" s="314" t="s">
        <v>855</v>
      </c>
      <c r="B327" s="135"/>
      <c r="C327" s="315"/>
      <c r="D327" s="151"/>
      <c r="E327" s="152"/>
      <c r="F327" s="153"/>
      <c r="G327" s="154"/>
      <c r="H327" s="153"/>
      <c r="I327" s="172"/>
      <c r="J327" s="316">
        <f>'Level 1'!L320</f>
        <v>858892.27765632374</v>
      </c>
      <c r="L327" s="315"/>
      <c r="M327" s="151"/>
      <c r="N327" s="152"/>
      <c r="O327" s="153"/>
      <c r="P327" s="154"/>
      <c r="Q327" s="153"/>
      <c r="R327" s="172"/>
      <c r="S327" s="316">
        <v>845508.64536205574</v>
      </c>
      <c r="U327" s="317">
        <f>J327-S327</f>
        <v>13383.632294267998</v>
      </c>
      <c r="W327" s="318">
        <f>IF(S327=0,0,U327/S327)</f>
        <v>1.5829089823838509E-2</v>
      </c>
      <c r="Y327" s="313"/>
    </row>
    <row r="328" spans="1:25">
      <c r="A328" s="319" t="s">
        <v>855</v>
      </c>
      <c r="B328" s="135"/>
      <c r="C328" s="320"/>
      <c r="D328" s="65">
        <f>'Level 1'!F321</f>
        <v>0</v>
      </c>
      <c r="E328" s="186">
        <f>'Level 1'!G321</f>
        <v>1.2999999999999999E-2</v>
      </c>
      <c r="F328" s="64">
        <f>'Level 1'!H321</f>
        <v>0</v>
      </c>
      <c r="G328" s="157">
        <f>'Level 1'!I321</f>
        <v>0</v>
      </c>
      <c r="H328" s="158">
        <f>'Level 1'!J321</f>
        <v>0</v>
      </c>
      <c r="I328" s="159">
        <f>'Level 1'!K321</f>
        <v>858892.27765632374</v>
      </c>
      <c r="J328" s="96"/>
      <c r="L328" s="320"/>
      <c r="M328" s="65"/>
      <c r="N328" s="186"/>
      <c r="O328" s="64"/>
      <c r="P328" s="157"/>
      <c r="Q328" s="158"/>
      <c r="R328" s="159">
        <v>845508.64536205574</v>
      </c>
      <c r="S328" s="96"/>
      <c r="U328" s="296">
        <f t="shared" ref="U328" si="52">I328-R328</f>
        <v>13383.632294267998</v>
      </c>
      <c r="W328" s="297">
        <f>IF(R328=0,0,U328/R328)</f>
        <v>1.5829089823838509E-2</v>
      </c>
      <c r="Y328" s="313"/>
    </row>
    <row r="329" spans="1:25">
      <c r="A329" s="314" t="s">
        <v>859</v>
      </c>
      <c r="B329" s="135"/>
      <c r="C329" s="315"/>
      <c r="D329" s="151"/>
      <c r="E329" s="152"/>
      <c r="F329" s="153"/>
      <c r="G329" s="154"/>
      <c r="H329" s="153"/>
      <c r="I329" s="172"/>
      <c r="J329" s="316">
        <f>'Level 1'!L322</f>
        <v>745129.18744399119</v>
      </c>
      <c r="L329" s="315"/>
      <c r="M329" s="151"/>
      <c r="N329" s="152"/>
      <c r="O329" s="153"/>
      <c r="P329" s="154"/>
      <c r="Q329" s="153"/>
      <c r="R329" s="172"/>
      <c r="S329" s="316">
        <v>464899.07491981203</v>
      </c>
      <c r="U329" s="317">
        <f>J329-S329</f>
        <v>280230.11252417916</v>
      </c>
      <c r="W329" s="318">
        <f>IF(S329=0,0,U329/S329)</f>
        <v>0.60277623174990091</v>
      </c>
      <c r="Y329" s="313"/>
    </row>
    <row r="330" spans="1:25">
      <c r="A330" s="321" t="s">
        <v>860</v>
      </c>
      <c r="B330" s="135"/>
      <c r="C330" s="322"/>
      <c r="D330" s="47" t="str">
        <f>'Level 1'!F323</f>
        <v>3.03 per $1,000</v>
      </c>
      <c r="E330" s="187">
        <f>'Level 1'!G323</f>
        <v>3.03</v>
      </c>
      <c r="F330" s="61">
        <f>'Level 1'!H323</f>
        <v>0</v>
      </c>
      <c r="G330" s="63">
        <f>'Level 1'!I323</f>
        <v>0</v>
      </c>
      <c r="H330" s="66">
        <f>'Level 1'!J323</f>
        <v>0</v>
      </c>
      <c r="I330" s="67">
        <f>'Level 1'!K323</f>
        <v>372564.5937219956</v>
      </c>
      <c r="J330" s="96"/>
      <c r="L330" s="322"/>
      <c r="M330" s="47"/>
      <c r="N330" s="187"/>
      <c r="O330" s="61"/>
      <c r="P330" s="63"/>
      <c r="Q330" s="66"/>
      <c r="R330" s="67">
        <v>232449.53745990605</v>
      </c>
      <c r="S330" s="96"/>
      <c r="U330" s="296">
        <f t="shared" ref="U330:U332" si="53">I330-R330</f>
        <v>140115.05626208955</v>
      </c>
      <c r="W330" s="297">
        <f t="shared" ref="W330:W332" si="54">IF(R330=0,0,U330/R330)</f>
        <v>0.60277623174990069</v>
      </c>
      <c r="Y330" s="313"/>
    </row>
    <row r="331" spans="1:25">
      <c r="A331" s="338" t="s">
        <v>863</v>
      </c>
      <c r="B331" s="135"/>
      <c r="C331" s="324"/>
      <c r="D331" s="40" t="str">
        <f>'Level 1'!F324</f>
        <v>5% of GL Ins.</v>
      </c>
      <c r="E331" s="53">
        <f>'Level 1'!G324</f>
        <v>0.05</v>
      </c>
      <c r="F331" s="51">
        <f>'Level 1'!H324</f>
        <v>0</v>
      </c>
      <c r="G331" s="53">
        <f>'Level 1'!I324</f>
        <v>0</v>
      </c>
      <c r="H331" s="51">
        <f>'Level 1'!J324</f>
        <v>0</v>
      </c>
      <c r="I331" s="54">
        <f>'Level 1'!K324</f>
        <v>18628.229686099781</v>
      </c>
      <c r="J331" s="96"/>
      <c r="L331" s="324"/>
      <c r="M331" s="40"/>
      <c r="N331" s="53"/>
      <c r="O331" s="51"/>
      <c r="P331" s="53"/>
      <c r="Q331" s="51"/>
      <c r="R331" s="54">
        <v>11622.476872995303</v>
      </c>
      <c r="S331" s="96"/>
      <c r="U331" s="296">
        <f t="shared" si="53"/>
        <v>7005.7528131044783</v>
      </c>
      <c r="W331" s="297">
        <f t="shared" si="54"/>
        <v>0.60277623174990069</v>
      </c>
      <c r="Y331" s="313"/>
    </row>
    <row r="332" spans="1:25">
      <c r="A332" s="338" t="s">
        <v>865</v>
      </c>
      <c r="B332" s="135"/>
      <c r="C332" s="324"/>
      <c r="D332" s="40" t="str">
        <f>'Level 1'!F325</f>
        <v>95% of GL Ins.</v>
      </c>
      <c r="E332" s="53">
        <f>'Level 1'!G325</f>
        <v>0.95</v>
      </c>
      <c r="F332" s="51">
        <f>'Level 1'!H325</f>
        <v>0</v>
      </c>
      <c r="G332" s="53">
        <f>'Level 1'!I325</f>
        <v>0</v>
      </c>
      <c r="H332" s="51">
        <f>'Level 1'!J325</f>
        <v>0</v>
      </c>
      <c r="I332" s="54">
        <f>'Level 1'!K325</f>
        <v>353936.36403589579</v>
      </c>
      <c r="J332" s="96"/>
      <c r="L332" s="324"/>
      <c r="M332" s="40"/>
      <c r="N332" s="53"/>
      <c r="O332" s="51"/>
      <c r="P332" s="53"/>
      <c r="Q332" s="51"/>
      <c r="R332" s="54">
        <v>220827.06058691072</v>
      </c>
      <c r="S332" s="96"/>
      <c r="U332" s="296">
        <f t="shared" si="53"/>
        <v>133109.30344898507</v>
      </c>
      <c r="W332" s="297">
        <f t="shared" si="54"/>
        <v>0.60277623174990069</v>
      </c>
      <c r="Y332" s="313"/>
    </row>
    <row r="333" spans="1:25">
      <c r="A333" s="314" t="s">
        <v>867</v>
      </c>
      <c r="B333" s="135"/>
      <c r="C333" s="315"/>
      <c r="D333" s="151"/>
      <c r="E333" s="152"/>
      <c r="F333" s="153"/>
      <c r="G333" s="154"/>
      <c r="H333" s="153"/>
      <c r="I333" s="172"/>
      <c r="J333" s="316">
        <f>'Level 1'!L326</f>
        <v>5653532.6194200255</v>
      </c>
      <c r="L333" s="315"/>
      <c r="M333" s="151"/>
      <c r="N333" s="152"/>
      <c r="O333" s="153"/>
      <c r="P333" s="154"/>
      <c r="Q333" s="153"/>
      <c r="R333" s="172"/>
      <c r="S333" s="316">
        <v>5562058.545433607</v>
      </c>
      <c r="U333" s="317">
        <f>J333-S333</f>
        <v>91474.073986418545</v>
      </c>
      <c r="W333" s="318">
        <f>IF(S333=0,0,U333/S333)</f>
        <v>1.6446082550051155E-2</v>
      </c>
      <c r="Y333" s="313"/>
    </row>
    <row r="334" spans="1:25">
      <c r="A334" s="311" t="s">
        <v>869</v>
      </c>
      <c r="B334" s="135"/>
      <c r="C334" s="312"/>
      <c r="D334" s="60">
        <f>'Level 1'!F327</f>
        <v>0</v>
      </c>
      <c r="E334" s="188">
        <f>'Level 1'!G327</f>
        <v>0.02</v>
      </c>
      <c r="F334" s="147">
        <f>'Level 1'!H327</f>
        <v>0</v>
      </c>
      <c r="G334" s="148">
        <f>'Level 1'!I327</f>
        <v>0</v>
      </c>
      <c r="H334" s="149">
        <f>'Level 1'!J327</f>
        <v>0</v>
      </c>
      <c r="I334" s="150">
        <f>'Level 1'!K327</f>
        <v>1413383.1548550064</v>
      </c>
      <c r="J334" s="96"/>
      <c r="L334" s="312"/>
      <c r="M334" s="60"/>
      <c r="N334" s="188"/>
      <c r="O334" s="147"/>
      <c r="P334" s="148"/>
      <c r="Q334" s="149"/>
      <c r="R334" s="150">
        <f>2/8*S333</f>
        <v>1390514.6363584017</v>
      </c>
      <c r="S334" s="96"/>
      <c r="U334" s="296">
        <f t="shared" ref="U334:U335" si="55">I334-R334</f>
        <v>22868.518496604636</v>
      </c>
      <c r="W334" s="297">
        <f>IF(R334=0,0,U334/R334)</f>
        <v>1.6446082550051155E-2</v>
      </c>
      <c r="Y334" s="313"/>
    </row>
    <row r="335" spans="1:25">
      <c r="A335" s="311" t="s">
        <v>867</v>
      </c>
      <c r="B335" s="135"/>
      <c r="C335" s="312"/>
      <c r="D335" s="60">
        <f>'Level 1'!F328</f>
        <v>0</v>
      </c>
      <c r="E335" s="188">
        <f>'Level 1'!G328</f>
        <v>0.06</v>
      </c>
      <c r="F335" s="147">
        <f>'Level 1'!H328</f>
        <v>0</v>
      </c>
      <c r="G335" s="148">
        <f>'Level 1'!I328</f>
        <v>0</v>
      </c>
      <c r="H335" s="149">
        <f>'Level 1'!J328</f>
        <v>0</v>
      </c>
      <c r="I335" s="150">
        <f>'Level 1'!K328</f>
        <v>4240149.4645650191</v>
      </c>
      <c r="J335" s="96"/>
      <c r="L335" s="312"/>
      <c r="M335" s="60"/>
      <c r="N335" s="188"/>
      <c r="O335" s="147"/>
      <c r="P335" s="148"/>
      <c r="Q335" s="149"/>
      <c r="R335" s="150">
        <f>6/8*S333</f>
        <v>4171543.9090752052</v>
      </c>
      <c r="S335" s="96"/>
      <c r="U335" s="296">
        <f t="shared" si="55"/>
        <v>68605.555489813909</v>
      </c>
      <c r="W335" s="297">
        <f>IF(R335=0,0,U335/R335)</f>
        <v>1.6446082550051155E-2</v>
      </c>
      <c r="Y335" s="313"/>
    </row>
    <row r="336" spans="1:25" ht="15" thickBot="1">
      <c r="A336" s="339" t="s">
        <v>870</v>
      </c>
      <c r="B336" s="135"/>
      <c r="C336" s="368"/>
      <c r="D336" s="369"/>
      <c r="E336" s="369"/>
      <c r="F336" s="370"/>
      <c r="G336" s="371"/>
      <c r="H336" s="372"/>
      <c r="I336" s="372"/>
      <c r="J336" s="373" t="e">
        <f>SUM(J20:J333)</f>
        <v>#REF!</v>
      </c>
      <c r="L336" s="340"/>
      <c r="M336" s="17"/>
      <c r="N336" s="17"/>
      <c r="O336" s="18"/>
      <c r="P336" s="19"/>
      <c r="Q336" s="20"/>
      <c r="R336" s="20"/>
      <c r="S336" s="341">
        <f>SUM(S20:S335)</f>
        <v>82742976.584018797</v>
      </c>
      <c r="U336" s="342" t="e">
        <f>J336-S336</f>
        <v>#REF!</v>
      </c>
      <c r="W336" s="343" t="e">
        <f>IF(S336=0,0,U336/S336)</f>
        <v>#REF!</v>
      </c>
      <c r="Y336" s="344"/>
    </row>
    <row r="337" spans="2:21">
      <c r="B337" s="135"/>
      <c r="E337" s="56"/>
      <c r="F337" s="56"/>
      <c r="G337" s="189"/>
      <c r="J337" s="190"/>
    </row>
    <row r="340" spans="2:21" ht="15" thickBot="1"/>
    <row r="341" spans="2:21">
      <c r="Q341" s="90"/>
      <c r="R341" s="91"/>
      <c r="S341" s="442" t="s">
        <v>1232</v>
      </c>
      <c r="T341" s="91"/>
      <c r="U341" s="443" t="e">
        <f>U213</f>
        <v>#REF!</v>
      </c>
    </row>
    <row r="342" spans="2:21">
      <c r="Q342" s="445"/>
      <c r="R342" s="388"/>
      <c r="S342" s="446" t="s">
        <v>1233</v>
      </c>
      <c r="T342" s="388"/>
      <c r="U342" s="447">
        <f>U279</f>
        <v>2538460.7611142863</v>
      </c>
    </row>
    <row r="343" spans="2:21" ht="15" thickBot="1">
      <c r="Q343" s="137"/>
      <c r="R343" s="138"/>
      <c r="S343" s="170" t="s">
        <v>1190</v>
      </c>
      <c r="T343" s="170"/>
      <c r="U343" s="444" t="e">
        <f>SUM(U341:U342)</f>
        <v>#REF!</v>
      </c>
    </row>
  </sheetData>
  <conditionalFormatting sqref="C3:D12">
    <cfRule type="expression" dxfId="48" priority="7">
      <formula>MOD(ROW(),2)</formula>
    </cfRule>
  </conditionalFormatting>
  <conditionalFormatting sqref="C45:I49">
    <cfRule type="expression" dxfId="47" priority="20">
      <formula>MOD(ROW(),2)</formula>
    </cfRule>
  </conditionalFormatting>
  <conditionalFormatting sqref="C51:I58">
    <cfRule type="expression" dxfId="46" priority="19">
      <formula>MOD(ROW(),2)</formula>
    </cfRule>
  </conditionalFormatting>
  <conditionalFormatting sqref="H4:J8">
    <cfRule type="expression" dxfId="45" priority="18">
      <formula>MOD(ROW(),2)=0</formula>
    </cfRule>
  </conditionalFormatting>
  <conditionalFormatting sqref="H11:J17">
    <cfRule type="expression" dxfId="44" priority="8">
      <formula>MOD(ROW(),2)</formula>
    </cfRule>
  </conditionalFormatting>
  <conditionalFormatting sqref="H16:J16">
    <cfRule type="expression" dxfId="43" priority="9">
      <formula>MOD(ROW(),2)=0</formula>
    </cfRule>
  </conditionalFormatting>
  <conditionalFormatting sqref="J337">
    <cfRule type="cellIs" dxfId="42" priority="21" operator="lessThan">
      <formula>0</formula>
    </cfRule>
    <cfRule type="cellIs" dxfId="41" priority="22" operator="greaterThan">
      <formula>0</formula>
    </cfRule>
  </conditionalFormatting>
  <conditionalFormatting sqref="L3:M12">
    <cfRule type="expression" dxfId="40" priority="4">
      <formula>MOD(ROW(),2)</formula>
    </cfRule>
  </conditionalFormatting>
  <conditionalFormatting sqref="L45:R49">
    <cfRule type="expression" dxfId="39" priority="6">
      <formula>MOD(ROW(),2)</formula>
    </cfRule>
  </conditionalFormatting>
  <conditionalFormatting sqref="L51:R58">
    <cfRule type="expression" dxfId="38" priority="5">
      <formula>MOD(ROW(),2)</formula>
    </cfRule>
  </conditionalFormatting>
  <conditionalFormatting sqref="Q4:S8">
    <cfRule type="expression" dxfId="37" priority="3">
      <formula>MOD(ROW(),2)=0</formula>
    </cfRule>
  </conditionalFormatting>
  <conditionalFormatting sqref="Q11:S17">
    <cfRule type="expression" dxfId="36" priority="1">
      <formula>MOD(ROW(),2)</formula>
    </cfRule>
  </conditionalFormatting>
  <conditionalFormatting sqref="Q16:S16">
    <cfRule type="expression" dxfId="35" priority="2">
      <formula>MOD(ROW(),2)=0</formula>
    </cfRule>
  </conditionalFormatting>
  <conditionalFormatting sqref="U20 U22 U24 U34:U35 U44 U50 U59 U72 U84 U100 U137 U154 U156 U165 U169 U171 U174 U178 U184 U186 U204 U208 U215 U225 U262 U282 U284 U288 U298 U307 U310 U325 U327 U329 U333">
    <cfRule type="expression" dxfId="34" priority="17">
      <formula>MOD(ROW(),2)</formula>
    </cfRule>
  </conditionalFormatting>
  <conditionalFormatting sqref="U20:U336">
    <cfRule type="cellIs" dxfId="33" priority="12" operator="lessThan">
      <formula>-$U$18</formula>
    </cfRule>
    <cfRule type="cellIs" dxfId="32" priority="13" operator="greaterThan">
      <formula>$U$18</formula>
    </cfRule>
  </conditionalFormatting>
  <conditionalFormatting sqref="U336">
    <cfRule type="expression" dxfId="31" priority="16">
      <formula>MOD(ROW(),2)</formula>
    </cfRule>
  </conditionalFormatting>
  <conditionalFormatting sqref="W20 W22 W24 W34:W35 W44 W50 W59 W72 W84 W100 W137 W154 W156 W165 W169 W171 W174 W178 W184 W186 W204 W208 W215 W225 W262 W282 W284 W288 W298 W307 W310 W325 W327 W329 W333">
    <cfRule type="expression" dxfId="30" priority="15">
      <formula>MOD(ROW(),2)</formula>
    </cfRule>
  </conditionalFormatting>
  <conditionalFormatting sqref="W20:W336">
    <cfRule type="cellIs" dxfId="29" priority="10" operator="lessThan">
      <formula>-$W$18</formula>
    </cfRule>
    <cfRule type="cellIs" dxfId="28" priority="11" operator="greaterThan">
      <formula>$W$18</formula>
    </cfRule>
  </conditionalFormatting>
  <conditionalFormatting sqref="W336">
    <cfRule type="expression" dxfId="27" priority="14">
      <formula>MOD(ROW(),2)</formula>
    </cfRule>
  </conditionalFormatting>
  <dataValidations count="2">
    <dataValidation type="list" allowBlank="1" showInputMessage="1" showErrorMessage="1" sqref="D4 M4" xr:uid="{A77C089C-0F6D-49E0-8F26-25A97E8AE722}">
      <formula1>"Level 1, Level 2, Level 3"</formula1>
    </dataValidation>
    <dataValidation type="list" allowBlank="1" showInputMessage="1" showErrorMessage="1" sqref="D5 M5" xr:uid="{55DF1577-B910-433A-8009-724CBF348C86}">
      <formula1>"Urban, Market, Senior, Afforable"</formula1>
    </dataValidation>
  </dataValidations>
  <printOptions horizontalCentered="1"/>
  <pageMargins left="0.1" right="0.1" top="0.75" bottom="0.25" header="0.15" footer="0"/>
  <pageSetup paperSize="3" scale="12" orientation="landscape" r:id="rId1"/>
  <headerFooter>
    <oddHeader>&amp;R&amp;G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581C-8BBE-4797-8687-4A1261955E7E}">
  <sheetPr>
    <pageSetUpPr fitToPage="1"/>
  </sheetPr>
  <dimension ref="A1:K73"/>
  <sheetViews>
    <sheetView showGridLines="0" topLeftCell="A11" zoomScale="70" zoomScaleNormal="70" workbookViewId="0">
      <selection activeCell="K70" sqref="K70"/>
    </sheetView>
  </sheetViews>
  <sheetFormatPr defaultColWidth="9.140625" defaultRowHeight="14.45"/>
  <cols>
    <col min="1" max="1" width="42" style="14" bestFit="1" customWidth="1"/>
    <col min="2" max="2" width="2.5703125" style="14" customWidth="1"/>
    <col min="3" max="3" width="33.85546875" style="14" bestFit="1" customWidth="1"/>
    <col min="4" max="4" width="0.7109375" style="14" customWidth="1"/>
    <col min="5" max="5" width="30.28515625" style="14" bestFit="1" customWidth="1"/>
    <col min="6" max="6" width="4.42578125" style="14" customWidth="1"/>
    <col min="7" max="7" width="15.28515625" style="392" bestFit="1" customWidth="1"/>
    <col min="8" max="8" width="2.7109375" style="14" customWidth="1"/>
    <col min="9" max="9" width="13.85546875" style="392" bestFit="1" customWidth="1"/>
    <col min="10" max="10" width="1.7109375" style="14" customWidth="1"/>
    <col min="11" max="11" width="141.140625" style="14" bestFit="1" customWidth="1"/>
    <col min="12" max="16384" width="9.140625" style="14"/>
  </cols>
  <sheetData>
    <row r="1" spans="1:11" ht="25.9">
      <c r="A1" s="424" t="s">
        <v>1018</v>
      </c>
      <c r="B1" s="414"/>
      <c r="C1" s="415"/>
      <c r="D1" s="416"/>
      <c r="E1" s="415"/>
      <c r="F1" s="416"/>
      <c r="G1" s="417"/>
      <c r="H1" s="416"/>
      <c r="I1" s="417"/>
      <c r="J1" s="418"/>
      <c r="K1" s="418"/>
    </row>
    <row r="2" spans="1:11" ht="25.9">
      <c r="A2" s="403"/>
      <c r="B2" s="29"/>
      <c r="C2" s="404"/>
      <c r="E2" s="405"/>
    </row>
    <row r="3" spans="1:11">
      <c r="A3" s="411" t="s">
        <v>1234</v>
      </c>
      <c r="B3" s="412"/>
      <c r="C3" s="419" t="s">
        <v>1235</v>
      </c>
      <c r="D3" s="412"/>
      <c r="E3" s="419" t="s">
        <v>1236</v>
      </c>
      <c r="F3" s="412"/>
      <c r="G3" s="420" t="s">
        <v>1237</v>
      </c>
      <c r="H3" s="412"/>
      <c r="I3" s="420" t="s">
        <v>1238</v>
      </c>
      <c r="J3" s="412"/>
      <c r="K3" s="412"/>
    </row>
    <row r="4" spans="1:11">
      <c r="A4" s="402" t="s">
        <v>1239</v>
      </c>
      <c r="G4" s="421">
        <v>75000</v>
      </c>
      <c r="H4" s="422"/>
      <c r="I4" s="423">
        <v>0.05</v>
      </c>
    </row>
    <row r="5" spans="1:11">
      <c r="A5" s="400" t="s">
        <v>646</v>
      </c>
      <c r="B5" s="29"/>
      <c r="C5" s="394">
        <f>'Level 1'!K212</f>
        <v>100203.11029999999</v>
      </c>
      <c r="E5" s="394">
        <v>100608.32949999999</v>
      </c>
      <c r="G5" s="392">
        <f t="shared" ref="G5:G12" si="0">C5-E5</f>
        <v>-405.21920000000682</v>
      </c>
      <c r="I5" s="393">
        <f t="shared" ref="I5:I12" si="1">IF(E5=0,0,G5/E5)</f>
        <v>-4.0276903713027746E-3</v>
      </c>
    </row>
    <row r="6" spans="1:11">
      <c r="A6" s="400" t="s">
        <v>648</v>
      </c>
      <c r="B6" s="29"/>
      <c r="C6" s="395">
        <f>'Level 1'!K213</f>
        <v>55163.105600000003</v>
      </c>
      <c r="E6" s="395">
        <v>55386.184000000001</v>
      </c>
      <c r="G6" s="392">
        <f t="shared" si="0"/>
        <v>-223.07839999999851</v>
      </c>
      <c r="I6" s="393">
        <f t="shared" si="1"/>
        <v>-4.0276903713026791E-3</v>
      </c>
    </row>
    <row r="7" spans="1:11">
      <c r="A7" s="400" t="s">
        <v>652</v>
      </c>
      <c r="B7" s="29"/>
      <c r="C7" s="395">
        <f>'Level 1'!K215</f>
        <v>100000</v>
      </c>
      <c r="E7" s="395">
        <v>100000</v>
      </c>
      <c r="G7" s="392">
        <f t="shared" si="0"/>
        <v>0</v>
      </c>
      <c r="I7" s="393">
        <f t="shared" si="1"/>
        <v>0</v>
      </c>
    </row>
    <row r="8" spans="1:11">
      <c r="A8" s="400" t="s">
        <v>655</v>
      </c>
      <c r="B8" s="29"/>
      <c r="C8" s="395">
        <f>'Level 1'!K216</f>
        <v>1319548</v>
      </c>
      <c r="E8" s="395">
        <v>2029089</v>
      </c>
      <c r="G8" s="392">
        <f t="shared" si="0"/>
        <v>-709541</v>
      </c>
      <c r="I8" s="393">
        <f t="shared" si="1"/>
        <v>-0.34968451359206026</v>
      </c>
      <c r="K8" s="407" t="s">
        <v>657</v>
      </c>
    </row>
    <row r="9" spans="1:11">
      <c r="A9" s="400" t="s">
        <v>658</v>
      </c>
      <c r="B9" s="29"/>
      <c r="C9" s="395">
        <f>'Level 1'!K217</f>
        <v>43430</v>
      </c>
      <c r="E9" s="395">
        <v>33919</v>
      </c>
      <c r="G9" s="392">
        <f t="shared" si="0"/>
        <v>9511</v>
      </c>
      <c r="I9" s="393">
        <f t="shared" si="1"/>
        <v>0.28040331377693917</v>
      </c>
    </row>
    <row r="10" spans="1:11">
      <c r="A10" s="400" t="s">
        <v>660</v>
      </c>
      <c r="B10" s="29"/>
      <c r="C10" s="395">
        <f>'Level 1'!K218</f>
        <v>350000</v>
      </c>
      <c r="E10" s="395">
        <v>350000</v>
      </c>
      <c r="G10" s="392">
        <f t="shared" si="0"/>
        <v>0</v>
      </c>
      <c r="I10" s="393">
        <f t="shared" si="1"/>
        <v>0</v>
      </c>
    </row>
    <row r="11" spans="1:11">
      <c r="A11" s="400" t="s">
        <v>664</v>
      </c>
      <c r="B11" s="29"/>
      <c r="C11" s="395">
        <f>'Level 1'!K220</f>
        <v>40989.340000000004</v>
      </c>
      <c r="E11" s="395">
        <v>41155.1</v>
      </c>
      <c r="G11" s="392">
        <f t="shared" si="0"/>
        <v>-165.75999999999476</v>
      </c>
      <c r="I11" s="393">
        <f t="shared" si="1"/>
        <v>-4.0276903713025785E-3</v>
      </c>
    </row>
    <row r="12" spans="1:11">
      <c r="A12" s="401" t="s">
        <v>674</v>
      </c>
      <c r="B12" s="389"/>
      <c r="C12" s="397">
        <f>'Level 1'!K225</f>
        <v>708863.2</v>
      </c>
      <c r="D12" s="390"/>
      <c r="E12" s="397">
        <v>617698.19999999995</v>
      </c>
      <c r="F12" s="390"/>
      <c r="G12" s="398">
        <f t="shared" si="0"/>
        <v>91165</v>
      </c>
      <c r="H12" s="390"/>
      <c r="I12" s="399">
        <f t="shared" si="1"/>
        <v>0.1475882558828891</v>
      </c>
      <c r="J12" s="390"/>
      <c r="K12" s="390" t="s">
        <v>1222</v>
      </c>
    </row>
    <row r="13" spans="1:11">
      <c r="A13" s="391" t="s">
        <v>1240</v>
      </c>
      <c r="B13" s="29"/>
      <c r="C13" s="396">
        <f>SUM(C5:C12)</f>
        <v>2718196.7559000002</v>
      </c>
      <c r="D13" s="29"/>
      <c r="E13" s="396">
        <f>SUM(E5:E12)</f>
        <v>3327855.8135000002</v>
      </c>
      <c r="F13" s="29"/>
      <c r="G13" s="396">
        <f>SUM(G5:G12)</f>
        <v>-609659.05760000006</v>
      </c>
      <c r="H13" s="29"/>
      <c r="I13" s="396"/>
    </row>
    <row r="14" spans="1:11" ht="11.25" customHeight="1">
      <c r="A14" s="391"/>
      <c r="B14" s="29"/>
      <c r="C14" s="396"/>
      <c r="D14" s="29"/>
      <c r="E14" s="396"/>
      <c r="F14" s="29"/>
      <c r="G14" s="396"/>
      <c r="H14" s="29"/>
      <c r="I14" s="396"/>
    </row>
    <row r="15" spans="1:11">
      <c r="A15" s="402" t="s">
        <v>1241</v>
      </c>
      <c r="B15" s="29"/>
      <c r="C15" s="395"/>
      <c r="E15" s="395"/>
      <c r="I15" s="393"/>
    </row>
    <row r="16" spans="1:11">
      <c r="A16" s="400" t="s">
        <v>681</v>
      </c>
      <c r="B16" s="29"/>
      <c r="C16" s="395">
        <f>'Level 1'!K229</f>
        <v>172530</v>
      </c>
      <c r="E16" s="395">
        <v>84271.5</v>
      </c>
      <c r="G16" s="392">
        <f>C16-E16</f>
        <v>88258.5</v>
      </c>
      <c r="I16" s="393">
        <f>IF(E16=0,0,G16/E16)</f>
        <v>1.0473113686121642</v>
      </c>
    </row>
    <row r="17" spans="1:11">
      <c r="A17" s="400" t="s">
        <v>683</v>
      </c>
      <c r="B17" s="29"/>
      <c r="C17" s="395">
        <f>'Level 1'!K230</f>
        <v>206646</v>
      </c>
      <c r="E17" s="395">
        <v>145736.32000000001</v>
      </c>
      <c r="G17" s="392">
        <f>C17-E17</f>
        <v>60909.679999999993</v>
      </c>
      <c r="I17" s="393">
        <f>IF(E17=0,0,G17/E17)</f>
        <v>0.41794440809264288</v>
      </c>
    </row>
    <row r="18" spans="1:11">
      <c r="A18" s="401" t="s">
        <v>685</v>
      </c>
      <c r="B18" s="389"/>
      <c r="C18" s="397">
        <f>'Level 1'!K231</f>
        <v>309236</v>
      </c>
      <c r="D18" s="390"/>
      <c r="E18" s="397">
        <v>424633.2</v>
      </c>
      <c r="F18" s="390"/>
      <c r="G18" s="398">
        <f>C18-E18</f>
        <v>-115397.20000000001</v>
      </c>
      <c r="H18" s="390"/>
      <c r="I18" s="399">
        <f>IF(E18=0,0,G18/E18)</f>
        <v>-0.27175736612210255</v>
      </c>
      <c r="J18" s="390"/>
      <c r="K18" s="390"/>
    </row>
    <row r="19" spans="1:11">
      <c r="A19" s="391" t="s">
        <v>1242</v>
      </c>
      <c r="B19" s="29"/>
      <c r="C19" s="396">
        <f>SUM(C16:C18)</f>
        <v>688412</v>
      </c>
      <c r="D19" s="29"/>
      <c r="E19" s="396">
        <f>SUM(E16:E18)</f>
        <v>654641.02</v>
      </c>
      <c r="F19" s="29"/>
      <c r="G19" s="396">
        <f>SUM(G16:G18)</f>
        <v>33770.979999999981</v>
      </c>
      <c r="H19" s="29"/>
      <c r="I19" s="396"/>
    </row>
    <row r="20" spans="1:11" ht="11.25" customHeight="1">
      <c r="A20" s="391"/>
      <c r="B20" s="29"/>
      <c r="C20" s="396"/>
      <c r="D20" s="29"/>
      <c r="E20" s="396"/>
      <c r="F20" s="29"/>
      <c r="G20" s="396"/>
      <c r="H20" s="29"/>
      <c r="I20" s="396"/>
    </row>
    <row r="21" spans="1:11">
      <c r="A21" s="402" t="s">
        <v>913</v>
      </c>
      <c r="B21" s="29"/>
      <c r="C21" s="395"/>
      <c r="E21" s="395"/>
      <c r="I21" s="393"/>
    </row>
    <row r="22" spans="1:11">
      <c r="A22" s="400" t="s">
        <v>740</v>
      </c>
      <c r="B22" s="29"/>
      <c r="C22" s="394">
        <f>'Level 1'!K259</f>
        <v>140445</v>
      </c>
      <c r="E22" s="394">
        <v>0</v>
      </c>
      <c r="G22" s="392">
        <f t="shared" ref="G22:G28" si="2">C22-E22</f>
        <v>140445</v>
      </c>
      <c r="I22" s="393">
        <f t="shared" ref="I22:I28" si="3">IF(E22=0,0,G22/E22)</f>
        <v>0</v>
      </c>
    </row>
    <row r="23" spans="1:11">
      <c r="A23" s="400" t="s">
        <v>746</v>
      </c>
      <c r="B23" s="29"/>
      <c r="C23" s="395">
        <f>'Level 1'!K261</f>
        <v>832918.12</v>
      </c>
      <c r="E23" s="395">
        <v>1401115</v>
      </c>
      <c r="G23" s="392">
        <f t="shared" si="2"/>
        <v>-568196.88</v>
      </c>
      <c r="I23" s="393">
        <f t="shared" si="3"/>
        <v>-0.40553193706440943</v>
      </c>
      <c r="K23" s="14" t="s">
        <v>1243</v>
      </c>
    </row>
    <row r="24" spans="1:11">
      <c r="A24" s="400" t="s">
        <v>748</v>
      </c>
      <c r="B24" s="29"/>
      <c r="C24" s="395">
        <f>'Level 1'!K262</f>
        <v>394942</v>
      </c>
      <c r="E24" s="395">
        <v>482425</v>
      </c>
      <c r="G24" s="392">
        <f t="shared" si="2"/>
        <v>-87483</v>
      </c>
      <c r="I24" s="393">
        <f t="shared" si="3"/>
        <v>-0.18134010467948386</v>
      </c>
      <c r="K24" s="14" t="s">
        <v>1226</v>
      </c>
    </row>
    <row r="25" spans="1:11">
      <c r="A25" s="400" t="s">
        <v>753</v>
      </c>
      <c r="B25" s="29"/>
      <c r="C25" s="395">
        <f>'Level 1'!K264</f>
        <v>15000</v>
      </c>
      <c r="E25" s="395">
        <v>5000</v>
      </c>
      <c r="G25" s="392">
        <f t="shared" si="2"/>
        <v>10000</v>
      </c>
      <c r="I25" s="393">
        <f t="shared" si="3"/>
        <v>2</v>
      </c>
    </row>
    <row r="26" spans="1:11">
      <c r="A26" s="400" t="s">
        <v>755</v>
      </c>
      <c r="B26" s="29"/>
      <c r="C26" s="395">
        <f>'Level 1'!K265</f>
        <v>112000</v>
      </c>
      <c r="E26" s="395">
        <v>0</v>
      </c>
      <c r="G26" s="392">
        <f t="shared" si="2"/>
        <v>112000</v>
      </c>
      <c r="I26" s="393">
        <f t="shared" si="3"/>
        <v>0</v>
      </c>
      <c r="K26" s="14" t="s">
        <v>1084</v>
      </c>
    </row>
    <row r="27" spans="1:11">
      <c r="A27" s="400" t="s">
        <v>759</v>
      </c>
      <c r="B27" s="29"/>
      <c r="C27" s="395">
        <f>'Level 1'!K266</f>
        <v>432813</v>
      </c>
      <c r="E27" s="395">
        <v>514000</v>
      </c>
      <c r="G27" s="392">
        <f t="shared" si="2"/>
        <v>-81187</v>
      </c>
      <c r="I27" s="393">
        <f t="shared" si="3"/>
        <v>-0.15795136186770428</v>
      </c>
      <c r="K27" s="14" t="s">
        <v>1227</v>
      </c>
    </row>
    <row r="28" spans="1:11">
      <c r="A28" s="401" t="s">
        <v>762</v>
      </c>
      <c r="B28" s="389"/>
      <c r="C28" s="397">
        <f>'Level 1'!K267</f>
        <v>25000</v>
      </c>
      <c r="D28" s="390"/>
      <c r="E28" s="397">
        <v>20000</v>
      </c>
      <c r="F28" s="390"/>
      <c r="G28" s="398">
        <f t="shared" si="2"/>
        <v>5000</v>
      </c>
      <c r="H28" s="390"/>
      <c r="I28" s="399">
        <f t="shared" si="3"/>
        <v>0.25</v>
      </c>
      <c r="J28" s="390"/>
      <c r="K28" s="390"/>
    </row>
    <row r="29" spans="1:11">
      <c r="A29" s="391" t="s">
        <v>1244</v>
      </c>
      <c r="B29" s="29"/>
      <c r="C29" s="396">
        <f>SUM(C25:C28)</f>
        <v>584813</v>
      </c>
      <c r="D29" s="29"/>
      <c r="E29" s="396">
        <f>SUM(E25:E28)</f>
        <v>539000</v>
      </c>
      <c r="F29" s="29"/>
      <c r="G29" s="396">
        <f>SUM(G22:G28)</f>
        <v>-469421.88</v>
      </c>
      <c r="H29" s="29"/>
      <c r="I29" s="396"/>
    </row>
    <row r="30" spans="1:11" ht="11.25" customHeight="1">
      <c r="A30" s="391"/>
      <c r="B30" s="29"/>
      <c r="C30" s="396"/>
      <c r="D30" s="29"/>
      <c r="E30" s="396"/>
      <c r="F30" s="29"/>
      <c r="G30" s="396"/>
      <c r="H30" s="29"/>
      <c r="I30" s="396"/>
    </row>
    <row r="31" spans="1:11">
      <c r="A31" s="402" t="s">
        <v>1245</v>
      </c>
      <c r="B31" s="29"/>
      <c r="C31" s="395"/>
      <c r="E31" s="395"/>
      <c r="I31" s="393"/>
    </row>
    <row r="32" spans="1:11">
      <c r="A32" s="400" t="s">
        <v>691</v>
      </c>
      <c r="B32" s="29"/>
      <c r="C32" s="395">
        <f>'Level 1'!K234</f>
        <v>39185.175999999999</v>
      </c>
      <c r="E32" s="395">
        <v>39343.64</v>
      </c>
      <c r="G32" s="392">
        <f t="shared" ref="G32:G48" si="4">C32-E32</f>
        <v>-158.46399999999994</v>
      </c>
      <c r="I32" s="393">
        <f t="shared" ref="I32:I48" si="5">IF(E32=0,0,G32/E32)</f>
        <v>-4.0276903713027043E-3</v>
      </c>
    </row>
    <row r="33" spans="1:11">
      <c r="A33" s="400" t="s">
        <v>693</v>
      </c>
      <c r="B33" s="29"/>
      <c r="C33" s="395">
        <f>'Level 1'!K235</f>
        <v>163650</v>
      </c>
      <c r="E33" s="395">
        <v>351360</v>
      </c>
      <c r="G33" s="392">
        <f t="shared" si="4"/>
        <v>-187710</v>
      </c>
      <c r="I33" s="393">
        <f t="shared" si="5"/>
        <v>-0.53423838797814205</v>
      </c>
    </row>
    <row r="34" spans="1:11">
      <c r="A34" s="400" t="s">
        <v>696</v>
      </c>
      <c r="B34" s="29"/>
      <c r="C34" s="395">
        <f>'Level 1'!K236</f>
        <v>34790</v>
      </c>
      <c r="E34" s="395">
        <v>30000</v>
      </c>
      <c r="G34" s="392">
        <f t="shared" si="4"/>
        <v>4790</v>
      </c>
      <c r="I34" s="393">
        <f t="shared" si="5"/>
        <v>0.15966666666666668</v>
      </c>
    </row>
    <row r="35" spans="1:11">
      <c r="A35" s="400" t="s">
        <v>698</v>
      </c>
      <c r="B35" s="29"/>
      <c r="C35" s="395">
        <f>'Level 1'!K237</f>
        <v>15000</v>
      </c>
      <c r="E35" s="395">
        <v>10000</v>
      </c>
      <c r="G35" s="392">
        <f t="shared" si="4"/>
        <v>5000</v>
      </c>
      <c r="I35" s="393">
        <f t="shared" si="5"/>
        <v>0.5</v>
      </c>
    </row>
    <row r="36" spans="1:11" hidden="1">
      <c r="A36" s="400" t="s">
        <v>700</v>
      </c>
      <c r="B36" s="29"/>
      <c r="C36" s="395">
        <f>'Level 1'!K238</f>
        <v>28000</v>
      </c>
      <c r="E36" s="395">
        <v>16200</v>
      </c>
      <c r="G36" s="392">
        <f t="shared" si="4"/>
        <v>11800</v>
      </c>
      <c r="I36" s="393">
        <f t="shared" si="5"/>
        <v>0.72839506172839508</v>
      </c>
    </row>
    <row r="37" spans="1:11" hidden="1">
      <c r="A37" s="400" t="s">
        <v>161</v>
      </c>
      <c r="B37" s="29"/>
      <c r="C37" s="395">
        <f>'Level 1'!K239</f>
        <v>32775</v>
      </c>
      <c r="E37" s="395">
        <v>40500</v>
      </c>
      <c r="G37" s="392">
        <f t="shared" si="4"/>
        <v>-7725</v>
      </c>
      <c r="I37" s="393">
        <f t="shared" si="5"/>
        <v>-0.19074074074074074</v>
      </c>
    </row>
    <row r="38" spans="1:11" hidden="1">
      <c r="A38" s="400" t="s">
        <v>704</v>
      </c>
      <c r="B38" s="29"/>
      <c r="C38" s="395">
        <f>'Level 1'!K240</f>
        <v>3900</v>
      </c>
      <c r="E38" s="395">
        <v>2000</v>
      </c>
      <c r="G38" s="392">
        <f t="shared" si="4"/>
        <v>1900</v>
      </c>
      <c r="I38" s="393">
        <f t="shared" si="5"/>
        <v>0.95</v>
      </c>
    </row>
    <row r="39" spans="1:11">
      <c r="A39" s="400" t="s">
        <v>705</v>
      </c>
      <c r="B39" s="29"/>
      <c r="C39" s="395">
        <f>'Level 1'!K241</f>
        <v>192000</v>
      </c>
      <c r="E39" s="395">
        <v>96000</v>
      </c>
      <c r="G39" s="392">
        <f t="shared" si="4"/>
        <v>96000</v>
      </c>
      <c r="I39" s="393">
        <f t="shared" si="5"/>
        <v>1</v>
      </c>
    </row>
    <row r="40" spans="1:11" hidden="1">
      <c r="A40" s="400" t="s">
        <v>707</v>
      </c>
      <c r="B40" s="29"/>
      <c r="C40" s="395">
        <f>'Level 1'!K242</f>
        <v>7110</v>
      </c>
      <c r="E40" s="395">
        <v>3555</v>
      </c>
      <c r="G40" s="392">
        <f t="shared" si="4"/>
        <v>3555</v>
      </c>
      <c r="I40" s="393">
        <f t="shared" si="5"/>
        <v>1</v>
      </c>
    </row>
    <row r="41" spans="1:11" hidden="1">
      <c r="A41" s="400" t="s">
        <v>709</v>
      </c>
      <c r="B41" s="29"/>
      <c r="C41" s="395">
        <f>'Level 1'!K243</f>
        <v>0</v>
      </c>
      <c r="E41" s="395">
        <v>17116</v>
      </c>
      <c r="G41" s="392">
        <f t="shared" si="4"/>
        <v>-17116</v>
      </c>
      <c r="I41" s="393">
        <f t="shared" si="5"/>
        <v>-1</v>
      </c>
    </row>
    <row r="42" spans="1:11" hidden="1">
      <c r="A42" s="400" t="s">
        <v>711</v>
      </c>
      <c r="B42" s="29"/>
      <c r="C42" s="395">
        <f>'Level 1'!K244</f>
        <v>0</v>
      </c>
      <c r="E42" s="395">
        <v>4800</v>
      </c>
      <c r="G42" s="392">
        <f t="shared" si="4"/>
        <v>-4800</v>
      </c>
      <c r="I42" s="393">
        <f t="shared" si="5"/>
        <v>-1</v>
      </c>
    </row>
    <row r="43" spans="1:11" hidden="1">
      <c r="A43" s="400" t="s">
        <v>713</v>
      </c>
      <c r="B43" s="29"/>
      <c r="C43" s="395">
        <f>'Level 1'!K245</f>
        <v>39565</v>
      </c>
      <c r="E43" s="395">
        <v>32500</v>
      </c>
      <c r="G43" s="392">
        <f t="shared" si="4"/>
        <v>7065</v>
      </c>
      <c r="I43" s="393">
        <f t="shared" si="5"/>
        <v>0.2173846153846154</v>
      </c>
    </row>
    <row r="44" spans="1:11">
      <c r="A44" s="400" t="s">
        <v>715</v>
      </c>
      <c r="B44" s="29"/>
      <c r="C44" s="395">
        <f>'Level 1'!K246</f>
        <v>545312.67999999993</v>
      </c>
      <c r="E44" s="395">
        <v>244000</v>
      </c>
      <c r="G44" s="392">
        <f t="shared" si="4"/>
        <v>301312.67999999993</v>
      </c>
      <c r="I44" s="393">
        <f t="shared" si="5"/>
        <v>1.234888032786885</v>
      </c>
      <c r="K44" s="14" t="s">
        <v>1223</v>
      </c>
    </row>
    <row r="45" spans="1:11">
      <c r="A45" s="400" t="s">
        <v>720</v>
      </c>
      <c r="B45" s="29"/>
      <c r="C45" s="395">
        <f>'Level 1'!K248</f>
        <v>125000</v>
      </c>
      <c r="E45" s="395">
        <v>50000</v>
      </c>
      <c r="G45" s="392">
        <f t="shared" si="4"/>
        <v>75000</v>
      </c>
      <c r="I45" s="393">
        <f t="shared" si="5"/>
        <v>1.5</v>
      </c>
      <c r="K45" s="14" t="s">
        <v>1079</v>
      </c>
    </row>
    <row r="46" spans="1:11" hidden="1">
      <c r="A46" s="400" t="s">
        <v>722</v>
      </c>
      <c r="B46" s="29"/>
      <c r="C46" s="395">
        <f>'Level 1'!K249</f>
        <v>11000</v>
      </c>
      <c r="E46" s="395">
        <v>10000</v>
      </c>
      <c r="G46" s="392">
        <f t="shared" si="4"/>
        <v>1000</v>
      </c>
      <c r="I46" s="393">
        <f t="shared" si="5"/>
        <v>0.1</v>
      </c>
    </row>
    <row r="47" spans="1:11" hidden="1">
      <c r="A47" s="400" t="s">
        <v>724</v>
      </c>
      <c r="B47" s="29"/>
      <c r="C47" s="395">
        <f>'Level 1'!K250</f>
        <v>7000</v>
      </c>
      <c r="E47" s="395">
        <v>14000</v>
      </c>
      <c r="G47" s="392">
        <f t="shared" si="4"/>
        <v>-7000</v>
      </c>
      <c r="I47" s="393">
        <f t="shared" si="5"/>
        <v>-0.5</v>
      </c>
    </row>
    <row r="48" spans="1:11">
      <c r="A48" s="401" t="s">
        <v>726</v>
      </c>
      <c r="B48" s="389"/>
      <c r="C48" s="397">
        <f>'Level 1'!K251</f>
        <v>3064027.78</v>
      </c>
      <c r="D48" s="390"/>
      <c r="E48" s="397">
        <v>2640182.2969999998</v>
      </c>
      <c r="F48" s="390"/>
      <c r="G48" s="398">
        <f t="shared" si="4"/>
        <v>423845.48300000001</v>
      </c>
      <c r="H48" s="390"/>
      <c r="I48" s="399">
        <f t="shared" si="5"/>
        <v>0.16053644609374487</v>
      </c>
      <c r="J48" s="390"/>
      <c r="K48" s="390" t="s">
        <v>1108</v>
      </c>
    </row>
    <row r="49" spans="1:11">
      <c r="A49" s="391" t="s">
        <v>1246</v>
      </c>
      <c r="B49" s="29"/>
      <c r="C49" s="396">
        <f>SUM(C46:C48)</f>
        <v>3082027.78</v>
      </c>
      <c r="D49" s="29"/>
      <c r="E49" s="396">
        <f>SUM(E46:E48)</f>
        <v>2664182.2969999998</v>
      </c>
      <c r="F49" s="29"/>
      <c r="G49" s="396">
        <f>SUM(G46:G48)</f>
        <v>417845.48300000001</v>
      </c>
      <c r="H49" s="29"/>
      <c r="I49" s="396"/>
    </row>
    <row r="50" spans="1:11" ht="11.25" customHeight="1">
      <c r="A50" s="391"/>
      <c r="B50" s="29"/>
      <c r="C50" s="396"/>
      <c r="D50" s="29"/>
      <c r="E50" s="396"/>
      <c r="F50" s="29"/>
      <c r="G50" s="396"/>
      <c r="H50" s="29"/>
      <c r="I50" s="396"/>
    </row>
    <row r="51" spans="1:11" ht="15" thickBot="1">
      <c r="A51" s="408" t="s">
        <v>1247</v>
      </c>
      <c r="B51" s="408"/>
      <c r="C51" s="409">
        <f>C49+C29+C19+C13</f>
        <v>7073449.5358999996</v>
      </c>
      <c r="D51" s="408"/>
      <c r="E51" s="409">
        <f>E49+E29+E19+E13</f>
        <v>7185679.1305</v>
      </c>
      <c r="F51" s="408"/>
      <c r="G51" s="410">
        <f>C51-E51</f>
        <v>-112229.59460000042</v>
      </c>
      <c r="H51" s="408"/>
      <c r="I51" s="410"/>
      <c r="J51" s="408"/>
      <c r="K51" s="408"/>
    </row>
    <row r="53" spans="1:11">
      <c r="A53" s="411" t="s">
        <v>1248</v>
      </c>
      <c r="B53" s="412"/>
      <c r="C53" s="412"/>
      <c r="D53" s="412"/>
      <c r="E53" s="412"/>
      <c r="F53" s="412"/>
      <c r="G53" s="413"/>
      <c r="H53" s="412"/>
      <c r="I53" s="413"/>
      <c r="J53" s="412"/>
      <c r="K53" s="412"/>
    </row>
    <row r="54" spans="1:11">
      <c r="A54" s="402" t="s">
        <v>1241</v>
      </c>
      <c r="B54" s="29"/>
      <c r="C54" s="395"/>
      <c r="E54" s="395"/>
      <c r="I54" s="393"/>
    </row>
    <row r="55" spans="1:11">
      <c r="A55" s="400" t="s">
        <v>736</v>
      </c>
      <c r="B55" s="29"/>
      <c r="C55" s="395">
        <f>'Level 1'!K256</f>
        <v>124911</v>
      </c>
      <c r="E55" s="395">
        <v>17648</v>
      </c>
      <c r="G55" s="392">
        <f>C55-E55</f>
        <v>107263</v>
      </c>
      <c r="I55" s="393">
        <f>IF(E55=0,0,G55/E55)</f>
        <v>6.0779125113327286</v>
      </c>
      <c r="K55" s="14" t="s">
        <v>1225</v>
      </c>
    </row>
    <row r="56" spans="1:11">
      <c r="A56" s="401" t="s">
        <v>737</v>
      </c>
      <c r="B56" s="389"/>
      <c r="C56" s="397">
        <f>'Level 1'!K257</f>
        <v>91597</v>
      </c>
      <c r="D56" s="390"/>
      <c r="E56" s="397">
        <v>56300</v>
      </c>
      <c r="F56" s="390"/>
      <c r="G56" s="398">
        <f>C56-E56</f>
        <v>35297</v>
      </c>
      <c r="H56" s="390"/>
      <c r="I56" s="399">
        <f>IF(E56=0,0,G56/E56)</f>
        <v>0.62694493783303729</v>
      </c>
      <c r="J56" s="390"/>
      <c r="K56" s="390" t="s">
        <v>1226</v>
      </c>
    </row>
    <row r="57" spans="1:11">
      <c r="A57" s="391" t="s">
        <v>1242</v>
      </c>
      <c r="B57" s="29"/>
      <c r="C57" s="396">
        <f>SUM(C54:C56)</f>
        <v>216508</v>
      </c>
      <c r="D57" s="29"/>
      <c r="E57" s="396">
        <f>SUM(E54:E56)</f>
        <v>73948</v>
      </c>
      <c r="F57" s="29"/>
      <c r="G57" s="396">
        <f>SUM(G54:G56)</f>
        <v>142560</v>
      </c>
      <c r="H57" s="29"/>
      <c r="I57" s="396"/>
    </row>
    <row r="58" spans="1:11" ht="11.25" customHeight="1">
      <c r="A58" s="391"/>
      <c r="B58" s="29"/>
      <c r="C58" s="396"/>
      <c r="D58" s="29"/>
      <c r="E58" s="396"/>
      <c r="F58" s="29"/>
      <c r="G58" s="396"/>
      <c r="H58" s="29"/>
      <c r="I58" s="396"/>
    </row>
    <row r="59" spans="1:11">
      <c r="A59" s="402" t="s">
        <v>1239</v>
      </c>
    </row>
    <row r="60" spans="1:11">
      <c r="A60" s="400" t="s">
        <v>732</v>
      </c>
      <c r="B60" s="29"/>
      <c r="C60" s="395">
        <f>'Level 1'!K254</f>
        <v>25000</v>
      </c>
      <c r="E60" s="395">
        <v>15000</v>
      </c>
      <c r="G60" s="392">
        <f>C60-E60</f>
        <v>10000</v>
      </c>
      <c r="I60" s="393">
        <f>IF(E60=0,0,G60/E60)</f>
        <v>0.66666666666666663</v>
      </c>
    </row>
    <row r="61" spans="1:11">
      <c r="A61" s="401" t="s">
        <v>734</v>
      </c>
      <c r="B61" s="389"/>
      <c r="C61" s="397">
        <f>'Level 1'!K255</f>
        <v>1843875.2999999998</v>
      </c>
      <c r="D61" s="390"/>
      <c r="E61" s="397">
        <v>1171600</v>
      </c>
      <c r="F61" s="390"/>
      <c r="G61" s="398">
        <f>C61-E61</f>
        <v>672275.29999999981</v>
      </c>
      <c r="H61" s="390"/>
      <c r="I61" s="399">
        <f>IF(E61=0,0,G61/E61)</f>
        <v>0.5738095766473198</v>
      </c>
      <c r="J61" s="390"/>
      <c r="K61" s="406" t="s">
        <v>1224</v>
      </c>
    </row>
    <row r="62" spans="1:11">
      <c r="A62" s="391" t="s">
        <v>1242</v>
      </c>
      <c r="B62" s="29"/>
      <c r="C62" s="396">
        <f>SUM(C59:C61)</f>
        <v>1868875.2999999998</v>
      </c>
      <c r="D62" s="29"/>
      <c r="E62" s="396">
        <f>SUM(E59:E61)</f>
        <v>1186600</v>
      </c>
      <c r="F62" s="29"/>
      <c r="G62" s="396">
        <f>SUM(G59:G61)</f>
        <v>682275.29999999981</v>
      </c>
      <c r="H62" s="29"/>
      <c r="I62" s="396"/>
    </row>
    <row r="63" spans="1:11" ht="11.25" customHeight="1">
      <c r="A63" s="391"/>
      <c r="B63" s="29"/>
      <c r="C63" s="396"/>
      <c r="D63" s="29"/>
      <c r="E63" s="396"/>
      <c r="F63" s="29"/>
      <c r="G63" s="396"/>
      <c r="H63" s="29"/>
      <c r="I63" s="396"/>
    </row>
    <row r="64" spans="1:11">
      <c r="A64" s="402" t="s">
        <v>913</v>
      </c>
      <c r="B64" s="29"/>
      <c r="C64" s="395"/>
      <c r="E64" s="395"/>
      <c r="I64" s="393"/>
    </row>
    <row r="65" spans="1:11">
      <c r="A65" s="400" t="s">
        <v>608</v>
      </c>
      <c r="B65" s="29"/>
      <c r="C65" s="395">
        <f>'Level 1'!K194</f>
        <v>275000</v>
      </c>
      <c r="E65" s="395">
        <v>175000</v>
      </c>
      <c r="G65" s="392">
        <f t="shared" ref="G65:G70" si="6">C65-E65</f>
        <v>100000</v>
      </c>
      <c r="I65" s="393">
        <f t="shared" ref="I65:I70" si="7">IF(E65=0,0,G65/E65)</f>
        <v>0.5714285714285714</v>
      </c>
      <c r="K65" s="14" t="s">
        <v>1249</v>
      </c>
    </row>
    <row r="66" spans="1:11">
      <c r="A66" s="400" t="s">
        <v>612</v>
      </c>
      <c r="B66" s="29"/>
      <c r="C66" s="395">
        <f>'Level 1'!K195</f>
        <v>100000</v>
      </c>
      <c r="E66" s="395">
        <v>0</v>
      </c>
      <c r="G66" s="392">
        <f t="shared" si="6"/>
        <v>100000</v>
      </c>
      <c r="I66" s="393">
        <f t="shared" si="7"/>
        <v>0</v>
      </c>
      <c r="K66" s="14" t="s">
        <v>1250</v>
      </c>
    </row>
    <row r="67" spans="1:11">
      <c r="A67" s="400" t="s">
        <v>770</v>
      </c>
      <c r="B67" s="29"/>
      <c r="C67" s="395">
        <f>'Level 1'!K271</f>
        <v>2200067.3966666665</v>
      </c>
      <c r="E67" s="395">
        <v>1919160</v>
      </c>
      <c r="G67" s="392">
        <f t="shared" si="6"/>
        <v>280907.39666666649</v>
      </c>
      <c r="I67" s="393">
        <f t="shared" si="7"/>
        <v>0.14636997262691306</v>
      </c>
      <c r="K67" s="14" t="s">
        <v>1112</v>
      </c>
    </row>
    <row r="68" spans="1:11">
      <c r="A68" s="400" t="s">
        <v>771</v>
      </c>
      <c r="B68" s="29"/>
      <c r="C68" s="395">
        <f>'Level 1'!K272</f>
        <v>1474233.6057142857</v>
      </c>
      <c r="E68" s="395">
        <v>1133160</v>
      </c>
      <c r="G68" s="392">
        <f t="shared" si="6"/>
        <v>341073.60571428575</v>
      </c>
      <c r="I68" s="393">
        <f t="shared" si="7"/>
        <v>0.3009933334341891</v>
      </c>
      <c r="K68" s="14" t="s">
        <v>1112</v>
      </c>
    </row>
    <row r="69" spans="1:11">
      <c r="A69" s="400" t="s">
        <v>772</v>
      </c>
      <c r="B69" s="29"/>
      <c r="C69" s="395">
        <f>'Level 1'!K273</f>
        <v>649389</v>
      </c>
      <c r="E69" s="395">
        <v>0</v>
      </c>
      <c r="G69" s="392">
        <f t="shared" si="6"/>
        <v>649389</v>
      </c>
      <c r="I69" s="393">
        <f t="shared" si="7"/>
        <v>0</v>
      </c>
      <c r="K69" s="14" t="s">
        <v>1115</v>
      </c>
    </row>
    <row r="70" spans="1:11">
      <c r="A70" s="401" t="s">
        <v>773</v>
      </c>
      <c r="B70" s="389"/>
      <c r="C70" s="397">
        <f>'Level 1'!K274</f>
        <v>1310050.0533333332</v>
      </c>
      <c r="D70" s="390"/>
      <c r="E70" s="397">
        <v>500000</v>
      </c>
      <c r="F70" s="390"/>
      <c r="G70" s="398">
        <f t="shared" si="6"/>
        <v>810050.05333333323</v>
      </c>
      <c r="H70" s="390"/>
      <c r="I70" s="399">
        <f t="shared" si="7"/>
        <v>1.6201001066666665</v>
      </c>
      <c r="J70" s="390"/>
      <c r="K70" s="390" t="s">
        <v>1229</v>
      </c>
    </row>
    <row r="71" spans="1:11">
      <c r="A71" s="391" t="s">
        <v>1242</v>
      </c>
      <c r="B71" s="29"/>
      <c r="C71" s="396">
        <f>SUM(C65:C70)</f>
        <v>6008740.055714285</v>
      </c>
      <c r="D71" s="29"/>
      <c r="E71" s="396">
        <f>SUM(E65:E70)</f>
        <v>3727320</v>
      </c>
      <c r="F71" s="29"/>
      <c r="G71" s="396">
        <f>SUM(G65:G70)</f>
        <v>2281420.0557142855</v>
      </c>
      <c r="H71" s="29"/>
      <c r="I71" s="396"/>
    </row>
    <row r="72" spans="1:11" ht="11.25" customHeight="1"/>
    <row r="73" spans="1:11" ht="15" thickBot="1">
      <c r="A73" s="408" t="s">
        <v>1251</v>
      </c>
      <c r="B73" s="408"/>
      <c r="C73" s="409">
        <f>C71+C62+C57</f>
        <v>8094123.3557142848</v>
      </c>
      <c r="D73" s="408"/>
      <c r="E73" s="409">
        <f>E71+E62+E57</f>
        <v>4987868</v>
      </c>
      <c r="F73" s="408"/>
      <c r="G73" s="410">
        <f>C73-E73</f>
        <v>3106255.3557142848</v>
      </c>
      <c r="H73" s="408"/>
      <c r="I73" s="410"/>
      <c r="J73" s="408"/>
      <c r="K73" s="408"/>
    </row>
  </sheetData>
  <conditionalFormatting sqref="G5:G12 G15:G18 G21:G28 G31:G48 G51 G54:G56 G60:G61 G64:G70 G73">
    <cfRule type="cellIs" dxfId="26" priority="77" operator="lessThan">
      <formula>-$G$4</formula>
    </cfRule>
    <cfRule type="cellIs" dxfId="25" priority="78" operator="greaterThan">
      <formula>$G$4</formula>
    </cfRule>
  </conditionalFormatting>
  <conditionalFormatting sqref="I5:I12 I15:I18 I21:I28 I31:I48 I54:I56 I60:I61 I64:I70">
    <cfRule type="cellIs" dxfId="24" priority="95" operator="lessThan">
      <formula>-$I$4</formula>
    </cfRule>
    <cfRule type="cellIs" dxfId="23" priority="96" operator="greaterThan">
      <formula>$I$4</formula>
    </cfRule>
  </conditionalFormatting>
  <printOptions horizontalCentered="1"/>
  <pageMargins left="0.1" right="0.1" top="1" bottom="0.25" header="0.15" footer="0"/>
  <pageSetup paperSize="3" scale="68" orientation="landscape" r:id="rId1"/>
  <headerFooter>
    <oddHeader>&amp;R&amp;G</oddHead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BF42-C218-40CF-83BC-EC3C1AFCFA3D}">
  <sheetPr>
    <pageSetUpPr fitToPage="1"/>
  </sheetPr>
  <dimension ref="A3:V278"/>
  <sheetViews>
    <sheetView zoomScale="70" zoomScaleNormal="70" workbookViewId="0">
      <selection activeCell="E37" sqref="E37"/>
    </sheetView>
  </sheetViews>
  <sheetFormatPr defaultColWidth="9.140625" defaultRowHeight="14.45"/>
  <cols>
    <col min="1" max="1" width="42" style="55" bestFit="1" customWidth="1"/>
    <col min="2" max="2" width="42" style="55" customWidth="1"/>
    <col min="3" max="3" width="14.85546875" style="55" bestFit="1" customWidth="1"/>
    <col min="4" max="4" width="17.42578125" style="55" hidden="1" customWidth="1"/>
    <col min="5" max="5" width="14.42578125" style="55" bestFit="1" customWidth="1"/>
    <col min="6" max="6" width="5.140625" style="55" customWidth="1"/>
    <col min="7" max="7" width="14.28515625" style="190" hidden="1" customWidth="1"/>
    <col min="8" max="8" width="12.140625" style="55" hidden="1" customWidth="1"/>
    <col min="9" max="9" width="8.5703125" style="190" hidden="1" customWidth="1"/>
    <col min="10" max="10" width="8.42578125" style="55" hidden="1" customWidth="1"/>
    <col min="11" max="11" width="118.140625" style="55" hidden="1" customWidth="1"/>
    <col min="12" max="12" width="9.140625" style="55"/>
    <col min="13" max="13" width="14" style="55" bestFit="1" customWidth="1"/>
    <col min="14" max="14" width="15.5703125" style="55" customWidth="1"/>
    <col min="15" max="15" width="17.28515625" style="56" customWidth="1"/>
    <col min="16" max="16" width="9.140625" style="55"/>
    <col min="17" max="17" width="24.85546875" style="358" customWidth="1"/>
    <col min="18" max="18" width="9.140625" style="55"/>
    <col min="19" max="19" width="15.5703125" style="55" customWidth="1"/>
    <col min="20" max="20" width="17.28515625" style="56" customWidth="1"/>
    <col min="21" max="21" width="9.140625" style="55"/>
    <col min="22" max="22" width="24.85546875" style="358" customWidth="1"/>
    <col min="23" max="16384" width="9.140625" style="55"/>
  </cols>
  <sheetData>
    <row r="3" spans="1:22" ht="15" thickBot="1"/>
    <row r="4" spans="1:22" ht="15.75" customHeight="1" thickBot="1">
      <c r="A4" s="452" t="s">
        <v>1018</v>
      </c>
      <c r="B4" s="454"/>
      <c r="C4" s="294"/>
      <c r="D4" s="137"/>
      <c r="E4" s="138"/>
      <c r="G4" s="296">
        <v>75000</v>
      </c>
      <c r="I4" s="297">
        <v>0.05</v>
      </c>
    </row>
    <row r="5" spans="1:22" ht="15" thickBot="1">
      <c r="A5" s="298" t="s">
        <v>202</v>
      </c>
      <c r="B5" s="34" t="s">
        <v>205</v>
      </c>
      <c r="C5" s="365" t="s">
        <v>212</v>
      </c>
      <c r="D5" s="299" t="s">
        <v>206</v>
      </c>
      <c r="E5" s="300" t="s">
        <v>212</v>
      </c>
      <c r="G5" s="303" t="s">
        <v>1023</v>
      </c>
      <c r="I5" s="303" t="s">
        <v>1024</v>
      </c>
      <c r="K5" s="304" t="s">
        <v>1193</v>
      </c>
      <c r="N5" s="56" t="s">
        <v>1058</v>
      </c>
      <c r="O5" s="56" t="s">
        <v>1008</v>
      </c>
      <c r="S5" s="56" t="s">
        <v>75</v>
      </c>
      <c r="T5" s="56" t="s">
        <v>1008</v>
      </c>
    </row>
    <row r="6" spans="1:22">
      <c r="A6" s="319" t="s">
        <v>226</v>
      </c>
      <c r="B6" s="65" t="s">
        <v>228</v>
      </c>
      <c r="C6" s="159">
        <v>2063622.8800000001</v>
      </c>
      <c r="D6" s="320"/>
      <c r="E6" s="159">
        <v>1934557.66</v>
      </c>
      <c r="G6" s="296">
        <f t="shared" ref="G6:G37" si="0">C6-E6</f>
        <v>129065.2200000002</v>
      </c>
      <c r="I6" s="297">
        <f t="shared" ref="I6:I37" si="1">IF(E6=0,0,G6/E6)</f>
        <v>6.6715623250019965E-2</v>
      </c>
      <c r="K6" s="313" t="s">
        <v>1195</v>
      </c>
      <c r="M6" s="358">
        <f>C6/'Level 1'!$E$8</f>
        <v>5291.3407179487185</v>
      </c>
      <c r="N6" s="358">
        <f>Q6/194</f>
        <v>2974.1380412371136</v>
      </c>
      <c r="O6" s="559">
        <f>M6-N6</f>
        <v>2317.2026767116049</v>
      </c>
      <c r="Q6" s="560">
        <v>576982.78</v>
      </c>
      <c r="S6" s="358">
        <f>V6/190</f>
        <v>2962.3421052631579</v>
      </c>
      <c r="T6" s="559">
        <f>M6-S6</f>
        <v>2328.9986126855606</v>
      </c>
      <c r="V6" s="560">
        <v>562845</v>
      </c>
    </row>
    <row r="7" spans="1:22">
      <c r="A7" s="321" t="s">
        <v>230</v>
      </c>
      <c r="B7" s="47" t="s">
        <v>228</v>
      </c>
      <c r="C7" s="67">
        <v>0</v>
      </c>
      <c r="D7" s="322"/>
      <c r="E7" s="67">
        <v>0</v>
      </c>
      <c r="G7" s="296">
        <f t="shared" si="0"/>
        <v>0</v>
      </c>
      <c r="I7" s="297">
        <f t="shared" si="1"/>
        <v>0</v>
      </c>
      <c r="K7" s="313"/>
      <c r="M7" s="358">
        <f>C7/'Level 1'!$E$8</f>
        <v>0</v>
      </c>
      <c r="N7" s="358">
        <f t="shared" ref="N7:N70" si="2">Q7/194</f>
        <v>0</v>
      </c>
      <c r="O7" s="559">
        <v>0</v>
      </c>
      <c r="Q7" s="560">
        <v>0</v>
      </c>
      <c r="S7" s="358">
        <f t="shared" ref="S7:S70" si="3">V7/190</f>
        <v>0</v>
      </c>
      <c r="T7" s="559">
        <v>0</v>
      </c>
      <c r="V7" s="560">
        <v>0</v>
      </c>
    </row>
    <row r="8" spans="1:22">
      <c r="A8" s="323" t="s">
        <v>232</v>
      </c>
      <c r="B8" s="40" t="s">
        <v>228</v>
      </c>
      <c r="C8" s="67">
        <v>7500</v>
      </c>
      <c r="D8" s="324"/>
      <c r="E8" s="67">
        <v>2500</v>
      </c>
      <c r="G8" s="296">
        <f t="shared" si="0"/>
        <v>5000</v>
      </c>
      <c r="I8" s="297">
        <f t="shared" si="1"/>
        <v>2</v>
      </c>
      <c r="K8" s="313"/>
      <c r="M8" s="358">
        <f>C8/'Level 1'!$E$8</f>
        <v>19.23076923076923</v>
      </c>
      <c r="N8" s="358">
        <f t="shared" si="2"/>
        <v>0</v>
      </c>
      <c r="O8" s="559">
        <v>0</v>
      </c>
      <c r="S8" s="358">
        <f t="shared" si="3"/>
        <v>0</v>
      </c>
      <c r="T8" s="559">
        <v>0</v>
      </c>
      <c r="V8" s="358">
        <v>0</v>
      </c>
    </row>
    <row r="9" spans="1:22">
      <c r="A9" s="323" t="s">
        <v>252</v>
      </c>
      <c r="B9" s="40" t="s">
        <v>228</v>
      </c>
      <c r="C9" s="67">
        <v>754201.14</v>
      </c>
      <c r="D9" s="312"/>
      <c r="E9" s="67">
        <v>724351.4</v>
      </c>
      <c r="G9" s="296">
        <f t="shared" si="0"/>
        <v>29849.739999999991</v>
      </c>
      <c r="I9" s="297">
        <f t="shared" si="1"/>
        <v>4.1208921526209502E-2</v>
      </c>
      <c r="K9" s="313"/>
      <c r="M9" s="358">
        <f>C9/'Level 1'!$E$8</f>
        <v>1933.8490769230771</v>
      </c>
      <c r="N9" s="358">
        <f t="shared" si="2"/>
        <v>2231.5206185567008</v>
      </c>
      <c r="O9" s="559">
        <f>M9-N9</f>
        <v>-297.67154163362375</v>
      </c>
      <c r="Q9" s="560">
        <v>432915</v>
      </c>
      <c r="S9" s="358">
        <f t="shared" si="3"/>
        <v>0</v>
      </c>
      <c r="T9" s="559">
        <f>R9-S9</f>
        <v>0</v>
      </c>
      <c r="V9" s="560">
        <v>0</v>
      </c>
    </row>
    <row r="10" spans="1:22">
      <c r="A10" s="323" t="s">
        <v>256</v>
      </c>
      <c r="B10" s="40" t="s">
        <v>228</v>
      </c>
      <c r="C10" s="67">
        <v>64575.680000000008</v>
      </c>
      <c r="D10" s="324"/>
      <c r="E10" s="67">
        <v>235269.40000000002</v>
      </c>
      <c r="G10" s="464">
        <f t="shared" si="0"/>
        <v>-170693.72000000003</v>
      </c>
      <c r="I10" s="466">
        <f t="shared" si="1"/>
        <v>-0.72552452635149323</v>
      </c>
      <c r="K10" s="313" t="s">
        <v>1196</v>
      </c>
      <c r="M10" s="358">
        <f>C10/'Level 1'!$E$8</f>
        <v>165.57866666666669</v>
      </c>
      <c r="N10" s="358">
        <f t="shared" si="2"/>
        <v>308.01154639175263</v>
      </c>
      <c r="O10" s="559">
        <v>0</v>
      </c>
      <c r="Q10" s="358">
        <v>59754.240000000005</v>
      </c>
      <c r="S10" s="358">
        <f t="shared" si="3"/>
        <v>0</v>
      </c>
      <c r="T10" s="559">
        <v>0</v>
      </c>
      <c r="V10" s="358">
        <v>0</v>
      </c>
    </row>
    <row r="11" spans="1:22">
      <c r="A11" s="323" t="s">
        <v>271</v>
      </c>
      <c r="B11" s="40" t="s">
        <v>228</v>
      </c>
      <c r="C11" s="67">
        <v>152000</v>
      </c>
      <c r="D11" s="324"/>
      <c r="E11" s="67">
        <v>115500.00000000001</v>
      </c>
      <c r="G11" s="296">
        <f t="shared" si="0"/>
        <v>36499.999999999985</v>
      </c>
      <c r="I11" s="297">
        <f t="shared" si="1"/>
        <v>0.31601731601731586</v>
      </c>
      <c r="K11" s="313"/>
      <c r="M11" s="358">
        <f>C11/'Level 1'!$E$8</f>
        <v>389.74358974358972</v>
      </c>
      <c r="N11" s="358">
        <f t="shared" si="2"/>
        <v>391.7525773195876</v>
      </c>
      <c r="O11" s="559">
        <v>0</v>
      </c>
      <c r="Q11" s="358">
        <v>76000</v>
      </c>
      <c r="S11" s="358">
        <f t="shared" si="3"/>
        <v>0</v>
      </c>
      <c r="T11" s="559">
        <v>0</v>
      </c>
      <c r="V11" s="358">
        <v>0</v>
      </c>
    </row>
    <row r="12" spans="1:22">
      <c r="A12" s="323" t="s">
        <v>286</v>
      </c>
      <c r="B12" s="40" t="s">
        <v>228</v>
      </c>
      <c r="C12" s="67">
        <v>125000</v>
      </c>
      <c r="D12" s="324"/>
      <c r="E12" s="67">
        <v>267000</v>
      </c>
      <c r="G12" s="296">
        <f t="shared" si="0"/>
        <v>-142000</v>
      </c>
      <c r="I12" s="297">
        <f t="shared" si="1"/>
        <v>-0.53183520599250933</v>
      </c>
      <c r="K12" s="313"/>
      <c r="M12" s="358">
        <f>C12/'Level 1'!$E$8</f>
        <v>320.5128205128205</v>
      </c>
      <c r="N12" s="358">
        <f t="shared" si="2"/>
        <v>581.57797883542571</v>
      </c>
      <c r="O12" s="559">
        <v>0</v>
      </c>
      <c r="Q12" s="358">
        <v>112826.12789407259</v>
      </c>
      <c r="S12" s="358">
        <f t="shared" si="3"/>
        <v>0</v>
      </c>
      <c r="T12" s="559">
        <v>0</v>
      </c>
      <c r="V12" s="358">
        <v>0</v>
      </c>
    </row>
    <row r="13" spans="1:22">
      <c r="A13" s="323" t="s">
        <v>289</v>
      </c>
      <c r="B13" s="40" t="s">
        <v>228</v>
      </c>
      <c r="C13" s="67">
        <v>24240</v>
      </c>
      <c r="D13" s="324"/>
      <c r="E13" s="67">
        <v>24000</v>
      </c>
      <c r="G13" s="296">
        <f t="shared" si="0"/>
        <v>240</v>
      </c>
      <c r="I13" s="297">
        <f t="shared" si="1"/>
        <v>0.01</v>
      </c>
      <c r="K13" s="313" t="s">
        <v>1197</v>
      </c>
      <c r="M13" s="358">
        <f>C13/'Level 1'!$E$8</f>
        <v>62.153846153846153</v>
      </c>
      <c r="N13" s="358">
        <f t="shared" si="2"/>
        <v>0</v>
      </c>
      <c r="O13" s="559">
        <v>0</v>
      </c>
      <c r="S13" s="358">
        <f t="shared" si="3"/>
        <v>0</v>
      </c>
      <c r="T13" s="559">
        <v>0</v>
      </c>
      <c r="V13" s="358">
        <v>0</v>
      </c>
    </row>
    <row r="14" spans="1:22">
      <c r="A14" s="323" t="s">
        <v>291</v>
      </c>
      <c r="B14" s="40" t="s">
        <v>228</v>
      </c>
      <c r="C14" s="67">
        <v>120000</v>
      </c>
      <c r="D14" s="324"/>
      <c r="E14" s="67">
        <v>188000</v>
      </c>
      <c r="G14" s="296">
        <f t="shared" si="0"/>
        <v>-68000</v>
      </c>
      <c r="I14" s="297">
        <f t="shared" si="1"/>
        <v>-0.36170212765957449</v>
      </c>
      <c r="K14" s="313" t="s">
        <v>1197</v>
      </c>
      <c r="M14" s="358">
        <f>C14/'Level 1'!$E$8</f>
        <v>307.69230769230768</v>
      </c>
      <c r="N14" s="358">
        <f t="shared" si="2"/>
        <v>288.65979381443299</v>
      </c>
      <c r="O14" s="559">
        <v>0</v>
      </c>
      <c r="Q14" s="358">
        <v>56000</v>
      </c>
      <c r="S14" s="358">
        <f t="shared" si="3"/>
        <v>0</v>
      </c>
      <c r="T14" s="559">
        <v>0</v>
      </c>
      <c r="V14" s="358">
        <v>0</v>
      </c>
    </row>
    <row r="15" spans="1:22">
      <c r="A15" s="323" t="s">
        <v>293</v>
      </c>
      <c r="B15" s="40" t="s">
        <v>228</v>
      </c>
      <c r="C15" s="67">
        <v>0</v>
      </c>
      <c r="D15" s="324"/>
      <c r="E15" s="67">
        <v>0</v>
      </c>
      <c r="G15" s="296">
        <f t="shared" si="0"/>
        <v>0</v>
      </c>
      <c r="I15" s="297">
        <f t="shared" si="1"/>
        <v>0</v>
      </c>
      <c r="K15" s="313"/>
      <c r="M15" s="358">
        <f>C15/'Level 1'!$E$8</f>
        <v>0</v>
      </c>
      <c r="N15" s="358">
        <f t="shared" si="2"/>
        <v>0</v>
      </c>
      <c r="O15" s="559">
        <v>0</v>
      </c>
      <c r="S15" s="358">
        <f t="shared" si="3"/>
        <v>0</v>
      </c>
      <c r="T15" s="559">
        <v>0</v>
      </c>
      <c r="V15" s="358">
        <v>0</v>
      </c>
    </row>
    <row r="16" spans="1:22">
      <c r="A16" s="325" t="s">
        <v>298</v>
      </c>
      <c r="B16" s="166" t="s">
        <v>228</v>
      </c>
      <c r="C16" s="159">
        <v>250976</v>
      </c>
      <c r="D16" s="326"/>
      <c r="E16" s="159">
        <v>180000</v>
      </c>
      <c r="G16" s="465">
        <f t="shared" si="0"/>
        <v>70976</v>
      </c>
      <c r="I16" s="467">
        <f t="shared" si="1"/>
        <v>0.39431111111111111</v>
      </c>
      <c r="K16" s="313" t="s">
        <v>1197</v>
      </c>
      <c r="M16" s="358">
        <f>C16/'Level 1'!$E$8</f>
        <v>643.52820512820517</v>
      </c>
      <c r="N16" s="358">
        <f t="shared" si="2"/>
        <v>755.4432989690722</v>
      </c>
      <c r="O16" s="559">
        <v>0</v>
      </c>
      <c r="Q16" s="358">
        <v>146556</v>
      </c>
      <c r="S16" s="358">
        <f t="shared" si="3"/>
        <v>0</v>
      </c>
      <c r="T16" s="559">
        <v>0</v>
      </c>
      <c r="V16" s="358">
        <v>0</v>
      </c>
    </row>
    <row r="17" spans="1:22">
      <c r="A17" s="321" t="s">
        <v>301</v>
      </c>
      <c r="B17" s="47" t="s">
        <v>228</v>
      </c>
      <c r="C17" s="67">
        <v>0</v>
      </c>
      <c r="D17" s="322"/>
      <c r="E17" s="67">
        <v>0</v>
      </c>
      <c r="G17" s="296">
        <f t="shared" si="0"/>
        <v>0</v>
      </c>
      <c r="I17" s="297">
        <f t="shared" si="1"/>
        <v>0</v>
      </c>
      <c r="K17" s="313"/>
      <c r="M17" s="358">
        <f>C17/'Level 1'!$E$8</f>
        <v>0</v>
      </c>
      <c r="N17" s="358">
        <f t="shared" si="2"/>
        <v>0</v>
      </c>
      <c r="O17" s="559">
        <f t="shared" ref="O17:O66" si="4">M17-N17</f>
        <v>0</v>
      </c>
      <c r="S17" s="358">
        <f t="shared" si="3"/>
        <v>0</v>
      </c>
      <c r="T17" s="559">
        <f t="shared" ref="T17:T21" si="5">R17-S17</f>
        <v>0</v>
      </c>
      <c r="V17" s="358">
        <v>0</v>
      </c>
    </row>
    <row r="18" spans="1:22">
      <c r="A18" s="323" t="s">
        <v>310</v>
      </c>
      <c r="B18" s="40" t="s">
        <v>228</v>
      </c>
      <c r="C18" s="67">
        <v>9052854.5600000005</v>
      </c>
      <c r="D18" s="324"/>
      <c r="E18" s="67">
        <v>10051350.049999999</v>
      </c>
      <c r="G18" s="296">
        <f t="shared" si="0"/>
        <v>-998495.48999999836</v>
      </c>
      <c r="I18" s="297">
        <f t="shared" si="1"/>
        <v>-9.9339440476456042E-2</v>
      </c>
      <c r="K18" s="313" t="s">
        <v>1198</v>
      </c>
      <c r="M18" s="358">
        <f>C18/'Level 1'!$E$8</f>
        <v>23212.447589743591</v>
      </c>
      <c r="N18" s="358">
        <f t="shared" si="2"/>
        <v>20741.881443298967</v>
      </c>
      <c r="O18" s="559">
        <f t="shared" si="4"/>
        <v>2470.5661464446239</v>
      </c>
      <c r="Q18" s="358">
        <v>4023925</v>
      </c>
      <c r="S18" s="358">
        <f t="shared" si="3"/>
        <v>19815.726315789474</v>
      </c>
      <c r="T18" s="559">
        <f>M18-S18</f>
        <v>3396.7212739541174</v>
      </c>
      <c r="V18" s="358">
        <v>3764988</v>
      </c>
    </row>
    <row r="19" spans="1:22">
      <c r="A19" s="323" t="s">
        <v>314</v>
      </c>
      <c r="B19" s="40" t="s">
        <v>228</v>
      </c>
      <c r="C19" s="67">
        <v>0</v>
      </c>
      <c r="D19" s="324"/>
      <c r="E19" s="67">
        <v>0</v>
      </c>
      <c r="G19" s="296">
        <f t="shared" si="0"/>
        <v>0</v>
      </c>
      <c r="I19" s="297">
        <f t="shared" si="1"/>
        <v>0</v>
      </c>
      <c r="K19" s="313"/>
      <c r="M19" s="358">
        <f>C19/'Level 1'!$E$8</f>
        <v>0</v>
      </c>
      <c r="N19" s="358">
        <f t="shared" si="2"/>
        <v>0</v>
      </c>
      <c r="O19" s="559">
        <f t="shared" si="4"/>
        <v>0</v>
      </c>
      <c r="S19" s="358">
        <f t="shared" si="3"/>
        <v>0</v>
      </c>
      <c r="T19" s="559">
        <f t="shared" si="5"/>
        <v>0</v>
      </c>
      <c r="V19" s="358">
        <v>0</v>
      </c>
    </row>
    <row r="20" spans="1:22">
      <c r="A20" s="323" t="s">
        <v>321</v>
      </c>
      <c r="B20" s="40" t="s">
        <v>228</v>
      </c>
      <c r="C20" s="67">
        <v>0</v>
      </c>
      <c r="D20" s="324"/>
      <c r="E20" s="67">
        <v>0</v>
      </c>
      <c r="G20" s="296">
        <f t="shared" si="0"/>
        <v>0</v>
      </c>
      <c r="I20" s="297">
        <f t="shared" si="1"/>
        <v>0</v>
      </c>
      <c r="K20" s="313"/>
      <c r="M20" s="358">
        <f>C20/'Level 1'!$E$8</f>
        <v>0</v>
      </c>
      <c r="N20" s="358">
        <f t="shared" si="2"/>
        <v>0</v>
      </c>
      <c r="O20" s="559">
        <f t="shared" si="4"/>
        <v>0</v>
      </c>
      <c r="S20" s="358">
        <f t="shared" si="3"/>
        <v>0</v>
      </c>
      <c r="T20" s="559">
        <f t="shared" si="5"/>
        <v>0</v>
      </c>
      <c r="V20" s="358">
        <v>0</v>
      </c>
    </row>
    <row r="21" spans="1:22">
      <c r="A21" s="330" t="s">
        <v>324</v>
      </c>
      <c r="B21" s="40" t="s">
        <v>228</v>
      </c>
      <c r="C21" s="67">
        <v>1430266.6423026158</v>
      </c>
      <c r="D21" s="324"/>
      <c r="E21" s="67">
        <v>1525891.4000000001</v>
      </c>
      <c r="G21" s="296">
        <f t="shared" si="0"/>
        <v>-95624.757697384339</v>
      </c>
      <c r="I21" s="297">
        <f t="shared" si="1"/>
        <v>-6.2668128083941177E-2</v>
      </c>
      <c r="K21" s="313" t="s">
        <v>1199</v>
      </c>
      <c r="M21" s="358">
        <f>C21/'Level 1'!$E$8</f>
        <v>3667.3503648785022</v>
      </c>
      <c r="N21" s="358">
        <f t="shared" si="2"/>
        <v>3192.5</v>
      </c>
      <c r="O21" s="559">
        <f t="shared" si="4"/>
        <v>474.85036487850221</v>
      </c>
      <c r="Q21" s="358">
        <v>619345</v>
      </c>
      <c r="S21" s="358">
        <f t="shared" si="3"/>
        <v>0</v>
      </c>
      <c r="T21" s="559">
        <f t="shared" si="5"/>
        <v>0</v>
      </c>
      <c r="V21" s="358">
        <v>0</v>
      </c>
    </row>
    <row r="22" spans="1:22">
      <c r="A22" s="321" t="s">
        <v>328</v>
      </c>
      <c r="B22" s="47" t="s">
        <v>228</v>
      </c>
      <c r="C22" s="67">
        <v>315492.08380378876</v>
      </c>
      <c r="D22" s="322"/>
      <c r="E22" s="67">
        <v>480064.48000000004</v>
      </c>
      <c r="G22" s="296">
        <f t="shared" si="0"/>
        <v>-164572.39619621128</v>
      </c>
      <c r="I22" s="297">
        <f t="shared" si="1"/>
        <v>-0.34281310751466398</v>
      </c>
      <c r="K22" s="313" t="s">
        <v>1231</v>
      </c>
      <c r="M22" s="358">
        <f>C22/'Level 1'!$E$8</f>
        <v>808.95406103535583</v>
      </c>
      <c r="N22" s="358">
        <f t="shared" si="2"/>
        <v>809.43814432989689</v>
      </c>
      <c r="O22" s="559">
        <v>0</v>
      </c>
      <c r="Q22" s="358">
        <v>157031</v>
      </c>
      <c r="S22" s="358">
        <f t="shared" si="3"/>
        <v>0</v>
      </c>
      <c r="T22" s="559">
        <v>0</v>
      </c>
      <c r="V22" s="358">
        <v>0</v>
      </c>
    </row>
    <row r="23" spans="1:22">
      <c r="A23" s="323" t="s">
        <v>333</v>
      </c>
      <c r="B23" s="40" t="s">
        <v>228</v>
      </c>
      <c r="C23" s="67">
        <v>0</v>
      </c>
      <c r="D23" s="324"/>
      <c r="E23" s="67">
        <v>0</v>
      </c>
      <c r="G23" s="296">
        <f t="shared" si="0"/>
        <v>0</v>
      </c>
      <c r="I23" s="297">
        <f t="shared" si="1"/>
        <v>0</v>
      </c>
      <c r="K23" s="313"/>
      <c r="M23" s="358">
        <f>C23/'Level 1'!$E$8</f>
        <v>0</v>
      </c>
      <c r="N23" s="358">
        <f t="shared" si="2"/>
        <v>0</v>
      </c>
      <c r="O23" s="559">
        <f t="shared" si="4"/>
        <v>0</v>
      </c>
      <c r="S23" s="358">
        <f t="shared" si="3"/>
        <v>0</v>
      </c>
      <c r="T23" s="559">
        <f t="shared" ref="T23" si="6">R23-S23</f>
        <v>0</v>
      </c>
      <c r="V23" s="358">
        <v>0</v>
      </c>
    </row>
    <row r="24" spans="1:22">
      <c r="A24" s="323" t="s">
        <v>338</v>
      </c>
      <c r="B24" s="40" t="s">
        <v>228</v>
      </c>
      <c r="C24" s="67">
        <v>1166159.7000000002</v>
      </c>
      <c r="D24" s="324"/>
      <c r="E24" s="67">
        <v>1178729.75</v>
      </c>
      <c r="G24" s="296">
        <f t="shared" si="0"/>
        <v>-12570.049999999814</v>
      </c>
      <c r="I24" s="297">
        <f t="shared" si="1"/>
        <v>-1.0664064430374999E-2</v>
      </c>
      <c r="K24" s="313"/>
      <c r="M24" s="358">
        <f>C24/'Level 1'!$E$8</f>
        <v>2990.1530769230776</v>
      </c>
      <c r="N24" s="358">
        <f t="shared" si="2"/>
        <v>2731.855670103093</v>
      </c>
      <c r="O24" s="559">
        <f t="shared" si="4"/>
        <v>258.29740681998464</v>
      </c>
      <c r="Q24" s="358">
        <v>529980</v>
      </c>
      <c r="S24" s="358">
        <f t="shared" si="3"/>
        <v>2674.2105263157896</v>
      </c>
      <c r="T24" s="559">
        <f>M24-S24</f>
        <v>315.94255060728801</v>
      </c>
      <c r="V24" s="358">
        <v>508100</v>
      </c>
    </row>
    <row r="25" spans="1:22">
      <c r="A25" s="323" t="s">
        <v>154</v>
      </c>
      <c r="B25" s="40" t="s">
        <v>228</v>
      </c>
      <c r="C25" s="461">
        <v>1052524.44</v>
      </c>
      <c r="D25" s="324"/>
      <c r="E25" s="461">
        <v>1034786</v>
      </c>
      <c r="G25" s="296">
        <f t="shared" si="0"/>
        <v>17738.439999999944</v>
      </c>
      <c r="I25" s="297">
        <f t="shared" si="1"/>
        <v>1.7142133735864172E-2</v>
      </c>
      <c r="K25" s="313"/>
      <c r="M25" s="358">
        <f>C25/'Level 1'!$E$8</f>
        <v>2698.7806153846154</v>
      </c>
      <c r="N25" s="358">
        <f t="shared" si="2"/>
        <v>1565.4072164948454</v>
      </c>
      <c r="O25" s="559">
        <f t="shared" si="4"/>
        <v>1133.37339888977</v>
      </c>
      <c r="Q25" s="358">
        <v>303689</v>
      </c>
      <c r="S25" s="358">
        <f t="shared" si="3"/>
        <v>1510.7894736842106</v>
      </c>
      <c r="T25" s="559">
        <f>M25-S25</f>
        <v>1187.9911417004048</v>
      </c>
      <c r="V25" s="358">
        <v>287050</v>
      </c>
    </row>
    <row r="26" spans="1:22">
      <c r="A26" s="323" t="s">
        <v>351</v>
      </c>
      <c r="B26" s="40" t="s">
        <v>228</v>
      </c>
      <c r="C26" s="461">
        <v>34552.879999999997</v>
      </c>
      <c r="D26" s="324"/>
      <c r="E26" s="461">
        <v>34290.32</v>
      </c>
      <c r="G26" s="296">
        <f t="shared" si="0"/>
        <v>262.55999999999767</v>
      </c>
      <c r="I26" s="297">
        <f t="shared" si="1"/>
        <v>7.6569714135067178E-3</v>
      </c>
      <c r="K26" s="313"/>
      <c r="M26" s="358">
        <f>C26/'Level 1'!$E$8</f>
        <v>88.5971282051282</v>
      </c>
      <c r="N26" s="358">
        <f t="shared" si="2"/>
        <v>0</v>
      </c>
      <c r="O26" s="559">
        <v>0</v>
      </c>
      <c r="S26" s="358">
        <f t="shared" si="3"/>
        <v>0</v>
      </c>
      <c r="T26" s="559">
        <v>0</v>
      </c>
      <c r="V26" s="358">
        <v>0</v>
      </c>
    </row>
    <row r="27" spans="1:22">
      <c r="A27" s="323" t="s">
        <v>353</v>
      </c>
      <c r="B27" s="40" t="s">
        <v>228</v>
      </c>
      <c r="C27" s="461">
        <v>21595.550000000003</v>
      </c>
      <c r="D27" s="324"/>
      <c r="E27" s="461">
        <v>21431.45</v>
      </c>
      <c r="G27" s="296">
        <f t="shared" si="0"/>
        <v>164.10000000000218</v>
      </c>
      <c r="I27" s="297">
        <f t="shared" si="1"/>
        <v>7.656971413506887E-3</v>
      </c>
      <c r="K27" s="313"/>
      <c r="M27" s="358">
        <f>C27/'Level 1'!$E$8</f>
        <v>55.373205128205136</v>
      </c>
      <c r="N27" s="358">
        <f t="shared" si="2"/>
        <v>0</v>
      </c>
      <c r="O27" s="559">
        <v>0</v>
      </c>
      <c r="S27" s="358">
        <f t="shared" si="3"/>
        <v>0</v>
      </c>
      <c r="T27" s="559">
        <v>0</v>
      </c>
      <c r="V27" s="358">
        <v>0</v>
      </c>
    </row>
    <row r="28" spans="1:22">
      <c r="A28" s="323" t="s">
        <v>355</v>
      </c>
      <c r="B28" s="40" t="s">
        <v>228</v>
      </c>
      <c r="C28" s="461">
        <v>15500</v>
      </c>
      <c r="D28" s="324"/>
      <c r="E28" s="461">
        <v>18600</v>
      </c>
      <c r="G28" s="296">
        <f t="shared" si="0"/>
        <v>-3100</v>
      </c>
      <c r="I28" s="297">
        <f t="shared" si="1"/>
        <v>-0.16666666666666666</v>
      </c>
      <c r="K28" s="313"/>
      <c r="M28" s="358">
        <f>C28/'Level 1'!$E$8</f>
        <v>39.743589743589745</v>
      </c>
      <c r="N28" s="358">
        <f t="shared" si="2"/>
        <v>0</v>
      </c>
      <c r="O28" s="559">
        <v>0</v>
      </c>
      <c r="S28" s="358">
        <f t="shared" si="3"/>
        <v>0</v>
      </c>
      <c r="T28" s="559">
        <v>0</v>
      </c>
      <c r="V28" s="358">
        <v>0</v>
      </c>
    </row>
    <row r="29" spans="1:22">
      <c r="A29" s="323" t="s">
        <v>358</v>
      </c>
      <c r="B29" s="40" t="s">
        <v>228</v>
      </c>
      <c r="C29" s="461">
        <v>25000</v>
      </c>
      <c r="D29" s="324"/>
      <c r="E29" s="461">
        <v>30000</v>
      </c>
      <c r="G29" s="296">
        <f t="shared" si="0"/>
        <v>-5000</v>
      </c>
      <c r="I29" s="297">
        <f t="shared" si="1"/>
        <v>-0.16666666666666666</v>
      </c>
      <c r="K29" s="313"/>
      <c r="M29" s="358">
        <f>C29/'Level 1'!$E$8</f>
        <v>64.102564102564102</v>
      </c>
      <c r="N29" s="358">
        <f t="shared" si="2"/>
        <v>0</v>
      </c>
      <c r="O29" s="559">
        <v>0</v>
      </c>
      <c r="S29" s="358">
        <f t="shared" si="3"/>
        <v>0</v>
      </c>
      <c r="T29" s="559">
        <v>0</v>
      </c>
      <c r="V29" s="358">
        <v>0</v>
      </c>
    </row>
    <row r="30" spans="1:22">
      <c r="A30" s="321" t="s">
        <v>360</v>
      </c>
      <c r="B30" s="47" t="s">
        <v>228</v>
      </c>
      <c r="C30" s="461">
        <v>0</v>
      </c>
      <c r="D30" s="322"/>
      <c r="E30" s="461">
        <v>0</v>
      </c>
      <c r="G30" s="332">
        <f t="shared" si="0"/>
        <v>0</v>
      </c>
      <c r="I30" s="333">
        <f t="shared" si="1"/>
        <v>0</v>
      </c>
      <c r="K30" s="313"/>
      <c r="M30" s="358">
        <f>C30/'Level 1'!$E$8</f>
        <v>0</v>
      </c>
      <c r="N30" s="358">
        <f t="shared" si="2"/>
        <v>0</v>
      </c>
      <c r="O30" s="559">
        <v>0</v>
      </c>
      <c r="S30" s="358">
        <f t="shared" si="3"/>
        <v>0</v>
      </c>
      <c r="T30" s="559">
        <v>0</v>
      </c>
      <c r="V30" s="358">
        <v>0</v>
      </c>
    </row>
    <row r="31" spans="1:22">
      <c r="A31" s="323" t="s">
        <v>365</v>
      </c>
      <c r="B31" s="40" t="s">
        <v>228</v>
      </c>
      <c r="C31" s="461">
        <v>0</v>
      </c>
      <c r="D31" s="324"/>
      <c r="E31" s="461">
        <v>15908</v>
      </c>
      <c r="G31" s="296">
        <f t="shared" si="0"/>
        <v>-15908</v>
      </c>
      <c r="I31" s="297">
        <f t="shared" si="1"/>
        <v>-1</v>
      </c>
      <c r="K31" s="313"/>
      <c r="M31" s="358">
        <f>C31/'Level 1'!$E$8</f>
        <v>0</v>
      </c>
      <c r="N31" s="358">
        <f t="shared" si="2"/>
        <v>0</v>
      </c>
      <c r="O31" s="559">
        <f t="shared" si="4"/>
        <v>0</v>
      </c>
      <c r="S31" s="358">
        <f t="shared" si="3"/>
        <v>0</v>
      </c>
      <c r="T31" s="559">
        <f t="shared" ref="T31:T34" si="7">R31-S31</f>
        <v>0</v>
      </c>
      <c r="V31" s="358">
        <v>0</v>
      </c>
    </row>
    <row r="32" spans="1:22">
      <c r="A32" s="323" t="s">
        <v>367</v>
      </c>
      <c r="B32" s="40" t="s">
        <v>228</v>
      </c>
      <c r="C32" s="461">
        <v>0</v>
      </c>
      <c r="D32" s="324"/>
      <c r="E32" s="461">
        <v>0</v>
      </c>
      <c r="G32" s="296">
        <f t="shared" si="0"/>
        <v>0</v>
      </c>
      <c r="I32" s="297">
        <f t="shared" si="1"/>
        <v>0</v>
      </c>
      <c r="K32" s="313"/>
      <c r="M32" s="358">
        <f>C32/'Level 1'!$E$8</f>
        <v>0</v>
      </c>
      <c r="N32" s="358">
        <f t="shared" si="2"/>
        <v>0</v>
      </c>
      <c r="O32" s="559">
        <f t="shared" si="4"/>
        <v>0</v>
      </c>
      <c r="S32" s="358">
        <f t="shared" si="3"/>
        <v>0</v>
      </c>
      <c r="T32" s="559">
        <f t="shared" si="7"/>
        <v>0</v>
      </c>
      <c r="V32" s="358">
        <v>0</v>
      </c>
    </row>
    <row r="33" spans="1:22">
      <c r="A33" s="323" t="s">
        <v>370</v>
      </c>
      <c r="B33" s="40" t="s">
        <v>228</v>
      </c>
      <c r="C33" s="461">
        <v>0</v>
      </c>
      <c r="D33" s="324"/>
      <c r="E33" s="461">
        <v>0</v>
      </c>
      <c r="G33" s="296">
        <f t="shared" si="0"/>
        <v>0</v>
      </c>
      <c r="I33" s="297">
        <f t="shared" si="1"/>
        <v>0</v>
      </c>
      <c r="K33" s="313"/>
      <c r="M33" s="358">
        <f>C33/'Level 1'!$E$8</f>
        <v>0</v>
      </c>
      <c r="N33" s="358">
        <f t="shared" si="2"/>
        <v>0</v>
      </c>
      <c r="O33" s="559">
        <f t="shared" si="4"/>
        <v>0</v>
      </c>
      <c r="S33" s="358">
        <f t="shared" si="3"/>
        <v>0</v>
      </c>
      <c r="T33" s="559">
        <f t="shared" si="7"/>
        <v>0</v>
      </c>
      <c r="V33" s="358">
        <v>0</v>
      </c>
    </row>
    <row r="34" spans="1:22">
      <c r="A34" s="323" t="s">
        <v>371</v>
      </c>
      <c r="B34" s="40" t="s">
        <v>228</v>
      </c>
      <c r="C34" s="461">
        <v>0</v>
      </c>
      <c r="D34" s="324"/>
      <c r="E34" s="461">
        <v>0</v>
      </c>
      <c r="G34" s="296">
        <f t="shared" si="0"/>
        <v>0</v>
      </c>
      <c r="I34" s="297">
        <f t="shared" si="1"/>
        <v>0</v>
      </c>
      <c r="K34" s="313"/>
      <c r="M34" s="358">
        <f>C34/'Level 1'!$E$8</f>
        <v>0</v>
      </c>
      <c r="N34" s="358">
        <f t="shared" si="2"/>
        <v>0</v>
      </c>
      <c r="O34" s="559">
        <f t="shared" si="4"/>
        <v>0</v>
      </c>
      <c r="S34" s="358">
        <f t="shared" si="3"/>
        <v>0</v>
      </c>
      <c r="T34" s="559">
        <f t="shared" si="7"/>
        <v>0</v>
      </c>
      <c r="V34" s="358">
        <v>0</v>
      </c>
    </row>
    <row r="35" spans="1:22">
      <c r="A35" s="323" t="s">
        <v>373</v>
      </c>
      <c r="B35" s="40" t="s">
        <v>228</v>
      </c>
      <c r="C35" s="461">
        <v>519315.7894736841</v>
      </c>
      <c r="D35" s="324"/>
      <c r="E35" s="461">
        <v>338896.80000000005</v>
      </c>
      <c r="G35" s="296">
        <f t="shared" si="0"/>
        <v>180418.98947368405</v>
      </c>
      <c r="I35" s="297">
        <f t="shared" si="1"/>
        <v>0.53237147554560571</v>
      </c>
      <c r="K35" s="313" t="s">
        <v>1202</v>
      </c>
      <c r="M35" s="358">
        <f>C35/'Level 1'!$E$8</f>
        <v>1331.5789473684208</v>
      </c>
      <c r="N35" s="358">
        <f t="shared" si="2"/>
        <v>1157.8969072164948</v>
      </c>
      <c r="O35" s="559">
        <f t="shared" si="4"/>
        <v>173.682040151926</v>
      </c>
      <c r="Q35" s="358">
        <v>224632</v>
      </c>
      <c r="S35" s="358">
        <f t="shared" si="3"/>
        <v>1157.8947368421052</v>
      </c>
      <c r="T35" s="559">
        <f>M35-S35</f>
        <v>173.68421052631561</v>
      </c>
      <c r="V35" s="358">
        <v>220000</v>
      </c>
    </row>
    <row r="36" spans="1:22">
      <c r="A36" s="323" t="s">
        <v>377</v>
      </c>
      <c r="B36" s="40" t="s">
        <v>228</v>
      </c>
      <c r="C36" s="461">
        <v>29250</v>
      </c>
      <c r="D36" s="324"/>
      <c r="E36" s="461">
        <v>29175</v>
      </c>
      <c r="G36" s="296">
        <f t="shared" si="0"/>
        <v>75</v>
      </c>
      <c r="I36" s="297">
        <f t="shared" si="1"/>
        <v>2.5706940874035988E-3</v>
      </c>
      <c r="K36" s="313"/>
      <c r="M36" s="358">
        <f>C36/'Level 1'!$E$8</f>
        <v>75</v>
      </c>
      <c r="N36" s="358">
        <f t="shared" si="2"/>
        <v>0</v>
      </c>
      <c r="O36" s="559">
        <v>0</v>
      </c>
      <c r="S36" s="358">
        <f t="shared" si="3"/>
        <v>0</v>
      </c>
      <c r="T36" s="559">
        <v>0</v>
      </c>
      <c r="V36" s="358">
        <v>0</v>
      </c>
    </row>
    <row r="37" spans="1:22">
      <c r="A37" s="323" t="s">
        <v>382</v>
      </c>
      <c r="B37" s="40" t="s">
        <v>228</v>
      </c>
      <c r="C37" s="461">
        <v>0</v>
      </c>
      <c r="D37" s="324"/>
      <c r="E37" s="461">
        <v>0</v>
      </c>
      <c r="G37" s="296">
        <f t="shared" si="0"/>
        <v>0</v>
      </c>
      <c r="I37" s="297">
        <f t="shared" si="1"/>
        <v>0</v>
      </c>
      <c r="K37" s="313"/>
      <c r="M37" s="358">
        <f>C37/'Level 1'!$E$8</f>
        <v>0</v>
      </c>
      <c r="N37" s="358">
        <f t="shared" si="2"/>
        <v>0</v>
      </c>
      <c r="O37" s="559">
        <v>0</v>
      </c>
      <c r="S37" s="358">
        <f t="shared" si="3"/>
        <v>0</v>
      </c>
      <c r="T37" s="559">
        <v>0</v>
      </c>
      <c r="V37" s="358">
        <v>0</v>
      </c>
    </row>
    <row r="38" spans="1:22">
      <c r="A38" s="323" t="s">
        <v>384</v>
      </c>
      <c r="B38" s="40" t="s">
        <v>228</v>
      </c>
      <c r="C38" s="461">
        <v>0</v>
      </c>
      <c r="D38" s="324"/>
      <c r="E38" s="461">
        <v>0</v>
      </c>
      <c r="G38" s="296">
        <f t="shared" ref="G38:G69" si="8">C38-E38</f>
        <v>0</v>
      </c>
      <c r="I38" s="297">
        <f t="shared" ref="I38:I69" si="9">IF(E38=0,0,G38/E38)</f>
        <v>0</v>
      </c>
      <c r="K38" s="313"/>
      <c r="M38" s="358">
        <f>C38/'Level 1'!$E$8</f>
        <v>0</v>
      </c>
      <c r="N38" s="358">
        <f t="shared" si="2"/>
        <v>0</v>
      </c>
      <c r="O38" s="559">
        <f t="shared" si="4"/>
        <v>0</v>
      </c>
      <c r="S38" s="358">
        <f t="shared" si="3"/>
        <v>0</v>
      </c>
      <c r="T38" s="559">
        <f t="shared" ref="T38" si="10">R38-S38</f>
        <v>0</v>
      </c>
      <c r="V38" s="358">
        <v>0</v>
      </c>
    </row>
    <row r="39" spans="1:22">
      <c r="A39" s="323" t="s">
        <v>386</v>
      </c>
      <c r="B39" s="40" t="s">
        <v>228</v>
      </c>
      <c r="C39" s="461">
        <v>0</v>
      </c>
      <c r="D39" s="324"/>
      <c r="E39" s="461">
        <v>0</v>
      </c>
      <c r="G39" s="296">
        <f t="shared" si="8"/>
        <v>0</v>
      </c>
      <c r="I39" s="297">
        <f t="shared" si="9"/>
        <v>0</v>
      </c>
      <c r="K39" s="313"/>
      <c r="M39" s="358">
        <f>C39/'Level 1'!$E$8</f>
        <v>0</v>
      </c>
      <c r="N39" s="358">
        <f t="shared" si="2"/>
        <v>0</v>
      </c>
      <c r="O39" s="559">
        <v>0</v>
      </c>
      <c r="S39" s="358">
        <f t="shared" si="3"/>
        <v>0</v>
      </c>
      <c r="T39" s="559">
        <v>0</v>
      </c>
      <c r="V39" s="358">
        <v>0</v>
      </c>
    </row>
    <row r="40" spans="1:22">
      <c r="A40" s="323" t="s">
        <v>388</v>
      </c>
      <c r="B40" s="40" t="s">
        <v>228</v>
      </c>
      <c r="C40" s="461">
        <v>0</v>
      </c>
      <c r="D40" s="324"/>
      <c r="E40" s="461">
        <v>0</v>
      </c>
      <c r="G40" s="296">
        <f t="shared" si="8"/>
        <v>0</v>
      </c>
      <c r="I40" s="297">
        <f t="shared" si="9"/>
        <v>0</v>
      </c>
      <c r="K40" s="313"/>
      <c r="M40" s="358">
        <f>C40/'Level 1'!$E$8</f>
        <v>0</v>
      </c>
      <c r="N40" s="358">
        <f t="shared" si="2"/>
        <v>0</v>
      </c>
      <c r="O40" s="559">
        <v>0</v>
      </c>
      <c r="S40" s="358">
        <f t="shared" si="3"/>
        <v>0</v>
      </c>
      <c r="T40" s="559">
        <v>0</v>
      </c>
      <c r="V40" s="358">
        <v>0</v>
      </c>
    </row>
    <row r="41" spans="1:22">
      <c r="A41" s="323" t="s">
        <v>389</v>
      </c>
      <c r="B41" s="40" t="s">
        <v>228</v>
      </c>
      <c r="C41" s="461">
        <v>90234</v>
      </c>
      <c r="D41" s="324"/>
      <c r="E41" s="461">
        <v>101880</v>
      </c>
      <c r="G41" s="296">
        <f t="shared" si="8"/>
        <v>-11646</v>
      </c>
      <c r="I41" s="297">
        <f t="shared" si="9"/>
        <v>-0.11431095406360424</v>
      </c>
      <c r="K41" s="313"/>
      <c r="M41" s="358">
        <f>C41/'Level 1'!$E$8</f>
        <v>231.36923076923077</v>
      </c>
      <c r="N41" s="358">
        <f t="shared" si="2"/>
        <v>0</v>
      </c>
      <c r="O41" s="559">
        <v>0</v>
      </c>
      <c r="S41" s="358">
        <f t="shared" si="3"/>
        <v>0</v>
      </c>
      <c r="T41" s="559">
        <v>0</v>
      </c>
      <c r="V41" s="358">
        <v>0</v>
      </c>
    </row>
    <row r="42" spans="1:22">
      <c r="A42" s="321" t="s">
        <v>390</v>
      </c>
      <c r="B42" s="47" t="s">
        <v>228</v>
      </c>
      <c r="C42" s="461">
        <v>1000</v>
      </c>
      <c r="D42" s="322"/>
      <c r="E42" s="461">
        <v>800</v>
      </c>
      <c r="G42" s="296">
        <f t="shared" si="8"/>
        <v>200</v>
      </c>
      <c r="I42" s="297">
        <f t="shared" si="9"/>
        <v>0.25</v>
      </c>
      <c r="K42" s="313"/>
      <c r="M42" s="358">
        <f>C42/'Level 1'!$E$8</f>
        <v>2.5641025641025643</v>
      </c>
      <c r="N42" s="358">
        <f t="shared" si="2"/>
        <v>0</v>
      </c>
      <c r="O42" s="559">
        <v>0</v>
      </c>
      <c r="S42" s="358">
        <f t="shared" si="3"/>
        <v>0</v>
      </c>
      <c r="T42" s="559">
        <v>0</v>
      </c>
      <c r="V42" s="358">
        <v>0</v>
      </c>
    </row>
    <row r="43" spans="1:22">
      <c r="A43" s="323" t="s">
        <v>393</v>
      </c>
      <c r="B43" s="40" t="s">
        <v>228</v>
      </c>
      <c r="C43" s="462">
        <v>0</v>
      </c>
      <c r="D43" s="324"/>
      <c r="E43" s="462">
        <v>21431.45</v>
      </c>
      <c r="G43" s="296">
        <f t="shared" si="8"/>
        <v>-21431.45</v>
      </c>
      <c r="I43" s="297">
        <f t="shared" si="9"/>
        <v>-1</v>
      </c>
      <c r="K43" s="313" t="s">
        <v>1203</v>
      </c>
      <c r="M43" s="358">
        <f>C43/'Level 1'!$E$8</f>
        <v>0</v>
      </c>
      <c r="N43" s="358">
        <f t="shared" si="2"/>
        <v>0</v>
      </c>
      <c r="O43" s="559">
        <v>0</v>
      </c>
      <c r="S43" s="358">
        <f t="shared" si="3"/>
        <v>0</v>
      </c>
      <c r="T43" s="559">
        <v>0</v>
      </c>
      <c r="V43" s="358">
        <v>0</v>
      </c>
    </row>
    <row r="44" spans="1:22">
      <c r="A44" s="323" t="s">
        <v>395</v>
      </c>
      <c r="B44" s="40" t="s">
        <v>228</v>
      </c>
      <c r="C44" s="54">
        <v>25000</v>
      </c>
      <c r="D44" s="324"/>
      <c r="E44" s="54">
        <v>34290.32</v>
      </c>
      <c r="G44" s="296">
        <f t="shared" si="8"/>
        <v>-9290.32</v>
      </c>
      <c r="I44" s="297">
        <f t="shared" si="9"/>
        <v>-0.270931271565853</v>
      </c>
      <c r="K44" s="313" t="s">
        <v>1204</v>
      </c>
      <c r="M44" s="358">
        <f>C44/'Level 1'!$E$8</f>
        <v>64.102564102564102</v>
      </c>
      <c r="N44" s="358">
        <f t="shared" si="2"/>
        <v>0</v>
      </c>
      <c r="O44" s="559">
        <v>0</v>
      </c>
      <c r="S44" s="358">
        <f t="shared" si="3"/>
        <v>0</v>
      </c>
      <c r="T44" s="559">
        <v>0</v>
      </c>
      <c r="V44" s="358">
        <v>0</v>
      </c>
    </row>
    <row r="45" spans="1:22">
      <c r="A45" s="323" t="s">
        <v>397</v>
      </c>
      <c r="B45" s="40" t="s">
        <v>228</v>
      </c>
      <c r="C45" s="54">
        <v>367124.35</v>
      </c>
      <c r="D45" s="324"/>
      <c r="E45" s="54">
        <v>257177.4</v>
      </c>
      <c r="G45" s="296">
        <f t="shared" si="8"/>
        <v>109946.94999999998</v>
      </c>
      <c r="I45" s="297">
        <f t="shared" si="9"/>
        <v>0.42751404283580124</v>
      </c>
      <c r="K45" s="313"/>
      <c r="M45" s="358">
        <f>C45/'Level 1'!$E$8</f>
        <v>941.34448717948715</v>
      </c>
      <c r="N45" s="358">
        <f t="shared" si="2"/>
        <v>860.03092783505156</v>
      </c>
      <c r="O45" s="559">
        <f t="shared" si="4"/>
        <v>81.313559344435589</v>
      </c>
      <c r="Q45" s="358">
        <v>166846</v>
      </c>
      <c r="S45" s="358">
        <f t="shared" si="3"/>
        <v>0</v>
      </c>
      <c r="T45" s="559">
        <f t="shared" ref="T45" si="11">R45-S45</f>
        <v>0</v>
      </c>
      <c r="V45" s="358">
        <v>0</v>
      </c>
    </row>
    <row r="46" spans="1:22">
      <c r="A46" s="323" t="s">
        <v>399</v>
      </c>
      <c r="B46" s="40" t="s">
        <v>228</v>
      </c>
      <c r="C46" s="54">
        <v>75000</v>
      </c>
      <c r="D46" s="324"/>
      <c r="E46" s="54">
        <v>154306.44</v>
      </c>
      <c r="G46" s="296">
        <f t="shared" si="8"/>
        <v>-79306.44</v>
      </c>
      <c r="I46" s="297">
        <f t="shared" si="9"/>
        <v>-0.513954181043902</v>
      </c>
      <c r="K46" s="313"/>
      <c r="M46" s="358">
        <f>C46/'Level 1'!$E$8</f>
        <v>192.30769230769232</v>
      </c>
      <c r="N46" s="358">
        <f t="shared" si="2"/>
        <v>0</v>
      </c>
      <c r="O46" s="559">
        <v>0</v>
      </c>
      <c r="S46" s="358">
        <f t="shared" si="3"/>
        <v>0</v>
      </c>
      <c r="T46" s="559">
        <v>0</v>
      </c>
      <c r="V46" s="358">
        <v>0</v>
      </c>
    </row>
    <row r="47" spans="1:22">
      <c r="A47" s="323" t="s">
        <v>159</v>
      </c>
      <c r="B47" s="40" t="s">
        <v>228</v>
      </c>
      <c r="C47" s="54">
        <v>1061549.72</v>
      </c>
      <c r="D47" s="324"/>
      <c r="E47" s="54">
        <v>1199000</v>
      </c>
      <c r="G47" s="296">
        <f t="shared" si="8"/>
        <v>-137450.28000000003</v>
      </c>
      <c r="I47" s="297">
        <f t="shared" si="9"/>
        <v>-0.11463743119266058</v>
      </c>
      <c r="K47" s="313"/>
      <c r="M47" s="358">
        <f>C47/'Level 1'!$E$8</f>
        <v>2721.9223589743588</v>
      </c>
      <c r="N47" s="358">
        <f t="shared" si="2"/>
        <v>2487.9175257731958</v>
      </c>
      <c r="O47" s="559">
        <f t="shared" si="4"/>
        <v>234.00483320116291</v>
      </c>
      <c r="Q47" s="358">
        <v>482656</v>
      </c>
      <c r="S47" s="358">
        <f t="shared" si="3"/>
        <v>0</v>
      </c>
      <c r="T47" s="559">
        <f t="shared" ref="T47" si="12">R47-S47</f>
        <v>0</v>
      </c>
      <c r="V47" s="358">
        <v>0</v>
      </c>
    </row>
    <row r="48" spans="1:22">
      <c r="A48" s="323" t="s">
        <v>416</v>
      </c>
      <c r="B48" s="40" t="s">
        <v>228</v>
      </c>
      <c r="C48" s="54">
        <v>4500</v>
      </c>
      <c r="D48" s="324"/>
      <c r="E48" s="54">
        <v>0</v>
      </c>
      <c r="G48" s="296">
        <f t="shared" si="8"/>
        <v>4500</v>
      </c>
      <c r="I48" s="297">
        <f t="shared" si="9"/>
        <v>0</v>
      </c>
      <c r="K48" s="313"/>
      <c r="M48" s="358">
        <f>C48/'Level 1'!$E$8</f>
        <v>11.538461538461538</v>
      </c>
      <c r="N48" s="358">
        <f t="shared" si="2"/>
        <v>0</v>
      </c>
      <c r="O48" s="559">
        <v>0</v>
      </c>
      <c r="S48" s="358">
        <f t="shared" si="3"/>
        <v>0</v>
      </c>
      <c r="T48" s="559">
        <v>0</v>
      </c>
      <c r="V48" s="358">
        <v>0</v>
      </c>
    </row>
    <row r="49" spans="1:22">
      <c r="A49" s="323" t="s">
        <v>417</v>
      </c>
      <c r="B49" s="40" t="s">
        <v>228</v>
      </c>
      <c r="C49" s="54">
        <v>3463926.2199999997</v>
      </c>
      <c r="D49" s="324"/>
      <c r="E49" s="54">
        <v>3600483.6</v>
      </c>
      <c r="G49" s="296">
        <f t="shared" si="8"/>
        <v>-136557.38000000035</v>
      </c>
      <c r="I49" s="297">
        <f t="shared" si="9"/>
        <v>-3.7927510626628143E-2</v>
      </c>
      <c r="K49" s="313"/>
      <c r="M49" s="358">
        <f>C49/'Level 1'!$E$8</f>
        <v>8881.8621025641023</v>
      </c>
      <c r="N49" s="358">
        <f t="shared" si="2"/>
        <v>8114.6288659793818</v>
      </c>
      <c r="O49" s="559">
        <f t="shared" si="4"/>
        <v>767.23323658472054</v>
      </c>
      <c r="Q49" s="358">
        <v>1574238</v>
      </c>
      <c r="S49" s="358">
        <f t="shared" si="3"/>
        <v>8062.7573157894731</v>
      </c>
      <c r="T49" s="559">
        <f>M49-S49</f>
        <v>819.10478677462925</v>
      </c>
      <c r="V49" s="358">
        <v>1531923.89</v>
      </c>
    </row>
    <row r="50" spans="1:22">
      <c r="A50" s="323" t="s">
        <v>421</v>
      </c>
      <c r="B50" s="40" t="s">
        <v>228</v>
      </c>
      <c r="C50" s="54">
        <v>33150</v>
      </c>
      <c r="D50" s="324"/>
      <c r="E50" s="54">
        <v>33065</v>
      </c>
      <c r="G50" s="296">
        <f t="shared" si="8"/>
        <v>85</v>
      </c>
      <c r="I50" s="297">
        <f t="shared" si="9"/>
        <v>2.5706940874035988E-3</v>
      </c>
      <c r="K50" s="313"/>
      <c r="M50" s="358">
        <f>C50/'Level 1'!$E$8</f>
        <v>85</v>
      </c>
      <c r="N50" s="358">
        <f t="shared" si="2"/>
        <v>0</v>
      </c>
      <c r="O50" s="559">
        <v>0</v>
      </c>
      <c r="S50" s="358">
        <f t="shared" si="3"/>
        <v>0</v>
      </c>
      <c r="T50" s="559">
        <v>0</v>
      </c>
      <c r="V50" s="358">
        <v>0</v>
      </c>
    </row>
    <row r="51" spans="1:22">
      <c r="A51" s="323" t="s">
        <v>422</v>
      </c>
      <c r="B51" s="40" t="s">
        <v>228</v>
      </c>
      <c r="C51" s="54">
        <v>0</v>
      </c>
      <c r="D51" s="324"/>
      <c r="E51" s="54">
        <v>0</v>
      </c>
      <c r="G51" s="296">
        <f t="shared" si="8"/>
        <v>0</v>
      </c>
      <c r="I51" s="297">
        <f t="shared" si="9"/>
        <v>0</v>
      </c>
      <c r="K51" s="313"/>
      <c r="M51" s="358">
        <f>C51/'Level 1'!$E$8</f>
        <v>0</v>
      </c>
      <c r="N51" s="358">
        <f t="shared" si="2"/>
        <v>0</v>
      </c>
      <c r="O51" s="559">
        <f t="shared" si="4"/>
        <v>0</v>
      </c>
      <c r="S51" s="358">
        <f t="shared" si="3"/>
        <v>0</v>
      </c>
      <c r="T51" s="559">
        <f t="shared" ref="T51" si="13">R51-S51</f>
        <v>0</v>
      </c>
      <c r="V51" s="358">
        <v>0</v>
      </c>
    </row>
    <row r="52" spans="1:22">
      <c r="A52" s="323" t="s">
        <v>424</v>
      </c>
      <c r="B52" s="40" t="s">
        <v>228</v>
      </c>
      <c r="C52" s="54">
        <v>67657</v>
      </c>
      <c r="D52" s="324"/>
      <c r="E52" s="54">
        <v>17191</v>
      </c>
      <c r="G52" s="296">
        <f t="shared" si="8"/>
        <v>50466</v>
      </c>
      <c r="I52" s="297">
        <f t="shared" si="9"/>
        <v>2.935605840265255</v>
      </c>
      <c r="K52" s="313" t="s">
        <v>1205</v>
      </c>
      <c r="M52" s="358">
        <f>C52/'Level 1'!$E$8</f>
        <v>173.47948717948717</v>
      </c>
      <c r="N52" s="358">
        <f t="shared" si="2"/>
        <v>0</v>
      </c>
      <c r="O52" s="559">
        <v>0</v>
      </c>
      <c r="S52" s="358">
        <f t="shared" si="3"/>
        <v>0</v>
      </c>
      <c r="T52" s="559">
        <v>0</v>
      </c>
      <c r="V52" s="358">
        <v>0</v>
      </c>
    </row>
    <row r="53" spans="1:22">
      <c r="A53" s="321" t="s">
        <v>427</v>
      </c>
      <c r="B53" s="47" t="s">
        <v>228</v>
      </c>
      <c r="C53" s="461">
        <v>0</v>
      </c>
      <c r="D53" s="322"/>
      <c r="E53" s="461">
        <v>0</v>
      </c>
      <c r="G53" s="296">
        <f t="shared" si="8"/>
        <v>0</v>
      </c>
      <c r="I53" s="297">
        <f t="shared" si="9"/>
        <v>0</v>
      </c>
      <c r="K53" s="313"/>
      <c r="M53" s="358">
        <f>C53/'Level 1'!$E$8</f>
        <v>0</v>
      </c>
      <c r="N53" s="358">
        <f t="shared" si="2"/>
        <v>0</v>
      </c>
      <c r="O53" s="559">
        <f t="shared" si="4"/>
        <v>0</v>
      </c>
      <c r="S53" s="358">
        <f t="shared" si="3"/>
        <v>0</v>
      </c>
      <c r="T53" s="559">
        <f t="shared" ref="T53:T56" si="14">R53-S53</f>
        <v>0</v>
      </c>
      <c r="V53" s="358">
        <v>0</v>
      </c>
    </row>
    <row r="54" spans="1:22">
      <c r="A54" s="323" t="s">
        <v>431</v>
      </c>
      <c r="B54" s="40" t="s">
        <v>228</v>
      </c>
      <c r="C54" s="54">
        <v>692417.74418223219</v>
      </c>
      <c r="D54" s="324"/>
      <c r="E54" s="54">
        <v>639683.20888888882</v>
      </c>
      <c r="G54" s="296">
        <f t="shared" si="8"/>
        <v>52734.535293343361</v>
      </c>
      <c r="I54" s="297">
        <f t="shared" si="9"/>
        <v>8.243851731694149E-2</v>
      </c>
      <c r="K54" s="313" t="s">
        <v>1206</v>
      </c>
      <c r="M54" s="358">
        <f>C54/'Level 1'!$E$8</f>
        <v>1775.4301132877749</v>
      </c>
      <c r="N54" s="358">
        <f t="shared" si="2"/>
        <v>1574.9845360824743</v>
      </c>
      <c r="O54" s="559">
        <f t="shared" si="4"/>
        <v>200.44557720530065</v>
      </c>
      <c r="Q54" s="358">
        <v>305547</v>
      </c>
      <c r="S54" s="358">
        <f t="shared" si="3"/>
        <v>0</v>
      </c>
      <c r="T54" s="559">
        <f t="shared" si="14"/>
        <v>0</v>
      </c>
      <c r="V54" s="358">
        <v>0</v>
      </c>
    </row>
    <row r="55" spans="1:22">
      <c r="A55" s="323" t="s">
        <v>435</v>
      </c>
      <c r="B55" s="40" t="s">
        <v>228</v>
      </c>
      <c r="C55" s="54">
        <v>0</v>
      </c>
      <c r="D55" s="324"/>
      <c r="E55" s="54">
        <v>33202.400000000001</v>
      </c>
      <c r="G55" s="296">
        <f t="shared" si="8"/>
        <v>-33202.400000000001</v>
      </c>
      <c r="I55" s="297">
        <f t="shared" si="9"/>
        <v>-1</v>
      </c>
      <c r="K55" s="313" t="s">
        <v>1203</v>
      </c>
      <c r="M55" s="358">
        <f>C55/'Level 1'!$E$8</f>
        <v>0</v>
      </c>
      <c r="N55" s="358">
        <f t="shared" si="2"/>
        <v>0</v>
      </c>
      <c r="O55" s="559">
        <f t="shared" si="4"/>
        <v>0</v>
      </c>
      <c r="S55" s="358">
        <f t="shared" si="3"/>
        <v>0</v>
      </c>
      <c r="T55" s="559">
        <f t="shared" si="14"/>
        <v>0</v>
      </c>
      <c r="V55" s="358">
        <v>0</v>
      </c>
    </row>
    <row r="56" spans="1:22">
      <c r="A56" s="323" t="s">
        <v>437</v>
      </c>
      <c r="B56" s="40" t="s">
        <v>228</v>
      </c>
      <c r="C56" s="54">
        <v>0</v>
      </c>
      <c r="D56" s="324"/>
      <c r="E56" s="54">
        <v>2193.4</v>
      </c>
      <c r="G56" s="296">
        <f t="shared" si="8"/>
        <v>-2193.4</v>
      </c>
      <c r="I56" s="297">
        <f t="shared" si="9"/>
        <v>-1</v>
      </c>
      <c r="K56" s="313" t="s">
        <v>1203</v>
      </c>
      <c r="M56" s="358">
        <f>C56/'Level 1'!$E$8</f>
        <v>0</v>
      </c>
      <c r="N56" s="358">
        <f t="shared" si="2"/>
        <v>0</v>
      </c>
      <c r="O56" s="559">
        <f t="shared" si="4"/>
        <v>0</v>
      </c>
      <c r="S56" s="358">
        <f t="shared" si="3"/>
        <v>0</v>
      </c>
      <c r="T56" s="559">
        <f t="shared" si="14"/>
        <v>0</v>
      </c>
      <c r="V56" s="358">
        <v>0</v>
      </c>
    </row>
    <row r="57" spans="1:22">
      <c r="A57" s="323" t="s">
        <v>439</v>
      </c>
      <c r="B57" s="40" t="s">
        <v>228</v>
      </c>
      <c r="C57" s="54">
        <v>159807.07</v>
      </c>
      <c r="D57" s="324"/>
      <c r="E57" s="54">
        <v>235745.95</v>
      </c>
      <c r="G57" s="296">
        <f t="shared" si="8"/>
        <v>-75938.880000000005</v>
      </c>
      <c r="I57" s="297">
        <f t="shared" si="9"/>
        <v>-0.32212167377636819</v>
      </c>
      <c r="K57" s="313"/>
      <c r="M57" s="358">
        <f>C57/'Level 1'!$E$8</f>
        <v>409.76171794871794</v>
      </c>
      <c r="N57" s="358">
        <f t="shared" si="2"/>
        <v>0</v>
      </c>
      <c r="O57" s="559">
        <v>0</v>
      </c>
      <c r="S57" s="358">
        <f t="shared" si="3"/>
        <v>0</v>
      </c>
      <c r="T57" s="559">
        <v>0</v>
      </c>
      <c r="V57" s="358">
        <v>0</v>
      </c>
    </row>
    <row r="58" spans="1:22">
      <c r="A58" s="323" t="s">
        <v>441</v>
      </c>
      <c r="B58" s="40" t="s">
        <v>228</v>
      </c>
      <c r="C58" s="54">
        <v>6000</v>
      </c>
      <c r="D58" s="324"/>
      <c r="E58" s="54">
        <v>3000</v>
      </c>
      <c r="G58" s="296">
        <f t="shared" si="8"/>
        <v>3000</v>
      </c>
      <c r="I58" s="297">
        <f t="shared" si="9"/>
        <v>1</v>
      </c>
      <c r="K58" s="313"/>
      <c r="M58" s="358">
        <f>C58/'Level 1'!$E$8</f>
        <v>15.384615384615385</v>
      </c>
      <c r="N58" s="358">
        <f t="shared" si="2"/>
        <v>0</v>
      </c>
      <c r="O58" s="559">
        <v>0</v>
      </c>
      <c r="S58" s="358">
        <f t="shared" si="3"/>
        <v>0</v>
      </c>
      <c r="T58" s="559">
        <v>0</v>
      </c>
      <c r="V58" s="358">
        <v>0</v>
      </c>
    </row>
    <row r="59" spans="1:22">
      <c r="A59" s="323" t="s">
        <v>442</v>
      </c>
      <c r="B59" s="40" t="s">
        <v>228</v>
      </c>
      <c r="C59" s="54">
        <v>0</v>
      </c>
      <c r="D59" s="324"/>
      <c r="E59" s="54">
        <v>42862.9</v>
      </c>
      <c r="G59" s="296">
        <f t="shared" si="8"/>
        <v>-42862.9</v>
      </c>
      <c r="I59" s="297">
        <f t="shared" si="9"/>
        <v>-1</v>
      </c>
      <c r="K59" s="313" t="s">
        <v>1203</v>
      </c>
      <c r="M59" s="358">
        <f>C59/'Level 1'!$E$8</f>
        <v>0</v>
      </c>
      <c r="N59" s="358">
        <f t="shared" si="2"/>
        <v>0</v>
      </c>
      <c r="O59" s="559">
        <f t="shared" si="4"/>
        <v>0</v>
      </c>
      <c r="S59" s="358">
        <f t="shared" si="3"/>
        <v>0</v>
      </c>
      <c r="T59" s="559">
        <f t="shared" ref="T59:T60" si="15">R59-S59</f>
        <v>0</v>
      </c>
      <c r="V59" s="358">
        <v>0</v>
      </c>
    </row>
    <row r="60" spans="1:22">
      <c r="A60" s="323" t="s">
        <v>444</v>
      </c>
      <c r="B60" s="40" t="s">
        <v>228</v>
      </c>
      <c r="C60" s="54">
        <v>0</v>
      </c>
      <c r="D60" s="324"/>
      <c r="E60" s="54">
        <v>8572.58</v>
      </c>
      <c r="G60" s="296">
        <f t="shared" si="8"/>
        <v>-8572.58</v>
      </c>
      <c r="I60" s="297">
        <f t="shared" si="9"/>
        <v>-1</v>
      </c>
      <c r="K60" s="313" t="s">
        <v>1203</v>
      </c>
      <c r="M60" s="358">
        <f>C60/'Level 1'!$E$8</f>
        <v>0</v>
      </c>
      <c r="N60" s="358">
        <f t="shared" si="2"/>
        <v>0</v>
      </c>
      <c r="O60" s="559">
        <f t="shared" si="4"/>
        <v>0</v>
      </c>
      <c r="S60" s="358">
        <f t="shared" si="3"/>
        <v>0</v>
      </c>
      <c r="T60" s="559">
        <f t="shared" si="15"/>
        <v>0</v>
      </c>
      <c r="V60" s="358">
        <v>0</v>
      </c>
    </row>
    <row r="61" spans="1:22">
      <c r="A61" s="323" t="s">
        <v>446</v>
      </c>
      <c r="B61" s="40" t="s">
        <v>228</v>
      </c>
      <c r="C61" s="54">
        <v>37688.400000000001</v>
      </c>
      <c r="D61" s="324"/>
      <c r="E61" s="54">
        <v>30004.030000000002</v>
      </c>
      <c r="G61" s="296">
        <f t="shared" si="8"/>
        <v>7684.369999999999</v>
      </c>
      <c r="I61" s="297">
        <f t="shared" si="9"/>
        <v>0.25611126238708593</v>
      </c>
      <c r="K61" s="313"/>
      <c r="M61" s="358">
        <f>C61/'Level 1'!$E$8</f>
        <v>96.636923076923082</v>
      </c>
      <c r="N61" s="358">
        <f t="shared" si="2"/>
        <v>0</v>
      </c>
      <c r="O61" s="559">
        <v>0</v>
      </c>
      <c r="S61" s="358">
        <f t="shared" si="3"/>
        <v>0</v>
      </c>
      <c r="T61" s="559">
        <v>0</v>
      </c>
      <c r="V61" s="358">
        <v>0</v>
      </c>
    </row>
    <row r="62" spans="1:22">
      <c r="A62" s="323" t="s">
        <v>448</v>
      </c>
      <c r="B62" s="40" t="s">
        <v>228</v>
      </c>
      <c r="C62" s="54">
        <v>24025.82</v>
      </c>
      <c r="D62" s="324"/>
      <c r="E62" s="54">
        <v>34290.32</v>
      </c>
      <c r="G62" s="296">
        <f t="shared" si="8"/>
        <v>-10264.5</v>
      </c>
      <c r="I62" s="297">
        <f t="shared" si="9"/>
        <v>-0.2993410385204921</v>
      </c>
      <c r="K62" s="313"/>
      <c r="M62" s="358">
        <f>C62/'Level 1'!$E$8</f>
        <v>61.604666666666667</v>
      </c>
      <c r="N62" s="358">
        <f t="shared" si="2"/>
        <v>0</v>
      </c>
      <c r="O62" s="559">
        <v>0</v>
      </c>
      <c r="S62" s="358">
        <f t="shared" si="3"/>
        <v>0</v>
      </c>
      <c r="T62" s="559">
        <v>0</v>
      </c>
      <c r="V62" s="358">
        <v>0</v>
      </c>
    </row>
    <row r="63" spans="1:22">
      <c r="A63" s="323" t="s">
        <v>451</v>
      </c>
      <c r="B63" s="40" t="s">
        <v>228</v>
      </c>
      <c r="C63" s="54">
        <v>16835.25</v>
      </c>
      <c r="D63" s="324"/>
      <c r="E63" s="54">
        <v>12858.869999999999</v>
      </c>
      <c r="G63" s="296">
        <f t="shared" si="8"/>
        <v>3976.380000000001</v>
      </c>
      <c r="I63" s="297">
        <f t="shared" si="9"/>
        <v>0.30923245977290392</v>
      </c>
      <c r="K63" s="313"/>
      <c r="M63" s="358">
        <f>C63/'Level 1'!$E$8</f>
        <v>43.167307692307695</v>
      </c>
      <c r="N63" s="358">
        <f t="shared" si="2"/>
        <v>0</v>
      </c>
      <c r="O63" s="559">
        <v>0</v>
      </c>
      <c r="S63" s="358">
        <f t="shared" si="3"/>
        <v>0</v>
      </c>
      <c r="T63" s="559">
        <v>0</v>
      </c>
      <c r="V63" s="358">
        <v>0</v>
      </c>
    </row>
    <row r="64" spans="1:22">
      <c r="A64" s="323" t="s">
        <v>453</v>
      </c>
      <c r="B64" s="40" t="s">
        <v>228</v>
      </c>
      <c r="C64" s="54">
        <v>112235</v>
      </c>
      <c r="D64" s="324"/>
      <c r="E64" s="54">
        <v>115729.83</v>
      </c>
      <c r="G64" s="296">
        <f t="shared" si="8"/>
        <v>-3494.8300000000017</v>
      </c>
      <c r="I64" s="297">
        <f t="shared" si="9"/>
        <v>-3.0198177945997169E-2</v>
      </c>
      <c r="K64" s="313"/>
      <c r="M64" s="358">
        <f>C64/'Level 1'!$E$8</f>
        <v>287.78205128205127</v>
      </c>
      <c r="N64" s="358">
        <f t="shared" si="2"/>
        <v>0</v>
      </c>
      <c r="O64" s="559">
        <v>0</v>
      </c>
      <c r="S64" s="358">
        <f t="shared" si="3"/>
        <v>0</v>
      </c>
      <c r="T64" s="559">
        <v>0</v>
      </c>
      <c r="V64" s="358">
        <v>0</v>
      </c>
    </row>
    <row r="65" spans="1:22">
      <c r="A65" s="323" t="s">
        <v>455</v>
      </c>
      <c r="B65" s="40" t="s">
        <v>228</v>
      </c>
      <c r="C65" s="54">
        <v>33150</v>
      </c>
      <c r="D65" s="324"/>
      <c r="E65" s="54">
        <v>33065</v>
      </c>
      <c r="G65" s="296">
        <f t="shared" si="8"/>
        <v>85</v>
      </c>
      <c r="I65" s="297">
        <f t="shared" si="9"/>
        <v>2.5706940874035988E-3</v>
      </c>
      <c r="K65" s="313"/>
      <c r="M65" s="358">
        <f>C65/'Level 1'!$E$8</f>
        <v>85</v>
      </c>
      <c r="N65" s="358">
        <f t="shared" si="2"/>
        <v>0</v>
      </c>
      <c r="O65" s="559">
        <v>0</v>
      </c>
      <c r="S65" s="358">
        <f t="shared" si="3"/>
        <v>0</v>
      </c>
      <c r="T65" s="559">
        <v>0</v>
      </c>
      <c r="V65" s="358">
        <v>0</v>
      </c>
    </row>
    <row r="66" spans="1:22">
      <c r="A66" s="323" t="s">
        <v>457</v>
      </c>
      <c r="B66" s="40" t="s">
        <v>228</v>
      </c>
      <c r="C66" s="54">
        <v>794716.24</v>
      </c>
      <c r="D66" s="324"/>
      <c r="E66" s="54">
        <v>868616.66850000003</v>
      </c>
      <c r="G66" s="296">
        <f t="shared" si="8"/>
        <v>-73900.428500000038</v>
      </c>
      <c r="I66" s="297">
        <f t="shared" si="9"/>
        <v>-8.5078298839944527E-2</v>
      </c>
      <c r="K66" s="313"/>
      <c r="M66" s="358">
        <f>C66/'Level 1'!$E$8</f>
        <v>2037.7339487179488</v>
      </c>
      <c r="N66" s="358">
        <f t="shared" si="2"/>
        <v>1861.7113402061855</v>
      </c>
      <c r="O66" s="559">
        <f t="shared" si="4"/>
        <v>176.02260851176334</v>
      </c>
      <c r="Q66" s="358">
        <v>361172</v>
      </c>
      <c r="S66" s="358">
        <f t="shared" si="3"/>
        <v>1836.3526315789475</v>
      </c>
      <c r="T66" s="559">
        <f>M66-S66</f>
        <v>201.38131713900134</v>
      </c>
      <c r="V66" s="358">
        <v>348907</v>
      </c>
    </row>
    <row r="67" spans="1:22">
      <c r="A67" s="323" t="s">
        <v>460</v>
      </c>
      <c r="B67" s="40" t="s">
        <v>228</v>
      </c>
      <c r="C67" s="54">
        <v>0</v>
      </c>
      <c r="D67" s="324"/>
      <c r="E67" s="54">
        <v>0</v>
      </c>
      <c r="G67" s="296">
        <f t="shared" si="8"/>
        <v>0</v>
      </c>
      <c r="I67" s="297">
        <f t="shared" si="9"/>
        <v>0</v>
      </c>
      <c r="K67" s="313"/>
      <c r="M67" s="358">
        <f>C67/'Level 1'!$E$8</f>
        <v>0</v>
      </c>
      <c r="N67" s="358">
        <f t="shared" si="2"/>
        <v>0</v>
      </c>
      <c r="O67" s="559">
        <v>0</v>
      </c>
      <c r="S67" s="358">
        <f t="shared" si="3"/>
        <v>0</v>
      </c>
      <c r="T67" s="559">
        <v>0</v>
      </c>
      <c r="V67" s="358">
        <v>0</v>
      </c>
    </row>
    <row r="68" spans="1:22">
      <c r="A68" s="321" t="s">
        <v>464</v>
      </c>
      <c r="B68" s="47" t="s">
        <v>228</v>
      </c>
      <c r="C68" s="461">
        <v>0</v>
      </c>
      <c r="D68" s="322"/>
      <c r="E68" s="461">
        <v>0</v>
      </c>
      <c r="G68" s="296">
        <f t="shared" si="8"/>
        <v>0</v>
      </c>
      <c r="I68" s="297">
        <f t="shared" si="9"/>
        <v>0</v>
      </c>
      <c r="K68" s="313"/>
      <c r="M68" s="358">
        <f>C68/'Level 1'!$E$8</f>
        <v>0</v>
      </c>
      <c r="N68" s="358">
        <f t="shared" si="2"/>
        <v>0</v>
      </c>
      <c r="O68" s="559">
        <v>0</v>
      </c>
      <c r="S68" s="358">
        <f t="shared" si="3"/>
        <v>0</v>
      </c>
      <c r="T68" s="559">
        <v>0</v>
      </c>
      <c r="V68" s="358">
        <v>0</v>
      </c>
    </row>
    <row r="69" spans="1:22">
      <c r="A69" s="323" t="s">
        <v>466</v>
      </c>
      <c r="B69" s="40" t="s">
        <v>228</v>
      </c>
      <c r="C69" s="54">
        <v>0</v>
      </c>
      <c r="D69" s="324"/>
      <c r="E69" s="54">
        <v>0</v>
      </c>
      <c r="G69" s="296">
        <f t="shared" si="8"/>
        <v>0</v>
      </c>
      <c r="I69" s="297">
        <f t="shared" si="9"/>
        <v>0</v>
      </c>
      <c r="K69" s="313"/>
      <c r="M69" s="358">
        <f>C69/'Level 1'!$E$8</f>
        <v>0</v>
      </c>
      <c r="N69" s="358">
        <f t="shared" si="2"/>
        <v>0</v>
      </c>
      <c r="O69" s="559">
        <v>0</v>
      </c>
      <c r="S69" s="358">
        <f t="shared" si="3"/>
        <v>0</v>
      </c>
      <c r="T69" s="559">
        <v>0</v>
      </c>
      <c r="V69" s="358">
        <v>0</v>
      </c>
    </row>
    <row r="70" spans="1:22">
      <c r="A70" s="323" t="s">
        <v>482</v>
      </c>
      <c r="B70" s="40" t="s">
        <v>228</v>
      </c>
      <c r="C70" s="54">
        <v>9469</v>
      </c>
      <c r="D70" s="324"/>
      <c r="E70" s="54">
        <v>7274.3000000000011</v>
      </c>
      <c r="G70" s="296">
        <f t="shared" ref="G70:G103" si="16">C70-E70</f>
        <v>2194.6999999999989</v>
      </c>
      <c r="I70" s="297">
        <f t="shared" ref="I70:I103" si="17">IF(E70=0,0,G70/E70)</f>
        <v>0.30170600607618581</v>
      </c>
      <c r="K70" s="313"/>
      <c r="M70" s="358">
        <f>C70/'Level 1'!$E$8</f>
        <v>24.27948717948718</v>
      </c>
      <c r="N70" s="358">
        <f t="shared" si="2"/>
        <v>0</v>
      </c>
      <c r="O70" s="559">
        <v>0</v>
      </c>
      <c r="S70" s="358">
        <f t="shared" si="3"/>
        <v>0</v>
      </c>
      <c r="T70" s="559">
        <v>0</v>
      </c>
      <c r="V70" s="358">
        <v>0</v>
      </c>
    </row>
    <row r="71" spans="1:22">
      <c r="A71" s="323" t="s">
        <v>485</v>
      </c>
      <c r="B71" s="40" t="s">
        <v>228</v>
      </c>
      <c r="C71" s="54">
        <v>0</v>
      </c>
      <c r="D71" s="324"/>
      <c r="E71" s="54">
        <v>0</v>
      </c>
      <c r="G71" s="296">
        <f t="shared" si="16"/>
        <v>0</v>
      </c>
      <c r="I71" s="297">
        <f t="shared" si="17"/>
        <v>0</v>
      </c>
      <c r="K71" s="313"/>
      <c r="M71" s="358">
        <f>C71/'Level 1'!$E$8</f>
        <v>0</v>
      </c>
      <c r="N71" s="358">
        <f t="shared" ref="N71:N99" si="18">Q71/194</f>
        <v>0</v>
      </c>
      <c r="O71" s="559">
        <v>0</v>
      </c>
      <c r="S71" s="358">
        <f t="shared" ref="S71:S99" si="19">V71/190</f>
        <v>0</v>
      </c>
      <c r="T71" s="559">
        <v>0</v>
      </c>
      <c r="V71" s="358">
        <v>0</v>
      </c>
    </row>
    <row r="72" spans="1:22">
      <c r="A72" s="323" t="s">
        <v>487</v>
      </c>
      <c r="B72" s="40" t="s">
        <v>228</v>
      </c>
      <c r="C72" s="54">
        <v>0</v>
      </c>
      <c r="D72" s="324"/>
      <c r="E72" s="54">
        <v>0</v>
      </c>
      <c r="G72" s="296">
        <f t="shared" si="16"/>
        <v>0</v>
      </c>
      <c r="I72" s="297">
        <f t="shared" si="17"/>
        <v>0</v>
      </c>
      <c r="K72" s="313"/>
      <c r="M72" s="358">
        <f>C72/'Level 1'!$E$8</f>
        <v>0</v>
      </c>
      <c r="N72" s="358">
        <f t="shared" si="18"/>
        <v>0</v>
      </c>
      <c r="O72" s="559">
        <v>0</v>
      </c>
      <c r="S72" s="358">
        <f t="shared" si="19"/>
        <v>0</v>
      </c>
      <c r="T72" s="559">
        <v>0</v>
      </c>
      <c r="V72" s="358">
        <v>0</v>
      </c>
    </row>
    <row r="73" spans="1:22">
      <c r="A73" s="323" t="s">
        <v>495</v>
      </c>
      <c r="B73" s="40" t="s">
        <v>228</v>
      </c>
      <c r="C73" s="54">
        <v>31200</v>
      </c>
      <c r="D73" s="324"/>
      <c r="E73" s="54">
        <v>30731</v>
      </c>
      <c r="G73" s="296">
        <f t="shared" si="16"/>
        <v>469</v>
      </c>
      <c r="I73" s="297">
        <f t="shared" si="17"/>
        <v>1.5261462366990986E-2</v>
      </c>
      <c r="K73" s="313"/>
      <c r="M73" s="358">
        <f>C73/'Level 1'!$E$8</f>
        <v>80</v>
      </c>
      <c r="N73" s="358">
        <f t="shared" si="18"/>
        <v>0</v>
      </c>
      <c r="O73" s="559">
        <v>0</v>
      </c>
      <c r="S73" s="358">
        <f t="shared" si="19"/>
        <v>0</v>
      </c>
      <c r="T73" s="559">
        <v>0</v>
      </c>
      <c r="V73" s="358">
        <v>0</v>
      </c>
    </row>
    <row r="74" spans="1:22">
      <c r="A74" s="323" t="s">
        <v>497</v>
      </c>
      <c r="B74" s="40" t="s">
        <v>228</v>
      </c>
      <c r="C74" s="54">
        <v>65637</v>
      </c>
      <c r="D74" s="324"/>
      <c r="E74" s="54">
        <v>59517</v>
      </c>
      <c r="G74" s="296">
        <f t="shared" si="16"/>
        <v>6120</v>
      </c>
      <c r="I74" s="297">
        <f t="shared" si="17"/>
        <v>0.10282776349614396</v>
      </c>
      <c r="K74" s="313"/>
      <c r="M74" s="358">
        <f>C74/'Level 1'!$E$8</f>
        <v>168.3</v>
      </c>
      <c r="N74" s="358">
        <f t="shared" si="18"/>
        <v>0</v>
      </c>
      <c r="O74" s="559">
        <v>0</v>
      </c>
      <c r="S74" s="358">
        <f t="shared" si="19"/>
        <v>0</v>
      </c>
      <c r="T74" s="559">
        <v>0</v>
      </c>
      <c r="V74" s="358">
        <v>0</v>
      </c>
    </row>
    <row r="75" spans="1:22">
      <c r="A75" s="323" t="s">
        <v>499</v>
      </c>
      <c r="B75" s="40" t="s">
        <v>228</v>
      </c>
      <c r="C75" s="54">
        <v>94380.000000000015</v>
      </c>
      <c r="D75" s="324"/>
      <c r="E75" s="54">
        <v>75855</v>
      </c>
      <c r="G75" s="296">
        <f t="shared" si="16"/>
        <v>18525.000000000015</v>
      </c>
      <c r="I75" s="297">
        <f t="shared" si="17"/>
        <v>0.24421593830334209</v>
      </c>
      <c r="K75" s="313"/>
      <c r="M75" s="358">
        <f>C75/'Level 1'!$E$8</f>
        <v>242.00000000000003</v>
      </c>
      <c r="N75" s="358">
        <f t="shared" si="18"/>
        <v>0</v>
      </c>
      <c r="O75" s="559">
        <v>0</v>
      </c>
      <c r="S75" s="358">
        <f t="shared" si="19"/>
        <v>0</v>
      </c>
      <c r="T75" s="559">
        <v>0</v>
      </c>
      <c r="V75" s="358">
        <v>0</v>
      </c>
    </row>
    <row r="76" spans="1:22">
      <c r="A76" s="323" t="s">
        <v>502</v>
      </c>
      <c r="B76" s="40" t="s">
        <v>228</v>
      </c>
      <c r="C76" s="54">
        <v>180000</v>
      </c>
      <c r="D76" s="324"/>
      <c r="E76" s="54">
        <v>37500</v>
      </c>
      <c r="G76" s="296">
        <f t="shared" si="16"/>
        <v>142500</v>
      </c>
      <c r="I76" s="297">
        <f t="shared" si="17"/>
        <v>3.8</v>
      </c>
      <c r="K76" s="313" t="s">
        <v>1207</v>
      </c>
      <c r="M76" s="358">
        <f>C76/'Level 1'!$E$8</f>
        <v>461.53846153846155</v>
      </c>
      <c r="N76" s="358">
        <f t="shared" si="18"/>
        <v>0</v>
      </c>
      <c r="O76" s="559">
        <v>0</v>
      </c>
      <c r="S76" s="358">
        <f t="shared" si="19"/>
        <v>0</v>
      </c>
      <c r="T76" s="559">
        <v>0</v>
      </c>
      <c r="V76" s="358">
        <v>0</v>
      </c>
    </row>
    <row r="77" spans="1:22">
      <c r="A77" s="323" t="s">
        <v>504</v>
      </c>
      <c r="B77" s="40" t="s">
        <v>228</v>
      </c>
      <c r="C77" s="54">
        <v>95150</v>
      </c>
      <c r="D77" s="324"/>
      <c r="E77" s="54">
        <v>60000</v>
      </c>
      <c r="G77" s="296">
        <f t="shared" si="16"/>
        <v>35150</v>
      </c>
      <c r="I77" s="297">
        <f t="shared" si="17"/>
        <v>0.58583333333333332</v>
      </c>
      <c r="K77" s="313"/>
      <c r="M77" s="358">
        <f>C77/'Level 1'!$E$8</f>
        <v>243.97435897435898</v>
      </c>
      <c r="N77" s="358">
        <f t="shared" si="18"/>
        <v>0</v>
      </c>
      <c r="O77" s="559">
        <v>0</v>
      </c>
      <c r="S77" s="358">
        <f t="shared" si="19"/>
        <v>0</v>
      </c>
      <c r="T77" s="559">
        <v>0</v>
      </c>
      <c r="V77" s="358">
        <v>0</v>
      </c>
    </row>
    <row r="78" spans="1:22">
      <c r="A78" s="323" t="s">
        <v>507</v>
      </c>
      <c r="B78" s="40" t="s">
        <v>228</v>
      </c>
      <c r="C78" s="462">
        <v>1248584</v>
      </c>
      <c r="D78" s="324"/>
      <c r="E78" s="462">
        <v>1176093.6500000001</v>
      </c>
      <c r="G78" s="296">
        <f t="shared" si="16"/>
        <v>72490.34999999986</v>
      </c>
      <c r="I78" s="297">
        <f t="shared" si="17"/>
        <v>6.1636545695149238E-2</v>
      </c>
      <c r="K78" s="313"/>
      <c r="M78" s="358">
        <f>C78/'Level 1'!$E$8</f>
        <v>3201.4974358974359</v>
      </c>
      <c r="N78" s="358">
        <f t="shared" si="18"/>
        <v>3201.5</v>
      </c>
      <c r="O78" s="559">
        <f t="shared" ref="O78:O98" si="20">M78-N78</f>
        <v>-2.5641025640652515E-3</v>
      </c>
      <c r="Q78" s="358">
        <v>621091</v>
      </c>
      <c r="S78" s="358">
        <f t="shared" si="19"/>
        <v>0</v>
      </c>
      <c r="T78" s="559">
        <f t="shared" ref="T78:T80" si="21">R78-S78</f>
        <v>0</v>
      </c>
      <c r="V78" s="358">
        <v>0</v>
      </c>
    </row>
    <row r="79" spans="1:22">
      <c r="A79" s="323" t="s">
        <v>513</v>
      </c>
      <c r="B79" s="40" t="s">
        <v>228</v>
      </c>
      <c r="C79" s="54">
        <v>169433.12394957984</v>
      </c>
      <c r="D79" s="324"/>
      <c r="E79" s="54">
        <v>110495.44999999998</v>
      </c>
      <c r="G79" s="296">
        <f t="shared" si="16"/>
        <v>58937.673949579854</v>
      </c>
      <c r="I79" s="297">
        <f t="shared" si="17"/>
        <v>0.5333945782344871</v>
      </c>
      <c r="K79" s="313" t="s">
        <v>1066</v>
      </c>
      <c r="M79" s="358">
        <f>C79/'Level 1'!$E$8</f>
        <v>434.44390756302522</v>
      </c>
      <c r="N79" s="358">
        <f t="shared" si="18"/>
        <v>377.7783505154639</v>
      </c>
      <c r="O79" s="559">
        <f t="shared" si="20"/>
        <v>56.665557047561322</v>
      </c>
      <c r="Q79" s="358">
        <v>73289</v>
      </c>
      <c r="S79" s="358">
        <f t="shared" si="19"/>
        <v>0</v>
      </c>
      <c r="T79" s="559">
        <f t="shared" si="21"/>
        <v>0</v>
      </c>
      <c r="V79" s="358">
        <v>0</v>
      </c>
    </row>
    <row r="80" spans="1:22">
      <c r="A80" s="323" t="s">
        <v>516</v>
      </c>
      <c r="B80" s="40" t="s">
        <v>228</v>
      </c>
      <c r="C80" s="54">
        <v>1411878</v>
      </c>
      <c r="D80" s="324"/>
      <c r="E80" s="54">
        <v>1372022.45</v>
      </c>
      <c r="G80" s="296">
        <f t="shared" si="16"/>
        <v>39855.550000000047</v>
      </c>
      <c r="I80" s="297">
        <f t="shared" si="17"/>
        <v>2.904875936979023E-2</v>
      </c>
      <c r="K80" s="313" t="s">
        <v>1208</v>
      </c>
      <c r="M80" s="358">
        <f>C80/'Level 1'!$E$8</f>
        <v>3620.2</v>
      </c>
      <c r="N80" s="358">
        <f t="shared" si="18"/>
        <v>3148</v>
      </c>
      <c r="O80" s="559">
        <f t="shared" si="20"/>
        <v>472.19999999999982</v>
      </c>
      <c r="Q80" s="358">
        <v>610712</v>
      </c>
      <c r="S80" s="358">
        <f t="shared" si="19"/>
        <v>0</v>
      </c>
      <c r="T80" s="559">
        <f t="shared" si="21"/>
        <v>0</v>
      </c>
      <c r="V80" s="358">
        <v>0</v>
      </c>
    </row>
    <row r="81" spans="1:22">
      <c r="A81" s="323" t="s">
        <v>520</v>
      </c>
      <c r="B81" s="40" t="s">
        <v>228</v>
      </c>
      <c r="C81" s="54">
        <v>31400</v>
      </c>
      <c r="D81" s="324"/>
      <c r="E81" s="54">
        <v>75000</v>
      </c>
      <c r="G81" s="296">
        <f t="shared" si="16"/>
        <v>-43600</v>
      </c>
      <c r="I81" s="297">
        <f t="shared" si="17"/>
        <v>-0.58133333333333337</v>
      </c>
      <c r="K81" s="313"/>
      <c r="M81" s="358">
        <f>C81/'Level 1'!$E$8</f>
        <v>80.512820512820511</v>
      </c>
      <c r="N81" s="358">
        <f t="shared" si="18"/>
        <v>0</v>
      </c>
      <c r="O81" s="559">
        <v>0</v>
      </c>
      <c r="S81" s="358">
        <f t="shared" si="19"/>
        <v>0</v>
      </c>
      <c r="T81" s="559">
        <v>0</v>
      </c>
      <c r="V81" s="358">
        <v>0</v>
      </c>
    </row>
    <row r="82" spans="1:22">
      <c r="A82" s="323" t="s">
        <v>523</v>
      </c>
      <c r="B82" s="40" t="s">
        <v>228</v>
      </c>
      <c r="C82" s="54">
        <v>703068.97689075628</v>
      </c>
      <c r="D82" s="324"/>
      <c r="E82" s="54">
        <v>781963.60000000009</v>
      </c>
      <c r="G82" s="296">
        <f t="shared" si="16"/>
        <v>-78894.62310924381</v>
      </c>
      <c r="I82" s="297">
        <f t="shared" si="17"/>
        <v>-0.10089296114198129</v>
      </c>
      <c r="K82" s="313" t="s">
        <v>1209</v>
      </c>
      <c r="M82" s="358">
        <f>C82/'Level 1'!$E$8</f>
        <v>1802.7409663865546</v>
      </c>
      <c r="N82" s="358">
        <f t="shared" si="18"/>
        <v>1567.6030927835052</v>
      </c>
      <c r="O82" s="559">
        <f t="shared" si="20"/>
        <v>235.13787360304946</v>
      </c>
      <c r="Q82" s="358">
        <v>304115</v>
      </c>
      <c r="S82" s="358">
        <f t="shared" si="19"/>
        <v>0</v>
      </c>
      <c r="T82" s="559">
        <f t="shared" ref="T82" si="22">R82-S82</f>
        <v>0</v>
      </c>
      <c r="V82" s="358">
        <v>0</v>
      </c>
    </row>
    <row r="83" spans="1:22">
      <c r="A83" s="323" t="s">
        <v>526</v>
      </c>
      <c r="B83" s="40" t="s">
        <v>228</v>
      </c>
      <c r="C83" s="54">
        <v>40000</v>
      </c>
      <c r="D83" s="324"/>
      <c r="E83" s="54">
        <v>35000</v>
      </c>
      <c r="G83" s="296">
        <f t="shared" si="16"/>
        <v>5000</v>
      </c>
      <c r="I83" s="297">
        <f t="shared" si="17"/>
        <v>0.14285714285714285</v>
      </c>
      <c r="K83" s="313"/>
      <c r="M83" s="358">
        <f>C83/'Level 1'!$E$8</f>
        <v>102.56410256410257</v>
      </c>
      <c r="N83" s="358">
        <f t="shared" si="18"/>
        <v>0</v>
      </c>
      <c r="O83" s="559">
        <v>0</v>
      </c>
      <c r="S83" s="358">
        <f t="shared" si="19"/>
        <v>0</v>
      </c>
      <c r="T83" s="559">
        <v>0</v>
      </c>
      <c r="V83" s="358">
        <v>0</v>
      </c>
    </row>
    <row r="84" spans="1:22">
      <c r="A84" s="323" t="s">
        <v>549</v>
      </c>
      <c r="B84" s="40" t="s">
        <v>228</v>
      </c>
      <c r="C84" s="462">
        <v>568746.66666666663</v>
      </c>
      <c r="D84" s="324"/>
      <c r="E84" s="462">
        <v>469216</v>
      </c>
      <c r="G84" s="296">
        <f t="shared" si="16"/>
        <v>99530.666666666628</v>
      </c>
      <c r="I84" s="297">
        <f t="shared" si="17"/>
        <v>0.21212121212121204</v>
      </c>
      <c r="K84" s="313" t="s">
        <v>1211</v>
      </c>
      <c r="M84" s="358">
        <f>C84/'Level 1'!$E$8</f>
        <v>1458.3247863247861</v>
      </c>
      <c r="N84" s="358">
        <f t="shared" si="18"/>
        <v>0</v>
      </c>
      <c r="O84" s="559">
        <v>0</v>
      </c>
      <c r="S84" s="358">
        <f t="shared" si="19"/>
        <v>0</v>
      </c>
      <c r="T84" s="559">
        <v>0</v>
      </c>
      <c r="V84" s="358">
        <v>0</v>
      </c>
    </row>
    <row r="85" spans="1:22">
      <c r="A85" s="323" t="s">
        <v>558</v>
      </c>
      <c r="B85" s="40" t="s">
        <v>228</v>
      </c>
      <c r="C85" s="462">
        <v>25914.66</v>
      </c>
      <c r="D85" s="324"/>
      <c r="E85" s="462">
        <v>25717.739999999998</v>
      </c>
      <c r="G85" s="296">
        <f t="shared" si="16"/>
        <v>196.92000000000189</v>
      </c>
      <c r="I85" s="297">
        <f t="shared" si="17"/>
        <v>7.6569714135068601E-3</v>
      </c>
      <c r="K85" s="313"/>
      <c r="M85" s="358">
        <f>C85/'Level 1'!$E$8</f>
        <v>66.447846153846157</v>
      </c>
      <c r="N85" s="358">
        <f t="shared" si="18"/>
        <v>0</v>
      </c>
      <c r="O85" s="559">
        <v>0</v>
      </c>
      <c r="S85" s="358">
        <f t="shared" si="19"/>
        <v>0</v>
      </c>
      <c r="T85" s="559">
        <v>0</v>
      </c>
      <c r="V85" s="358">
        <v>0</v>
      </c>
    </row>
    <row r="86" spans="1:22">
      <c r="A86" s="323" t="s">
        <v>560</v>
      </c>
      <c r="B86" s="40" t="s">
        <v>228</v>
      </c>
      <c r="C86" s="54">
        <v>1058181.9500000002</v>
      </c>
      <c r="D86" s="324"/>
      <c r="E86" s="54">
        <v>1102648.1025</v>
      </c>
      <c r="G86" s="296">
        <f t="shared" si="16"/>
        <v>-44466.152499999851</v>
      </c>
      <c r="I86" s="297">
        <f t="shared" si="17"/>
        <v>-4.0326693891898163E-2</v>
      </c>
      <c r="K86" s="313"/>
      <c r="M86" s="358">
        <f>C86/'Level 1'!$E$8</f>
        <v>2713.2870512820518</v>
      </c>
      <c r="N86" s="358">
        <f t="shared" si="18"/>
        <v>2478.9072164948452</v>
      </c>
      <c r="O86" s="559">
        <f t="shared" si="20"/>
        <v>234.37983478720662</v>
      </c>
      <c r="Q86" s="358">
        <v>480908</v>
      </c>
      <c r="S86" s="358">
        <f t="shared" si="19"/>
        <v>0</v>
      </c>
      <c r="T86" s="559">
        <f t="shared" ref="T86" si="23">R86-S86</f>
        <v>0</v>
      </c>
      <c r="V86" s="358">
        <v>0</v>
      </c>
    </row>
    <row r="87" spans="1:22">
      <c r="A87" s="323" t="s">
        <v>566</v>
      </c>
      <c r="B87" s="40" t="s">
        <v>228</v>
      </c>
      <c r="C87" s="462">
        <v>2347298</v>
      </c>
      <c r="D87" s="324" t="s">
        <v>742</v>
      </c>
      <c r="E87" s="462">
        <v>2460026.8000000003</v>
      </c>
      <c r="G87" s="296">
        <f t="shared" si="16"/>
        <v>-112728.80000000028</v>
      </c>
      <c r="I87" s="297">
        <f t="shared" si="17"/>
        <v>-4.5824216223985963E-2</v>
      </c>
      <c r="K87" s="313" t="s">
        <v>1212</v>
      </c>
      <c r="M87" s="358">
        <f>(C87+C88)/390</f>
        <v>11890.884567343544</v>
      </c>
      <c r="N87" s="358">
        <f t="shared" si="18"/>
        <v>10526.314432989691</v>
      </c>
      <c r="O87" s="559">
        <f>M87-N87</f>
        <v>1364.5701343538531</v>
      </c>
      <c r="Q87" s="358">
        <f>2042105</f>
        <v>2042105</v>
      </c>
      <c r="S87" s="358">
        <f t="shared" si="19"/>
        <v>10398.700000000001</v>
      </c>
      <c r="T87" s="559">
        <f>M87-S87</f>
        <v>1492.1845673435437</v>
      </c>
      <c r="V87" s="358">
        <f>1975753</f>
        <v>1975753</v>
      </c>
    </row>
    <row r="88" spans="1:22">
      <c r="A88" s="323" t="s">
        <v>569</v>
      </c>
      <c r="B88" s="40" t="s">
        <v>228</v>
      </c>
      <c r="C88" s="54">
        <v>2290146.9812639821</v>
      </c>
      <c r="D88" s="324" t="s">
        <v>742</v>
      </c>
      <c r="E88" s="54">
        <v>2669921.1</v>
      </c>
      <c r="G88" s="296">
        <f t="shared" si="16"/>
        <v>-379774.11873601796</v>
      </c>
      <c r="I88" s="297">
        <f t="shared" si="17"/>
        <v>-0.14224170097611422</v>
      </c>
      <c r="K88" s="313"/>
      <c r="M88" s="358">
        <v>0</v>
      </c>
      <c r="N88" s="358">
        <f t="shared" si="18"/>
        <v>0</v>
      </c>
      <c r="O88" s="559">
        <v>0</v>
      </c>
      <c r="Q88" s="358">
        <v>0</v>
      </c>
      <c r="S88" s="358">
        <f t="shared" si="19"/>
        <v>0</v>
      </c>
      <c r="T88" s="559">
        <v>0</v>
      </c>
      <c r="V88" s="358">
        <v>0</v>
      </c>
    </row>
    <row r="89" spans="1:22">
      <c r="A89" s="323" t="s">
        <v>1104</v>
      </c>
      <c r="B89" s="40" t="s">
        <v>228</v>
      </c>
      <c r="C89" s="54">
        <v>0</v>
      </c>
      <c r="D89" s="324"/>
      <c r="E89" s="54">
        <v>0</v>
      </c>
      <c r="G89" s="296">
        <f t="shared" si="16"/>
        <v>0</v>
      </c>
      <c r="I89" s="297">
        <f t="shared" si="17"/>
        <v>0</v>
      </c>
      <c r="K89" s="313"/>
      <c r="M89" s="358">
        <f>C89/'Level 1'!$E$8</f>
        <v>0</v>
      </c>
      <c r="N89" s="358">
        <f t="shared" si="18"/>
        <v>0</v>
      </c>
      <c r="O89" s="559">
        <f t="shared" si="20"/>
        <v>0</v>
      </c>
      <c r="S89" s="358">
        <f t="shared" si="19"/>
        <v>0</v>
      </c>
      <c r="T89" s="559">
        <f t="shared" ref="T89:T91" si="24">R89-S89</f>
        <v>0</v>
      </c>
      <c r="V89" s="358">
        <v>0</v>
      </c>
    </row>
    <row r="90" spans="1:22">
      <c r="A90" s="323" t="s">
        <v>582</v>
      </c>
      <c r="B90" s="40" t="s">
        <v>228</v>
      </c>
      <c r="C90" s="462">
        <v>4216723.68</v>
      </c>
      <c r="D90" s="324"/>
      <c r="E90" s="462">
        <v>4472265</v>
      </c>
      <c r="G90" s="296">
        <f t="shared" si="16"/>
        <v>-255541.3200000003</v>
      </c>
      <c r="I90" s="297">
        <f t="shared" si="17"/>
        <v>-5.7139127489091168E-2</v>
      </c>
      <c r="K90" s="313" t="s">
        <v>1106</v>
      </c>
      <c r="M90" s="358">
        <f>C90/'Level 1'!$E$8</f>
        <v>10812.111999999999</v>
      </c>
      <c r="N90" s="358">
        <f t="shared" si="18"/>
        <v>10712.900000000001</v>
      </c>
      <c r="O90" s="559">
        <f t="shared" si="20"/>
        <v>99.211999999997715</v>
      </c>
      <c r="Q90" s="358">
        <v>2078302.6000000003</v>
      </c>
      <c r="S90" s="358">
        <f t="shared" si="19"/>
        <v>0</v>
      </c>
      <c r="T90" s="559">
        <f t="shared" si="24"/>
        <v>0</v>
      </c>
      <c r="V90" s="358">
        <v>0</v>
      </c>
    </row>
    <row r="91" spans="1:22">
      <c r="A91" s="323" t="s">
        <v>590</v>
      </c>
      <c r="B91" s="40" t="s">
        <v>228</v>
      </c>
      <c r="C91" s="462">
        <v>4204005.7184999995</v>
      </c>
      <c r="D91" s="324" t="s">
        <v>426</v>
      </c>
      <c r="E91" s="462">
        <v>4551999.6800000006</v>
      </c>
      <c r="G91" s="296">
        <f t="shared" si="16"/>
        <v>-347993.96150000114</v>
      </c>
      <c r="I91" s="297">
        <f t="shared" si="17"/>
        <v>-7.6448590941025962E-2</v>
      </c>
      <c r="K91" s="313" t="s">
        <v>1213</v>
      </c>
      <c r="M91" s="358">
        <f>C91/'Level 1'!$E$8</f>
        <v>10779.501842307691</v>
      </c>
      <c r="N91" s="358">
        <f t="shared" si="18"/>
        <v>9848.2960352082409</v>
      </c>
      <c r="O91" s="559">
        <f t="shared" si="20"/>
        <v>931.20580709944988</v>
      </c>
      <c r="Q91" s="358">
        <v>1910569.4308303986</v>
      </c>
      <c r="S91" s="358">
        <f t="shared" si="19"/>
        <v>0</v>
      </c>
      <c r="T91" s="559">
        <f t="shared" si="24"/>
        <v>0</v>
      </c>
      <c r="V91" s="358">
        <v>0</v>
      </c>
    </row>
    <row r="92" spans="1:22">
      <c r="A92" s="323" t="s">
        <v>594</v>
      </c>
      <c r="B92" s="40" t="s">
        <v>228</v>
      </c>
      <c r="C92" s="54">
        <v>266408.99999999994</v>
      </c>
      <c r="D92" s="324"/>
      <c r="E92" s="54">
        <v>229299</v>
      </c>
      <c r="G92" s="296">
        <f t="shared" si="16"/>
        <v>37109.999999999942</v>
      </c>
      <c r="I92" s="297">
        <f t="shared" si="17"/>
        <v>0.16184108958172491</v>
      </c>
      <c r="K92" s="313" t="s">
        <v>596</v>
      </c>
      <c r="M92" s="358">
        <f>C92/'Level 1'!$E$8</f>
        <v>683.0999999999998</v>
      </c>
      <c r="N92" s="358">
        <f t="shared" si="18"/>
        <v>0</v>
      </c>
      <c r="O92" s="559">
        <v>0</v>
      </c>
      <c r="S92" s="358">
        <f t="shared" si="19"/>
        <v>0</v>
      </c>
      <c r="T92" s="559">
        <v>0</v>
      </c>
      <c r="V92" s="358">
        <v>0</v>
      </c>
    </row>
    <row r="93" spans="1:22">
      <c r="A93" s="323" t="s">
        <v>597</v>
      </c>
      <c r="B93" s="40" t="s">
        <v>228</v>
      </c>
      <c r="C93" s="54">
        <v>46410</v>
      </c>
      <c r="D93" s="324"/>
      <c r="E93" s="54">
        <v>46291</v>
      </c>
      <c r="G93" s="296">
        <f t="shared" si="16"/>
        <v>119</v>
      </c>
      <c r="I93" s="297">
        <f t="shared" si="17"/>
        <v>2.5706940874035988E-3</v>
      </c>
      <c r="K93" s="313"/>
      <c r="M93" s="358">
        <f>C93/'Level 1'!$E$8</f>
        <v>119</v>
      </c>
      <c r="N93" s="358">
        <f t="shared" si="18"/>
        <v>0</v>
      </c>
      <c r="O93" s="559">
        <v>0</v>
      </c>
      <c r="S93" s="358">
        <f t="shared" si="19"/>
        <v>0</v>
      </c>
      <c r="T93" s="559">
        <v>0</v>
      </c>
      <c r="V93" s="358">
        <v>0</v>
      </c>
    </row>
    <row r="94" spans="1:22">
      <c r="A94" s="323" t="s">
        <v>599</v>
      </c>
      <c r="B94" s="40" t="s">
        <v>228</v>
      </c>
      <c r="C94" s="54">
        <v>43680</v>
      </c>
      <c r="D94" s="324"/>
      <c r="E94" s="54">
        <v>43568</v>
      </c>
      <c r="G94" s="296">
        <f t="shared" si="16"/>
        <v>112</v>
      </c>
      <c r="I94" s="297">
        <f t="shared" si="17"/>
        <v>2.5706940874035988E-3</v>
      </c>
      <c r="K94" s="313"/>
      <c r="M94" s="358">
        <f>C94/'Level 1'!$E$8</f>
        <v>112</v>
      </c>
      <c r="N94" s="358">
        <f t="shared" si="18"/>
        <v>0</v>
      </c>
      <c r="O94" s="559">
        <v>0</v>
      </c>
      <c r="S94" s="358">
        <f t="shared" si="19"/>
        <v>0</v>
      </c>
      <c r="T94" s="559">
        <v>0</v>
      </c>
      <c r="V94" s="358">
        <v>0</v>
      </c>
    </row>
    <row r="95" spans="1:22">
      <c r="A95" s="323" t="s">
        <v>629</v>
      </c>
      <c r="B95" s="40" t="s">
        <v>228</v>
      </c>
      <c r="C95" s="462">
        <v>4500</v>
      </c>
      <c r="D95" s="324"/>
      <c r="E95" s="462">
        <v>900</v>
      </c>
      <c r="G95" s="296">
        <f t="shared" si="16"/>
        <v>3600</v>
      </c>
      <c r="I95" s="297">
        <f t="shared" si="17"/>
        <v>4</v>
      </c>
      <c r="K95" s="313"/>
      <c r="M95" s="358">
        <f>C95/'Level 1'!$E$8</f>
        <v>11.538461538461538</v>
      </c>
      <c r="N95" s="358">
        <f t="shared" si="18"/>
        <v>0</v>
      </c>
      <c r="O95" s="559">
        <v>0</v>
      </c>
      <c r="S95" s="358">
        <f t="shared" si="19"/>
        <v>0</v>
      </c>
      <c r="T95" s="559">
        <v>0</v>
      </c>
      <c r="V95" s="358">
        <v>0</v>
      </c>
    </row>
    <row r="96" spans="1:22">
      <c r="A96" s="323" t="s">
        <v>632</v>
      </c>
      <c r="B96" s="40" t="s">
        <v>228</v>
      </c>
      <c r="C96" s="54">
        <v>254827.49</v>
      </c>
      <c r="D96" s="324"/>
      <c r="E96" s="54">
        <v>193311.679</v>
      </c>
      <c r="G96" s="296">
        <f t="shared" si="16"/>
        <v>61515.810999999987</v>
      </c>
      <c r="I96" s="297">
        <f t="shared" si="17"/>
        <v>0.31822087169394453</v>
      </c>
      <c r="K96" s="313"/>
      <c r="M96" s="358">
        <f>C96/'Level 1'!$E$8</f>
        <v>653.40382051282052</v>
      </c>
      <c r="N96" s="358">
        <f t="shared" si="18"/>
        <v>0</v>
      </c>
      <c r="O96" s="559">
        <v>0</v>
      </c>
      <c r="S96" s="358">
        <f t="shared" si="19"/>
        <v>0</v>
      </c>
      <c r="T96" s="559">
        <v>0</v>
      </c>
      <c r="V96" s="358">
        <v>0</v>
      </c>
    </row>
    <row r="97" spans="1:22">
      <c r="A97" s="330" t="s">
        <v>638</v>
      </c>
      <c r="B97" s="40" t="s">
        <v>228</v>
      </c>
      <c r="C97" s="462">
        <v>226590</v>
      </c>
      <c r="D97" s="324"/>
      <c r="E97" s="462">
        <v>225620</v>
      </c>
      <c r="G97" s="296">
        <f t="shared" si="16"/>
        <v>970</v>
      </c>
      <c r="I97" s="297">
        <f t="shared" si="17"/>
        <v>4.2992642496232601E-3</v>
      </c>
      <c r="K97" s="313"/>
      <c r="M97" s="358">
        <f>C97/'Level 1'!$E$8</f>
        <v>581</v>
      </c>
      <c r="N97" s="358">
        <f t="shared" si="18"/>
        <v>0</v>
      </c>
      <c r="O97" s="559">
        <v>0</v>
      </c>
      <c r="S97" s="358">
        <f t="shared" si="19"/>
        <v>0</v>
      </c>
      <c r="T97" s="559">
        <v>0</v>
      </c>
      <c r="V97" s="358">
        <v>0</v>
      </c>
    </row>
    <row r="98" spans="1:22">
      <c r="A98" s="323" t="s">
        <v>1217</v>
      </c>
      <c r="B98" s="40" t="s">
        <v>228</v>
      </c>
      <c r="C98" s="54">
        <v>837048.73764999886</v>
      </c>
      <c r="D98" s="324"/>
      <c r="E98" s="54">
        <v>599196.15</v>
      </c>
      <c r="G98" s="296">
        <f t="shared" si="16"/>
        <v>237852.58764999884</v>
      </c>
      <c r="I98" s="297">
        <f t="shared" si="17"/>
        <v>0.39695279692634677</v>
      </c>
      <c r="K98" s="313" t="s">
        <v>1218</v>
      </c>
      <c r="M98" s="358">
        <f>C98/'Level 1'!$E$8</f>
        <v>2146.2788144871765</v>
      </c>
      <c r="N98" s="358">
        <f t="shared" si="18"/>
        <v>1663</v>
      </c>
      <c r="O98" s="559">
        <f t="shared" si="20"/>
        <v>483.27881448717653</v>
      </c>
      <c r="Q98" s="358">
        <v>322622</v>
      </c>
      <c r="S98" s="358">
        <f t="shared" si="19"/>
        <v>0</v>
      </c>
      <c r="T98" s="559">
        <f t="shared" ref="T98" si="25">R98-S98</f>
        <v>0</v>
      </c>
      <c r="V98" s="358">
        <v>0</v>
      </c>
    </row>
    <row r="99" spans="1:22">
      <c r="A99" s="323" t="s">
        <v>724</v>
      </c>
      <c r="B99" s="40" t="s">
        <v>228</v>
      </c>
      <c r="C99" s="54">
        <v>7000</v>
      </c>
      <c r="D99" s="324"/>
      <c r="E99" s="54">
        <v>14000</v>
      </c>
      <c r="G99" s="296">
        <f t="shared" si="16"/>
        <v>-7000</v>
      </c>
      <c r="I99" s="297">
        <f t="shared" si="17"/>
        <v>-0.5</v>
      </c>
      <c r="K99" s="313"/>
      <c r="M99" s="358">
        <f>C99/'Level 1'!$E$8</f>
        <v>17.948717948717949</v>
      </c>
      <c r="N99" s="358">
        <f t="shared" si="18"/>
        <v>0</v>
      </c>
      <c r="O99" s="559">
        <v>0</v>
      </c>
      <c r="S99" s="358">
        <f t="shared" si="19"/>
        <v>0</v>
      </c>
      <c r="T99" s="559">
        <v>0</v>
      </c>
      <c r="V99" s="358">
        <v>0</v>
      </c>
    </row>
    <row r="100" spans="1:22">
      <c r="A100" s="471" t="s">
        <v>21</v>
      </c>
      <c r="B100" s="472"/>
      <c r="C100" s="473">
        <f>SUM(C6:C99)</f>
        <v>44768327.144683301</v>
      </c>
      <c r="D100" s="474"/>
      <c r="E100" s="473">
        <f>SUM(E6:E99)</f>
        <v>46835184.778888874</v>
      </c>
      <c r="F100" s="135"/>
      <c r="G100" s="296">
        <f t="shared" si="16"/>
        <v>-2066857.6342055723</v>
      </c>
      <c r="H100" s="135"/>
      <c r="I100" s="297">
        <f t="shared" si="17"/>
        <v>-4.4130446884394825E-2</v>
      </c>
      <c r="J100" s="135"/>
      <c r="K100" s="313"/>
      <c r="M100" s="358">
        <f>C100/'Level 1'!$E$8</f>
        <v>114790.58242226488</v>
      </c>
      <c r="N100" s="358"/>
      <c r="O100" s="559">
        <f>SUM(O8:O99)</f>
        <v>9548.7650876742955</v>
      </c>
      <c r="S100" s="358"/>
      <c r="T100" s="559">
        <f>SUM(T8:T99)</f>
        <v>7587.0098480452998</v>
      </c>
    </row>
    <row r="101" spans="1:22">
      <c r="A101" s="323"/>
      <c r="B101" s="40"/>
      <c r="C101" s="54"/>
      <c r="D101" s="324"/>
      <c r="E101" s="54"/>
      <c r="G101" s="296"/>
      <c r="I101" s="297"/>
      <c r="K101" s="313"/>
    </row>
    <row r="102" spans="1:22">
      <c r="A102" s="323" t="s">
        <v>822</v>
      </c>
      <c r="B102" s="459" t="s">
        <v>1252</v>
      </c>
      <c r="C102" s="462">
        <v>10000</v>
      </c>
      <c r="D102" s="324"/>
      <c r="E102" s="462">
        <v>10000</v>
      </c>
      <c r="G102" s="296">
        <f t="shared" si="16"/>
        <v>0</v>
      </c>
      <c r="I102" s="297">
        <f t="shared" si="17"/>
        <v>0</v>
      </c>
      <c r="K102" s="313"/>
    </row>
    <row r="103" spans="1:22">
      <c r="A103" s="323" t="s">
        <v>825</v>
      </c>
      <c r="B103" s="459" t="s">
        <v>1252</v>
      </c>
      <c r="C103" s="54">
        <v>0</v>
      </c>
      <c r="D103" s="324"/>
      <c r="E103" s="54">
        <v>0</v>
      </c>
      <c r="G103" s="296">
        <f t="shared" si="16"/>
        <v>0</v>
      </c>
      <c r="I103" s="297">
        <f t="shared" si="17"/>
        <v>0</v>
      </c>
      <c r="K103" s="313"/>
    </row>
    <row r="104" spans="1:22">
      <c r="A104" s="323" t="s">
        <v>827</v>
      </c>
      <c r="B104" s="459" t="s">
        <v>1252</v>
      </c>
      <c r="C104" s="54">
        <v>21000</v>
      </c>
      <c r="D104" s="324"/>
      <c r="E104" s="54">
        <v>21000</v>
      </c>
      <c r="G104" s="296">
        <f t="shared" ref="G104:G116" si="26">C104-E104</f>
        <v>0</v>
      </c>
      <c r="I104" s="297">
        <f t="shared" ref="I104:I116" si="27">IF(E104=0,0,G104/E104)</f>
        <v>0</v>
      </c>
      <c r="K104" s="345"/>
    </row>
    <row r="105" spans="1:22">
      <c r="A105" s="323" t="s">
        <v>829</v>
      </c>
      <c r="B105" s="459" t="s">
        <v>1252</v>
      </c>
      <c r="C105" s="54">
        <v>21900</v>
      </c>
      <c r="D105" s="324"/>
      <c r="E105" s="54">
        <v>17425</v>
      </c>
      <c r="G105" s="296">
        <f t="shared" si="26"/>
        <v>4475</v>
      </c>
      <c r="I105" s="297">
        <f t="shared" si="27"/>
        <v>0.25681492109038739</v>
      </c>
      <c r="K105" s="313"/>
    </row>
    <row r="106" spans="1:22">
      <c r="A106" s="458" t="s">
        <v>831</v>
      </c>
      <c r="B106" s="459" t="s">
        <v>1252</v>
      </c>
      <c r="C106" s="461">
        <v>129526.8</v>
      </c>
      <c r="D106" s="322"/>
      <c r="E106" s="461">
        <v>105465</v>
      </c>
      <c r="G106" s="296">
        <f t="shared" si="26"/>
        <v>24061.800000000003</v>
      </c>
      <c r="I106" s="297">
        <f t="shared" si="27"/>
        <v>0.22814962309771017</v>
      </c>
      <c r="K106" s="313"/>
    </row>
    <row r="107" spans="1:22">
      <c r="A107" s="458" t="s">
        <v>1245</v>
      </c>
      <c r="B107" s="459" t="s">
        <v>1252</v>
      </c>
      <c r="C107" s="461">
        <f>112000</f>
        <v>112000</v>
      </c>
      <c r="D107" s="322"/>
      <c r="E107" s="461">
        <v>43900</v>
      </c>
      <c r="G107" s="296">
        <f t="shared" si="26"/>
        <v>68100</v>
      </c>
      <c r="I107" s="297">
        <f t="shared" si="27"/>
        <v>1.5512528473804099</v>
      </c>
      <c r="K107" s="313"/>
    </row>
    <row r="108" spans="1:22">
      <c r="A108" s="338" t="s">
        <v>939</v>
      </c>
      <c r="B108" s="459" t="s">
        <v>1252</v>
      </c>
      <c r="C108" s="54">
        <v>0</v>
      </c>
      <c r="D108" s="324"/>
      <c r="E108" s="54">
        <v>200000</v>
      </c>
      <c r="G108" s="296">
        <f t="shared" si="26"/>
        <v>-200000</v>
      </c>
      <c r="I108" s="297">
        <f t="shared" si="27"/>
        <v>-1</v>
      </c>
      <c r="K108" s="313"/>
    </row>
    <row r="109" spans="1:22">
      <c r="A109" s="338" t="s">
        <v>835</v>
      </c>
      <c r="B109" s="459" t="s">
        <v>1252</v>
      </c>
      <c r="C109" s="54">
        <v>15000</v>
      </c>
      <c r="D109" s="312"/>
      <c r="E109" s="54">
        <v>0</v>
      </c>
      <c r="G109" s="296">
        <f t="shared" si="26"/>
        <v>15000</v>
      </c>
      <c r="I109" s="297">
        <f t="shared" si="27"/>
        <v>0</v>
      </c>
      <c r="K109" s="313"/>
    </row>
    <row r="110" spans="1:22">
      <c r="A110" s="338" t="s">
        <v>837</v>
      </c>
      <c r="B110" s="459" t="s">
        <v>1252</v>
      </c>
      <c r="C110" s="54">
        <v>5000</v>
      </c>
      <c r="D110" s="324"/>
      <c r="E110" s="54">
        <v>0</v>
      </c>
      <c r="G110" s="296">
        <f t="shared" si="26"/>
        <v>5000</v>
      </c>
      <c r="I110" s="297">
        <f t="shared" si="27"/>
        <v>0</v>
      </c>
      <c r="K110" s="313"/>
    </row>
    <row r="111" spans="1:22">
      <c r="A111" s="338" t="s">
        <v>839</v>
      </c>
      <c r="B111" s="459" t="s">
        <v>1252</v>
      </c>
      <c r="C111" s="54">
        <v>0</v>
      </c>
      <c r="D111" s="324"/>
      <c r="E111" s="54">
        <v>0</v>
      </c>
      <c r="G111" s="296">
        <f t="shared" si="26"/>
        <v>0</v>
      </c>
      <c r="I111" s="297">
        <f t="shared" si="27"/>
        <v>0</v>
      </c>
      <c r="K111" s="313"/>
    </row>
    <row r="112" spans="1:22">
      <c r="A112" s="323" t="s">
        <v>841</v>
      </c>
      <c r="B112" s="459" t="s">
        <v>1252</v>
      </c>
      <c r="C112" s="54">
        <v>1250000</v>
      </c>
      <c r="D112" s="324"/>
      <c r="E112" s="54">
        <v>1219427</v>
      </c>
      <c r="G112" s="296">
        <f t="shared" si="26"/>
        <v>30573</v>
      </c>
      <c r="I112" s="297">
        <f t="shared" si="27"/>
        <v>2.5071611502779582E-2</v>
      </c>
      <c r="K112" s="345"/>
    </row>
    <row r="113" spans="1:11">
      <c r="A113" s="338" t="s">
        <v>846</v>
      </c>
      <c r="B113" s="459" t="s">
        <v>1252</v>
      </c>
      <c r="C113" s="54">
        <v>19500</v>
      </c>
      <c r="D113" s="324"/>
      <c r="E113" s="54">
        <v>19500</v>
      </c>
      <c r="G113" s="296">
        <f t="shared" si="26"/>
        <v>0</v>
      </c>
      <c r="I113" s="297">
        <f t="shared" si="27"/>
        <v>0</v>
      </c>
      <c r="K113" s="313"/>
    </row>
    <row r="114" spans="1:11">
      <c r="A114" s="338" t="s">
        <v>847</v>
      </c>
      <c r="B114" s="459" t="s">
        <v>1252</v>
      </c>
      <c r="C114" s="54">
        <v>2000</v>
      </c>
      <c r="D114" s="324"/>
      <c r="E114" s="54">
        <v>2000</v>
      </c>
      <c r="G114" s="296">
        <f t="shared" si="26"/>
        <v>0</v>
      </c>
      <c r="I114" s="297">
        <f t="shared" si="27"/>
        <v>0</v>
      </c>
      <c r="K114" s="313"/>
    </row>
    <row r="115" spans="1:11">
      <c r="A115" s="338" t="s">
        <v>849</v>
      </c>
      <c r="B115" s="459" t="s">
        <v>1252</v>
      </c>
      <c r="C115" s="54">
        <v>1200</v>
      </c>
      <c r="D115" s="324"/>
      <c r="E115" s="54">
        <v>1200</v>
      </c>
      <c r="G115" s="296">
        <f t="shared" si="26"/>
        <v>0</v>
      </c>
      <c r="I115" s="297">
        <f t="shared" si="27"/>
        <v>0</v>
      </c>
      <c r="K115" s="313"/>
    </row>
    <row r="116" spans="1:11">
      <c r="A116" s="471" t="s">
        <v>21</v>
      </c>
      <c r="B116" s="472"/>
      <c r="C116" s="473">
        <f>SUM(C102:C115)</f>
        <v>1587126.8</v>
      </c>
      <c r="D116" s="474"/>
      <c r="E116" s="473">
        <f>SUM(E102:E115)</f>
        <v>1639917</v>
      </c>
      <c r="F116" s="135"/>
      <c r="G116" s="296">
        <f t="shared" si="26"/>
        <v>-52790.199999999953</v>
      </c>
      <c r="H116" s="135"/>
      <c r="I116" s="297">
        <f t="shared" si="27"/>
        <v>-3.2190775508760476E-2</v>
      </c>
      <c r="J116" s="135"/>
      <c r="K116" s="313"/>
    </row>
    <row r="117" spans="1:11">
      <c r="A117" s="338"/>
      <c r="B117" s="459"/>
      <c r="C117" s="54"/>
      <c r="D117" s="324"/>
      <c r="E117" s="54"/>
      <c r="G117" s="296"/>
      <c r="I117" s="297"/>
      <c r="K117" s="313"/>
    </row>
    <row r="118" spans="1:11">
      <c r="A118" s="323" t="s">
        <v>240</v>
      </c>
      <c r="B118" s="40" t="s">
        <v>1253</v>
      </c>
      <c r="C118" s="462">
        <v>2500</v>
      </c>
      <c r="D118" s="324"/>
      <c r="E118" s="462">
        <v>5000</v>
      </c>
      <c r="G118" s="296">
        <f t="shared" ref="G118:G144" si="28">C118-E118</f>
        <v>-2500</v>
      </c>
      <c r="I118" s="297">
        <f t="shared" ref="I118:I159" si="29">IF(E118=0,0,G118/E118)</f>
        <v>-0.5</v>
      </c>
      <c r="K118" s="313"/>
    </row>
    <row r="119" spans="1:11">
      <c r="A119" s="323" t="s">
        <v>243</v>
      </c>
      <c r="B119" s="40" t="s">
        <v>1253</v>
      </c>
      <c r="C119" s="462">
        <v>0</v>
      </c>
      <c r="D119" s="324"/>
      <c r="E119" s="462">
        <v>0</v>
      </c>
      <c r="G119" s="296">
        <f t="shared" si="28"/>
        <v>0</v>
      </c>
      <c r="I119" s="297">
        <f t="shared" si="29"/>
        <v>0</v>
      </c>
      <c r="K119" s="313"/>
    </row>
    <row r="120" spans="1:11">
      <c r="A120" s="323" t="s">
        <v>248</v>
      </c>
      <c r="B120" s="40" t="s">
        <v>1253</v>
      </c>
      <c r="C120" s="462">
        <v>0</v>
      </c>
      <c r="D120" s="324"/>
      <c r="E120" s="462">
        <v>0</v>
      </c>
      <c r="G120" s="296">
        <f t="shared" si="28"/>
        <v>0</v>
      </c>
      <c r="I120" s="297">
        <f t="shared" si="29"/>
        <v>0</v>
      </c>
      <c r="K120" s="313"/>
    </row>
    <row r="121" spans="1:11">
      <c r="A121" s="323" t="s">
        <v>279</v>
      </c>
      <c r="B121" s="40" t="s">
        <v>1253</v>
      </c>
      <c r="C121" s="462">
        <v>6000</v>
      </c>
      <c r="D121" s="324"/>
      <c r="E121" s="462">
        <v>6000</v>
      </c>
      <c r="G121" s="296">
        <f t="shared" si="28"/>
        <v>0</v>
      </c>
      <c r="I121" s="297">
        <f t="shared" si="29"/>
        <v>0</v>
      </c>
      <c r="K121" s="313"/>
    </row>
    <row r="122" spans="1:11">
      <c r="A122" s="323" t="s">
        <v>281</v>
      </c>
      <c r="B122" s="40" t="s">
        <v>1253</v>
      </c>
      <c r="C122" s="462">
        <v>9000</v>
      </c>
      <c r="D122" s="324"/>
      <c r="E122" s="462">
        <v>5700</v>
      </c>
      <c r="G122" s="296">
        <f t="shared" si="28"/>
        <v>3300</v>
      </c>
      <c r="I122" s="297">
        <f t="shared" si="29"/>
        <v>0.57894736842105265</v>
      </c>
      <c r="K122" s="313"/>
    </row>
    <row r="123" spans="1:11">
      <c r="A123" s="319" t="s">
        <v>294</v>
      </c>
      <c r="B123" s="65" t="s">
        <v>1253</v>
      </c>
      <c r="C123" s="159">
        <v>0</v>
      </c>
      <c r="D123" s="320"/>
      <c r="E123" s="159">
        <v>0</v>
      </c>
      <c r="G123" s="296">
        <f t="shared" si="28"/>
        <v>0</v>
      </c>
      <c r="I123" s="297">
        <f t="shared" si="29"/>
        <v>0</v>
      </c>
      <c r="K123" s="313"/>
    </row>
    <row r="124" spans="1:11">
      <c r="A124" s="321" t="s">
        <v>296</v>
      </c>
      <c r="B124" s="47" t="s">
        <v>1253</v>
      </c>
      <c r="C124" s="67">
        <v>1950</v>
      </c>
      <c r="D124" s="322"/>
      <c r="E124" s="67">
        <v>1950</v>
      </c>
      <c r="G124" s="296">
        <f t="shared" si="28"/>
        <v>0</v>
      </c>
      <c r="I124" s="297">
        <f t="shared" si="29"/>
        <v>0</v>
      </c>
      <c r="K124" s="313"/>
    </row>
    <row r="125" spans="1:11">
      <c r="A125" s="323" t="s">
        <v>315</v>
      </c>
      <c r="B125" s="40" t="s">
        <v>1253</v>
      </c>
      <c r="C125" s="462">
        <v>0</v>
      </c>
      <c r="D125" s="324"/>
      <c r="E125" s="462">
        <v>0</v>
      </c>
      <c r="G125" s="296">
        <f t="shared" si="28"/>
        <v>0</v>
      </c>
      <c r="I125" s="297">
        <f t="shared" si="29"/>
        <v>0</v>
      </c>
      <c r="K125" s="313"/>
    </row>
    <row r="126" spans="1:11">
      <c r="A126" s="323" t="s">
        <v>317</v>
      </c>
      <c r="B126" s="40" t="s">
        <v>1253</v>
      </c>
      <c r="C126" s="462">
        <v>15000</v>
      </c>
      <c r="D126" s="324"/>
      <c r="E126" s="462">
        <v>2810</v>
      </c>
      <c r="G126" s="296">
        <f t="shared" si="28"/>
        <v>12190</v>
      </c>
      <c r="I126" s="297">
        <f t="shared" si="29"/>
        <v>4.3380782918149468</v>
      </c>
      <c r="K126" s="313"/>
    </row>
    <row r="127" spans="1:11">
      <c r="A127" s="323" t="s">
        <v>319</v>
      </c>
      <c r="B127" s="40" t="s">
        <v>1253</v>
      </c>
      <c r="C127" s="462">
        <v>0</v>
      </c>
      <c r="D127" s="324"/>
      <c r="E127" s="462">
        <v>0</v>
      </c>
      <c r="G127" s="296">
        <f t="shared" si="28"/>
        <v>0</v>
      </c>
      <c r="I127" s="297">
        <f t="shared" si="29"/>
        <v>0</v>
      </c>
      <c r="K127" s="313"/>
    </row>
    <row r="128" spans="1:11">
      <c r="A128" s="323" t="s">
        <v>323</v>
      </c>
      <c r="B128" s="40" t="s">
        <v>1253</v>
      </c>
      <c r="C128" s="462">
        <v>0</v>
      </c>
      <c r="D128" s="324"/>
      <c r="E128" s="462">
        <v>0</v>
      </c>
      <c r="G128" s="296">
        <f t="shared" si="28"/>
        <v>0</v>
      </c>
      <c r="I128" s="297">
        <f t="shared" si="29"/>
        <v>0</v>
      </c>
      <c r="K128" s="313"/>
    </row>
    <row r="129" spans="1:11">
      <c r="A129" s="323" t="s">
        <v>331</v>
      </c>
      <c r="B129" s="40" t="s">
        <v>1253</v>
      </c>
      <c r="C129" s="462">
        <v>7200</v>
      </c>
      <c r="D129" s="324"/>
      <c r="E129" s="462">
        <v>1031</v>
      </c>
      <c r="G129" s="296">
        <f t="shared" si="28"/>
        <v>6169</v>
      </c>
      <c r="I129" s="297">
        <f t="shared" si="29"/>
        <v>5.9835111542192045</v>
      </c>
      <c r="K129" s="313"/>
    </row>
    <row r="130" spans="1:11">
      <c r="A130" s="323" t="s">
        <v>344</v>
      </c>
      <c r="B130" s="40" t="s">
        <v>1253</v>
      </c>
      <c r="C130" s="54">
        <v>0</v>
      </c>
      <c r="D130" s="324"/>
      <c r="E130" s="54">
        <v>0</v>
      </c>
      <c r="G130" s="296">
        <f t="shared" si="28"/>
        <v>0</v>
      </c>
      <c r="I130" s="297">
        <f t="shared" si="29"/>
        <v>0</v>
      </c>
      <c r="K130" s="313"/>
    </row>
    <row r="131" spans="1:11">
      <c r="A131" s="323" t="s">
        <v>347</v>
      </c>
      <c r="B131" s="40" t="s">
        <v>1253</v>
      </c>
      <c r="C131" s="54">
        <v>9000</v>
      </c>
      <c r="D131" s="324"/>
      <c r="E131" s="54">
        <v>0</v>
      </c>
      <c r="G131" s="296">
        <f t="shared" si="28"/>
        <v>9000</v>
      </c>
      <c r="I131" s="297">
        <f t="shared" si="29"/>
        <v>0</v>
      </c>
      <c r="K131" s="313"/>
    </row>
    <row r="132" spans="1:11">
      <c r="A132" s="321" t="s">
        <v>378</v>
      </c>
      <c r="B132" s="47" t="s">
        <v>1253</v>
      </c>
      <c r="C132" s="461">
        <v>0</v>
      </c>
      <c r="D132" s="322"/>
      <c r="E132" s="461">
        <v>0</v>
      </c>
      <c r="G132" s="296">
        <f t="shared" si="28"/>
        <v>0</v>
      </c>
      <c r="I132" s="297">
        <f t="shared" si="29"/>
        <v>0</v>
      </c>
      <c r="K132" s="313"/>
    </row>
    <row r="133" spans="1:11">
      <c r="A133" s="323" t="s">
        <v>380</v>
      </c>
      <c r="B133" s="40" t="s">
        <v>1253</v>
      </c>
      <c r="C133" s="54">
        <v>0</v>
      </c>
      <c r="D133" s="324"/>
      <c r="E133" s="54">
        <v>0</v>
      </c>
      <c r="G133" s="296">
        <f t="shared" si="28"/>
        <v>0</v>
      </c>
      <c r="I133" s="297">
        <f t="shared" si="29"/>
        <v>0</v>
      </c>
      <c r="K133" s="313"/>
    </row>
    <row r="134" spans="1:11">
      <c r="A134" s="323" t="s">
        <v>408</v>
      </c>
      <c r="B134" s="40" t="s">
        <v>1253</v>
      </c>
      <c r="C134" s="54">
        <v>0</v>
      </c>
      <c r="D134" s="324"/>
      <c r="E134" s="54">
        <v>0</v>
      </c>
      <c r="G134" s="296">
        <f t="shared" si="28"/>
        <v>0</v>
      </c>
      <c r="I134" s="297">
        <f t="shared" si="29"/>
        <v>0</v>
      </c>
      <c r="K134" s="313"/>
    </row>
    <row r="135" spans="1:11">
      <c r="A135" s="321" t="s">
        <v>410</v>
      </c>
      <c r="B135" s="47" t="s">
        <v>1253</v>
      </c>
      <c r="C135" s="461">
        <v>2000</v>
      </c>
      <c r="D135" s="322"/>
      <c r="E135" s="461">
        <v>2000</v>
      </c>
      <c r="G135" s="296">
        <f t="shared" si="28"/>
        <v>0</v>
      </c>
      <c r="I135" s="297">
        <f t="shared" si="29"/>
        <v>0</v>
      </c>
      <c r="K135" s="313"/>
    </row>
    <row r="136" spans="1:11">
      <c r="A136" s="323" t="s">
        <v>412</v>
      </c>
      <c r="B136" s="40" t="s">
        <v>1253</v>
      </c>
      <c r="C136" s="54">
        <v>0</v>
      </c>
      <c r="D136" s="324"/>
      <c r="E136" s="54">
        <v>0</v>
      </c>
      <c r="G136" s="296">
        <f t="shared" si="28"/>
        <v>0</v>
      </c>
      <c r="I136" s="297">
        <f t="shared" si="29"/>
        <v>0</v>
      </c>
      <c r="K136" s="313"/>
    </row>
    <row r="137" spans="1:11">
      <c r="A137" s="321" t="s">
        <v>414</v>
      </c>
      <c r="B137" s="47" t="s">
        <v>1253</v>
      </c>
      <c r="C137" s="461">
        <v>0</v>
      </c>
      <c r="D137" s="322"/>
      <c r="E137" s="461">
        <v>0</v>
      </c>
      <c r="G137" s="296">
        <f t="shared" si="28"/>
        <v>0</v>
      </c>
      <c r="I137" s="297">
        <f t="shared" si="29"/>
        <v>0</v>
      </c>
      <c r="K137" s="313"/>
    </row>
    <row r="138" spans="1:11">
      <c r="A138" s="323" t="s">
        <v>429</v>
      </c>
      <c r="B138" s="40" t="s">
        <v>1253</v>
      </c>
      <c r="C138" s="54">
        <v>0</v>
      </c>
      <c r="D138" s="324"/>
      <c r="E138" s="54">
        <v>0</v>
      </c>
      <c r="G138" s="296">
        <f t="shared" si="28"/>
        <v>0</v>
      </c>
      <c r="I138" s="297">
        <f t="shared" si="29"/>
        <v>0</v>
      </c>
      <c r="K138" s="313"/>
    </row>
    <row r="139" spans="1:11">
      <c r="A139" s="323" t="s">
        <v>489</v>
      </c>
      <c r="B139" s="40" t="s">
        <v>1253</v>
      </c>
      <c r="C139" s="54">
        <v>0</v>
      </c>
      <c r="D139" s="324"/>
      <c r="E139" s="54">
        <v>0</v>
      </c>
      <c r="G139" s="296">
        <f t="shared" si="28"/>
        <v>0</v>
      </c>
      <c r="I139" s="297">
        <f t="shared" si="29"/>
        <v>0</v>
      </c>
      <c r="K139" s="313"/>
    </row>
    <row r="140" spans="1:11">
      <c r="A140" s="321" t="s">
        <v>491</v>
      </c>
      <c r="B140" s="47" t="s">
        <v>1253</v>
      </c>
      <c r="C140" s="461">
        <v>20160</v>
      </c>
      <c r="D140" s="322"/>
      <c r="E140" s="461">
        <v>20000</v>
      </c>
      <c r="G140" s="296">
        <f t="shared" si="28"/>
        <v>160</v>
      </c>
      <c r="I140" s="297">
        <f t="shared" si="29"/>
        <v>8.0000000000000002E-3</v>
      </c>
      <c r="K140" s="313"/>
    </row>
    <row r="141" spans="1:11">
      <c r="A141" s="323" t="s">
        <v>529</v>
      </c>
      <c r="B141" s="40" t="s">
        <v>1253</v>
      </c>
      <c r="C141" s="54">
        <v>0</v>
      </c>
      <c r="D141" s="322"/>
      <c r="E141" s="54">
        <v>0</v>
      </c>
      <c r="G141" s="296">
        <f t="shared" si="28"/>
        <v>0</v>
      </c>
      <c r="I141" s="297">
        <f t="shared" si="29"/>
        <v>0</v>
      </c>
      <c r="K141" s="313"/>
    </row>
    <row r="142" spans="1:11">
      <c r="A142" s="323" t="s">
        <v>531</v>
      </c>
      <c r="B142" s="40" t="s">
        <v>1253</v>
      </c>
      <c r="C142" s="54">
        <v>18000</v>
      </c>
      <c r="D142" s="324"/>
      <c r="E142" s="54">
        <v>13079.000000000002</v>
      </c>
      <c r="G142" s="296">
        <f t="shared" si="28"/>
        <v>4920.9999999999982</v>
      </c>
      <c r="I142" s="297">
        <f t="shared" si="29"/>
        <v>0.37625200703417672</v>
      </c>
      <c r="K142" s="313"/>
    </row>
    <row r="143" spans="1:11">
      <c r="A143" s="323" t="s">
        <v>536</v>
      </c>
      <c r="B143" s="40" t="s">
        <v>1253</v>
      </c>
      <c r="C143" s="462">
        <v>245000</v>
      </c>
      <c r="D143" s="324"/>
      <c r="E143" s="462">
        <v>317532</v>
      </c>
      <c r="G143" s="296">
        <f t="shared" si="28"/>
        <v>-72532</v>
      </c>
      <c r="I143" s="297">
        <f t="shared" si="29"/>
        <v>-0.22842422181071514</v>
      </c>
      <c r="K143" s="313" t="s">
        <v>1210</v>
      </c>
    </row>
    <row r="144" spans="1:11">
      <c r="A144" s="323" t="s">
        <v>541</v>
      </c>
      <c r="B144" s="40" t="s">
        <v>1253</v>
      </c>
      <c r="C144" s="54">
        <v>7049</v>
      </c>
      <c r="D144" s="324"/>
      <c r="E144" s="54">
        <v>13958</v>
      </c>
      <c r="G144" s="296">
        <f t="shared" si="28"/>
        <v>-6909</v>
      </c>
      <c r="I144" s="297">
        <f t="shared" si="29"/>
        <v>-0.49498495486459376</v>
      </c>
      <c r="K144" s="313"/>
    </row>
    <row r="145" spans="1:11">
      <c r="A145" s="319" t="s">
        <v>553</v>
      </c>
      <c r="B145" s="65" t="s">
        <v>1253</v>
      </c>
      <c r="C145" s="463">
        <v>13000</v>
      </c>
      <c r="D145" s="320"/>
      <c r="E145" s="463">
        <v>12000</v>
      </c>
      <c r="G145" s="296"/>
      <c r="I145" s="297">
        <f t="shared" si="29"/>
        <v>0</v>
      </c>
      <c r="K145" s="313"/>
    </row>
    <row r="146" spans="1:11">
      <c r="A146" s="321" t="s">
        <v>572</v>
      </c>
      <c r="B146" s="47" t="s">
        <v>1253</v>
      </c>
      <c r="C146" s="461">
        <v>24612</v>
      </c>
      <c r="D146" s="322"/>
      <c r="E146" s="461">
        <v>24612</v>
      </c>
      <c r="G146" s="296">
        <f t="shared" ref="G146:G159" si="30">C146-E146</f>
        <v>0</v>
      </c>
      <c r="I146" s="297">
        <f t="shared" si="29"/>
        <v>0</v>
      </c>
      <c r="K146" s="313"/>
    </row>
    <row r="147" spans="1:11">
      <c r="A147" s="323" t="s">
        <v>575</v>
      </c>
      <c r="B147" s="40" t="s">
        <v>1253</v>
      </c>
      <c r="C147" s="54">
        <v>6000</v>
      </c>
      <c r="D147" s="324"/>
      <c r="E147" s="54">
        <v>6000</v>
      </c>
      <c r="G147" s="296">
        <f t="shared" si="30"/>
        <v>0</v>
      </c>
      <c r="I147" s="297">
        <f t="shared" si="29"/>
        <v>0</v>
      </c>
      <c r="K147" s="313"/>
    </row>
    <row r="148" spans="1:11">
      <c r="A148" s="323" t="s">
        <v>605</v>
      </c>
      <c r="B148" s="40" t="s">
        <v>1253</v>
      </c>
      <c r="C148" s="54">
        <v>0</v>
      </c>
      <c r="D148" s="324"/>
      <c r="E148" s="54">
        <v>0</v>
      </c>
      <c r="G148" s="296">
        <f t="shared" si="30"/>
        <v>0</v>
      </c>
      <c r="I148" s="297">
        <f t="shared" si="29"/>
        <v>0</v>
      </c>
      <c r="K148" s="313"/>
    </row>
    <row r="149" spans="1:11">
      <c r="A149" s="323" t="s">
        <v>606</v>
      </c>
      <c r="B149" s="40" t="s">
        <v>1253</v>
      </c>
      <c r="C149" s="54">
        <v>0</v>
      </c>
      <c r="D149" s="324"/>
      <c r="E149" s="54">
        <v>0</v>
      </c>
      <c r="G149" s="296">
        <f t="shared" si="30"/>
        <v>0</v>
      </c>
      <c r="I149" s="297">
        <f t="shared" si="29"/>
        <v>0</v>
      </c>
      <c r="K149" s="313"/>
    </row>
    <row r="150" spans="1:11">
      <c r="A150" s="323" t="s">
        <v>619</v>
      </c>
      <c r="B150" s="40" t="s">
        <v>1253</v>
      </c>
      <c r="C150" s="54">
        <v>17000</v>
      </c>
      <c r="D150" s="324"/>
      <c r="E150" s="54">
        <v>13178</v>
      </c>
      <c r="G150" s="296">
        <f t="shared" si="30"/>
        <v>3822</v>
      </c>
      <c r="I150" s="297">
        <f t="shared" si="29"/>
        <v>0.29002883593868567</v>
      </c>
      <c r="K150" s="313"/>
    </row>
    <row r="151" spans="1:11">
      <c r="A151" s="323" t="s">
        <v>621</v>
      </c>
      <c r="B151" s="40" t="s">
        <v>1253</v>
      </c>
      <c r="C151" s="54">
        <v>11000</v>
      </c>
      <c r="D151" s="324"/>
      <c r="E151" s="54">
        <v>22000</v>
      </c>
      <c r="G151" s="296">
        <f t="shared" si="30"/>
        <v>-11000</v>
      </c>
      <c r="I151" s="297">
        <f t="shared" si="29"/>
        <v>-0.5</v>
      </c>
      <c r="K151" s="313"/>
    </row>
    <row r="152" spans="1:11">
      <c r="A152" s="323" t="s">
        <v>623</v>
      </c>
      <c r="B152" s="40" t="s">
        <v>1253</v>
      </c>
      <c r="C152" s="54">
        <v>2000</v>
      </c>
      <c r="D152" s="324"/>
      <c r="E152" s="54">
        <v>4000</v>
      </c>
      <c r="G152" s="296">
        <f t="shared" si="30"/>
        <v>-2000</v>
      </c>
      <c r="I152" s="297">
        <f t="shared" si="29"/>
        <v>-0.5</v>
      </c>
      <c r="K152" s="313"/>
    </row>
    <row r="153" spans="1:11">
      <c r="A153" s="323" t="s">
        <v>634</v>
      </c>
      <c r="B153" s="40" t="s">
        <v>1253</v>
      </c>
      <c r="C153" s="54">
        <v>800</v>
      </c>
      <c r="D153" s="324"/>
      <c r="E153" s="54">
        <v>800</v>
      </c>
      <c r="G153" s="296">
        <f t="shared" si="30"/>
        <v>0</v>
      </c>
      <c r="I153" s="297">
        <f t="shared" si="29"/>
        <v>0</v>
      </c>
      <c r="K153" s="313"/>
    </row>
    <row r="154" spans="1:11">
      <c r="A154" s="323" t="s">
        <v>679</v>
      </c>
      <c r="B154" s="40" t="s">
        <v>1254</v>
      </c>
      <c r="C154" s="54">
        <v>59730</v>
      </c>
      <c r="D154" s="324"/>
      <c r="E154" s="54">
        <v>32102</v>
      </c>
      <c r="G154" s="296">
        <f t="shared" si="30"/>
        <v>27628</v>
      </c>
      <c r="I154" s="297">
        <f t="shared" si="29"/>
        <v>0.8606317363404149</v>
      </c>
      <c r="K154" s="313"/>
    </row>
    <row r="155" spans="1:11">
      <c r="A155" s="323" t="s">
        <v>689</v>
      </c>
      <c r="B155" s="40" t="s">
        <v>1254</v>
      </c>
      <c r="C155" s="54">
        <v>9660</v>
      </c>
      <c r="D155" s="324"/>
      <c r="E155" s="54">
        <v>9660</v>
      </c>
      <c r="G155" s="296">
        <f t="shared" si="30"/>
        <v>0</v>
      </c>
      <c r="I155" s="297">
        <f t="shared" si="29"/>
        <v>0</v>
      </c>
      <c r="K155" s="313"/>
    </row>
    <row r="156" spans="1:11">
      <c r="A156" s="323" t="s">
        <v>161</v>
      </c>
      <c r="B156" s="40" t="s">
        <v>1254</v>
      </c>
      <c r="C156" s="54">
        <v>32775</v>
      </c>
      <c r="D156" s="324"/>
      <c r="E156" s="54">
        <v>40500</v>
      </c>
      <c r="G156" s="296">
        <f t="shared" si="30"/>
        <v>-7725</v>
      </c>
      <c r="I156" s="297">
        <f t="shared" si="29"/>
        <v>-0.19074074074074074</v>
      </c>
      <c r="K156" s="313"/>
    </row>
    <row r="157" spans="1:11">
      <c r="A157" s="323" t="s">
        <v>704</v>
      </c>
      <c r="B157" s="40" t="s">
        <v>1254</v>
      </c>
      <c r="C157" s="54">
        <v>3900</v>
      </c>
      <c r="D157" s="324"/>
      <c r="E157" s="54">
        <v>2000</v>
      </c>
      <c r="G157" s="296">
        <f t="shared" si="30"/>
        <v>1900</v>
      </c>
      <c r="I157" s="297">
        <f t="shared" si="29"/>
        <v>0.95</v>
      </c>
      <c r="K157" s="313"/>
    </row>
    <row r="158" spans="1:11">
      <c r="A158" s="323" t="s">
        <v>722</v>
      </c>
      <c r="B158" s="40" t="s">
        <v>1254</v>
      </c>
      <c r="C158" s="54">
        <v>11000</v>
      </c>
      <c r="D158" s="324"/>
      <c r="E158" s="54">
        <v>10000</v>
      </c>
      <c r="G158" s="296">
        <f t="shared" si="30"/>
        <v>1000</v>
      </c>
      <c r="I158" s="297">
        <f t="shared" si="29"/>
        <v>0.1</v>
      </c>
      <c r="K158" s="313"/>
    </row>
    <row r="159" spans="1:11">
      <c r="A159" s="323" t="s">
        <v>462</v>
      </c>
      <c r="B159" s="40" t="s">
        <v>1254</v>
      </c>
      <c r="C159" s="54">
        <v>0</v>
      </c>
      <c r="D159" s="324"/>
      <c r="E159" s="54">
        <v>0</v>
      </c>
      <c r="G159" s="296">
        <f t="shared" si="30"/>
        <v>0</v>
      </c>
      <c r="I159" s="297">
        <f t="shared" si="29"/>
        <v>0</v>
      </c>
      <c r="K159" s="313"/>
    </row>
    <row r="160" spans="1:11">
      <c r="A160" s="475" t="s">
        <v>21</v>
      </c>
      <c r="B160" s="476"/>
      <c r="C160" s="473">
        <f>SUM(C118:C159)</f>
        <v>534336</v>
      </c>
      <c r="D160" s="474"/>
      <c r="E160" s="473">
        <f>SUM(E118:E159)</f>
        <v>565912</v>
      </c>
      <c r="F160" s="135"/>
      <c r="G160" s="473">
        <f>SUM(G118:G159)</f>
        <v>-32576</v>
      </c>
      <c r="H160" s="135"/>
      <c r="I160" s="466"/>
      <c r="J160" s="135"/>
      <c r="K160" s="313"/>
    </row>
    <row r="161" spans="1:11">
      <c r="A161" s="323"/>
      <c r="B161" s="56"/>
      <c r="C161" s="54"/>
      <c r="D161" s="324"/>
      <c r="E161" s="54"/>
      <c r="G161" s="194"/>
      <c r="I161" s="297"/>
      <c r="K161" s="313"/>
    </row>
    <row r="162" spans="1:11">
      <c r="A162" s="323" t="s">
        <v>234</v>
      </c>
      <c r="B162" s="56" t="s">
        <v>76</v>
      </c>
      <c r="C162" s="462">
        <v>3597</v>
      </c>
      <c r="D162" s="324"/>
      <c r="E162" s="462">
        <v>6310</v>
      </c>
      <c r="G162" s="296">
        <f t="shared" ref="G162:G167" si="31">C162-E162</f>
        <v>-2713</v>
      </c>
      <c r="I162" s="297">
        <f t="shared" ref="I162:I167" si="32">IF(E162=0,0,G162/E162)</f>
        <v>-0.42995245641838353</v>
      </c>
      <c r="K162" s="313"/>
    </row>
    <row r="163" spans="1:11">
      <c r="A163" s="323" t="s">
        <v>346</v>
      </c>
      <c r="B163" s="56" t="s">
        <v>76</v>
      </c>
      <c r="C163" s="54">
        <v>7500</v>
      </c>
      <c r="D163" s="324"/>
      <c r="E163" s="54">
        <v>6700</v>
      </c>
      <c r="G163" s="296">
        <f t="shared" si="31"/>
        <v>800</v>
      </c>
      <c r="I163" s="297">
        <f t="shared" si="32"/>
        <v>0.11940298507462686</v>
      </c>
      <c r="K163" s="313"/>
    </row>
    <row r="164" spans="1:11">
      <c r="A164" s="323" t="s">
        <v>407</v>
      </c>
      <c r="B164" s="56" t="s">
        <v>76</v>
      </c>
      <c r="C164" s="54">
        <v>6000</v>
      </c>
      <c r="D164" s="324"/>
      <c r="E164" s="54">
        <v>6000</v>
      </c>
      <c r="G164" s="296">
        <f t="shared" si="31"/>
        <v>0</v>
      </c>
      <c r="I164" s="297">
        <f t="shared" si="32"/>
        <v>0</v>
      </c>
      <c r="K164" s="313"/>
    </row>
    <row r="165" spans="1:11">
      <c r="A165" s="319" t="s">
        <v>562</v>
      </c>
      <c r="B165" s="56" t="s">
        <v>76</v>
      </c>
      <c r="C165" s="463">
        <v>133000</v>
      </c>
      <c r="D165" s="320"/>
      <c r="E165" s="463">
        <v>120000</v>
      </c>
      <c r="G165" s="296">
        <f t="shared" si="31"/>
        <v>13000</v>
      </c>
      <c r="I165" s="297">
        <f t="shared" si="32"/>
        <v>0.10833333333333334</v>
      </c>
      <c r="K165" s="313"/>
    </row>
    <row r="166" spans="1:11">
      <c r="A166" s="319" t="s">
        <v>625</v>
      </c>
      <c r="B166" s="56" t="s">
        <v>76</v>
      </c>
      <c r="C166" s="463">
        <v>14250</v>
      </c>
      <c r="D166" s="320"/>
      <c r="E166" s="463">
        <v>26997</v>
      </c>
      <c r="G166" s="296">
        <f t="shared" si="31"/>
        <v>-12747</v>
      </c>
      <c r="I166" s="297">
        <f t="shared" si="32"/>
        <v>-0.47216357373041451</v>
      </c>
      <c r="K166" s="313"/>
    </row>
    <row r="167" spans="1:11">
      <c r="A167" s="321" t="s">
        <v>626</v>
      </c>
      <c r="B167" s="56" t="s">
        <v>76</v>
      </c>
      <c r="C167" s="461">
        <v>750</v>
      </c>
      <c r="D167" s="322"/>
      <c r="E167" s="461">
        <v>600</v>
      </c>
      <c r="G167" s="296">
        <f t="shared" si="31"/>
        <v>150</v>
      </c>
      <c r="I167" s="297">
        <f t="shared" si="32"/>
        <v>0.25</v>
      </c>
      <c r="K167" s="313"/>
    </row>
    <row r="168" spans="1:11">
      <c r="A168" s="475" t="s">
        <v>21</v>
      </c>
      <c r="B168" s="40"/>
      <c r="C168" s="54">
        <f>SUM(C162:C167)</f>
        <v>165097</v>
      </c>
      <c r="D168" s="324"/>
      <c r="E168" s="54">
        <f>SUM(E162:E167)</f>
        <v>166607</v>
      </c>
      <c r="G168" s="54">
        <f>SUM(G162:G167)</f>
        <v>-1510</v>
      </c>
      <c r="I168" s="297"/>
      <c r="K168" s="313"/>
    </row>
    <row r="169" spans="1:11">
      <c r="A169" s="323"/>
      <c r="B169" s="40"/>
      <c r="C169" s="54"/>
      <c r="D169" s="324"/>
      <c r="E169" s="54"/>
      <c r="G169" s="296"/>
      <c r="I169" s="297"/>
      <c r="K169" s="313"/>
    </row>
    <row r="170" spans="1:11">
      <c r="A170" s="323"/>
      <c r="B170" s="40"/>
      <c r="C170" s="54"/>
      <c r="D170" s="324"/>
      <c r="E170" s="54"/>
      <c r="G170" s="296"/>
      <c r="I170" s="297"/>
      <c r="K170" s="313"/>
    </row>
    <row r="171" spans="1:11">
      <c r="A171" s="323" t="s">
        <v>236</v>
      </c>
      <c r="B171" s="40" t="s">
        <v>1255</v>
      </c>
      <c r="C171" s="462">
        <v>38608.5</v>
      </c>
      <c r="D171" s="324"/>
      <c r="E171" s="462">
        <v>32376</v>
      </c>
      <c r="G171" s="296">
        <f t="shared" ref="G171:G202" si="33">C171-E171</f>
        <v>6232.5</v>
      </c>
      <c r="I171" s="297">
        <f t="shared" ref="I171:I202" si="34">IF(E171=0,0,G171/E171)</f>
        <v>0.19250370644922166</v>
      </c>
      <c r="K171" s="313"/>
    </row>
    <row r="172" spans="1:11">
      <c r="A172" s="323" t="s">
        <v>275</v>
      </c>
      <c r="B172" s="151" t="s">
        <v>1255</v>
      </c>
      <c r="C172" s="462">
        <v>79800</v>
      </c>
      <c r="D172" s="324"/>
      <c r="E172" s="462">
        <v>90000</v>
      </c>
      <c r="G172" s="296">
        <f t="shared" si="33"/>
        <v>-10200</v>
      </c>
      <c r="I172" s="297">
        <f t="shared" si="34"/>
        <v>-0.11333333333333333</v>
      </c>
      <c r="K172" s="313"/>
    </row>
    <row r="173" spans="1:11">
      <c r="A173" s="323" t="s">
        <v>277</v>
      </c>
      <c r="B173" s="40" t="s">
        <v>1255</v>
      </c>
      <c r="C173" s="462">
        <v>0</v>
      </c>
      <c r="D173" s="324"/>
      <c r="E173" s="462">
        <v>0</v>
      </c>
      <c r="G173" s="296">
        <f t="shared" si="33"/>
        <v>0</v>
      </c>
      <c r="I173" s="297">
        <f t="shared" si="34"/>
        <v>0</v>
      </c>
      <c r="K173" s="313"/>
    </row>
    <row r="174" spans="1:11">
      <c r="A174" s="323" t="s">
        <v>307</v>
      </c>
      <c r="B174" s="40" t="s">
        <v>1255</v>
      </c>
      <c r="C174" s="462">
        <v>0</v>
      </c>
      <c r="D174" s="324"/>
      <c r="E174" s="462">
        <v>30731</v>
      </c>
      <c r="G174" s="296">
        <f t="shared" si="33"/>
        <v>-30731</v>
      </c>
      <c r="I174" s="297">
        <f t="shared" si="34"/>
        <v>-1</v>
      </c>
      <c r="K174" s="313"/>
    </row>
    <row r="175" spans="1:11">
      <c r="A175" s="321" t="s">
        <v>349</v>
      </c>
      <c r="B175" s="40" t="s">
        <v>1255</v>
      </c>
      <c r="C175" s="461">
        <v>97440</v>
      </c>
      <c r="D175" s="322"/>
      <c r="E175" s="461">
        <v>84000</v>
      </c>
      <c r="G175" s="296">
        <f t="shared" si="33"/>
        <v>13440</v>
      </c>
      <c r="I175" s="297">
        <f t="shared" si="34"/>
        <v>0.16</v>
      </c>
      <c r="K175" s="313"/>
    </row>
    <row r="176" spans="1:11">
      <c r="A176" s="323" t="s">
        <v>307</v>
      </c>
      <c r="B176" s="40" t="s">
        <v>1255</v>
      </c>
      <c r="C176" s="462">
        <v>0</v>
      </c>
      <c r="D176" s="324"/>
      <c r="E176" s="462">
        <v>30731</v>
      </c>
      <c r="G176" s="296">
        <f t="shared" si="33"/>
        <v>-30731</v>
      </c>
      <c r="I176" s="297">
        <f t="shared" si="34"/>
        <v>-1</v>
      </c>
      <c r="K176" s="313" t="s">
        <v>1201</v>
      </c>
    </row>
    <row r="177" spans="1:11">
      <c r="A177" s="323" t="s">
        <v>307</v>
      </c>
      <c r="B177" s="40" t="s">
        <v>1255</v>
      </c>
      <c r="C177" s="205">
        <v>30810</v>
      </c>
      <c r="D177" s="324"/>
      <c r="E177" s="54">
        <v>30731</v>
      </c>
      <c r="G177" s="296">
        <f t="shared" si="33"/>
        <v>79</v>
      </c>
      <c r="I177" s="297">
        <f t="shared" si="34"/>
        <v>2.5706940874035988E-3</v>
      </c>
      <c r="K177" s="313"/>
    </row>
    <row r="178" spans="1:11">
      <c r="A178" s="323" t="s">
        <v>404</v>
      </c>
      <c r="B178" s="40" t="s">
        <v>1255</v>
      </c>
      <c r="C178" s="54">
        <v>10000</v>
      </c>
      <c r="D178" s="324"/>
      <c r="E178" s="54">
        <v>47149.19</v>
      </c>
      <c r="G178" s="296">
        <f t="shared" si="33"/>
        <v>-37149.19</v>
      </c>
      <c r="I178" s="297">
        <f t="shared" si="34"/>
        <v>-0.78790727900097546</v>
      </c>
      <c r="K178" s="313"/>
    </row>
    <row r="179" spans="1:11">
      <c r="A179" s="323" t="s">
        <v>469</v>
      </c>
      <c r="B179" s="40" t="s">
        <v>1255</v>
      </c>
      <c r="C179" s="462">
        <v>0</v>
      </c>
      <c r="D179" s="324"/>
      <c r="E179" s="462">
        <v>5478</v>
      </c>
      <c r="G179" s="296">
        <f t="shared" si="33"/>
        <v>-5478</v>
      </c>
      <c r="I179" s="297">
        <f t="shared" si="34"/>
        <v>-1</v>
      </c>
      <c r="K179" s="313"/>
    </row>
    <row r="180" spans="1:11">
      <c r="A180" s="323" t="s">
        <v>471</v>
      </c>
      <c r="B180" s="40" t="s">
        <v>1255</v>
      </c>
      <c r="C180" s="54">
        <v>60450</v>
      </c>
      <c r="D180" s="324"/>
      <c r="E180" s="54">
        <v>60295</v>
      </c>
      <c r="G180" s="296">
        <f t="shared" si="33"/>
        <v>155</v>
      </c>
      <c r="I180" s="297">
        <f t="shared" si="34"/>
        <v>2.5706940874035988E-3</v>
      </c>
      <c r="K180" s="313"/>
    </row>
    <row r="181" spans="1:11">
      <c r="A181" s="323" t="s">
        <v>474</v>
      </c>
      <c r="B181" s="40" t="s">
        <v>1255</v>
      </c>
      <c r="C181" s="54">
        <v>6000</v>
      </c>
      <c r="D181" s="324"/>
      <c r="E181" s="54">
        <v>5688</v>
      </c>
      <c r="G181" s="296">
        <f t="shared" si="33"/>
        <v>312</v>
      </c>
      <c r="I181" s="297">
        <f t="shared" si="34"/>
        <v>5.4852320675105488E-2</v>
      </c>
      <c r="K181" s="313"/>
    </row>
    <row r="182" spans="1:11">
      <c r="A182" s="323" t="s">
        <v>477</v>
      </c>
      <c r="B182" s="40" t="s">
        <v>1255</v>
      </c>
      <c r="C182" s="54">
        <v>5000</v>
      </c>
      <c r="D182" s="324"/>
      <c r="E182" s="54">
        <v>4500</v>
      </c>
      <c r="G182" s="296">
        <f t="shared" si="33"/>
        <v>500</v>
      </c>
      <c r="I182" s="297">
        <f t="shared" si="34"/>
        <v>0.1111111111111111</v>
      </c>
      <c r="K182" s="313"/>
    </row>
    <row r="183" spans="1:11">
      <c r="A183" s="323" t="s">
        <v>191</v>
      </c>
      <c r="B183" s="40" t="s">
        <v>1255</v>
      </c>
      <c r="C183" s="54">
        <v>6000</v>
      </c>
      <c r="D183" s="324"/>
      <c r="E183" s="54">
        <v>2200</v>
      </c>
      <c r="G183" s="296">
        <f t="shared" si="33"/>
        <v>3800</v>
      </c>
      <c r="I183" s="297">
        <f t="shared" si="34"/>
        <v>1.7272727272727273</v>
      </c>
      <c r="K183" s="313"/>
    </row>
    <row r="184" spans="1:11">
      <c r="A184" s="323" t="s">
        <v>307</v>
      </c>
      <c r="B184" s="40" t="s">
        <v>1255</v>
      </c>
      <c r="C184" s="462">
        <v>0</v>
      </c>
      <c r="D184" s="324"/>
      <c r="E184" s="462">
        <v>30731</v>
      </c>
      <c r="G184" s="296">
        <f t="shared" si="33"/>
        <v>-30731</v>
      </c>
      <c r="I184" s="297">
        <f t="shared" si="34"/>
        <v>-1</v>
      </c>
      <c r="K184" s="313" t="s">
        <v>1201</v>
      </c>
    </row>
    <row r="185" spans="1:11">
      <c r="A185" s="323" t="s">
        <v>172</v>
      </c>
      <c r="B185" s="40" t="s">
        <v>1255</v>
      </c>
      <c r="C185" s="54">
        <v>1286163.8068965515</v>
      </c>
      <c r="D185" s="324" t="s">
        <v>742</v>
      </c>
      <c r="E185" s="54">
        <v>895938.12</v>
      </c>
      <c r="G185" s="296">
        <f t="shared" si="33"/>
        <v>390225.68689655152</v>
      </c>
      <c r="I185" s="297">
        <f t="shared" si="34"/>
        <v>0.43554981999934494</v>
      </c>
      <c r="K185" s="313" t="s">
        <v>1102</v>
      </c>
    </row>
    <row r="186" spans="1:11">
      <c r="A186" s="323" t="s">
        <v>601</v>
      </c>
      <c r="B186" s="40" t="s">
        <v>1255</v>
      </c>
      <c r="C186" s="54">
        <v>53544</v>
      </c>
      <c r="D186" s="324"/>
      <c r="E186" s="54">
        <v>49680</v>
      </c>
      <c r="G186" s="296">
        <f t="shared" si="33"/>
        <v>3864</v>
      </c>
      <c r="I186" s="297">
        <f t="shared" si="34"/>
        <v>7.7777777777777779E-2</v>
      </c>
      <c r="K186" s="313"/>
    </row>
    <row r="187" spans="1:11">
      <c r="A187" s="323" t="s">
        <v>604</v>
      </c>
      <c r="B187" s="40" t="s">
        <v>1255</v>
      </c>
      <c r="C187" s="54">
        <v>9312</v>
      </c>
      <c r="D187" s="324"/>
      <c r="E187" s="54">
        <v>18522</v>
      </c>
      <c r="G187" s="296">
        <f t="shared" si="33"/>
        <v>-9210</v>
      </c>
      <c r="I187" s="297">
        <f t="shared" si="34"/>
        <v>-0.49724651765468092</v>
      </c>
      <c r="K187" s="313"/>
    </row>
    <row r="188" spans="1:11">
      <c r="A188" s="323" t="s">
        <v>613</v>
      </c>
      <c r="B188" s="40" t="s">
        <v>1255</v>
      </c>
      <c r="C188" s="54">
        <v>15826</v>
      </c>
      <c r="D188" s="324"/>
      <c r="E188" s="54">
        <v>19500</v>
      </c>
      <c r="G188" s="296">
        <f t="shared" si="33"/>
        <v>-3674</v>
      </c>
      <c r="I188" s="297">
        <f t="shared" si="34"/>
        <v>-0.18841025641025641</v>
      </c>
      <c r="K188" s="313"/>
    </row>
    <row r="189" spans="1:11">
      <c r="A189" s="323" t="s">
        <v>617</v>
      </c>
      <c r="B189" s="40" t="s">
        <v>1255</v>
      </c>
      <c r="C189" s="54">
        <v>15826</v>
      </c>
      <c r="D189" s="324"/>
      <c r="E189" s="54">
        <v>28024.1</v>
      </c>
      <c r="G189" s="296">
        <f t="shared" si="33"/>
        <v>-12198.099999999999</v>
      </c>
      <c r="I189" s="297">
        <f t="shared" si="34"/>
        <v>-0.43527178392883265</v>
      </c>
      <c r="K189" s="313"/>
    </row>
    <row r="190" spans="1:11">
      <c r="A190" s="323" t="s">
        <v>640</v>
      </c>
      <c r="B190" s="40" t="s">
        <v>1255</v>
      </c>
      <c r="C190" s="54">
        <v>172380</v>
      </c>
      <c r="D190" s="324"/>
      <c r="E190" s="54">
        <v>127203</v>
      </c>
      <c r="G190" s="296">
        <f t="shared" si="33"/>
        <v>45177</v>
      </c>
      <c r="I190" s="297">
        <f t="shared" si="34"/>
        <v>0.35515671800193394</v>
      </c>
      <c r="K190" s="313" t="s">
        <v>1216</v>
      </c>
    </row>
    <row r="191" spans="1:11">
      <c r="A191" s="323" t="s">
        <v>646</v>
      </c>
      <c r="B191" s="40" t="s">
        <v>1255</v>
      </c>
      <c r="C191" s="462">
        <v>100203.11029999999</v>
      </c>
      <c r="D191" s="324"/>
      <c r="E191" s="462">
        <v>100608.32949999999</v>
      </c>
      <c r="G191" s="296">
        <f t="shared" si="33"/>
        <v>-405.21920000000682</v>
      </c>
      <c r="I191" s="297">
        <f t="shared" si="34"/>
        <v>-4.0276903713027746E-3</v>
      </c>
      <c r="K191" s="313"/>
    </row>
    <row r="192" spans="1:11">
      <c r="A192" s="323" t="s">
        <v>648</v>
      </c>
      <c r="B192" s="40" t="s">
        <v>1255</v>
      </c>
      <c r="C192" s="54">
        <v>55163.105600000003</v>
      </c>
      <c r="D192" s="324"/>
      <c r="E192" s="54">
        <v>55386.184000000001</v>
      </c>
      <c r="G192" s="296">
        <f t="shared" si="33"/>
        <v>-223.07839999999851</v>
      </c>
      <c r="I192" s="297">
        <f t="shared" si="34"/>
        <v>-4.0276903713026791E-3</v>
      </c>
      <c r="K192" s="313"/>
    </row>
    <row r="193" spans="1:11">
      <c r="A193" s="323" t="s">
        <v>650</v>
      </c>
      <c r="B193" s="40" t="s">
        <v>1255</v>
      </c>
      <c r="C193" s="54">
        <v>0</v>
      </c>
      <c r="D193" s="324"/>
      <c r="E193" s="54">
        <v>0</v>
      </c>
      <c r="G193" s="296">
        <f t="shared" si="33"/>
        <v>0</v>
      </c>
      <c r="I193" s="297">
        <f t="shared" si="34"/>
        <v>0</v>
      </c>
      <c r="K193" s="313"/>
    </row>
    <row r="194" spans="1:11">
      <c r="A194" s="323" t="s">
        <v>652</v>
      </c>
      <c r="B194" s="40" t="s">
        <v>1255</v>
      </c>
      <c r="C194" s="54">
        <v>100000</v>
      </c>
      <c r="D194" s="324"/>
      <c r="E194" s="54">
        <v>100000</v>
      </c>
      <c r="G194" s="296">
        <f t="shared" si="33"/>
        <v>0</v>
      </c>
      <c r="I194" s="297">
        <f t="shared" si="34"/>
        <v>0</v>
      </c>
      <c r="K194" s="313" t="s">
        <v>1219</v>
      </c>
    </row>
    <row r="195" spans="1:11">
      <c r="A195" s="323" t="s">
        <v>655</v>
      </c>
      <c r="B195" s="40" t="s">
        <v>1255</v>
      </c>
      <c r="C195" s="54">
        <v>1319548</v>
      </c>
      <c r="D195" s="324"/>
      <c r="E195" s="54">
        <v>2029089</v>
      </c>
      <c r="G195" s="296">
        <f t="shared" si="33"/>
        <v>-709541</v>
      </c>
      <c r="I195" s="297">
        <f t="shared" si="34"/>
        <v>-0.34968451359206026</v>
      </c>
      <c r="K195" s="313" t="s">
        <v>1076</v>
      </c>
    </row>
    <row r="196" spans="1:11">
      <c r="A196" s="323" t="s">
        <v>658</v>
      </c>
      <c r="B196" s="40" t="s">
        <v>1255</v>
      </c>
      <c r="C196" s="54">
        <v>43430</v>
      </c>
      <c r="D196" s="324"/>
      <c r="E196" s="54">
        <v>33919</v>
      </c>
      <c r="G196" s="296">
        <f t="shared" si="33"/>
        <v>9511</v>
      </c>
      <c r="I196" s="297">
        <f t="shared" si="34"/>
        <v>0.28040331377693917</v>
      </c>
      <c r="K196" s="313"/>
    </row>
    <row r="197" spans="1:11">
      <c r="A197" s="323" t="s">
        <v>660</v>
      </c>
      <c r="B197" s="40" t="s">
        <v>1255</v>
      </c>
      <c r="C197" s="54">
        <v>350000</v>
      </c>
      <c r="D197" s="324"/>
      <c r="E197" s="54">
        <v>350000</v>
      </c>
      <c r="G197" s="296">
        <f t="shared" si="33"/>
        <v>0</v>
      </c>
      <c r="I197" s="297">
        <f t="shared" si="34"/>
        <v>0</v>
      </c>
      <c r="K197" s="313"/>
    </row>
    <row r="198" spans="1:11">
      <c r="A198" s="323" t="s">
        <v>662</v>
      </c>
      <c r="B198" s="40" t="s">
        <v>1255</v>
      </c>
      <c r="C198" s="54">
        <v>0</v>
      </c>
      <c r="D198" s="324"/>
      <c r="E198" s="54">
        <v>0</v>
      </c>
      <c r="G198" s="296">
        <f t="shared" si="33"/>
        <v>0</v>
      </c>
      <c r="I198" s="297">
        <f t="shared" si="34"/>
        <v>0</v>
      </c>
      <c r="K198" s="313"/>
    </row>
    <row r="199" spans="1:11">
      <c r="A199" s="323" t="s">
        <v>664</v>
      </c>
      <c r="B199" s="40" t="s">
        <v>1255</v>
      </c>
      <c r="C199" s="54">
        <v>40989.340000000004</v>
      </c>
      <c r="D199" s="324"/>
      <c r="E199" s="54">
        <v>41155.1</v>
      </c>
      <c r="G199" s="296">
        <f t="shared" si="33"/>
        <v>-165.75999999999476</v>
      </c>
      <c r="I199" s="297">
        <f t="shared" si="34"/>
        <v>-4.0276903713025785E-3</v>
      </c>
      <c r="K199" s="313"/>
    </row>
    <row r="200" spans="1:11">
      <c r="A200" s="323" t="s">
        <v>668</v>
      </c>
      <c r="B200" s="40" t="s">
        <v>1255</v>
      </c>
      <c r="C200" s="462">
        <v>5000</v>
      </c>
      <c r="D200" s="324"/>
      <c r="E200" s="462">
        <v>5000</v>
      </c>
      <c r="G200" s="296">
        <f t="shared" si="33"/>
        <v>0</v>
      </c>
      <c r="I200" s="297">
        <f t="shared" si="34"/>
        <v>0</v>
      </c>
      <c r="K200" s="313"/>
    </row>
    <row r="201" spans="1:11">
      <c r="A201" s="323" t="s">
        <v>670</v>
      </c>
      <c r="B201" s="40" t="s">
        <v>1255</v>
      </c>
      <c r="C201" s="54">
        <v>7500</v>
      </c>
      <c r="D201" s="324"/>
      <c r="E201" s="54">
        <v>2500</v>
      </c>
      <c r="G201" s="296">
        <f t="shared" si="33"/>
        <v>5000</v>
      </c>
      <c r="I201" s="297">
        <f t="shared" si="34"/>
        <v>2</v>
      </c>
      <c r="K201" s="313"/>
    </row>
    <row r="202" spans="1:11">
      <c r="A202" s="323" t="s">
        <v>672</v>
      </c>
      <c r="B202" s="40" t="s">
        <v>1255</v>
      </c>
      <c r="C202" s="54">
        <v>15000</v>
      </c>
      <c r="D202" s="324"/>
      <c r="E202" s="54">
        <v>15000</v>
      </c>
      <c r="G202" s="296">
        <f t="shared" si="33"/>
        <v>0</v>
      </c>
      <c r="I202" s="297">
        <f t="shared" si="34"/>
        <v>0</v>
      </c>
      <c r="K202" s="313"/>
    </row>
    <row r="203" spans="1:11">
      <c r="A203" s="323" t="s">
        <v>674</v>
      </c>
      <c r="B203" s="40" t="s">
        <v>1255</v>
      </c>
      <c r="C203" s="54">
        <v>708863.2</v>
      </c>
      <c r="D203" s="324"/>
      <c r="E203" s="54">
        <v>617698.19999999995</v>
      </c>
      <c r="G203" s="296">
        <f t="shared" ref="G203:G223" si="35">C203-E203</f>
        <v>91165</v>
      </c>
      <c r="I203" s="297">
        <f t="shared" ref="I203:I233" si="36">IF(E203=0,0,G203/E203)</f>
        <v>0.1475882558828891</v>
      </c>
      <c r="K203" s="313" t="s">
        <v>1222</v>
      </c>
    </row>
    <row r="204" spans="1:11">
      <c r="A204" s="323" t="s">
        <v>676</v>
      </c>
      <c r="B204" s="40" t="s">
        <v>1255</v>
      </c>
      <c r="C204" s="54">
        <v>40866.449999999997</v>
      </c>
      <c r="D204" s="324"/>
      <c r="E204" s="54">
        <v>41244.905999999995</v>
      </c>
      <c r="G204" s="296">
        <f t="shared" si="35"/>
        <v>-378.45599999999831</v>
      </c>
      <c r="I204" s="297">
        <f t="shared" si="36"/>
        <v>-9.1758240399432197E-3</v>
      </c>
      <c r="K204" s="313"/>
    </row>
    <row r="205" spans="1:11">
      <c r="A205" s="323" t="s">
        <v>149</v>
      </c>
      <c r="B205" s="40" t="s">
        <v>1255</v>
      </c>
      <c r="C205" s="54">
        <v>6750</v>
      </c>
      <c r="D205" s="324"/>
      <c r="E205" s="54">
        <v>22376</v>
      </c>
      <c r="G205" s="296">
        <f t="shared" si="35"/>
        <v>-15626</v>
      </c>
      <c r="I205" s="297">
        <f t="shared" si="36"/>
        <v>-0.69833750446907406</v>
      </c>
      <c r="K205" s="313"/>
    </row>
    <row r="206" spans="1:11">
      <c r="A206" s="323" t="s">
        <v>681</v>
      </c>
      <c r="B206" s="40" t="s">
        <v>1255</v>
      </c>
      <c r="C206" s="54">
        <v>172530</v>
      </c>
      <c r="D206" s="324"/>
      <c r="E206" s="54">
        <v>84271.5</v>
      </c>
      <c r="G206" s="296">
        <f t="shared" si="35"/>
        <v>88258.5</v>
      </c>
      <c r="I206" s="297">
        <f t="shared" si="36"/>
        <v>1.0473113686121642</v>
      </c>
      <c r="K206" s="313"/>
    </row>
    <row r="207" spans="1:11">
      <c r="A207" s="323" t="s">
        <v>683</v>
      </c>
      <c r="B207" s="40" t="s">
        <v>1255</v>
      </c>
      <c r="C207" s="54">
        <v>206646</v>
      </c>
      <c r="D207" s="324"/>
      <c r="E207" s="54">
        <v>145736.32000000001</v>
      </c>
      <c r="G207" s="296">
        <f t="shared" si="35"/>
        <v>60909.679999999993</v>
      </c>
      <c r="I207" s="297">
        <f t="shared" si="36"/>
        <v>0.41794440809264288</v>
      </c>
      <c r="K207" s="313"/>
    </row>
    <row r="208" spans="1:11">
      <c r="A208" s="330" t="s">
        <v>685</v>
      </c>
      <c r="B208" s="40" t="s">
        <v>1255</v>
      </c>
      <c r="C208" s="54">
        <v>309236</v>
      </c>
      <c r="D208" s="324"/>
      <c r="E208" s="54">
        <v>424633.2</v>
      </c>
      <c r="G208" s="296">
        <f t="shared" si="35"/>
        <v>-115397.20000000001</v>
      </c>
      <c r="I208" s="297">
        <f t="shared" si="36"/>
        <v>-0.27175736612210255</v>
      </c>
      <c r="K208" s="313"/>
    </row>
    <row r="209" spans="1:11">
      <c r="A209" s="323" t="s">
        <v>687</v>
      </c>
      <c r="B209" s="40" t="s">
        <v>1255</v>
      </c>
      <c r="C209" s="54">
        <v>0</v>
      </c>
      <c r="D209" s="324"/>
      <c r="E209" s="54">
        <v>0</v>
      </c>
      <c r="G209" s="296">
        <f t="shared" si="35"/>
        <v>0</v>
      </c>
      <c r="I209" s="297">
        <f t="shared" si="36"/>
        <v>0</v>
      </c>
      <c r="K209" s="313"/>
    </row>
    <row r="210" spans="1:11">
      <c r="A210" s="323" t="s">
        <v>691</v>
      </c>
      <c r="B210" s="40" t="s">
        <v>1255</v>
      </c>
      <c r="C210" s="54">
        <v>39185.175999999999</v>
      </c>
      <c r="D210" s="324"/>
      <c r="E210" s="54">
        <v>39343.64</v>
      </c>
      <c r="G210" s="296">
        <f t="shared" si="35"/>
        <v>-158.46399999999994</v>
      </c>
      <c r="I210" s="297">
        <f t="shared" si="36"/>
        <v>-4.0276903713027043E-3</v>
      </c>
      <c r="K210" s="313"/>
    </row>
    <row r="211" spans="1:11">
      <c r="A211" s="321" t="s">
        <v>693</v>
      </c>
      <c r="B211" s="47" t="s">
        <v>1255</v>
      </c>
      <c r="C211" s="461">
        <v>163650</v>
      </c>
      <c r="D211" s="322"/>
      <c r="E211" s="461">
        <v>351360</v>
      </c>
      <c r="G211" s="296">
        <f t="shared" si="35"/>
        <v>-187710</v>
      </c>
      <c r="I211" s="297">
        <f t="shared" si="36"/>
        <v>-0.53423838797814205</v>
      </c>
      <c r="K211" s="313"/>
    </row>
    <row r="212" spans="1:11">
      <c r="A212" s="323" t="s">
        <v>696</v>
      </c>
      <c r="B212" s="40" t="s">
        <v>1255</v>
      </c>
      <c r="C212" s="54">
        <v>34790</v>
      </c>
      <c r="D212" s="324"/>
      <c r="E212" s="54">
        <v>30000</v>
      </c>
      <c r="G212" s="296">
        <f t="shared" si="35"/>
        <v>4790</v>
      </c>
      <c r="I212" s="297">
        <f t="shared" si="36"/>
        <v>0.15966666666666668</v>
      </c>
      <c r="K212" s="313"/>
    </row>
    <row r="213" spans="1:11">
      <c r="A213" s="323" t="s">
        <v>698</v>
      </c>
      <c r="B213" s="40" t="s">
        <v>1255</v>
      </c>
      <c r="C213" s="54">
        <v>15000</v>
      </c>
      <c r="D213" s="324"/>
      <c r="E213" s="54">
        <v>10000</v>
      </c>
      <c r="G213" s="296">
        <f t="shared" si="35"/>
        <v>5000</v>
      </c>
      <c r="I213" s="297">
        <f t="shared" si="36"/>
        <v>0.5</v>
      </c>
      <c r="K213" s="313"/>
    </row>
    <row r="214" spans="1:11">
      <c r="A214" s="323" t="s">
        <v>700</v>
      </c>
      <c r="B214" s="40" t="s">
        <v>1255</v>
      </c>
      <c r="C214" s="54">
        <v>28000</v>
      </c>
      <c r="D214" s="324"/>
      <c r="E214" s="54">
        <v>16200</v>
      </c>
      <c r="G214" s="296">
        <f t="shared" si="35"/>
        <v>11800</v>
      </c>
      <c r="I214" s="297">
        <f t="shared" si="36"/>
        <v>0.72839506172839508</v>
      </c>
      <c r="K214" s="313"/>
    </row>
    <row r="215" spans="1:11">
      <c r="A215" s="323" t="s">
        <v>705</v>
      </c>
      <c r="B215" s="40" t="s">
        <v>1255</v>
      </c>
      <c r="C215" s="54">
        <v>192000</v>
      </c>
      <c r="D215" s="324"/>
      <c r="E215" s="54">
        <v>96000</v>
      </c>
      <c r="G215" s="296">
        <f t="shared" si="35"/>
        <v>96000</v>
      </c>
      <c r="I215" s="297">
        <f t="shared" si="36"/>
        <v>1</v>
      </c>
      <c r="K215" s="313"/>
    </row>
    <row r="216" spans="1:11">
      <c r="A216" s="323" t="s">
        <v>707</v>
      </c>
      <c r="B216" s="40" t="s">
        <v>1255</v>
      </c>
      <c r="C216" s="54">
        <v>7110</v>
      </c>
      <c r="D216" s="324"/>
      <c r="E216" s="54">
        <v>3555</v>
      </c>
      <c r="G216" s="296">
        <f t="shared" si="35"/>
        <v>3555</v>
      </c>
      <c r="I216" s="297">
        <f t="shared" si="36"/>
        <v>1</v>
      </c>
      <c r="K216" s="313"/>
    </row>
    <row r="217" spans="1:11">
      <c r="A217" s="323" t="s">
        <v>709</v>
      </c>
      <c r="B217" s="40" t="s">
        <v>1255</v>
      </c>
      <c r="C217" s="54">
        <v>0</v>
      </c>
      <c r="D217" s="324"/>
      <c r="E217" s="54">
        <v>17116</v>
      </c>
      <c r="G217" s="296">
        <f t="shared" si="35"/>
        <v>-17116</v>
      </c>
      <c r="I217" s="297">
        <f t="shared" si="36"/>
        <v>-1</v>
      </c>
      <c r="K217" s="313"/>
    </row>
    <row r="218" spans="1:11">
      <c r="A218" s="323" t="s">
        <v>711</v>
      </c>
      <c r="B218" s="40" t="s">
        <v>1255</v>
      </c>
      <c r="C218" s="54">
        <v>0</v>
      </c>
      <c r="D218" s="324"/>
      <c r="E218" s="54">
        <v>4800</v>
      </c>
      <c r="G218" s="296">
        <f t="shared" si="35"/>
        <v>-4800</v>
      </c>
      <c r="I218" s="297">
        <f t="shared" si="36"/>
        <v>-1</v>
      </c>
      <c r="K218" s="313"/>
    </row>
    <row r="219" spans="1:11">
      <c r="A219" s="323" t="s">
        <v>713</v>
      </c>
      <c r="B219" s="40" t="s">
        <v>1255</v>
      </c>
      <c r="C219" s="54">
        <v>39565</v>
      </c>
      <c r="D219" s="324"/>
      <c r="E219" s="54">
        <v>32500</v>
      </c>
      <c r="G219" s="296">
        <f t="shared" si="35"/>
        <v>7065</v>
      </c>
      <c r="I219" s="297">
        <f t="shared" si="36"/>
        <v>0.2173846153846154</v>
      </c>
      <c r="K219" s="313"/>
    </row>
    <row r="220" spans="1:11">
      <c r="A220" s="323" t="s">
        <v>715</v>
      </c>
      <c r="B220" s="40" t="s">
        <v>1255</v>
      </c>
      <c r="C220" s="54">
        <v>545312.67999999993</v>
      </c>
      <c r="D220" s="324"/>
      <c r="E220" s="54">
        <v>244000</v>
      </c>
      <c r="G220" s="296">
        <f t="shared" si="35"/>
        <v>301312.67999999993</v>
      </c>
      <c r="I220" s="297">
        <f t="shared" si="36"/>
        <v>1.234888032786885</v>
      </c>
      <c r="K220" s="313" t="s">
        <v>1223</v>
      </c>
    </row>
    <row r="221" spans="1:11">
      <c r="A221" s="323" t="s">
        <v>718</v>
      </c>
      <c r="B221" s="40" t="s">
        <v>1255</v>
      </c>
      <c r="C221" s="54">
        <v>0</v>
      </c>
      <c r="D221" s="324"/>
      <c r="E221" s="54">
        <v>20866.88</v>
      </c>
      <c r="G221" s="296">
        <f t="shared" si="35"/>
        <v>-20866.88</v>
      </c>
      <c r="I221" s="297">
        <f t="shared" si="36"/>
        <v>-1</v>
      </c>
      <c r="K221" s="313"/>
    </row>
    <row r="222" spans="1:11">
      <c r="A222" s="323" t="s">
        <v>720</v>
      </c>
      <c r="B222" s="40" t="s">
        <v>1255</v>
      </c>
      <c r="C222" s="54">
        <v>125000</v>
      </c>
      <c r="D222" s="324"/>
      <c r="E222" s="54">
        <v>50000</v>
      </c>
      <c r="G222" s="296">
        <f t="shared" si="35"/>
        <v>75000</v>
      </c>
      <c r="I222" s="297">
        <f t="shared" si="36"/>
        <v>1.5</v>
      </c>
      <c r="K222" s="313" t="s">
        <v>1079</v>
      </c>
    </row>
    <row r="223" spans="1:11">
      <c r="A223" s="319" t="s">
        <v>726</v>
      </c>
      <c r="B223" s="40" t="s">
        <v>1255</v>
      </c>
      <c r="C223" s="463">
        <v>3064027.78</v>
      </c>
      <c r="D223" s="320"/>
      <c r="E223" s="463">
        <v>2640182.2969999998</v>
      </c>
      <c r="G223" s="296">
        <f t="shared" si="35"/>
        <v>423845.48300000001</v>
      </c>
      <c r="I223" s="297">
        <f t="shared" si="36"/>
        <v>0.16053644609374487</v>
      </c>
      <c r="K223" s="313" t="s">
        <v>1108</v>
      </c>
    </row>
    <row r="224" spans="1:11">
      <c r="A224" s="321" t="s">
        <v>729</v>
      </c>
      <c r="B224" s="40" t="s">
        <v>1255</v>
      </c>
      <c r="C224" s="461">
        <v>0</v>
      </c>
      <c r="D224" s="322"/>
      <c r="E224" s="461">
        <v>0</v>
      </c>
      <c r="G224" s="426">
        <v>100000</v>
      </c>
      <c r="I224" s="297">
        <f t="shared" si="36"/>
        <v>0</v>
      </c>
      <c r="K224" s="427"/>
    </row>
    <row r="225" spans="1:11">
      <c r="A225" s="323" t="s">
        <v>730</v>
      </c>
      <c r="B225" s="40" t="s">
        <v>1255</v>
      </c>
      <c r="C225" s="54">
        <v>0</v>
      </c>
      <c r="D225" s="324"/>
      <c r="E225" s="54">
        <v>0</v>
      </c>
      <c r="G225" s="426">
        <v>360000</v>
      </c>
      <c r="I225" s="297">
        <f t="shared" si="36"/>
        <v>0</v>
      </c>
      <c r="K225" s="427"/>
    </row>
    <row r="226" spans="1:11">
      <c r="A226" s="330" t="s">
        <v>746</v>
      </c>
      <c r="B226" s="40" t="s">
        <v>1255</v>
      </c>
      <c r="C226" s="54">
        <v>832918.12</v>
      </c>
      <c r="D226" s="324"/>
      <c r="E226" s="54">
        <v>1401115</v>
      </c>
      <c r="G226" s="296">
        <f t="shared" ref="G226:G247" si="37">C226-E226</f>
        <v>-568196.88</v>
      </c>
      <c r="I226" s="297">
        <f t="shared" si="36"/>
        <v>-0.40553193706440943</v>
      </c>
      <c r="K226" s="313" t="s">
        <v>1226</v>
      </c>
    </row>
    <row r="227" spans="1:11">
      <c r="A227" s="334" t="s">
        <v>748</v>
      </c>
      <c r="B227" s="40" t="s">
        <v>1255</v>
      </c>
      <c r="C227" s="461">
        <v>394942</v>
      </c>
      <c r="D227" s="322"/>
      <c r="E227" s="461">
        <v>482425</v>
      </c>
      <c r="G227" s="296">
        <f t="shared" si="37"/>
        <v>-87483</v>
      </c>
      <c r="I227" s="297">
        <f t="shared" si="36"/>
        <v>-0.18134010467948386</v>
      </c>
      <c r="K227" s="313" t="s">
        <v>1226</v>
      </c>
    </row>
    <row r="228" spans="1:11">
      <c r="A228" s="330" t="s">
        <v>751</v>
      </c>
      <c r="B228" s="40" t="s">
        <v>1255</v>
      </c>
      <c r="C228" s="54">
        <v>0</v>
      </c>
      <c r="D228" s="324"/>
      <c r="E228" s="54">
        <v>0</v>
      </c>
      <c r="G228" s="296">
        <f t="shared" si="37"/>
        <v>0</v>
      </c>
      <c r="I228" s="297">
        <f t="shared" si="36"/>
        <v>0</v>
      </c>
      <c r="K228" s="313"/>
    </row>
    <row r="229" spans="1:11">
      <c r="A229" s="330" t="s">
        <v>753</v>
      </c>
      <c r="B229" s="40" t="s">
        <v>1255</v>
      </c>
      <c r="C229" s="54">
        <v>15000</v>
      </c>
      <c r="D229" s="324"/>
      <c r="E229" s="54">
        <v>5000</v>
      </c>
      <c r="G229" s="296">
        <f t="shared" si="37"/>
        <v>10000</v>
      </c>
      <c r="I229" s="297">
        <f t="shared" si="36"/>
        <v>2</v>
      </c>
      <c r="K229" s="313"/>
    </row>
    <row r="230" spans="1:11">
      <c r="A230" s="323" t="s">
        <v>759</v>
      </c>
      <c r="B230" s="40" t="s">
        <v>1255</v>
      </c>
      <c r="C230" s="54">
        <v>432813</v>
      </c>
      <c r="D230" s="324"/>
      <c r="E230" s="54">
        <v>514000</v>
      </c>
      <c r="G230" s="296">
        <f t="shared" si="37"/>
        <v>-81187</v>
      </c>
      <c r="I230" s="297">
        <f t="shared" si="36"/>
        <v>-0.15795136186770428</v>
      </c>
      <c r="K230" s="313" t="s">
        <v>1227</v>
      </c>
    </row>
    <row r="231" spans="1:11">
      <c r="A231" s="323" t="s">
        <v>762</v>
      </c>
      <c r="B231" s="40" t="s">
        <v>1255</v>
      </c>
      <c r="C231" s="54">
        <v>25000</v>
      </c>
      <c r="D231" s="324"/>
      <c r="E231" s="54">
        <v>20000</v>
      </c>
      <c r="G231" s="296">
        <f t="shared" si="37"/>
        <v>5000</v>
      </c>
      <c r="I231" s="297">
        <f t="shared" si="36"/>
        <v>0.25</v>
      </c>
      <c r="K231" s="313"/>
    </row>
    <row r="232" spans="1:11">
      <c r="A232" s="323" t="s">
        <v>780</v>
      </c>
      <c r="B232" s="40" t="s">
        <v>1255</v>
      </c>
      <c r="C232" s="462">
        <v>399750</v>
      </c>
      <c r="D232" s="324"/>
      <c r="E232" s="462">
        <v>352793.07692307694</v>
      </c>
      <c r="G232" s="296">
        <f t="shared" si="37"/>
        <v>46956.923076923063</v>
      </c>
      <c r="I232" s="297">
        <f t="shared" si="36"/>
        <v>0.13310046638801123</v>
      </c>
      <c r="K232" s="313"/>
    </row>
    <row r="233" spans="1:11">
      <c r="A233" s="323" t="s">
        <v>783</v>
      </c>
      <c r="B233" s="40" t="s">
        <v>1255</v>
      </c>
      <c r="C233" s="54">
        <v>50000</v>
      </c>
      <c r="D233" s="324"/>
      <c r="E233" s="54">
        <v>20837</v>
      </c>
      <c r="G233" s="296">
        <f t="shared" si="37"/>
        <v>29163</v>
      </c>
      <c r="I233" s="297">
        <f t="shared" si="36"/>
        <v>1.399577674329318</v>
      </c>
      <c r="K233" s="313"/>
    </row>
    <row r="234" spans="1:11">
      <c r="A234" s="323" t="s">
        <v>786</v>
      </c>
      <c r="B234" s="40" t="s">
        <v>1255</v>
      </c>
      <c r="C234" s="54">
        <v>20000</v>
      </c>
      <c r="D234" s="324"/>
      <c r="E234" s="54">
        <v>0</v>
      </c>
      <c r="G234" s="296">
        <f t="shared" si="37"/>
        <v>20000</v>
      </c>
      <c r="I234" s="297">
        <f t="shared" ref="I234:I246" si="38">IF(E234=0,0,G234/E234)</f>
        <v>0</v>
      </c>
      <c r="K234" s="313"/>
    </row>
    <row r="235" spans="1:11">
      <c r="A235" s="319" t="s">
        <v>790</v>
      </c>
      <c r="B235" s="56" t="s">
        <v>1255</v>
      </c>
      <c r="C235" s="159">
        <v>46116.964</v>
      </c>
      <c r="D235" s="320"/>
      <c r="E235" s="159">
        <v>37882</v>
      </c>
      <c r="G235" s="296">
        <f t="shared" si="37"/>
        <v>8234.9639999999999</v>
      </c>
      <c r="I235" s="297">
        <f t="shared" si="38"/>
        <v>0.21738461538461537</v>
      </c>
      <c r="K235" s="313"/>
    </row>
    <row r="236" spans="1:11">
      <c r="A236" s="321" t="s">
        <v>792</v>
      </c>
      <c r="B236" s="56" t="s">
        <v>1255</v>
      </c>
      <c r="C236" s="461">
        <v>24403.691999999999</v>
      </c>
      <c r="D236" s="322"/>
      <c r="E236" s="461">
        <v>24502.38</v>
      </c>
      <c r="G236" s="296">
        <f t="shared" si="37"/>
        <v>-98.688000000001921</v>
      </c>
      <c r="I236" s="297">
        <f t="shared" si="38"/>
        <v>-4.0276903713027841E-3</v>
      </c>
      <c r="K236" s="313"/>
    </row>
    <row r="237" spans="1:11">
      <c r="A237" s="323" t="s">
        <v>795</v>
      </c>
      <c r="B237" s="56" t="s">
        <v>1255</v>
      </c>
      <c r="C237" s="54">
        <v>29594.620000000003</v>
      </c>
      <c r="D237" s="324"/>
      <c r="E237" s="54">
        <v>29714.3</v>
      </c>
      <c r="G237" s="296">
        <f t="shared" si="37"/>
        <v>-119.67999999999665</v>
      </c>
      <c r="I237" s="297">
        <f t="shared" si="38"/>
        <v>-4.0276903713025933E-3</v>
      </c>
      <c r="K237" s="313"/>
    </row>
    <row r="238" spans="1:11">
      <c r="A238" s="323" t="s">
        <v>797</v>
      </c>
      <c r="B238" s="56" t="s">
        <v>1255</v>
      </c>
      <c r="C238" s="54">
        <v>104742.7984</v>
      </c>
      <c r="D238" s="324"/>
      <c r="E238" s="54">
        <v>105166.376</v>
      </c>
      <c r="G238" s="296">
        <f t="shared" si="37"/>
        <v>-423.57760000000417</v>
      </c>
      <c r="I238" s="297">
        <f t="shared" si="38"/>
        <v>-4.0276903713027459E-3</v>
      </c>
      <c r="K238" s="313"/>
    </row>
    <row r="239" spans="1:11">
      <c r="A239" s="323" t="s">
        <v>799</v>
      </c>
      <c r="B239" s="56" t="s">
        <v>1255</v>
      </c>
      <c r="C239" s="54">
        <v>63398.956000000006</v>
      </c>
      <c r="D239" s="324"/>
      <c r="E239" s="54">
        <v>63655.340000000004</v>
      </c>
      <c r="G239" s="296">
        <f t="shared" si="37"/>
        <v>-256.3839999999982</v>
      </c>
      <c r="I239" s="297">
        <f t="shared" si="38"/>
        <v>-4.0276903713026774E-3</v>
      </c>
      <c r="K239" s="313"/>
    </row>
    <row r="240" spans="1:11">
      <c r="A240" s="323" t="s">
        <v>801</v>
      </c>
      <c r="B240" s="56" t="s">
        <v>1255</v>
      </c>
      <c r="C240" s="54">
        <v>56090.5092</v>
      </c>
      <c r="D240" s="324"/>
      <c r="E240" s="54">
        <v>56317.337999999996</v>
      </c>
      <c r="G240" s="296">
        <f t="shared" si="37"/>
        <v>-226.82879999999568</v>
      </c>
      <c r="I240" s="297">
        <f t="shared" si="38"/>
        <v>-4.0276903713026297E-3</v>
      </c>
      <c r="K240" s="313"/>
    </row>
    <row r="241" spans="1:11">
      <c r="A241" s="323" t="s">
        <v>803</v>
      </c>
      <c r="B241" s="56" t="s">
        <v>1255</v>
      </c>
      <c r="C241" s="54">
        <v>12914.016</v>
      </c>
      <c r="D241" s="324"/>
      <c r="E241" s="54">
        <v>12966.24</v>
      </c>
      <c r="G241" s="296">
        <f t="shared" si="37"/>
        <v>-52.22400000000016</v>
      </c>
      <c r="I241" s="297">
        <f t="shared" si="38"/>
        <v>-4.0276903713027182E-3</v>
      </c>
      <c r="K241" s="313"/>
    </row>
    <row r="242" spans="1:11">
      <c r="A242" s="323" t="s">
        <v>805</v>
      </c>
      <c r="B242" s="56" t="s">
        <v>1255</v>
      </c>
      <c r="C242" s="54">
        <v>11337.7464</v>
      </c>
      <c r="D242" s="324"/>
      <c r="E242" s="54">
        <v>11383.596</v>
      </c>
      <c r="G242" s="296">
        <f t="shared" si="37"/>
        <v>-45.849599999999555</v>
      </c>
      <c r="I242" s="297">
        <f t="shared" si="38"/>
        <v>-4.027690371302667E-3</v>
      </c>
      <c r="K242" s="313"/>
    </row>
    <row r="243" spans="1:11">
      <c r="A243" s="323" t="s">
        <v>807</v>
      </c>
      <c r="B243" s="56" t="s">
        <v>1255</v>
      </c>
      <c r="C243" s="54">
        <v>78759.671600000001</v>
      </c>
      <c r="D243" s="324"/>
      <c r="E243" s="54">
        <v>79078.174000000014</v>
      </c>
      <c r="G243" s="296">
        <f t="shared" si="37"/>
        <v>-318.50240000001213</v>
      </c>
      <c r="I243" s="297">
        <f t="shared" si="38"/>
        <v>-4.0276903713028587E-3</v>
      </c>
      <c r="K243" s="313"/>
    </row>
    <row r="244" spans="1:11">
      <c r="A244" s="323" t="s">
        <v>843</v>
      </c>
      <c r="B244" s="456" t="s">
        <v>1255</v>
      </c>
      <c r="C244" s="54">
        <v>200000</v>
      </c>
      <c r="D244" s="324"/>
      <c r="E244" s="54">
        <v>259698</v>
      </c>
      <c r="G244" s="296">
        <f t="shared" si="37"/>
        <v>-59698</v>
      </c>
      <c r="I244" s="297">
        <f t="shared" si="38"/>
        <v>-0.22987470061378987</v>
      </c>
      <c r="K244" s="313"/>
    </row>
    <row r="245" spans="1:11">
      <c r="A245" s="330" t="s">
        <v>740</v>
      </c>
      <c r="B245" s="56" t="s">
        <v>1255</v>
      </c>
      <c r="C245" s="462">
        <v>140445</v>
      </c>
      <c r="D245" s="324"/>
      <c r="E245" s="462">
        <v>0</v>
      </c>
      <c r="G245" s="296">
        <f t="shared" si="37"/>
        <v>140445</v>
      </c>
      <c r="I245" s="297">
        <f t="shared" si="38"/>
        <v>0</v>
      </c>
      <c r="K245" s="313"/>
    </row>
    <row r="246" spans="1:11">
      <c r="A246" s="323" t="s">
        <v>221</v>
      </c>
      <c r="B246" s="56" t="s">
        <v>1255</v>
      </c>
      <c r="C246" s="462">
        <v>12000</v>
      </c>
      <c r="D246" s="324"/>
      <c r="E246" s="462">
        <v>10000</v>
      </c>
      <c r="G246" s="296">
        <f t="shared" si="37"/>
        <v>2000</v>
      </c>
      <c r="I246" s="297">
        <f t="shared" si="38"/>
        <v>0.2</v>
      </c>
      <c r="K246" s="313"/>
    </row>
    <row r="247" spans="1:11">
      <c r="A247" s="475" t="s">
        <v>21</v>
      </c>
      <c r="B247" s="40"/>
      <c r="C247" s="54">
        <f>SUM(C171:C246)</f>
        <v>12572753.242396548</v>
      </c>
      <c r="D247" s="324"/>
      <c r="E247" s="54">
        <f>SUM(E171:E246)</f>
        <v>12704552.787423078</v>
      </c>
      <c r="G247" s="54">
        <f t="shared" si="37"/>
        <v>-131799.54502652958</v>
      </c>
      <c r="I247" s="297"/>
      <c r="K247" s="313"/>
    </row>
    <row r="248" spans="1:11">
      <c r="A248" s="323"/>
      <c r="B248" s="40"/>
      <c r="C248" s="54"/>
      <c r="D248" s="324"/>
      <c r="E248" s="54"/>
      <c r="G248" s="296"/>
      <c r="I248" s="297"/>
      <c r="K248" s="313"/>
    </row>
    <row r="249" spans="1:11">
      <c r="A249" s="323"/>
      <c r="B249" s="40"/>
      <c r="C249" s="54"/>
      <c r="D249" s="324"/>
      <c r="E249" s="54"/>
      <c r="G249" s="296"/>
      <c r="I249" s="297"/>
      <c r="K249" s="313"/>
    </row>
    <row r="250" spans="1:11">
      <c r="A250" s="323" t="s">
        <v>479</v>
      </c>
      <c r="B250" s="40" t="s">
        <v>1005</v>
      </c>
      <c r="C250" s="54">
        <v>7000</v>
      </c>
      <c r="D250" s="324"/>
      <c r="E250" s="54">
        <v>7000</v>
      </c>
      <c r="G250" s="296">
        <f t="shared" ref="G250:G263" si="39">C250-E250</f>
        <v>0</v>
      </c>
      <c r="I250" s="297">
        <f t="shared" ref="I250:I261" si="40">IF(E250=0,0,G250/E250)</f>
        <v>0</v>
      </c>
      <c r="K250" s="313"/>
    </row>
    <row r="251" spans="1:11">
      <c r="A251" s="321" t="s">
        <v>608</v>
      </c>
      <c r="B251" s="47" t="s">
        <v>1005</v>
      </c>
      <c r="C251" s="461">
        <v>275000</v>
      </c>
      <c r="D251" s="322"/>
      <c r="E251" s="461">
        <v>175000</v>
      </c>
      <c r="G251" s="425">
        <f t="shared" si="39"/>
        <v>100000</v>
      </c>
      <c r="I251" s="297">
        <f t="shared" si="40"/>
        <v>0.5714285714285714</v>
      </c>
      <c r="K251" s="313" t="s">
        <v>1214</v>
      </c>
    </row>
    <row r="252" spans="1:11">
      <c r="A252" s="323" t="s">
        <v>612</v>
      </c>
      <c r="B252" s="40" t="s">
        <v>1005</v>
      </c>
      <c r="C252" s="54">
        <v>360000</v>
      </c>
      <c r="D252" s="324"/>
      <c r="E252" s="54">
        <v>0</v>
      </c>
      <c r="G252" s="425">
        <f t="shared" si="39"/>
        <v>360000</v>
      </c>
      <c r="I252" s="297">
        <f t="shared" si="40"/>
        <v>0</v>
      </c>
      <c r="K252" s="313" t="s">
        <v>1215</v>
      </c>
    </row>
    <row r="253" spans="1:11">
      <c r="A253" s="323" t="s">
        <v>732</v>
      </c>
      <c r="B253" s="40" t="s">
        <v>1005</v>
      </c>
      <c r="C253" s="54">
        <v>25000</v>
      </c>
      <c r="D253" s="324"/>
      <c r="E253" s="54">
        <v>15000</v>
      </c>
      <c r="G253" s="332">
        <f t="shared" si="39"/>
        <v>10000</v>
      </c>
      <c r="I253" s="297">
        <f t="shared" si="40"/>
        <v>0.66666666666666663</v>
      </c>
      <c r="K253" s="313"/>
    </row>
    <row r="254" spans="1:11">
      <c r="A254" s="321" t="s">
        <v>734</v>
      </c>
      <c r="B254" s="47" t="s">
        <v>1005</v>
      </c>
      <c r="C254" s="461">
        <v>1843875.2999999998</v>
      </c>
      <c r="D254" s="322"/>
      <c r="E254" s="461">
        <v>1171600</v>
      </c>
      <c r="G254" s="296">
        <f t="shared" si="39"/>
        <v>672275.29999999981</v>
      </c>
      <c r="I254" s="297">
        <f t="shared" si="40"/>
        <v>0.5738095766473198</v>
      </c>
      <c r="K254" s="313" t="s">
        <v>1224</v>
      </c>
    </row>
    <row r="255" spans="1:11">
      <c r="A255" s="323" t="s">
        <v>736</v>
      </c>
      <c r="B255" s="40" t="s">
        <v>1005</v>
      </c>
      <c r="C255" s="54">
        <v>124911</v>
      </c>
      <c r="D255" s="324"/>
      <c r="E255" s="54">
        <v>17648</v>
      </c>
      <c r="G255" s="296">
        <f t="shared" si="39"/>
        <v>107263</v>
      </c>
      <c r="I255" s="297">
        <f t="shared" si="40"/>
        <v>6.0779125113327286</v>
      </c>
      <c r="K255" s="313" t="s">
        <v>1225</v>
      </c>
    </row>
    <row r="256" spans="1:11">
      <c r="A256" s="323" t="s">
        <v>737</v>
      </c>
      <c r="B256" s="40" t="s">
        <v>1005</v>
      </c>
      <c r="C256" s="54">
        <v>91597</v>
      </c>
      <c r="D256" s="324"/>
      <c r="E256" s="54">
        <v>56300</v>
      </c>
      <c r="G256" s="296">
        <f t="shared" si="39"/>
        <v>35297</v>
      </c>
      <c r="I256" s="297">
        <f t="shared" si="40"/>
        <v>0.62694493783303729</v>
      </c>
      <c r="K256" s="313" t="s">
        <v>1226</v>
      </c>
    </row>
    <row r="257" spans="1:11">
      <c r="A257" s="334" t="s">
        <v>744</v>
      </c>
      <c r="B257" s="40" t="s">
        <v>1005</v>
      </c>
      <c r="C257" s="461">
        <v>0</v>
      </c>
      <c r="D257" s="322"/>
      <c r="E257" s="461">
        <v>0</v>
      </c>
      <c r="G257" s="296">
        <f t="shared" si="39"/>
        <v>0</v>
      </c>
      <c r="I257" s="297">
        <f t="shared" si="40"/>
        <v>0</v>
      </c>
      <c r="K257" s="313"/>
    </row>
    <row r="258" spans="1:11">
      <c r="A258" s="323" t="s">
        <v>770</v>
      </c>
      <c r="B258" s="206" t="s">
        <v>1005</v>
      </c>
      <c r="C258" s="54">
        <v>2200067.3966666665</v>
      </c>
      <c r="D258" s="324"/>
      <c r="E258" s="54">
        <v>1919160</v>
      </c>
      <c r="G258" s="296">
        <f t="shared" si="39"/>
        <v>280907.39666666649</v>
      </c>
      <c r="I258" s="297">
        <f t="shared" si="40"/>
        <v>0.14636997262691306</v>
      </c>
      <c r="K258" s="313" t="s">
        <v>1228</v>
      </c>
    </row>
    <row r="259" spans="1:11">
      <c r="A259" s="323" t="s">
        <v>771</v>
      </c>
      <c r="B259" s="206" t="s">
        <v>1005</v>
      </c>
      <c r="C259" s="54">
        <v>1474233.6057142857</v>
      </c>
      <c r="D259" s="324"/>
      <c r="E259" s="54">
        <v>1133160</v>
      </c>
      <c r="G259" s="296">
        <f t="shared" si="39"/>
        <v>341073.60571428575</v>
      </c>
      <c r="I259" s="297">
        <f t="shared" si="40"/>
        <v>0.3009933334341891</v>
      </c>
      <c r="K259" s="313" t="s">
        <v>1228</v>
      </c>
    </row>
    <row r="260" spans="1:11">
      <c r="A260" s="323" t="s">
        <v>772</v>
      </c>
      <c r="B260" s="206" t="s">
        <v>1005</v>
      </c>
      <c r="C260" s="54">
        <v>649389</v>
      </c>
      <c r="D260" s="324"/>
      <c r="E260" s="54">
        <v>0</v>
      </c>
      <c r="G260" s="296">
        <f t="shared" si="39"/>
        <v>649389</v>
      </c>
      <c r="I260" s="297">
        <f t="shared" si="40"/>
        <v>0</v>
      </c>
      <c r="K260" s="313" t="s">
        <v>1115</v>
      </c>
    </row>
    <row r="261" spans="1:11">
      <c r="A261" s="323" t="s">
        <v>773</v>
      </c>
      <c r="B261" s="206" t="s">
        <v>1005</v>
      </c>
      <c r="C261" s="54">
        <v>1621723.4877777777</v>
      </c>
      <c r="D261" s="324"/>
      <c r="E261" s="54">
        <v>500000</v>
      </c>
      <c r="G261" s="296">
        <f t="shared" si="39"/>
        <v>1121723.4877777777</v>
      </c>
      <c r="I261" s="297">
        <f t="shared" si="40"/>
        <v>2.2434469755555555</v>
      </c>
      <c r="K261" s="313" t="s">
        <v>1229</v>
      </c>
    </row>
    <row r="262" spans="1:11">
      <c r="A262" s="323" t="s">
        <v>776</v>
      </c>
      <c r="B262" s="40" t="s">
        <v>1255</v>
      </c>
      <c r="C262" s="462">
        <v>15000</v>
      </c>
      <c r="D262" s="324"/>
      <c r="E262" s="462">
        <v>7500</v>
      </c>
      <c r="G262" s="296">
        <f>C262-E262</f>
        <v>7500</v>
      </c>
      <c r="I262" s="297">
        <f>IF(E262=0,0,G262/E262)</f>
        <v>1</v>
      </c>
      <c r="K262" s="313"/>
    </row>
    <row r="263" spans="1:11">
      <c r="A263" s="475" t="s">
        <v>21</v>
      </c>
      <c r="B263" s="477"/>
      <c r="C263" s="54">
        <f>SUM(C250:C262)</f>
        <v>8687796.79015873</v>
      </c>
      <c r="D263" s="54">
        <f t="shared" ref="D263:E263" si="41">SUM(D250:D262)</f>
        <v>0</v>
      </c>
      <c r="E263" s="54">
        <f t="shared" si="41"/>
        <v>5002368</v>
      </c>
      <c r="G263" s="296">
        <f t="shared" si="39"/>
        <v>3685428.79015873</v>
      </c>
      <c r="I263" s="297"/>
      <c r="K263" s="313"/>
    </row>
    <row r="264" spans="1:11">
      <c r="A264" s="323"/>
      <c r="B264" s="477"/>
      <c r="C264" s="54"/>
      <c r="D264" s="324"/>
      <c r="E264" s="54"/>
      <c r="G264" s="296"/>
      <c r="I264" s="297"/>
      <c r="K264" s="313"/>
    </row>
    <row r="265" spans="1:11">
      <c r="A265" s="323" t="s">
        <v>1194</v>
      </c>
      <c r="B265" s="56" t="s">
        <v>1256</v>
      </c>
      <c r="C265" s="462">
        <v>4098926.2186343148</v>
      </c>
      <c r="D265" s="324"/>
      <c r="E265" s="462">
        <v>3987932</v>
      </c>
      <c r="G265" s="296">
        <f t="shared" ref="G265:G273" si="42">C265-E265</f>
        <v>110994.21863431484</v>
      </c>
      <c r="I265" s="297">
        <f>G265/E265</f>
        <v>2.7832525387673321E-2</v>
      </c>
      <c r="K265" s="313"/>
    </row>
    <row r="266" spans="1:11">
      <c r="A266" s="311" t="s">
        <v>817</v>
      </c>
      <c r="B266" s="469" t="s">
        <v>817</v>
      </c>
      <c r="C266" s="150">
        <v>1332806.2035447718</v>
      </c>
      <c r="D266" s="312"/>
      <c r="E266" s="150">
        <v>1300782.5313262397</v>
      </c>
      <c r="G266" s="296">
        <f t="shared" si="42"/>
        <v>32023.672218532069</v>
      </c>
      <c r="I266" s="297">
        <f t="shared" ref="I266:I273" si="43">IF(E266=0,0,G266/E266)</f>
        <v>2.4618774812329061E-2</v>
      </c>
      <c r="K266" s="313"/>
    </row>
    <row r="267" spans="1:11">
      <c r="A267" s="323" t="s">
        <v>855</v>
      </c>
      <c r="B267" s="457" t="s">
        <v>1257</v>
      </c>
      <c r="C267" s="462">
        <v>866324.03230410151</v>
      </c>
      <c r="D267" s="324"/>
      <c r="E267" s="462">
        <v>845508.64536205574</v>
      </c>
      <c r="G267" s="296">
        <f t="shared" si="42"/>
        <v>20815.386942045763</v>
      </c>
      <c r="I267" s="297">
        <f t="shared" si="43"/>
        <v>2.4618774812328967E-2</v>
      </c>
      <c r="K267" s="313"/>
    </row>
    <row r="268" spans="1:11">
      <c r="A268" s="323" t="s">
        <v>860</v>
      </c>
      <c r="B268" s="460" t="s">
        <v>1257</v>
      </c>
      <c r="C268" s="462">
        <v>237049.66112229179</v>
      </c>
      <c r="D268" s="324"/>
      <c r="E268" s="462">
        <v>232449.53745990605</v>
      </c>
      <c r="G268" s="296">
        <f t="shared" si="42"/>
        <v>4600.1236623857403</v>
      </c>
      <c r="I268" s="297">
        <f t="shared" si="43"/>
        <v>1.9789773353191511E-2</v>
      </c>
      <c r="K268" s="313"/>
    </row>
    <row r="269" spans="1:11">
      <c r="A269" s="468" t="s">
        <v>863</v>
      </c>
      <c r="B269" s="457" t="s">
        <v>1257</v>
      </c>
      <c r="C269" s="428">
        <v>11852.48305611459</v>
      </c>
      <c r="D269" s="312"/>
      <c r="E269" s="428">
        <v>11622.476872995303</v>
      </c>
      <c r="G269" s="296">
        <f t="shared" si="42"/>
        <v>230.00618311928702</v>
      </c>
      <c r="I269" s="297">
        <f t="shared" si="43"/>
        <v>1.9789773353191507E-2</v>
      </c>
      <c r="K269" s="313"/>
    </row>
    <row r="270" spans="1:11">
      <c r="A270" s="468" t="s">
        <v>865</v>
      </c>
      <c r="B270" s="457" t="s">
        <v>1257</v>
      </c>
      <c r="C270" s="428">
        <v>225197.17806617718</v>
      </c>
      <c r="D270" s="312"/>
      <c r="E270" s="428">
        <v>220827.06058691072</v>
      </c>
      <c r="G270" s="296">
        <f t="shared" si="42"/>
        <v>4370.1174792664533</v>
      </c>
      <c r="I270" s="297">
        <f t="shared" si="43"/>
        <v>1.9789773353191511E-2</v>
      </c>
      <c r="K270" s="313"/>
    </row>
    <row r="271" spans="1:11">
      <c r="A271" s="323" t="s">
        <v>851</v>
      </c>
      <c r="B271" s="460" t="s">
        <v>1258</v>
      </c>
      <c r="C271" s="462">
        <v>3620718.1597936461</v>
      </c>
      <c r="D271" s="324"/>
      <c r="E271" s="462">
        <v>3667254.2206651429</v>
      </c>
      <c r="G271" s="296">
        <f t="shared" si="42"/>
        <v>-46536.060871496797</v>
      </c>
      <c r="I271" s="297">
        <f t="shared" si="43"/>
        <v>-1.2689619554942222E-2</v>
      </c>
      <c r="K271" s="313"/>
    </row>
    <row r="272" spans="1:11">
      <c r="A272" s="323" t="s">
        <v>869</v>
      </c>
      <c r="B272" s="460" t="s">
        <v>1259</v>
      </c>
      <c r="C272" s="462">
        <v>1419773.3307066408</v>
      </c>
      <c r="D272" s="324"/>
      <c r="E272" s="462">
        <v>1390514.6363584017</v>
      </c>
      <c r="G272" s="296">
        <f t="shared" si="42"/>
        <v>29258.694348239107</v>
      </c>
      <c r="I272" s="297">
        <f t="shared" si="43"/>
        <v>2.1041629899606284E-2</v>
      </c>
      <c r="K272" s="313"/>
    </row>
    <row r="273" spans="1:11">
      <c r="A273" s="323" t="s">
        <v>867</v>
      </c>
      <c r="B273" s="460" t="s">
        <v>1259</v>
      </c>
      <c r="C273" s="462">
        <v>4259319.9921199223</v>
      </c>
      <c r="D273" s="324"/>
      <c r="E273" s="462">
        <v>4171543.9090752052</v>
      </c>
      <c r="G273" s="296">
        <f t="shared" si="42"/>
        <v>87776.083044717088</v>
      </c>
      <c r="I273" s="297">
        <f t="shared" si="43"/>
        <v>2.1041629899606229E-2</v>
      </c>
      <c r="K273" s="313"/>
    </row>
    <row r="274" spans="1:11">
      <c r="A274" s="311"/>
      <c r="B274" s="457"/>
      <c r="C274" s="150"/>
      <c r="D274" s="312"/>
      <c r="E274" s="150"/>
      <c r="G274" s="296"/>
      <c r="I274" s="297"/>
      <c r="K274" s="470"/>
    </row>
    <row r="275" spans="1:11" ht="15" thickBot="1">
      <c r="A275" s="339" t="s">
        <v>870</v>
      </c>
      <c r="B275" s="455"/>
      <c r="C275" s="372">
        <f>SUM(C265:C273,C263,C247,C168,C160,C116)</f>
        <v>39619077.091903254</v>
      </c>
      <c r="D275" s="340"/>
      <c r="E275" s="372">
        <f>SUM(E265:E273,E263,E247,E168,E160,E116)</f>
        <v>35907791.80512993</v>
      </c>
      <c r="G275" s="342">
        <f>G263+G247+G168+G160+G116</f>
        <v>3466753.0451322002</v>
      </c>
      <c r="I275" s="343" t="e">
        <f>IF(#REF!=0,0,G275/#REF!)</f>
        <v>#REF!</v>
      </c>
      <c r="K275" s="344"/>
    </row>
    <row r="278" spans="1:11">
      <c r="C278" s="194"/>
      <c r="E278" s="194"/>
    </row>
  </sheetData>
  <sortState xmlns:xlrd2="http://schemas.microsoft.com/office/spreadsheetml/2017/richdata2" ref="A6:K275">
    <sortCondition ref="B6:B275"/>
  </sortState>
  <conditionalFormatting sqref="B6:B234 B247:B264">
    <cfRule type="expression" dxfId="22" priority="7">
      <formula>MOD(ROW(),2)</formula>
    </cfRule>
  </conditionalFormatting>
  <conditionalFormatting sqref="C17:E29 B266 B268 B271:B274">
    <cfRule type="expression" dxfId="21" priority="28">
      <formula>MOD(ROW(),2)</formula>
    </cfRule>
  </conditionalFormatting>
  <conditionalFormatting sqref="G6:G159 G162:G167 G169:G246 G248:G275">
    <cfRule type="cellIs" dxfId="20" priority="33" operator="lessThan">
      <formula>-$G$4</formula>
    </cfRule>
    <cfRule type="cellIs" dxfId="19" priority="34" operator="greaterThan">
      <formula>$G$4</formula>
    </cfRule>
  </conditionalFormatting>
  <conditionalFormatting sqref="G16">
    <cfRule type="expression" dxfId="18" priority="38">
      <formula>MOD(ROW(),2)</formula>
    </cfRule>
  </conditionalFormatting>
  <conditionalFormatting sqref="G275">
    <cfRule type="expression" dxfId="17" priority="37">
      <formula>MOD(ROW(),2)</formula>
    </cfRule>
  </conditionalFormatting>
  <conditionalFormatting sqref="I6:I275">
    <cfRule type="cellIs" dxfId="16" priority="31" operator="lessThan">
      <formula>-$I$4</formula>
    </cfRule>
    <cfRule type="cellIs" dxfId="15" priority="32" operator="greaterThan">
      <formula>$I$4</formula>
    </cfRule>
  </conditionalFormatting>
  <conditionalFormatting sqref="I16">
    <cfRule type="expression" dxfId="14" priority="36">
      <formula>MOD(ROW(),2)</formula>
    </cfRule>
  </conditionalFormatting>
  <conditionalFormatting sqref="I275">
    <cfRule type="expression" dxfId="13" priority="35">
      <formula>MOD(ROW(),2)</formula>
    </cfRule>
  </conditionalFormatting>
  <conditionalFormatting sqref="Q6:Q7">
    <cfRule type="expression" dxfId="12" priority="5">
      <formula>MOD(ROW(),2)</formula>
    </cfRule>
  </conditionalFormatting>
  <conditionalFormatting sqref="Q9">
    <cfRule type="expression" dxfId="11" priority="4">
      <formula>MOD(ROW(),2)</formula>
    </cfRule>
  </conditionalFormatting>
  <conditionalFormatting sqref="V6:V7">
    <cfRule type="expression" dxfId="10" priority="2">
      <formula>MOD(ROW(),2)</formula>
    </cfRule>
  </conditionalFormatting>
  <conditionalFormatting sqref="V9">
    <cfRule type="expression" dxfId="9" priority="1">
      <formula>MOD(ROW(),2)</formula>
    </cfRule>
  </conditionalFormatting>
  <printOptions horizontalCentered="1"/>
  <pageMargins left="0.1" right="0.1" top="0.75" bottom="0.25" header="0.15" footer="0"/>
  <pageSetup paperSize="3" scale="16" orientation="landscape" r:id="rId1"/>
  <headerFooter>
    <oddHeader>&amp;R&amp;G</oddHead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AFFB-8C7B-451E-A73C-D9CBF4F414CF}">
  <sheetPr>
    <pageSetUpPr fitToPage="1"/>
  </sheetPr>
  <dimension ref="A2:L36"/>
  <sheetViews>
    <sheetView showGridLines="0" workbookViewId="0">
      <selection activeCell="A32" sqref="A32"/>
    </sheetView>
  </sheetViews>
  <sheetFormatPr defaultRowHeight="14.45" outlineLevelRow="1"/>
  <cols>
    <col min="1" max="1" width="23.7109375" customWidth="1"/>
    <col min="2" max="3" width="15.28515625" style="478" customWidth="1"/>
    <col min="4" max="4" width="1.28515625" customWidth="1"/>
    <col min="5" max="5" width="12.7109375" bestFit="1" customWidth="1"/>
    <col min="6" max="6" width="3.140625" customWidth="1"/>
    <col min="7" max="7" width="10.140625" bestFit="1" customWidth="1"/>
  </cols>
  <sheetData>
    <row r="2" spans="1:7" ht="15" thickBot="1">
      <c r="A2" s="491"/>
      <c r="B2" s="492"/>
      <c r="C2" s="492"/>
      <c r="D2" s="491"/>
      <c r="E2" s="491"/>
      <c r="G2" s="491"/>
    </row>
    <row r="3" spans="1:7">
      <c r="A3" s="487" t="s">
        <v>1260</v>
      </c>
      <c r="B3" s="488">
        <v>45231</v>
      </c>
      <c r="C3" s="488">
        <v>45627</v>
      </c>
      <c r="D3" s="487"/>
      <c r="E3" s="488" t="s">
        <v>1008</v>
      </c>
      <c r="G3" s="488" t="s">
        <v>1261</v>
      </c>
    </row>
    <row r="4" spans="1:7" ht="15" thickBot="1">
      <c r="A4" s="490" t="s">
        <v>1262</v>
      </c>
      <c r="B4" s="489" t="s">
        <v>1263</v>
      </c>
      <c r="C4" s="489" t="s">
        <v>37</v>
      </c>
      <c r="D4" s="490"/>
      <c r="E4" s="490"/>
      <c r="G4" s="489" t="s">
        <v>1264</v>
      </c>
    </row>
    <row r="5" spans="1:7">
      <c r="B5" s="480"/>
      <c r="C5" s="480"/>
    </row>
    <row r="6" spans="1:7" hidden="1" outlineLevel="1">
      <c r="A6" s="482" t="s">
        <v>310</v>
      </c>
      <c r="B6" s="481">
        <v>10051350.049999999</v>
      </c>
      <c r="C6" s="481">
        <v>9052854.5600000005</v>
      </c>
      <c r="E6" s="494">
        <f>C6-B6</f>
        <v>-998495.48999999836</v>
      </c>
      <c r="G6" s="494"/>
    </row>
    <row r="7" spans="1:7" hidden="1" outlineLevel="1">
      <c r="A7" s="482" t="s">
        <v>1265</v>
      </c>
      <c r="B7" s="481">
        <f>'Another Uselss (2)'!E87+'Another Uselss (2)'!E88</f>
        <v>5129947.9000000004</v>
      </c>
      <c r="C7" s="481">
        <f>'Another Uselss (2)'!C87+'Another Uselss (2)'!C88</f>
        <v>4637444.9812639821</v>
      </c>
      <c r="E7" s="494">
        <f>C7-B7</f>
        <v>-492502.91873601824</v>
      </c>
      <c r="G7" s="494"/>
    </row>
    <row r="8" spans="1:7" hidden="1" outlineLevel="1">
      <c r="A8" s="482" t="s">
        <v>582</v>
      </c>
      <c r="B8" s="481">
        <v>4472265</v>
      </c>
      <c r="C8" s="481">
        <v>4216723.68</v>
      </c>
      <c r="E8" s="494">
        <f>C8-B8</f>
        <v>-255541.3200000003</v>
      </c>
      <c r="G8" s="494"/>
    </row>
    <row r="9" spans="1:7" hidden="1" outlineLevel="1">
      <c r="A9" s="483" t="s">
        <v>590</v>
      </c>
      <c r="B9" s="484">
        <v>4551999.6800000006</v>
      </c>
      <c r="C9" s="484">
        <v>4204005.7184999995</v>
      </c>
      <c r="D9" s="479"/>
      <c r="E9" s="495">
        <f>C9-B9</f>
        <v>-347993.96150000114</v>
      </c>
      <c r="G9" s="495"/>
    </row>
    <row r="10" spans="1:7" hidden="1" outlineLevel="1">
      <c r="A10" s="501" t="s">
        <v>1266</v>
      </c>
      <c r="B10" s="485">
        <f>SUM(B6:B9)</f>
        <v>24205562.629999999</v>
      </c>
      <c r="C10" s="485">
        <f>SUM(C6:C9)</f>
        <v>22111028.939763982</v>
      </c>
      <c r="D10" s="485"/>
      <c r="E10" s="494">
        <f>SUM(E6:E9)</f>
        <v>-2094533.690236018</v>
      </c>
      <c r="G10" s="494"/>
    </row>
    <row r="11" spans="1:7" hidden="1" outlineLevel="1">
      <c r="B11" s="480"/>
      <c r="C11" s="480"/>
    </row>
    <row r="12" spans="1:7" collapsed="1">
      <c r="A12" t="s">
        <v>114</v>
      </c>
      <c r="B12" s="481">
        <f>'Another Uselss (2)'!E116</f>
        <v>1639917</v>
      </c>
      <c r="C12" s="481">
        <f>'Another Uselss (2)'!C116</f>
        <v>1587126.8</v>
      </c>
      <c r="E12" s="496">
        <f>C12-B12</f>
        <v>-52790.199999999953</v>
      </c>
      <c r="G12" s="496"/>
    </row>
    <row r="13" spans="1:7">
      <c r="A13" t="s">
        <v>185</v>
      </c>
      <c r="B13" s="481">
        <f>'Another Uselss (2)'!E168</f>
        <v>166607</v>
      </c>
      <c r="C13" s="481">
        <f>'Another Uselss (2)'!C168</f>
        <v>165097</v>
      </c>
      <c r="E13" s="496">
        <f>C13-B13</f>
        <v>-1510</v>
      </c>
      <c r="G13" s="496"/>
    </row>
    <row r="14" spans="1:7">
      <c r="A14" t="s">
        <v>1253</v>
      </c>
      <c r="B14" s="481">
        <f>'Another Uselss (2)'!E160</f>
        <v>565912</v>
      </c>
      <c r="C14" s="481">
        <f>'Another Uselss (2)'!C160</f>
        <v>534336</v>
      </c>
      <c r="E14" s="496">
        <f>C14-B14</f>
        <v>-31576</v>
      </c>
      <c r="G14" s="496"/>
    </row>
    <row r="15" spans="1:7">
      <c r="A15" t="s">
        <v>1255</v>
      </c>
      <c r="B15" s="481">
        <f>'Another Uselss (2)'!E247</f>
        <v>12704552.787423078</v>
      </c>
      <c r="C15" s="481">
        <f>'Another Uselss (2)'!C247</f>
        <v>12572753.242396548</v>
      </c>
      <c r="E15" s="496">
        <f>C15-B15</f>
        <v>-131799.54502652958</v>
      </c>
      <c r="G15" s="496"/>
    </row>
    <row r="16" spans="1:7" hidden="1" outlineLevel="1">
      <c r="A16" s="543" t="s">
        <v>1267</v>
      </c>
      <c r="B16" s="481"/>
      <c r="C16" s="481"/>
      <c r="E16" s="496"/>
      <c r="G16" s="496"/>
    </row>
    <row r="17" spans="1:12" hidden="1" outlineLevel="1">
      <c r="A17" s="482" t="s">
        <v>608</v>
      </c>
      <c r="B17" s="481">
        <v>175000</v>
      </c>
      <c r="C17" s="481">
        <f>275000+149518.7</f>
        <v>424518.7</v>
      </c>
      <c r="E17" s="496">
        <f t="shared" ref="E17:E24" si="0">C17-B17</f>
        <v>249518.7</v>
      </c>
      <c r="G17" s="496">
        <v>149518</v>
      </c>
    </row>
    <row r="18" spans="1:12" hidden="1" outlineLevel="1">
      <c r="A18" s="482" t="s">
        <v>612</v>
      </c>
      <c r="B18" s="481">
        <v>0</v>
      </c>
      <c r="C18" s="481">
        <f>360000+339029.8</f>
        <v>699029.8</v>
      </c>
      <c r="E18" s="496">
        <f t="shared" si="0"/>
        <v>699029.8</v>
      </c>
      <c r="G18" s="496">
        <f>E18</f>
        <v>699029.8</v>
      </c>
    </row>
    <row r="19" spans="1:12" hidden="1" outlineLevel="1">
      <c r="A19" s="482" t="s">
        <v>674</v>
      </c>
      <c r="B19" s="481">
        <v>1171600</v>
      </c>
      <c r="C19" s="481">
        <v>1843875.2999999998</v>
      </c>
      <c r="E19" s="496">
        <f t="shared" si="0"/>
        <v>672275.29999999981</v>
      </c>
      <c r="G19" s="496">
        <v>591861.72499999998</v>
      </c>
    </row>
    <row r="20" spans="1:12" hidden="1" outlineLevel="1">
      <c r="A20" s="482" t="s">
        <v>1268</v>
      </c>
      <c r="B20" s="481">
        <f>'Another Uselss (2)'!E255+'Another Uselss (2)'!E256</f>
        <v>73948</v>
      </c>
      <c r="C20" s="481">
        <f>'Another Uselss (2)'!C255+'Another Uselss (2)'!C256</f>
        <v>216508</v>
      </c>
      <c r="E20" s="496">
        <f t="shared" si="0"/>
        <v>142560</v>
      </c>
      <c r="G20" s="496">
        <f>E20</f>
        <v>142560</v>
      </c>
    </row>
    <row r="21" spans="1:12" hidden="1" outlineLevel="1">
      <c r="A21" s="482" t="s">
        <v>770</v>
      </c>
      <c r="B21" s="481">
        <v>1919160</v>
      </c>
      <c r="C21" s="481">
        <v>2200067.3966666665</v>
      </c>
      <c r="E21" s="496">
        <f t="shared" si="0"/>
        <v>280907.39666666649</v>
      </c>
      <c r="G21" s="496"/>
    </row>
    <row r="22" spans="1:12" hidden="1" outlineLevel="1">
      <c r="A22" s="482" t="s">
        <v>771</v>
      </c>
      <c r="B22" s="481">
        <v>1133160</v>
      </c>
      <c r="C22" s="481">
        <v>1474233.6057142857</v>
      </c>
      <c r="E22" s="496">
        <f t="shared" si="0"/>
        <v>341073.60571428575</v>
      </c>
      <c r="G22" s="496"/>
      <c r="I22" s="485"/>
      <c r="J22" s="485"/>
      <c r="K22" s="486"/>
      <c r="L22" s="485"/>
    </row>
    <row r="23" spans="1:12" hidden="1" outlineLevel="1">
      <c r="A23" s="482" t="s">
        <v>772</v>
      </c>
      <c r="B23" s="481">
        <v>0</v>
      </c>
      <c r="C23" s="481">
        <v>649389</v>
      </c>
      <c r="E23" s="496">
        <f t="shared" si="0"/>
        <v>649389</v>
      </c>
      <c r="G23" s="496">
        <f>E23</f>
        <v>649389</v>
      </c>
    </row>
    <row r="24" spans="1:12" hidden="1" outlineLevel="1">
      <c r="A24" s="483" t="s">
        <v>773</v>
      </c>
      <c r="B24" s="484">
        <v>500000</v>
      </c>
      <c r="C24" s="484">
        <v>1133175</v>
      </c>
      <c r="D24" s="479"/>
      <c r="E24" s="497">
        <f t="shared" si="0"/>
        <v>633175</v>
      </c>
      <c r="G24" s="497"/>
    </row>
    <row r="25" spans="1:12" hidden="1" outlineLevel="1">
      <c r="A25" s="500" t="s">
        <v>1269</v>
      </c>
      <c r="B25" s="485">
        <f>SUM(B17:B24)</f>
        <v>4972868</v>
      </c>
      <c r="C25" s="485">
        <f>SUM(C17:C24)</f>
        <v>8640796.802380953</v>
      </c>
      <c r="D25" s="486"/>
      <c r="E25" s="496">
        <f>SUM(E17:E24)</f>
        <v>3667928.8023809521</v>
      </c>
      <c r="G25" s="496">
        <f>SUM(G17:G24)</f>
        <v>2232358.5249999999</v>
      </c>
    </row>
    <row r="26" spans="1:12" hidden="1" outlineLevel="1">
      <c r="A26" s="482"/>
      <c r="B26" s="481"/>
      <c r="C26" s="481"/>
      <c r="E26" s="496"/>
      <c r="G26" s="496"/>
    </row>
    <row r="27" spans="1:12" collapsed="1">
      <c r="A27" t="s">
        <v>1270</v>
      </c>
      <c r="B27" s="485">
        <f>'Another Uselss (2)'!E263</f>
        <v>5002368</v>
      </c>
      <c r="C27" s="485">
        <f>'Another Uselss (2)'!C263</f>
        <v>8687796.79015873</v>
      </c>
      <c r="D27" s="486"/>
      <c r="E27" s="496">
        <f>C27-B27</f>
        <v>3685428.79015873</v>
      </c>
      <c r="G27" s="496">
        <f>G25</f>
        <v>2232358.5249999999</v>
      </c>
    </row>
    <row r="28" spans="1:12">
      <c r="E28" s="498"/>
      <c r="G28" s="498"/>
    </row>
    <row r="29" spans="1:12">
      <c r="A29" t="s">
        <v>1194</v>
      </c>
      <c r="B29" s="485">
        <f>'Another Uselss (2)'!E265</f>
        <v>3987932</v>
      </c>
      <c r="C29" s="485">
        <f>'Another Uselss (2)'!C265</f>
        <v>4098926.2186343148</v>
      </c>
      <c r="D29" s="486"/>
      <c r="E29" s="496">
        <f>C29-B29</f>
        <v>110994.21863431484</v>
      </c>
      <c r="G29" s="496"/>
    </row>
    <row r="30" spans="1:12">
      <c r="A30" t="s">
        <v>817</v>
      </c>
      <c r="B30" s="485">
        <f>'Another Uselss (2)'!E266</f>
        <v>1300782.5313262397</v>
      </c>
      <c r="C30" s="485">
        <f>'Another Uselss (2)'!C266</f>
        <v>1332806.2035447718</v>
      </c>
      <c r="D30" s="486"/>
      <c r="E30" s="496">
        <f>C30-B30</f>
        <v>32023.672218532069</v>
      </c>
      <c r="G30" s="496"/>
    </row>
    <row r="31" spans="1:12">
      <c r="A31" t="s">
        <v>1257</v>
      </c>
      <c r="B31" s="485">
        <f>SUM('Another Uselss (2)'!E267:E270)</f>
        <v>1310407.7202818678</v>
      </c>
      <c r="C31" s="485">
        <f>SUM('Another Uselss (2)'!C267:C270)</f>
        <v>1340423.3545486848</v>
      </c>
      <c r="D31" s="486"/>
      <c r="E31" s="496">
        <f>C31-B31</f>
        <v>30015.634266817011</v>
      </c>
      <c r="G31" s="496"/>
    </row>
    <row r="32" spans="1:12">
      <c r="A32" t="s">
        <v>1258</v>
      </c>
      <c r="B32" s="485">
        <f>'Another Uselss (2)'!E271</f>
        <v>3667254.2206651429</v>
      </c>
      <c r="C32" s="485">
        <f>'Another Uselss (2)'!C271</f>
        <v>3620718.1597936461</v>
      </c>
      <c r="D32" s="486"/>
      <c r="E32" s="496">
        <f>C32-B32</f>
        <v>-46536.060871496797</v>
      </c>
      <c r="G32" s="496"/>
    </row>
    <row r="33" spans="1:7">
      <c r="A33" t="s">
        <v>1271</v>
      </c>
      <c r="B33" s="485">
        <f>'Another Uselss (2)'!E272+'Another Uselss (2)'!E273</f>
        <v>5562058.545433607</v>
      </c>
      <c r="C33" s="485">
        <f>'Another Uselss (2)'!C272+'Another Uselss (2)'!C273</f>
        <v>5679093.3228265634</v>
      </c>
      <c r="D33" s="486"/>
      <c r="E33" s="496">
        <f>C33-B33</f>
        <v>117034.77739295643</v>
      </c>
      <c r="G33" s="496"/>
    </row>
    <row r="34" spans="1:7">
      <c r="E34" s="498"/>
      <c r="G34" s="498"/>
    </row>
    <row r="35" spans="1:7">
      <c r="A35" s="487" t="s">
        <v>1272</v>
      </c>
      <c r="B35" s="493">
        <f>B12+B13+B14+B15+B27+SUM(B29:B33)</f>
        <v>35907791.80512993</v>
      </c>
      <c r="C35" s="493">
        <f>C12+C13+C14+C15+C27+SUM(C29:C33)</f>
        <v>39619077.091903262</v>
      </c>
      <c r="E35" s="499">
        <f>C35-B35</f>
        <v>3711285.2867733315</v>
      </c>
      <c r="G35" s="502">
        <f>G27</f>
        <v>2232358.5249999999</v>
      </c>
    </row>
    <row r="36" spans="1:7">
      <c r="E36" s="498"/>
      <c r="G36" s="498"/>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115B-0BB4-4458-ADE1-3AC48DEBD178}">
  <dimension ref="A1:H1"/>
  <sheetViews>
    <sheetView workbookViewId="0"/>
  </sheetViews>
  <sheetFormatPr defaultRowHeight="14.45"/>
  <cols>
    <col min="1" max="1" width="16.140625" bestFit="1" customWidth="1"/>
    <col min="2" max="2" width="11.5703125" bestFit="1" customWidth="1"/>
    <col min="3" max="3" width="11.42578125" bestFit="1" customWidth="1"/>
    <col min="4" max="4" width="6.140625" bestFit="1" customWidth="1"/>
    <col min="5" max="5" width="9.42578125" bestFit="1" customWidth="1"/>
    <col min="6" max="6" width="8.7109375" bestFit="1" customWidth="1"/>
    <col min="7" max="7" width="16.42578125" bestFit="1" customWidth="1"/>
    <col min="8" max="8" width="12.42578125" bestFit="1" customWidth="1"/>
  </cols>
  <sheetData>
    <row r="1" spans="1:8">
      <c r="A1" t="s">
        <v>1273</v>
      </c>
      <c r="B1" t="s">
        <v>1274</v>
      </c>
      <c r="C1" t="s">
        <v>1275</v>
      </c>
      <c r="D1" t="s">
        <v>1276</v>
      </c>
      <c r="E1" t="s">
        <v>1277</v>
      </c>
      <c r="F1" t="s">
        <v>1278</v>
      </c>
      <c r="G1" t="s">
        <v>1279</v>
      </c>
      <c r="H1" t="s">
        <v>1280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1129-E29E-4E86-A084-139F28BEC746}">
  <dimension ref="A1:AD68"/>
  <sheetViews>
    <sheetView showGridLines="0" topLeftCell="A2" workbookViewId="0">
      <selection activeCell="A56" sqref="A56"/>
    </sheetView>
  </sheetViews>
  <sheetFormatPr defaultRowHeight="14.45" outlineLevelRow="1"/>
  <cols>
    <col min="1" max="1" width="29.85546875" bestFit="1" customWidth="1"/>
    <col min="2" max="2" width="1" customWidth="1"/>
    <col min="3" max="7" width="13.140625" customWidth="1"/>
    <col min="8" max="8" width="2.28515625" customWidth="1"/>
    <col min="9" max="13" width="13.140625" customWidth="1"/>
    <col min="14" max="14" width="1.28515625" customWidth="1"/>
    <col min="15" max="15" width="2.28515625" customWidth="1"/>
    <col min="16" max="16" width="13.140625" customWidth="1"/>
    <col min="17" max="18" width="14.5703125" customWidth="1"/>
    <col min="20" max="20" width="11.140625" bestFit="1" customWidth="1"/>
  </cols>
  <sheetData>
    <row r="1" spans="1:30">
      <c r="A1" s="536" t="s">
        <v>1281</v>
      </c>
      <c r="B1" s="536"/>
      <c r="C1" s="537"/>
      <c r="D1" s="537"/>
      <c r="E1" s="537"/>
      <c r="F1" s="537"/>
      <c r="G1" s="537"/>
      <c r="H1" s="537"/>
      <c r="I1" s="537"/>
      <c r="J1" s="537"/>
      <c r="K1" s="537"/>
      <c r="L1" s="537"/>
      <c r="M1" s="537"/>
      <c r="P1" s="537"/>
    </row>
    <row r="3" spans="1:30">
      <c r="A3" s="535"/>
      <c r="B3" s="544"/>
      <c r="C3" s="534" t="s">
        <v>1282</v>
      </c>
      <c r="D3" s="535"/>
      <c r="E3" s="535"/>
      <c r="F3" s="535"/>
      <c r="G3" s="535"/>
      <c r="H3" s="486"/>
      <c r="I3" s="535" t="s">
        <v>184</v>
      </c>
      <c r="J3" s="535"/>
      <c r="K3" s="535"/>
      <c r="L3" s="535"/>
      <c r="M3" s="535"/>
      <c r="N3" s="486"/>
      <c r="O3" s="486"/>
      <c r="P3" s="535" t="s">
        <v>184</v>
      </c>
      <c r="Q3" s="535"/>
      <c r="R3" s="535"/>
      <c r="S3" s="486"/>
      <c r="T3" s="486"/>
      <c r="U3" s="486"/>
      <c r="V3" s="486"/>
      <c r="W3" s="486"/>
      <c r="X3" s="486"/>
      <c r="Y3" s="486"/>
      <c r="Z3" s="486"/>
      <c r="AA3" s="486"/>
      <c r="AB3" s="486"/>
      <c r="AC3" s="486"/>
      <c r="AD3" s="486"/>
    </row>
    <row r="4" spans="1:30">
      <c r="A4" s="541" t="s">
        <v>81</v>
      </c>
      <c r="B4" s="541"/>
      <c r="C4" s="545" t="s">
        <v>1283</v>
      </c>
      <c r="D4" s="530" t="s">
        <v>75</v>
      </c>
      <c r="E4" s="530" t="s">
        <v>543</v>
      </c>
      <c r="F4" s="530" t="s">
        <v>426</v>
      </c>
      <c r="G4" s="530" t="s">
        <v>555</v>
      </c>
      <c r="I4" s="545" t="s">
        <v>1283</v>
      </c>
      <c r="J4" s="530" t="s">
        <v>75</v>
      </c>
      <c r="K4" s="530" t="s">
        <v>543</v>
      </c>
      <c r="L4" s="530" t="s">
        <v>426</v>
      </c>
      <c r="M4" s="530" t="s">
        <v>555</v>
      </c>
      <c r="P4" s="545" t="s">
        <v>1283</v>
      </c>
      <c r="Q4" s="530" t="s">
        <v>1284</v>
      </c>
      <c r="R4" s="530" t="s">
        <v>1008</v>
      </c>
    </row>
    <row r="5" spans="1:30">
      <c r="A5" s="541" t="s">
        <v>1285</v>
      </c>
      <c r="B5" s="541"/>
      <c r="C5" s="545">
        <v>390</v>
      </c>
      <c r="D5" s="530">
        <v>190</v>
      </c>
      <c r="E5" s="530">
        <v>276</v>
      </c>
      <c r="F5" s="530">
        <v>195</v>
      </c>
      <c r="G5" s="530">
        <v>208</v>
      </c>
      <c r="I5" s="545">
        <v>390</v>
      </c>
      <c r="J5" s="530">
        <v>190</v>
      </c>
      <c r="K5" s="530">
        <v>276</v>
      </c>
      <c r="L5" s="530">
        <v>195</v>
      </c>
      <c r="M5" s="530">
        <v>208</v>
      </c>
      <c r="P5" s="545">
        <v>390</v>
      </c>
      <c r="Q5" s="530"/>
      <c r="R5" s="530"/>
    </row>
    <row r="6" spans="1:30" ht="15" thickBot="1">
      <c r="A6" s="542" t="s">
        <v>615</v>
      </c>
      <c r="B6" s="541"/>
      <c r="C6" s="546">
        <v>15.87</v>
      </c>
      <c r="D6" s="489">
        <v>5</v>
      </c>
      <c r="E6" s="489">
        <v>9.4499999999999993</v>
      </c>
      <c r="F6" s="489">
        <v>5</v>
      </c>
      <c r="G6" s="489">
        <v>5</v>
      </c>
      <c r="I6" s="546">
        <v>15.87</v>
      </c>
      <c r="J6" s="489">
        <v>5</v>
      </c>
      <c r="K6" s="489">
        <v>9.4499999999999993</v>
      </c>
      <c r="L6" s="489">
        <v>5</v>
      </c>
      <c r="M6" s="489">
        <v>5</v>
      </c>
      <c r="P6" s="546">
        <v>15.87</v>
      </c>
      <c r="Q6" s="489"/>
      <c r="R6" s="489"/>
    </row>
    <row r="7" spans="1:30">
      <c r="A7" s="541"/>
      <c r="B7" s="541"/>
      <c r="C7" s="545"/>
      <c r="D7" s="530"/>
      <c r="E7" s="530"/>
      <c r="F7" s="530"/>
      <c r="G7" s="530"/>
      <c r="I7" s="545"/>
      <c r="J7" s="530"/>
      <c r="K7" s="530"/>
      <c r="L7" s="530"/>
      <c r="M7" s="530"/>
      <c r="P7" s="545"/>
      <c r="Q7" s="530"/>
      <c r="R7" s="530"/>
    </row>
    <row r="8" spans="1:30" hidden="1" outlineLevel="1">
      <c r="A8" s="52" t="s">
        <v>226</v>
      </c>
      <c r="B8" s="531"/>
      <c r="C8" s="547">
        <f>VLOOKUP(A8,'Level 1'!$A$25:$K$220,11,FALSE)</f>
        <v>2063622.8800000001</v>
      </c>
      <c r="D8" s="538">
        <v>562845</v>
      </c>
      <c r="E8" s="538">
        <v>1523801</v>
      </c>
      <c r="F8" s="538">
        <v>733725</v>
      </c>
      <c r="G8" s="538">
        <f>335520+325715</f>
        <v>661235</v>
      </c>
      <c r="H8" s="486"/>
      <c r="I8" s="547">
        <f t="shared" ref="I8:I25" si="0">C8/C$5</f>
        <v>5291.3407179487185</v>
      </c>
      <c r="J8" s="538">
        <f t="shared" ref="J8:J18" si="1">D8/D$5</f>
        <v>2962.3421052631579</v>
      </c>
      <c r="K8" s="538">
        <f t="shared" ref="K8:M18" si="2">E8/E$5</f>
        <v>5521.018115942029</v>
      </c>
      <c r="L8" s="538">
        <f t="shared" si="2"/>
        <v>3762.6923076923076</v>
      </c>
      <c r="M8" s="538">
        <f t="shared" si="2"/>
        <v>3179.0144230769229</v>
      </c>
      <c r="N8" s="486"/>
      <c r="P8" s="547">
        <f>I8</f>
        <v>5291.3407179487185</v>
      </c>
      <c r="Q8" s="538">
        <f t="shared" ref="Q8:Q16" si="3">AVERAGE(J8:M8)</f>
        <v>3856.2667379936038</v>
      </c>
      <c r="R8" s="538">
        <f t="shared" ref="R8:R16" si="4">P8-Q8</f>
        <v>1435.0739799551147</v>
      </c>
      <c r="S8" s="486"/>
      <c r="T8" s="486">
        <f>I8-J8</f>
        <v>2328.9986126855606</v>
      </c>
      <c r="U8" s="486"/>
      <c r="V8" s="486"/>
      <c r="W8" s="486"/>
      <c r="X8" s="486"/>
      <c r="Y8" s="486"/>
      <c r="Z8" s="486"/>
      <c r="AA8" s="486"/>
      <c r="AB8" s="486"/>
      <c r="AC8" s="486"/>
      <c r="AD8" s="486"/>
    </row>
    <row r="9" spans="1:30" hidden="1" outlineLevel="1">
      <c r="A9" s="52" t="s">
        <v>252</v>
      </c>
      <c r="B9" s="531"/>
      <c r="C9" s="547">
        <f>VLOOKUP(A9,'Level 1'!$A$25:$K$220,11,FALSE)</f>
        <v>754201.14</v>
      </c>
      <c r="D9" s="538">
        <v>386440</v>
      </c>
      <c r="E9" s="538">
        <v>443880</v>
      </c>
      <c r="F9" s="538">
        <v>357320</v>
      </c>
      <c r="G9" s="538">
        <f>81520*2</f>
        <v>163040</v>
      </c>
      <c r="H9" s="486"/>
      <c r="I9" s="547">
        <f t="shared" ref="I9" si="5">C9/C$5</f>
        <v>1933.8490769230771</v>
      </c>
      <c r="J9" s="538">
        <f t="shared" ref="J9" si="6">D9/D$5</f>
        <v>2033.8947368421052</v>
      </c>
      <c r="K9" s="538">
        <f t="shared" ref="K9:M9" si="7">E9/E$5</f>
        <v>1608.2608695652175</v>
      </c>
      <c r="L9" s="538">
        <f t="shared" si="7"/>
        <v>1832.4102564102564</v>
      </c>
      <c r="M9" s="538">
        <f t="shared" si="7"/>
        <v>783.84615384615381</v>
      </c>
      <c r="N9" s="486"/>
      <c r="P9" s="547">
        <f>I9</f>
        <v>1933.8490769230771</v>
      </c>
      <c r="Q9" s="538">
        <f t="shared" ref="Q9" si="8">AVERAGE(J9:M9)</f>
        <v>1564.6030041659333</v>
      </c>
      <c r="R9" s="538">
        <f t="shared" ref="R9" si="9">P9-Q9</f>
        <v>369.24607275714379</v>
      </c>
      <c r="S9" s="486"/>
      <c r="T9" s="486">
        <f>I9-J9</f>
        <v>-100.04565991902814</v>
      </c>
      <c r="U9" s="486"/>
      <c r="V9" s="486"/>
      <c r="W9" s="486"/>
      <c r="X9" s="486"/>
      <c r="Y9" s="486"/>
      <c r="Z9" s="486"/>
      <c r="AA9" s="486"/>
      <c r="AB9" s="486"/>
      <c r="AC9" s="486"/>
      <c r="AD9" s="486"/>
    </row>
    <row r="10" spans="1:30" hidden="1" outlineLevel="1">
      <c r="A10" s="52" t="s">
        <v>310</v>
      </c>
      <c r="B10" s="531"/>
      <c r="C10" s="547">
        <f>VLOOKUP(A10,'Level 1'!$A$25:$K$220,11,FALSE)</f>
        <v>9052854.5600000005</v>
      </c>
      <c r="D10" s="538">
        <v>3750068</v>
      </c>
      <c r="E10" s="538">
        <f>10027+1864970+1611622+1074245+1301145</f>
        <v>5862009</v>
      </c>
      <c r="F10" s="538">
        <f>9566+1188615+1690788+611110</f>
        <v>3500079</v>
      </c>
      <c r="G10" s="538">
        <f>17096+817122+1078743+350590+811427+1106385+350590</f>
        <v>4531953</v>
      </c>
      <c r="H10" s="486"/>
      <c r="I10" s="547">
        <f t="shared" si="0"/>
        <v>23212.447589743591</v>
      </c>
      <c r="J10" s="538">
        <f t="shared" si="1"/>
        <v>19737.2</v>
      </c>
      <c r="K10" s="538">
        <f t="shared" si="2"/>
        <v>21239.16304347826</v>
      </c>
      <c r="L10" s="538">
        <f t="shared" si="2"/>
        <v>17949.123076923075</v>
      </c>
      <c r="M10" s="538">
        <f t="shared" si="2"/>
        <v>21788.235576923078</v>
      </c>
      <c r="N10" s="486"/>
      <c r="P10" s="547">
        <f t="shared" ref="P10:P16" si="10">I10</f>
        <v>23212.447589743591</v>
      </c>
      <c r="Q10" s="538">
        <f t="shared" si="3"/>
        <v>20178.430424331105</v>
      </c>
      <c r="R10" s="538">
        <f t="shared" si="4"/>
        <v>3034.0171654124861</v>
      </c>
      <c r="S10" s="486"/>
      <c r="T10" s="486">
        <f t="shared" ref="T10:T18" si="11">I10-J10</f>
        <v>3475.2475897435907</v>
      </c>
      <c r="U10" s="486"/>
      <c r="V10" s="486"/>
      <c r="W10" s="486"/>
      <c r="X10" s="486"/>
      <c r="Y10" s="486"/>
      <c r="Z10" s="486"/>
      <c r="AA10" s="486"/>
      <c r="AB10" s="486"/>
      <c r="AC10" s="486"/>
      <c r="AD10" s="486"/>
    </row>
    <row r="11" spans="1:30" hidden="1" outlineLevel="1">
      <c r="A11" s="52" t="s">
        <v>1286</v>
      </c>
      <c r="B11" s="531"/>
      <c r="C11" s="547">
        <f>'Level 1'!K68+'Level 1'!K69</f>
        <v>1745758.7261064046</v>
      </c>
      <c r="D11" s="538">
        <v>609472.5</v>
      </c>
      <c r="E11" s="538">
        <v>801212</v>
      </c>
      <c r="F11" s="538">
        <v>600840.31999999995</v>
      </c>
      <c r="G11" s="538">
        <f>303212+325279</f>
        <v>628491</v>
      </c>
      <c r="H11" s="486"/>
      <c r="I11" s="547">
        <f t="shared" si="0"/>
        <v>4476.3044259138578</v>
      </c>
      <c r="J11" s="538">
        <f t="shared" si="1"/>
        <v>3207.75</v>
      </c>
      <c r="K11" s="538">
        <f t="shared" si="2"/>
        <v>2902.942028985507</v>
      </c>
      <c r="L11" s="538">
        <f t="shared" si="2"/>
        <v>3081.2324102564098</v>
      </c>
      <c r="M11" s="538">
        <f t="shared" si="2"/>
        <v>3021.5913461538462</v>
      </c>
      <c r="N11" s="486"/>
      <c r="P11" s="547">
        <f t="shared" si="10"/>
        <v>4476.3044259138578</v>
      </c>
      <c r="Q11" s="538">
        <f t="shared" si="3"/>
        <v>3053.3789463489406</v>
      </c>
      <c r="R11" s="538">
        <f t="shared" si="4"/>
        <v>1422.9254795649172</v>
      </c>
      <c r="S11" s="486"/>
      <c r="T11" s="486">
        <f t="shared" si="11"/>
        <v>1268.5544259138578</v>
      </c>
      <c r="U11" s="486"/>
      <c r="V11" s="486"/>
      <c r="W11" s="486"/>
      <c r="X11" s="486"/>
      <c r="Y11" s="486"/>
      <c r="Z11" s="486"/>
      <c r="AA11" s="486"/>
      <c r="AB11" s="486"/>
      <c r="AC11" s="486"/>
      <c r="AD11" s="486"/>
    </row>
    <row r="12" spans="1:30" hidden="1" outlineLevel="1">
      <c r="A12" s="52" t="s">
        <v>338</v>
      </c>
      <c r="B12" s="531"/>
      <c r="C12" s="547">
        <f>VLOOKUP(A12,'Level 1'!$A$25:$K$220,11,FALSE)</f>
        <v>1166159.7000000002</v>
      </c>
      <c r="D12" s="538">
        <v>508100</v>
      </c>
      <c r="E12" s="538">
        <v>587192</v>
      </c>
      <c r="F12" s="538">
        <v>460480</v>
      </c>
      <c r="G12" s="538">
        <f>254070*2</f>
        <v>508140</v>
      </c>
      <c r="H12" s="486"/>
      <c r="I12" s="547">
        <f t="shared" si="0"/>
        <v>2990.1530769230776</v>
      </c>
      <c r="J12" s="538">
        <f t="shared" si="1"/>
        <v>2674.2105263157896</v>
      </c>
      <c r="K12" s="538">
        <f t="shared" si="2"/>
        <v>2127.5072463768115</v>
      </c>
      <c r="L12" s="538">
        <f t="shared" si="2"/>
        <v>2361.4358974358975</v>
      </c>
      <c r="M12" s="538">
        <f t="shared" si="2"/>
        <v>2442.9807692307691</v>
      </c>
      <c r="N12" s="486"/>
      <c r="P12" s="547">
        <f t="shared" si="10"/>
        <v>2990.1530769230776</v>
      </c>
      <c r="Q12" s="538">
        <f t="shared" si="3"/>
        <v>2401.533609839817</v>
      </c>
      <c r="R12" s="538">
        <f t="shared" si="4"/>
        <v>588.61946708326059</v>
      </c>
      <c r="S12" s="486"/>
      <c r="T12" s="486">
        <f t="shared" si="11"/>
        <v>315.94255060728801</v>
      </c>
      <c r="U12" s="486"/>
      <c r="V12" s="486"/>
      <c r="W12" s="486"/>
      <c r="X12" s="486"/>
      <c r="Y12" s="486"/>
      <c r="Z12" s="486"/>
      <c r="AA12" s="486"/>
      <c r="AB12" s="486"/>
      <c r="AC12" s="486"/>
      <c r="AD12" s="486"/>
    </row>
    <row r="13" spans="1:30" hidden="1" outlineLevel="1">
      <c r="A13" s="52" t="s">
        <v>154</v>
      </c>
      <c r="B13" s="531"/>
      <c r="C13" s="547">
        <f>VLOOKUP(A13,'Level 1'!$A$25:$K$220,11,FALSE)</f>
        <v>1052524.44</v>
      </c>
      <c r="D13" s="538">
        <v>287050</v>
      </c>
      <c r="E13" s="538">
        <v>657915</v>
      </c>
      <c r="F13" s="538">
        <v>294205</v>
      </c>
      <c r="G13" s="538">
        <f>169081*2</f>
        <v>338162</v>
      </c>
      <c r="H13" s="486"/>
      <c r="I13" s="547">
        <f t="shared" si="0"/>
        <v>2698.7806153846154</v>
      </c>
      <c r="J13" s="538">
        <f t="shared" si="1"/>
        <v>1510.7894736842106</v>
      </c>
      <c r="K13" s="538">
        <f t="shared" si="2"/>
        <v>2383.75</v>
      </c>
      <c r="L13" s="538">
        <f t="shared" si="2"/>
        <v>1508.7435897435898</v>
      </c>
      <c r="M13" s="538">
        <f t="shared" si="2"/>
        <v>1625.7788461538462</v>
      </c>
      <c r="N13" s="486"/>
      <c r="P13" s="547">
        <f t="shared" si="10"/>
        <v>2698.7806153846154</v>
      </c>
      <c r="Q13" s="538">
        <f t="shared" si="3"/>
        <v>1757.2654773954118</v>
      </c>
      <c r="R13" s="538">
        <f t="shared" si="4"/>
        <v>941.51513798920359</v>
      </c>
      <c r="S13" s="486"/>
      <c r="T13" s="486">
        <f t="shared" si="11"/>
        <v>1187.9911417004048</v>
      </c>
      <c r="U13" s="486"/>
      <c r="V13" s="486"/>
      <c r="W13" s="486"/>
      <c r="X13" s="486"/>
      <c r="Y13" s="486"/>
      <c r="Z13" s="486"/>
      <c r="AA13" s="486"/>
      <c r="AB13" s="486"/>
      <c r="AC13" s="486"/>
      <c r="AD13" s="486"/>
    </row>
    <row r="14" spans="1:30" hidden="1" outlineLevel="1">
      <c r="A14" s="52" t="s">
        <v>1287</v>
      </c>
      <c r="B14" s="531"/>
      <c r="C14" s="547">
        <f>'Level 1'!K90</f>
        <v>519315.7894736841</v>
      </c>
      <c r="D14" s="538">
        <v>220000</v>
      </c>
      <c r="E14" s="538">
        <v>382258.61</v>
      </c>
      <c r="F14" s="538">
        <v>144157.93</v>
      </c>
      <c r="G14" s="538">
        <f>96536+91158</f>
        <v>187694</v>
      </c>
      <c r="H14" s="486"/>
      <c r="I14" s="547">
        <f t="shared" si="0"/>
        <v>1331.5789473684208</v>
      </c>
      <c r="J14" s="538">
        <f t="shared" si="1"/>
        <v>1157.8947368421052</v>
      </c>
      <c r="K14" s="538">
        <f t="shared" si="2"/>
        <v>1384.9949637681159</v>
      </c>
      <c r="L14" s="538">
        <f t="shared" si="2"/>
        <v>739.27143589743582</v>
      </c>
      <c r="M14" s="538">
        <f t="shared" si="2"/>
        <v>902.375</v>
      </c>
      <c r="N14" s="486"/>
      <c r="P14" s="547">
        <f t="shared" ref="P14" si="12">I14</f>
        <v>1331.5789473684208</v>
      </c>
      <c r="Q14" s="538">
        <f t="shared" ref="Q14" si="13">AVERAGE(J14:M14)</f>
        <v>1046.1340341269142</v>
      </c>
      <c r="R14" s="538">
        <f t="shared" ref="R14:R15" si="14">P14-Q14</f>
        <v>285.44491324150658</v>
      </c>
      <c r="S14" s="486"/>
      <c r="T14" s="486">
        <f t="shared" si="11"/>
        <v>173.68421052631561</v>
      </c>
      <c r="U14" s="486"/>
      <c r="V14" s="486"/>
      <c r="W14" s="486"/>
      <c r="X14" s="486"/>
      <c r="Y14" s="486"/>
      <c r="Z14" s="486"/>
      <c r="AA14" s="486"/>
      <c r="AB14" s="486"/>
      <c r="AC14" s="486"/>
      <c r="AD14" s="486"/>
    </row>
    <row r="15" spans="1:30" hidden="1" outlineLevel="1">
      <c r="A15" s="52" t="s">
        <v>159</v>
      </c>
      <c r="B15" s="531"/>
      <c r="C15" s="547">
        <f>VLOOKUP(A15,'Level 1'!$A$25:$K$220,11,FALSE)</f>
        <v>1061549.72</v>
      </c>
      <c r="D15" s="538">
        <v>482640</v>
      </c>
      <c r="E15" s="538">
        <v>906247</v>
      </c>
      <c r="F15" s="538">
        <v>456519</v>
      </c>
      <c r="G15" s="538">
        <f>266399*2</f>
        <v>532798</v>
      </c>
      <c r="H15" s="486"/>
      <c r="I15" s="547">
        <f t="shared" ref="I15" si="15">C15/C$5</f>
        <v>2721.9223589743588</v>
      </c>
      <c r="J15" s="538">
        <f t="shared" ref="J15" si="16">D15/D$5</f>
        <v>2540.2105263157896</v>
      </c>
      <c r="K15" s="538">
        <f>E15/E$5</f>
        <v>3283.503623188406</v>
      </c>
      <c r="L15" s="538">
        <f t="shared" ref="L15:M15" si="17">F15/F$5</f>
        <v>2341.123076923077</v>
      </c>
      <c r="M15" s="538">
        <f t="shared" si="17"/>
        <v>2561.5288461538462</v>
      </c>
      <c r="N15" s="486"/>
      <c r="P15" s="547">
        <f t="shared" ref="P15" si="18">I15</f>
        <v>2721.9223589743588</v>
      </c>
      <c r="Q15" s="538">
        <f>AVERAGE(J15:M15)</f>
        <v>2681.5915181452797</v>
      </c>
      <c r="R15" s="538">
        <f t="shared" si="14"/>
        <v>40.330840829079079</v>
      </c>
      <c r="S15" s="486"/>
      <c r="T15" s="486">
        <f t="shared" ref="T15" si="19">I15-J15</f>
        <v>181.71183265856916</v>
      </c>
      <c r="U15" s="486"/>
      <c r="V15" s="486"/>
      <c r="W15" s="486"/>
      <c r="X15" s="486"/>
      <c r="Y15" s="486"/>
      <c r="Z15" s="486"/>
      <c r="AA15" s="486"/>
      <c r="AB15" s="486"/>
      <c r="AC15" s="486"/>
      <c r="AD15" s="486"/>
    </row>
    <row r="16" spans="1:30" hidden="1" outlineLevel="1">
      <c r="A16" s="52" t="s">
        <v>417</v>
      </c>
      <c r="B16" s="531"/>
      <c r="C16" s="547">
        <f>VLOOKUP(A16,'Level 1'!$A$25:$K$220,11,FALSE)</f>
        <v>3463926.2199999997</v>
      </c>
      <c r="D16" s="538">
        <v>1509362</v>
      </c>
      <c r="E16" s="538">
        <v>1902195</v>
      </c>
      <c r="F16" s="538">
        <v>1487010</v>
      </c>
      <c r="G16" s="538">
        <f>755077+752551</f>
        <v>1507628</v>
      </c>
      <c r="H16" s="486"/>
      <c r="I16" s="547">
        <f t="shared" si="0"/>
        <v>8881.8621025641023</v>
      </c>
      <c r="J16" s="538">
        <f t="shared" si="1"/>
        <v>7944.0105263157893</v>
      </c>
      <c r="K16" s="538">
        <f t="shared" si="2"/>
        <v>6892.010869565217</v>
      </c>
      <c r="L16" s="538">
        <f t="shared" si="2"/>
        <v>7625.6923076923076</v>
      </c>
      <c r="M16" s="538">
        <f t="shared" si="2"/>
        <v>7248.2115384615381</v>
      </c>
      <c r="N16" s="486"/>
      <c r="P16" s="547">
        <f t="shared" si="10"/>
        <v>8881.8621025641023</v>
      </c>
      <c r="Q16" s="538">
        <f t="shared" si="3"/>
        <v>7427.4813105087132</v>
      </c>
      <c r="R16" s="538">
        <f t="shared" si="4"/>
        <v>1454.3807920553891</v>
      </c>
      <c r="S16" s="486"/>
      <c r="T16" s="486">
        <f t="shared" si="11"/>
        <v>937.85157624831299</v>
      </c>
      <c r="U16" s="486"/>
      <c r="V16" s="486"/>
      <c r="W16" s="486"/>
      <c r="X16" s="486"/>
      <c r="Y16" s="486"/>
      <c r="Z16" s="486"/>
      <c r="AA16" s="486"/>
      <c r="AB16" s="486"/>
      <c r="AC16" s="486"/>
      <c r="AD16" s="486"/>
    </row>
    <row r="17" spans="1:30" hidden="1" outlineLevel="1">
      <c r="A17" s="52" t="s">
        <v>431</v>
      </c>
      <c r="B17" s="531"/>
      <c r="C17" s="547">
        <f>VLOOKUP(A17,'Level 1'!$A$25:$K$220,11,FALSE)</f>
        <v>692417.74418223219</v>
      </c>
      <c r="D17" s="538">
        <v>269106.3249666667</v>
      </c>
      <c r="E17" s="538">
        <v>392585.38</v>
      </c>
      <c r="F17" s="538">
        <v>289943.98</v>
      </c>
      <c r="G17" s="538">
        <f>155937+166192</f>
        <v>322129</v>
      </c>
      <c r="H17" s="486"/>
      <c r="I17" s="547">
        <f>C17/C$5</f>
        <v>1775.4301132877749</v>
      </c>
      <c r="J17" s="538">
        <f>D17/D$5</f>
        <v>1416.34907877193</v>
      </c>
      <c r="K17" s="538">
        <f>E17/E$5</f>
        <v>1422.4107971014494</v>
      </c>
      <c r="L17" s="538">
        <f>F17/F$5</f>
        <v>1486.892205128205</v>
      </c>
      <c r="M17" s="538">
        <f>G17/G$5</f>
        <v>1548.6971153846155</v>
      </c>
      <c r="N17" s="486"/>
      <c r="P17" s="547">
        <f>I17</f>
        <v>1775.4301132877749</v>
      </c>
      <c r="Q17" s="538">
        <f>AVERAGE(J17:M17)</f>
        <v>1468.5872990965499</v>
      </c>
      <c r="R17" s="538">
        <f>P17-Q17</f>
        <v>306.84281419122499</v>
      </c>
      <c r="S17" s="486"/>
      <c r="T17" s="486">
        <f>I17-J17</f>
        <v>359.08103451584498</v>
      </c>
      <c r="U17" s="486"/>
      <c r="V17" s="486"/>
      <c r="W17" s="486"/>
      <c r="X17" s="486"/>
      <c r="Y17" s="486"/>
      <c r="Z17" s="486"/>
      <c r="AA17" s="486"/>
      <c r="AB17" s="486"/>
      <c r="AC17" s="486"/>
      <c r="AD17" s="486"/>
    </row>
    <row r="18" spans="1:30" hidden="1" outlineLevel="1">
      <c r="A18" s="52" t="s">
        <v>457</v>
      </c>
      <c r="B18" s="531"/>
      <c r="C18" s="547">
        <f>VLOOKUP(A18,'Level 1'!$A$25:$K$220,11,FALSE)</f>
        <v>794716.24</v>
      </c>
      <c r="D18" s="538">
        <v>343464</v>
      </c>
      <c r="E18" s="538">
        <v>542302</v>
      </c>
      <c r="F18" s="538">
        <v>355696</v>
      </c>
      <c r="G18" s="538">
        <f>216845+206416</f>
        <v>423261</v>
      </c>
      <c r="H18" s="486"/>
      <c r="I18" s="547">
        <f t="shared" si="0"/>
        <v>2037.7339487179488</v>
      </c>
      <c r="J18" s="538">
        <f t="shared" si="1"/>
        <v>1807.7052631578947</v>
      </c>
      <c r="K18" s="538">
        <f t="shared" si="2"/>
        <v>1964.8623188405797</v>
      </c>
      <c r="L18" s="538">
        <f t="shared" si="2"/>
        <v>1824.0820512820512</v>
      </c>
      <c r="M18" s="538">
        <f t="shared" si="2"/>
        <v>2034.9086538461538</v>
      </c>
      <c r="N18" s="486"/>
      <c r="P18" s="547">
        <f t="shared" ref="P18" si="20">I18</f>
        <v>2037.7339487179488</v>
      </c>
      <c r="Q18" s="538">
        <f t="shared" ref="Q18" si="21">AVERAGE(J18:M18)</f>
        <v>1907.8895717816699</v>
      </c>
      <c r="R18" s="538">
        <f t="shared" ref="R18" si="22">P18-Q18</f>
        <v>129.84437693627888</v>
      </c>
      <c r="S18" s="486"/>
      <c r="T18" s="486">
        <f t="shared" si="11"/>
        <v>230.0286855600541</v>
      </c>
      <c r="U18" s="486"/>
      <c r="V18" s="486"/>
      <c r="W18" s="486"/>
      <c r="X18" s="486"/>
      <c r="Y18" s="486"/>
      <c r="Z18" s="486"/>
      <c r="AA18" s="486"/>
      <c r="AB18" s="486"/>
      <c r="AC18" s="486"/>
      <c r="AD18" s="486"/>
    </row>
    <row r="19" spans="1:30" hidden="1" outlineLevel="1">
      <c r="A19" s="52" t="s">
        <v>549</v>
      </c>
      <c r="B19" s="531"/>
      <c r="C19" s="547">
        <f>VLOOKUP(A19,'Level 1'!$A$25:$K$220,11,FALSE)</f>
        <v>568746.66666666663</v>
      </c>
      <c r="D19" s="538">
        <v>310200</v>
      </c>
      <c r="E19" s="538">
        <v>489480</v>
      </c>
      <c r="F19" s="538">
        <v>309100</v>
      </c>
      <c r="G19" s="538">
        <f>85247+287919</f>
        <v>373166</v>
      </c>
      <c r="H19" s="486"/>
      <c r="I19" s="547">
        <f t="shared" ref="I19" si="23">C19/C$5</f>
        <v>1458.3247863247861</v>
      </c>
      <c r="J19" s="538">
        <f t="shared" ref="J19" si="24">D19/D$5</f>
        <v>1632.6315789473683</v>
      </c>
      <c r="K19" s="538">
        <f t="shared" ref="K19" si="25">E19/E$5</f>
        <v>1773.4782608695652</v>
      </c>
      <c r="L19" s="538">
        <f t="shared" ref="L19" si="26">F19/F$5</f>
        <v>1585.1282051282051</v>
      </c>
      <c r="M19" s="538">
        <f t="shared" ref="M19" si="27">G19/G$5</f>
        <v>1794.0673076923076</v>
      </c>
      <c r="N19" s="486"/>
      <c r="P19" s="547">
        <f t="shared" ref="P19" si="28">I19</f>
        <v>1458.3247863247861</v>
      </c>
      <c r="Q19" s="538">
        <f t="shared" ref="Q19" si="29">AVERAGE(J19:M19)</f>
        <v>1696.3263381593615</v>
      </c>
      <c r="R19" s="538">
        <f t="shared" ref="R19" si="30">P19-Q19</f>
        <v>-238.00155183457537</v>
      </c>
      <c r="S19" s="486"/>
      <c r="T19" s="486"/>
      <c r="U19" s="486"/>
      <c r="V19" s="486"/>
      <c r="W19" s="486"/>
      <c r="X19" s="486"/>
      <c r="Y19" s="486"/>
      <c r="Z19" s="486"/>
      <c r="AA19" s="486"/>
      <c r="AB19" s="486"/>
      <c r="AC19" s="486"/>
      <c r="AD19" s="486"/>
    </row>
    <row r="20" spans="1:30" hidden="1" outlineLevel="1">
      <c r="A20" s="52" t="s">
        <v>507</v>
      </c>
      <c r="B20" s="531"/>
      <c r="C20" s="547">
        <f>VLOOKUP(A20,'Level 1'!$A$25:$K$220,11,FALSE)</f>
        <v>1248584</v>
      </c>
      <c r="D20" s="538">
        <v>555940</v>
      </c>
      <c r="E20" s="538">
        <v>838575</v>
      </c>
      <c r="F20" s="538">
        <v>619814</v>
      </c>
      <c r="G20" s="538">
        <v>680152</v>
      </c>
      <c r="H20" s="486"/>
      <c r="I20" s="547">
        <f t="shared" si="0"/>
        <v>3201.4974358974359</v>
      </c>
      <c r="J20" s="538">
        <f t="shared" ref="J20:J25" si="31">D20/D$5</f>
        <v>2926</v>
      </c>
      <c r="K20" s="538">
        <f t="shared" ref="K20:K25" si="32">E20/E$5</f>
        <v>3038.3152173913045</v>
      </c>
      <c r="L20" s="538">
        <f t="shared" ref="L20:L25" si="33">F20/F$5</f>
        <v>3178.5333333333333</v>
      </c>
      <c r="M20" s="538">
        <f t="shared" ref="M20:M25" si="34">G20/G$5</f>
        <v>3269.9615384615386</v>
      </c>
      <c r="N20" s="486"/>
      <c r="P20" s="547">
        <f t="shared" ref="P20:P25" si="35">I20</f>
        <v>3201.4974358974359</v>
      </c>
      <c r="Q20" s="538">
        <f t="shared" ref="Q20:Q25" si="36">AVERAGE(J20:M20)</f>
        <v>3103.202522296544</v>
      </c>
      <c r="R20" s="538">
        <f t="shared" ref="R20:R25" si="37">P20-Q20</f>
        <v>98.29491360089196</v>
      </c>
      <c r="S20" s="486"/>
      <c r="T20" s="486"/>
      <c r="U20" s="486"/>
      <c r="V20" s="486"/>
      <c r="W20" s="486"/>
      <c r="X20" s="486"/>
      <c r="Y20" s="486"/>
      <c r="Z20" s="486"/>
      <c r="AA20" s="486"/>
      <c r="AB20" s="486"/>
      <c r="AC20" s="486"/>
      <c r="AD20" s="486"/>
    </row>
    <row r="21" spans="1:30" hidden="1" outlineLevel="1">
      <c r="A21" s="52" t="s">
        <v>1288</v>
      </c>
      <c r="B21" s="531"/>
      <c r="C21" s="547">
        <f>'Level 1'!K160+'Level 1'!K161</f>
        <v>1443278</v>
      </c>
      <c r="D21" s="538">
        <v>594643</v>
      </c>
      <c r="E21" s="538">
        <v>866399</v>
      </c>
      <c r="F21" s="538">
        <v>626753</v>
      </c>
      <c r="G21" s="538">
        <v>646047</v>
      </c>
      <c r="H21" s="486"/>
      <c r="I21" s="547">
        <f t="shared" si="0"/>
        <v>3700.7128205128206</v>
      </c>
      <c r="J21" s="538">
        <f t="shared" si="31"/>
        <v>3129.7</v>
      </c>
      <c r="K21" s="538">
        <f t="shared" si="32"/>
        <v>3139.126811594203</v>
      </c>
      <c r="L21" s="538">
        <f t="shared" si="33"/>
        <v>3214.1179487179488</v>
      </c>
      <c r="M21" s="538">
        <f t="shared" si="34"/>
        <v>3105.9951923076924</v>
      </c>
      <c r="N21" s="486"/>
      <c r="P21" s="547">
        <f t="shared" si="35"/>
        <v>3700.7128205128206</v>
      </c>
      <c r="Q21" s="538">
        <f t="shared" si="36"/>
        <v>3147.2349881549608</v>
      </c>
      <c r="R21" s="538">
        <f t="shared" si="37"/>
        <v>553.47783235785982</v>
      </c>
      <c r="S21" s="486"/>
      <c r="T21" s="486"/>
      <c r="U21" s="486"/>
      <c r="V21" s="486"/>
      <c r="W21" s="486"/>
      <c r="X21" s="486"/>
      <c r="Y21" s="486"/>
      <c r="Z21" s="486"/>
      <c r="AA21" s="486"/>
      <c r="AB21" s="486"/>
      <c r="AC21" s="486"/>
      <c r="AD21" s="486"/>
    </row>
    <row r="22" spans="1:30" hidden="1" outlineLevel="1">
      <c r="A22" s="52" t="s">
        <v>1289</v>
      </c>
      <c r="B22" s="531"/>
      <c r="C22" s="547">
        <f>'Level 1'!K162+'Level 1'!K163</f>
        <v>743068.97689075628</v>
      </c>
      <c r="D22" s="538">
        <v>335356</v>
      </c>
      <c r="E22" s="538">
        <v>457804</v>
      </c>
      <c r="F22" s="538">
        <v>305159</v>
      </c>
      <c r="G22" s="538">
        <f>171472+180936</f>
        <v>352408</v>
      </c>
      <c r="H22" s="486"/>
      <c r="I22" s="547">
        <f t="shared" si="0"/>
        <v>1905.3050689506572</v>
      </c>
      <c r="J22" s="538">
        <f t="shared" si="31"/>
        <v>1765.0315789473684</v>
      </c>
      <c r="K22" s="538">
        <f t="shared" si="32"/>
        <v>1658.7101449275362</v>
      </c>
      <c r="L22" s="538">
        <f t="shared" si="33"/>
        <v>1564.9179487179488</v>
      </c>
      <c r="M22" s="538">
        <f t="shared" si="34"/>
        <v>1694.2692307692307</v>
      </c>
      <c r="N22" s="486"/>
      <c r="P22" s="547">
        <f t="shared" si="35"/>
        <v>1905.3050689506572</v>
      </c>
      <c r="Q22" s="538">
        <f t="shared" si="36"/>
        <v>1670.7322258405211</v>
      </c>
      <c r="R22" s="538">
        <f t="shared" si="37"/>
        <v>234.57284311013609</v>
      </c>
      <c r="S22" s="486"/>
      <c r="T22" s="486"/>
      <c r="U22" s="486"/>
      <c r="V22" s="486"/>
      <c r="W22" s="486"/>
      <c r="X22" s="486"/>
      <c r="Y22" s="486"/>
      <c r="Z22" s="486"/>
      <c r="AA22" s="486"/>
      <c r="AB22" s="486"/>
      <c r="AC22" s="486"/>
      <c r="AD22" s="486"/>
    </row>
    <row r="23" spans="1:30" hidden="1" outlineLevel="1">
      <c r="A23" s="52" t="s">
        <v>560</v>
      </c>
      <c r="B23" s="531"/>
      <c r="C23" s="547">
        <f>VLOOKUP(A23,'Level 1'!$A$25:$K$220,11,FALSE)</f>
        <v>1058181.9500000002</v>
      </c>
      <c r="D23" s="538">
        <v>420725</v>
      </c>
      <c r="E23" s="538">
        <v>595859</v>
      </c>
      <c r="F23" s="538">
        <v>401846</v>
      </c>
      <c r="G23" s="538">
        <f>261000*2</f>
        <v>522000</v>
      </c>
      <c r="H23" s="486"/>
      <c r="I23" s="547">
        <f t="shared" si="0"/>
        <v>2713.2870512820518</v>
      </c>
      <c r="J23" s="538">
        <f t="shared" si="31"/>
        <v>2214.3421052631579</v>
      </c>
      <c r="K23" s="538">
        <f t="shared" si="32"/>
        <v>2158.909420289855</v>
      </c>
      <c r="L23" s="538">
        <f t="shared" si="33"/>
        <v>2060.748717948718</v>
      </c>
      <c r="M23" s="538">
        <f t="shared" si="34"/>
        <v>2509.6153846153848</v>
      </c>
      <c r="N23" s="486"/>
      <c r="P23" s="547">
        <f t="shared" si="35"/>
        <v>2713.2870512820518</v>
      </c>
      <c r="Q23" s="538">
        <f t="shared" si="36"/>
        <v>2235.9039070292788</v>
      </c>
      <c r="R23" s="538">
        <f t="shared" si="37"/>
        <v>477.38314425277304</v>
      </c>
      <c r="S23" s="486"/>
      <c r="T23" s="486"/>
      <c r="U23" s="486"/>
      <c r="V23" s="486"/>
      <c r="W23" s="486"/>
      <c r="X23" s="486"/>
      <c r="Y23" s="486"/>
      <c r="Z23" s="486"/>
      <c r="AA23" s="486"/>
      <c r="AB23" s="486"/>
      <c r="AC23" s="486"/>
      <c r="AD23" s="486"/>
    </row>
    <row r="24" spans="1:30" hidden="1" outlineLevel="1">
      <c r="A24" s="52" t="s">
        <v>1290</v>
      </c>
      <c r="B24" s="531"/>
      <c r="C24" s="547">
        <f>'Level 1'!K210</f>
        <v>837048.73764999886</v>
      </c>
      <c r="D24" s="538">
        <v>295928</v>
      </c>
      <c r="E24" s="538">
        <v>660480</v>
      </c>
      <c r="F24" s="538">
        <v>286000</v>
      </c>
      <c r="G24" s="538">
        <f>157869*2</f>
        <v>315738</v>
      </c>
      <c r="H24" s="486"/>
      <c r="I24" s="547">
        <f t="shared" si="0"/>
        <v>2146.2788144871765</v>
      </c>
      <c r="J24" s="538">
        <f t="shared" si="31"/>
        <v>1557.5157894736842</v>
      </c>
      <c r="K24" s="538">
        <f t="shared" si="32"/>
        <v>2393.0434782608695</v>
      </c>
      <c r="L24" s="538">
        <f t="shared" si="33"/>
        <v>1466.6666666666667</v>
      </c>
      <c r="M24" s="538">
        <f t="shared" si="34"/>
        <v>1517.9711538461538</v>
      </c>
      <c r="N24" s="486"/>
      <c r="P24" s="547">
        <f t="shared" si="35"/>
        <v>2146.2788144871765</v>
      </c>
      <c r="Q24" s="538">
        <f t="shared" si="36"/>
        <v>1733.7992720618436</v>
      </c>
      <c r="R24" s="538">
        <f t="shared" si="37"/>
        <v>412.47954242533297</v>
      </c>
      <c r="S24" s="486"/>
      <c r="T24" s="486"/>
      <c r="U24" s="486"/>
      <c r="V24" s="486"/>
      <c r="W24" s="486"/>
      <c r="X24" s="486"/>
      <c r="Y24" s="486"/>
      <c r="Z24" s="486"/>
      <c r="AA24" s="486"/>
      <c r="AB24" s="486"/>
      <c r="AC24" s="486"/>
      <c r="AD24" s="486"/>
    </row>
    <row r="25" spans="1:30" hidden="1" outlineLevel="1">
      <c r="A25" s="52" t="s">
        <v>1291</v>
      </c>
      <c r="B25" s="531"/>
      <c r="C25" s="547">
        <f>'Level 1'!K208+'Level 1'!K209</f>
        <v>398970</v>
      </c>
      <c r="D25" s="538">
        <f>110200+62130</f>
        <v>172330</v>
      </c>
      <c r="E25" s="538">
        <f>177080</f>
        <v>177080</v>
      </c>
      <c r="F25" s="538">
        <f>134405+85778</f>
        <v>220183</v>
      </c>
      <c r="G25" s="538">
        <f>133759+86986</f>
        <v>220745</v>
      </c>
      <c r="H25" s="486"/>
      <c r="I25" s="547">
        <f t="shared" si="0"/>
        <v>1023</v>
      </c>
      <c r="J25" s="538">
        <f t="shared" si="31"/>
        <v>907</v>
      </c>
      <c r="K25" s="538">
        <f t="shared" si="32"/>
        <v>641.59420289855075</v>
      </c>
      <c r="L25" s="538">
        <f t="shared" si="33"/>
        <v>1129.1435897435897</v>
      </c>
      <c r="M25" s="538">
        <f t="shared" si="34"/>
        <v>1061.2740384615386</v>
      </c>
      <c r="N25" s="486"/>
      <c r="P25" s="547">
        <f t="shared" si="35"/>
        <v>1023</v>
      </c>
      <c r="Q25" s="538">
        <f t="shared" si="36"/>
        <v>934.75295777591975</v>
      </c>
      <c r="R25" s="538">
        <f t="shared" si="37"/>
        <v>88.247042224080246</v>
      </c>
      <c r="S25" s="486"/>
      <c r="T25" s="486"/>
      <c r="U25" s="486"/>
      <c r="V25" s="486"/>
      <c r="W25" s="486"/>
      <c r="X25" s="486"/>
      <c r="Y25" s="486"/>
      <c r="Z25" s="486"/>
      <c r="AA25" s="486"/>
      <c r="AB25" s="486"/>
      <c r="AC25" s="486"/>
      <c r="AD25" s="486"/>
    </row>
    <row r="26" spans="1:30" hidden="1" outlineLevel="1">
      <c r="A26" s="52" t="s">
        <v>1265</v>
      </c>
      <c r="B26" s="531"/>
      <c r="C26" s="547">
        <f>'Level 1'!K178+'Level 1'!K179</f>
        <v>4637444.9812639821</v>
      </c>
      <c r="D26" s="538">
        <v>1972000</v>
      </c>
      <c r="E26" s="538">
        <f>3029734</f>
        <v>3029734</v>
      </c>
      <c r="F26" s="538">
        <v>1946991</v>
      </c>
      <c r="G26" s="538">
        <f>1205848+1272270</f>
        <v>2478118</v>
      </c>
      <c r="H26" s="486"/>
      <c r="I26" s="547">
        <f t="shared" ref="I26" si="38">C26/C$5</f>
        <v>11890.884567343544</v>
      </c>
      <c r="J26" s="538">
        <f t="shared" ref="J26" si="39">D26/D$5</f>
        <v>10378.947368421053</v>
      </c>
      <c r="K26" s="538">
        <f t="shared" ref="K26" si="40">E26/E$5</f>
        <v>10977.297101449276</v>
      </c>
      <c r="L26" s="538">
        <f t="shared" ref="L26" si="41">F26/F$5</f>
        <v>9984.5692307692316</v>
      </c>
      <c r="M26" s="538">
        <f t="shared" ref="M26" si="42">G26/G$5</f>
        <v>11914.028846153846</v>
      </c>
      <c r="N26" s="486"/>
      <c r="P26" s="547">
        <f t="shared" ref="P26" si="43">I26</f>
        <v>11890.884567343544</v>
      </c>
      <c r="Q26" s="538">
        <f t="shared" ref="Q26" si="44">AVERAGE(J26:M26)</f>
        <v>10813.710636698352</v>
      </c>
      <c r="R26" s="538">
        <f t="shared" ref="R26" si="45">P26-Q26</f>
        <v>1077.1739306451927</v>
      </c>
      <c r="S26" s="486"/>
      <c r="T26" s="486"/>
      <c r="U26" s="486"/>
      <c r="V26" s="486"/>
      <c r="W26" s="486"/>
      <c r="X26" s="486"/>
      <c r="Y26" s="486"/>
      <c r="Z26" s="486"/>
      <c r="AA26" s="486"/>
      <c r="AB26" s="486"/>
      <c r="AC26" s="486"/>
      <c r="AD26" s="486"/>
    </row>
    <row r="27" spans="1:30" hidden="1" outlineLevel="1">
      <c r="A27" s="52" t="s">
        <v>582</v>
      </c>
      <c r="B27" s="531"/>
      <c r="C27" s="547">
        <f>VLOOKUP(A27,'Level 1'!$A$25:$K$220,11,FALSE)</f>
        <v>4216723.68</v>
      </c>
      <c r="D27" s="538">
        <v>1850462</v>
      </c>
      <c r="E27" s="538">
        <v>2874330</v>
      </c>
      <c r="F27" s="538">
        <v>1797559</v>
      </c>
      <c r="G27" s="538">
        <f>1089629+1076318</f>
        <v>2165947</v>
      </c>
      <c r="H27" s="486"/>
      <c r="I27" s="547">
        <f t="shared" ref="I27" si="46">C27/C$5</f>
        <v>10812.111999999999</v>
      </c>
      <c r="J27" s="538">
        <f t="shared" ref="J27" si="47">D27/D$5</f>
        <v>9739.273684210526</v>
      </c>
      <c r="K27" s="538">
        <f t="shared" ref="K27" si="48">E27/E$5</f>
        <v>10414.239130434782</v>
      </c>
      <c r="L27" s="538">
        <f t="shared" ref="L27" si="49">F27/F$5</f>
        <v>9218.251282051282</v>
      </c>
      <c r="M27" s="538">
        <f t="shared" ref="M27" si="50">G27/G$5</f>
        <v>10413.20673076923</v>
      </c>
      <c r="N27" s="486"/>
      <c r="P27" s="547">
        <f t="shared" ref="P27" si="51">I27</f>
        <v>10812.111999999999</v>
      </c>
      <c r="Q27" s="538">
        <f t="shared" ref="Q27" si="52">AVERAGE(J27:M27)</f>
        <v>9946.2427068664547</v>
      </c>
      <c r="R27" s="538">
        <f t="shared" ref="R27" si="53">P27-Q27</f>
        <v>865.86929313354449</v>
      </c>
      <c r="S27" s="486"/>
      <c r="T27" s="486"/>
      <c r="U27" s="486"/>
      <c r="V27" s="486"/>
      <c r="W27" s="486"/>
      <c r="X27" s="486"/>
      <c r="Y27" s="486"/>
      <c r="Z27" s="486"/>
      <c r="AA27" s="486"/>
      <c r="AB27" s="486"/>
      <c r="AC27" s="486"/>
      <c r="AD27" s="486"/>
    </row>
    <row r="28" spans="1:30" hidden="1" outlineLevel="1">
      <c r="A28" s="52" t="s">
        <v>590</v>
      </c>
      <c r="B28" s="531"/>
      <c r="C28" s="547">
        <f>VLOOKUP(A28,'Level 1'!$A$25:$K$220,11,FALSE)</f>
        <v>4204005.7184999995</v>
      </c>
      <c r="D28" s="538">
        <v>1603914</v>
      </c>
      <c r="E28" s="538">
        <v>3364814</v>
      </c>
      <c r="F28" s="538">
        <v>2217417.8199999998</v>
      </c>
      <c r="G28" s="538">
        <f>979225+812311</f>
        <v>1791536</v>
      </c>
      <c r="H28" s="486"/>
      <c r="I28" s="547">
        <f t="shared" ref="I28" si="54">C28/C$5</f>
        <v>10779.501842307691</v>
      </c>
      <c r="J28" s="538">
        <f t="shared" ref="J28" si="55">D28/D$5</f>
        <v>8441.652631578947</v>
      </c>
      <c r="K28" s="538">
        <f t="shared" ref="K28" si="56">E28/E$5</f>
        <v>12191.355072463768</v>
      </c>
      <c r="L28" s="538">
        <f t="shared" ref="L28" si="57">F28/F$5</f>
        <v>11371.373435897434</v>
      </c>
      <c r="M28" s="538">
        <f t="shared" ref="M28" si="58">G28/G$5</f>
        <v>8613.1538461538457</v>
      </c>
      <c r="N28" s="486"/>
      <c r="P28" s="547">
        <f t="shared" ref="P28" si="59">I28</f>
        <v>10779.501842307691</v>
      </c>
      <c r="Q28" s="538">
        <f t="shared" ref="Q28" si="60">AVERAGE(J28:M28)</f>
        <v>10154.383746523497</v>
      </c>
      <c r="R28" s="538">
        <f t="shared" ref="R28" si="61">P28-Q28</f>
        <v>625.11809578419343</v>
      </c>
      <c r="S28" s="486"/>
      <c r="T28" s="486"/>
      <c r="U28" s="486"/>
      <c r="V28" s="486"/>
      <c r="W28" s="486"/>
      <c r="X28" s="486"/>
      <c r="Y28" s="486"/>
      <c r="Z28" s="486"/>
      <c r="AA28" s="486"/>
      <c r="AB28" s="486"/>
      <c r="AC28" s="486"/>
      <c r="AD28" s="486"/>
    </row>
    <row r="29" spans="1:30" hidden="1" outlineLevel="1">
      <c r="A29" s="52" t="s">
        <v>397</v>
      </c>
      <c r="B29" s="531"/>
      <c r="C29" s="547">
        <v>160501.25</v>
      </c>
      <c r="D29" s="538"/>
      <c r="E29" s="538"/>
      <c r="F29" s="538"/>
      <c r="G29" s="538"/>
      <c r="H29" s="486"/>
      <c r="I29" s="547"/>
      <c r="J29" s="538"/>
      <c r="K29" s="538"/>
      <c r="L29" s="538"/>
      <c r="M29" s="538"/>
      <c r="N29" s="486"/>
      <c r="P29" s="547"/>
      <c r="Q29" s="538"/>
      <c r="R29" s="538"/>
      <c r="S29" s="486"/>
      <c r="T29" s="486"/>
      <c r="U29" s="486"/>
      <c r="V29" s="486"/>
      <c r="W29" s="486"/>
      <c r="X29" s="486"/>
      <c r="Y29" s="486"/>
      <c r="Z29" s="486"/>
      <c r="AA29" s="486"/>
      <c r="AB29" s="486"/>
      <c r="AC29" s="486"/>
      <c r="AD29" s="486"/>
    </row>
    <row r="30" spans="1:30" hidden="1" outlineLevel="1">
      <c r="A30" s="52" t="s">
        <v>594</v>
      </c>
      <c r="B30" s="531"/>
      <c r="C30" s="547"/>
      <c r="D30" s="538"/>
      <c r="E30" s="538"/>
      <c r="F30" s="538"/>
      <c r="G30" s="538"/>
      <c r="H30" s="486"/>
      <c r="I30" s="547"/>
      <c r="J30" s="538"/>
      <c r="K30" s="538"/>
      <c r="L30" s="538"/>
      <c r="M30" s="538"/>
      <c r="N30" s="486"/>
      <c r="P30" s="547"/>
      <c r="Q30" s="538"/>
      <c r="R30" s="538"/>
      <c r="S30" s="486"/>
      <c r="T30" s="486"/>
      <c r="U30" s="486"/>
      <c r="V30" s="486"/>
      <c r="W30" s="486"/>
      <c r="X30" s="486"/>
      <c r="Y30" s="486"/>
      <c r="Z30" s="486"/>
      <c r="AA30" s="486"/>
      <c r="AB30" s="486"/>
      <c r="AC30" s="486"/>
      <c r="AD30" s="486"/>
    </row>
    <row r="31" spans="1:30" hidden="1" outlineLevel="1">
      <c r="A31" s="52" t="s">
        <v>632</v>
      </c>
      <c r="B31" s="531"/>
      <c r="C31" s="547"/>
      <c r="D31" s="538"/>
      <c r="E31" s="538"/>
      <c r="F31" s="538"/>
      <c r="G31" s="538"/>
      <c r="H31" s="486"/>
      <c r="I31" s="547"/>
      <c r="J31" s="538"/>
      <c r="K31" s="538"/>
      <c r="L31" s="538"/>
      <c r="M31" s="538"/>
      <c r="N31" s="486"/>
      <c r="P31" s="547"/>
      <c r="Q31" s="538"/>
      <c r="R31" s="538"/>
      <c r="S31" s="486"/>
      <c r="T31" s="486"/>
      <c r="U31" s="486"/>
      <c r="V31" s="486"/>
      <c r="W31" s="486"/>
      <c r="X31" s="486"/>
      <c r="Y31" s="486"/>
      <c r="Z31" s="486"/>
      <c r="AA31" s="486"/>
      <c r="AB31" s="486"/>
      <c r="AC31" s="486"/>
      <c r="AD31" s="486"/>
    </row>
    <row r="32" spans="1:30" hidden="1" outlineLevel="1">
      <c r="A32" s="52" t="s">
        <v>298</v>
      </c>
      <c r="B32" s="531"/>
      <c r="C32" s="547"/>
      <c r="D32" s="538"/>
      <c r="E32" s="538"/>
      <c r="F32" s="538"/>
      <c r="G32" s="538"/>
      <c r="H32" s="486"/>
      <c r="I32" s="547"/>
      <c r="J32" s="538"/>
      <c r="K32" s="538"/>
      <c r="L32" s="538"/>
      <c r="M32" s="538"/>
      <c r="N32" s="486"/>
      <c r="P32" s="547"/>
      <c r="Q32" s="538"/>
      <c r="R32" s="538"/>
      <c r="S32" s="486"/>
      <c r="T32" s="486"/>
      <c r="U32" s="486"/>
      <c r="V32" s="486"/>
      <c r="W32" s="486"/>
      <c r="X32" s="486"/>
      <c r="Y32" s="486"/>
      <c r="Z32" s="486"/>
      <c r="AA32" s="486"/>
      <c r="AB32" s="486"/>
      <c r="AC32" s="486"/>
      <c r="AD32" s="486"/>
    </row>
    <row r="33" spans="1:30" hidden="1" outlineLevel="1">
      <c r="A33" s="52" t="s">
        <v>502</v>
      </c>
      <c r="B33" s="531"/>
      <c r="C33" s="547"/>
      <c r="D33" s="538"/>
      <c r="E33" s="538"/>
      <c r="F33" s="538"/>
      <c r="G33" s="538"/>
      <c r="H33" s="486"/>
      <c r="I33" s="547"/>
      <c r="J33" s="538"/>
      <c r="K33" s="538"/>
      <c r="L33" s="538"/>
      <c r="M33" s="538"/>
      <c r="N33" s="486"/>
      <c r="P33" s="547"/>
      <c r="Q33" s="538"/>
      <c r="R33" s="538"/>
      <c r="S33" s="486"/>
      <c r="T33" s="486"/>
      <c r="U33" s="486"/>
      <c r="V33" s="486"/>
      <c r="W33" s="486"/>
      <c r="X33" s="486"/>
      <c r="Y33" s="486"/>
      <c r="Z33" s="486"/>
      <c r="AA33" s="486"/>
      <c r="AB33" s="486"/>
      <c r="AC33" s="486"/>
      <c r="AD33" s="486"/>
    </row>
    <row r="34" spans="1:30" hidden="1" outlineLevel="1">
      <c r="A34" s="52" t="s">
        <v>513</v>
      </c>
      <c r="B34" s="531"/>
      <c r="C34" s="547"/>
      <c r="D34" s="538"/>
      <c r="E34" s="538"/>
      <c r="F34" s="538"/>
      <c r="G34" s="538"/>
      <c r="H34" s="486"/>
      <c r="I34" s="547"/>
      <c r="J34" s="538"/>
      <c r="K34" s="538"/>
      <c r="L34" s="538"/>
      <c r="M34" s="538"/>
      <c r="N34" s="486"/>
      <c r="P34" s="547"/>
      <c r="Q34" s="538"/>
      <c r="R34" s="538"/>
      <c r="S34" s="486"/>
      <c r="T34" s="486"/>
      <c r="U34" s="486"/>
      <c r="V34" s="486"/>
      <c r="W34" s="486"/>
      <c r="X34" s="486"/>
      <c r="Y34" s="486"/>
      <c r="Z34" s="486"/>
      <c r="AA34" s="486"/>
      <c r="AB34" s="486"/>
      <c r="AC34" s="486"/>
      <c r="AD34" s="486"/>
    </row>
    <row r="35" spans="1:30" hidden="1" outlineLevel="1">
      <c r="A35" s="52" t="s">
        <v>439</v>
      </c>
      <c r="B35" s="531"/>
      <c r="C35" s="547"/>
      <c r="D35" s="538"/>
      <c r="E35" s="538"/>
      <c r="F35" s="538"/>
      <c r="G35" s="538"/>
      <c r="H35" s="486"/>
      <c r="I35" s="547"/>
      <c r="J35" s="538"/>
      <c r="K35" s="538"/>
      <c r="L35" s="538"/>
      <c r="M35" s="538"/>
      <c r="N35" s="486"/>
      <c r="P35" s="547"/>
      <c r="Q35" s="538"/>
      <c r="R35" s="538"/>
      <c r="S35" s="486"/>
      <c r="T35" s="486"/>
      <c r="U35" s="486"/>
      <c r="V35" s="486"/>
      <c r="W35" s="486"/>
      <c r="X35" s="486"/>
      <c r="Y35" s="486"/>
      <c r="Z35" s="486"/>
      <c r="AA35" s="486"/>
      <c r="AB35" s="486"/>
      <c r="AC35" s="486"/>
      <c r="AD35" s="486"/>
    </row>
    <row r="36" spans="1:30" hidden="1" outlineLevel="1">
      <c r="A36" s="52" t="s">
        <v>271</v>
      </c>
      <c r="B36" s="531"/>
      <c r="C36" s="547"/>
      <c r="D36" s="538"/>
      <c r="E36" s="538"/>
      <c r="F36" s="538"/>
      <c r="G36" s="538"/>
      <c r="H36" s="486"/>
      <c r="I36" s="547"/>
      <c r="J36" s="538"/>
      <c r="K36" s="538"/>
      <c r="L36" s="538"/>
      <c r="M36" s="538"/>
      <c r="N36" s="486"/>
      <c r="P36" s="547"/>
      <c r="Q36" s="538"/>
      <c r="R36" s="538"/>
      <c r="S36" s="486"/>
      <c r="T36" s="486"/>
      <c r="U36" s="486"/>
      <c r="V36" s="486"/>
      <c r="W36" s="486"/>
      <c r="X36" s="486"/>
      <c r="Y36" s="486"/>
      <c r="Z36" s="486"/>
      <c r="AA36" s="486"/>
      <c r="AB36" s="486"/>
      <c r="AC36" s="486"/>
      <c r="AD36" s="486"/>
    </row>
    <row r="37" spans="1:30" hidden="1" outlineLevel="1">
      <c r="A37" s="52" t="s">
        <v>291</v>
      </c>
      <c r="B37" s="531"/>
      <c r="C37" s="547"/>
      <c r="D37" s="538"/>
      <c r="E37" s="538"/>
      <c r="F37" s="538"/>
      <c r="G37" s="538"/>
      <c r="H37" s="486"/>
      <c r="I37" s="547"/>
      <c r="J37" s="538"/>
      <c r="K37" s="538"/>
      <c r="L37" s="538"/>
      <c r="M37" s="538"/>
      <c r="N37" s="486"/>
      <c r="P37" s="547"/>
      <c r="Q37" s="538"/>
      <c r="R37" s="538"/>
      <c r="S37" s="486"/>
      <c r="T37" s="486"/>
      <c r="U37" s="486"/>
      <c r="V37" s="486"/>
      <c r="W37" s="486"/>
      <c r="X37" s="486"/>
      <c r="Y37" s="486"/>
      <c r="Z37" s="486"/>
      <c r="AA37" s="486"/>
      <c r="AB37" s="486"/>
      <c r="AC37" s="486"/>
      <c r="AD37" s="486"/>
    </row>
    <row r="38" spans="1:30" hidden="1" outlineLevel="1">
      <c r="A38" s="52" t="s">
        <v>453</v>
      </c>
      <c r="B38" s="531"/>
      <c r="C38" s="547"/>
      <c r="D38" s="538"/>
      <c r="E38" s="538"/>
      <c r="F38" s="538"/>
      <c r="G38" s="538"/>
      <c r="H38" s="486"/>
      <c r="I38" s="547"/>
      <c r="J38" s="538"/>
      <c r="K38" s="538"/>
      <c r="L38" s="538"/>
      <c r="M38" s="538"/>
      <c r="N38" s="486"/>
      <c r="P38" s="547"/>
      <c r="Q38" s="538"/>
      <c r="R38" s="538"/>
      <c r="S38" s="486"/>
      <c r="T38" s="486"/>
      <c r="U38" s="486"/>
      <c r="V38" s="486"/>
      <c r="W38" s="486"/>
      <c r="X38" s="486"/>
      <c r="Y38" s="486"/>
      <c r="Z38" s="486"/>
      <c r="AA38" s="486"/>
      <c r="AB38" s="486"/>
      <c r="AC38" s="486"/>
      <c r="AD38" s="486"/>
    </row>
    <row r="39" spans="1:30" hidden="1" outlineLevel="1">
      <c r="A39" s="52" t="s">
        <v>504</v>
      </c>
      <c r="B39" s="531"/>
      <c r="C39" s="547"/>
      <c r="D39" s="538"/>
      <c r="E39" s="538"/>
      <c r="F39" s="538"/>
      <c r="G39" s="538"/>
      <c r="H39" s="486"/>
      <c r="I39" s="547"/>
      <c r="J39" s="538"/>
      <c r="K39" s="538"/>
      <c r="L39" s="538"/>
      <c r="M39" s="538"/>
      <c r="N39" s="486"/>
      <c r="P39" s="547"/>
      <c r="Q39" s="538"/>
      <c r="R39" s="538"/>
      <c r="S39" s="486"/>
      <c r="T39" s="486"/>
      <c r="U39" s="486"/>
      <c r="V39" s="486"/>
      <c r="W39" s="486"/>
      <c r="X39" s="486"/>
      <c r="Y39" s="486"/>
      <c r="Z39" s="486"/>
      <c r="AA39" s="486"/>
      <c r="AB39" s="486"/>
      <c r="AC39" s="486"/>
      <c r="AD39" s="486"/>
    </row>
    <row r="40" spans="1:30" hidden="1" outlineLevel="1">
      <c r="A40" s="52"/>
      <c r="B40" s="531"/>
      <c r="C40" s="547"/>
      <c r="D40" s="538"/>
      <c r="E40" s="538"/>
      <c r="F40" s="538"/>
      <c r="G40" s="538"/>
      <c r="H40" s="486"/>
      <c r="I40" s="547"/>
      <c r="J40" s="538"/>
      <c r="K40" s="538"/>
      <c r="L40" s="538"/>
      <c r="M40" s="538"/>
      <c r="N40" s="486"/>
      <c r="P40" s="547"/>
      <c r="Q40" s="538"/>
      <c r="R40" s="538"/>
      <c r="S40" s="486"/>
      <c r="T40" s="486"/>
      <c r="U40" s="486"/>
      <c r="V40" s="486"/>
      <c r="W40" s="486"/>
      <c r="X40" s="486"/>
      <c r="Y40" s="486"/>
      <c r="Z40" s="486"/>
      <c r="AA40" s="486"/>
      <c r="AB40" s="486"/>
      <c r="AC40" s="486"/>
      <c r="AD40" s="486"/>
    </row>
    <row r="41" spans="1:30" hidden="1" outlineLevel="1">
      <c r="A41" s="52"/>
      <c r="B41" s="531"/>
      <c r="C41" s="547"/>
      <c r="D41" s="538"/>
      <c r="E41" s="538"/>
      <c r="F41" s="538"/>
      <c r="G41" s="538"/>
      <c r="H41" s="486"/>
      <c r="I41" s="547"/>
      <c r="J41" s="538"/>
      <c r="K41" s="538"/>
      <c r="L41" s="538"/>
      <c r="M41" s="538"/>
      <c r="N41" s="486"/>
      <c r="P41" s="547"/>
      <c r="Q41" s="538"/>
      <c r="R41" s="538"/>
      <c r="S41" s="486"/>
      <c r="T41" s="486"/>
      <c r="U41" s="486"/>
      <c r="V41" s="486"/>
      <c r="W41" s="486"/>
      <c r="X41" s="486"/>
      <c r="Y41" s="486"/>
      <c r="Z41" s="486"/>
      <c r="AA41" s="486"/>
      <c r="AB41" s="486"/>
      <c r="AC41" s="486"/>
      <c r="AD41" s="486"/>
    </row>
    <row r="42" spans="1:30" hidden="1" outlineLevel="1">
      <c r="A42" s="52"/>
      <c r="B42" s="531"/>
      <c r="C42" s="547"/>
      <c r="D42" s="538"/>
      <c r="E42" s="538"/>
      <c r="F42" s="538"/>
      <c r="G42" s="538"/>
      <c r="H42" s="486"/>
      <c r="I42" s="547"/>
      <c r="J42" s="538"/>
      <c r="K42" s="538"/>
      <c r="L42" s="538"/>
      <c r="M42" s="538"/>
      <c r="N42" s="486"/>
      <c r="P42" s="547"/>
      <c r="Q42" s="538"/>
      <c r="R42" s="538"/>
      <c r="S42" s="486"/>
      <c r="T42" s="486"/>
      <c r="U42" s="486"/>
      <c r="V42" s="486"/>
      <c r="W42" s="486"/>
      <c r="X42" s="486"/>
      <c r="Y42" s="486"/>
      <c r="Z42" s="486"/>
      <c r="AA42" s="486"/>
      <c r="AB42" s="486"/>
      <c r="AC42" s="486"/>
      <c r="AD42" s="486"/>
    </row>
    <row r="43" spans="1:30" hidden="1" outlineLevel="1">
      <c r="A43" s="52"/>
      <c r="B43" s="531"/>
      <c r="C43" s="547"/>
      <c r="D43" s="538"/>
      <c r="E43" s="538"/>
      <c r="F43" s="538"/>
      <c r="G43" s="538"/>
      <c r="H43" s="486"/>
      <c r="I43" s="547"/>
      <c r="J43" s="538"/>
      <c r="K43" s="538"/>
      <c r="L43" s="538"/>
      <c r="M43" s="538"/>
      <c r="N43" s="486"/>
      <c r="P43" s="547"/>
      <c r="Q43" s="538"/>
      <c r="R43" s="538"/>
      <c r="S43" s="486"/>
      <c r="T43" s="486"/>
      <c r="U43" s="486"/>
      <c r="V43" s="486"/>
      <c r="W43" s="486"/>
      <c r="X43" s="486"/>
      <c r="Y43" s="486"/>
      <c r="Z43" s="486"/>
      <c r="AA43" s="486"/>
      <c r="AB43" s="486"/>
      <c r="AC43" s="486"/>
      <c r="AD43" s="486"/>
    </row>
    <row r="44" spans="1:30" collapsed="1">
      <c r="A44" s="556" t="s">
        <v>1292</v>
      </c>
      <c r="B44" s="556"/>
      <c r="C44" s="554">
        <f>'Another Uselss (2)'!C100</f>
        <v>44768327.144683301</v>
      </c>
      <c r="D44" s="555">
        <v>16949938.719999999</v>
      </c>
      <c r="E44" s="555">
        <v>26800934</v>
      </c>
      <c r="F44" s="555">
        <v>17751785</v>
      </c>
      <c r="G44" s="555">
        <v>20657782</v>
      </c>
      <c r="H44" s="555"/>
      <c r="I44" s="554">
        <f>C44/C$5</f>
        <v>114790.58242226488</v>
      </c>
      <c r="J44" s="555">
        <f t="shared" ref="J44:L44" si="62">D44/D$5</f>
        <v>89210.203789473671</v>
      </c>
      <c r="K44" s="555">
        <f t="shared" si="62"/>
        <v>97104.833333333328</v>
      </c>
      <c r="L44" s="555">
        <f t="shared" si="62"/>
        <v>91034.794871794875</v>
      </c>
      <c r="M44" s="555">
        <f>G44/G$5</f>
        <v>99316.25961538461</v>
      </c>
      <c r="N44" s="557"/>
      <c r="P44" s="554">
        <f>I44</f>
        <v>114790.58242226488</v>
      </c>
      <c r="Q44" s="555">
        <f>AVERAGE(J44:M44)</f>
        <v>94166.522902496625</v>
      </c>
      <c r="R44" s="555">
        <f>P44-Q44</f>
        <v>20624.059519768256</v>
      </c>
      <c r="T44" s="486"/>
    </row>
    <row r="45" spans="1:30">
      <c r="A45" s="541"/>
      <c r="B45" s="541"/>
      <c r="C45" s="545"/>
      <c r="D45" s="530"/>
      <c r="E45" s="530"/>
      <c r="F45" s="530"/>
      <c r="G45" s="530"/>
      <c r="I45" s="545"/>
      <c r="J45" s="530"/>
      <c r="K45" s="530"/>
      <c r="L45" s="530"/>
      <c r="M45" s="530"/>
      <c r="P45" s="545"/>
      <c r="Q45" s="530"/>
      <c r="R45" s="530"/>
    </row>
    <row r="46" spans="1:30" outlineLevel="1">
      <c r="A46" s="524" t="s">
        <v>1293</v>
      </c>
      <c r="B46" s="524"/>
      <c r="C46" s="545"/>
      <c r="D46" s="530"/>
      <c r="E46" s="530"/>
      <c r="F46" s="530"/>
      <c r="G46" s="530"/>
      <c r="I46" s="545"/>
      <c r="J46" s="530"/>
      <c r="K46" s="530"/>
      <c r="L46" s="530"/>
      <c r="M46" s="530"/>
      <c r="P46" s="545"/>
      <c r="Q46" s="530"/>
      <c r="R46" s="530"/>
      <c r="T46" s="562">
        <f>SUM(C8:C28)/C44</f>
        <v>0.93197808655865244</v>
      </c>
      <c r="U46" s="562">
        <f>SUM(D8:D28)/D44</f>
        <v>1.0053160726097699</v>
      </c>
      <c r="V46" s="562">
        <f>SUM(E8:E28)/E44</f>
        <v>1.0207163671982478</v>
      </c>
      <c r="W46" s="562">
        <f>SUM(F8:F28)/F44</f>
        <v>0.98079145561981518</v>
      </c>
    </row>
    <row r="47" spans="1:30" outlineLevel="1">
      <c r="A47" s="52" t="s">
        <v>479</v>
      </c>
      <c r="B47" s="531"/>
      <c r="C47" s="547">
        <v>7000</v>
      </c>
      <c r="D47" s="538">
        <v>7000</v>
      </c>
      <c r="E47" s="538">
        <v>15000</v>
      </c>
      <c r="F47" s="538">
        <v>15000</v>
      </c>
      <c r="G47" s="538">
        <v>7205.5</v>
      </c>
      <c r="H47" s="486"/>
      <c r="I47" s="547">
        <f t="shared" ref="I47:I58" si="63">C47/C$5</f>
        <v>17.948717948717949</v>
      </c>
      <c r="J47" s="538">
        <f t="shared" ref="J47:J58" si="64">D47/D$5</f>
        <v>36.842105263157897</v>
      </c>
      <c r="K47" s="538">
        <f t="shared" ref="K47:K58" si="65">E47/E$5</f>
        <v>54.347826086956523</v>
      </c>
      <c r="L47" s="538">
        <f t="shared" ref="L47:L58" si="66">F47/F$5</f>
        <v>76.92307692307692</v>
      </c>
      <c r="M47" s="538">
        <f t="shared" ref="M47:M58" si="67">G47/G$5</f>
        <v>34.64182692307692</v>
      </c>
      <c r="N47" s="486"/>
      <c r="P47" s="547">
        <f t="shared" ref="P47:P58" si="68">I47</f>
        <v>17.948717948717949</v>
      </c>
      <c r="Q47" s="538">
        <f t="shared" ref="Q47:Q58" si="69">AVERAGE(J47:M47)</f>
        <v>50.688708799067058</v>
      </c>
      <c r="R47" s="538">
        <f t="shared" ref="R47:R58" si="70">P47-Q47</f>
        <v>-32.739990850349109</v>
      </c>
      <c r="S47" s="486"/>
      <c r="T47" s="486"/>
      <c r="U47" s="561"/>
      <c r="V47" s="561"/>
      <c r="W47" s="561"/>
      <c r="X47" s="561"/>
      <c r="Y47" s="561"/>
      <c r="Z47" s="486"/>
      <c r="AA47" s="486"/>
      <c r="AB47" s="486"/>
      <c r="AC47" s="486"/>
      <c r="AD47" s="486"/>
    </row>
    <row r="48" spans="1:30" outlineLevel="1">
      <c r="A48" s="52" t="s">
        <v>608</v>
      </c>
      <c r="B48" s="531"/>
      <c r="C48" s="547">
        <v>275000</v>
      </c>
      <c r="D48" s="538">
        <v>150000</v>
      </c>
      <c r="E48" s="538">
        <v>485632.38</v>
      </c>
      <c r="F48" s="538">
        <v>5880</v>
      </c>
      <c r="G48" s="538">
        <v>60841.31</v>
      </c>
      <c r="H48" s="486"/>
      <c r="I48" s="547">
        <f t="shared" si="63"/>
        <v>705.12820512820508</v>
      </c>
      <c r="J48" s="538">
        <f t="shared" si="64"/>
        <v>789.47368421052636</v>
      </c>
      <c r="K48" s="538">
        <f t="shared" si="65"/>
        <v>1759.5376086956521</v>
      </c>
      <c r="L48" s="538">
        <f t="shared" si="66"/>
        <v>30.153846153846153</v>
      </c>
      <c r="M48" s="538">
        <f t="shared" si="67"/>
        <v>292.50629807692309</v>
      </c>
      <c r="N48" s="486"/>
      <c r="P48" s="547">
        <f t="shared" si="68"/>
        <v>705.12820512820508</v>
      </c>
      <c r="Q48" s="538">
        <f t="shared" si="69"/>
        <v>717.9178592842369</v>
      </c>
      <c r="R48" s="538">
        <f t="shared" si="70"/>
        <v>-12.789654156031816</v>
      </c>
      <c r="S48" s="486"/>
      <c r="T48" s="486"/>
      <c r="U48" s="561"/>
      <c r="V48" s="561"/>
      <c r="W48" s="486"/>
      <c r="X48" s="486"/>
      <c r="Y48" s="486"/>
      <c r="Z48" s="486"/>
      <c r="AA48" s="486"/>
      <c r="AB48" s="486"/>
      <c r="AC48" s="486"/>
      <c r="AD48" s="486"/>
    </row>
    <row r="49" spans="1:30" outlineLevel="1">
      <c r="A49" s="52" t="s">
        <v>612</v>
      </c>
      <c r="B49" s="531"/>
      <c r="C49" s="547">
        <v>360000</v>
      </c>
      <c r="D49" s="538">
        <v>0</v>
      </c>
      <c r="E49" s="538">
        <v>0</v>
      </c>
      <c r="F49" s="538"/>
      <c r="G49" s="538">
        <v>0</v>
      </c>
      <c r="H49" s="486"/>
      <c r="I49" s="547">
        <f t="shared" si="63"/>
        <v>923.07692307692309</v>
      </c>
      <c r="J49" s="538">
        <f t="shared" si="64"/>
        <v>0</v>
      </c>
      <c r="K49" s="538">
        <f t="shared" si="65"/>
        <v>0</v>
      </c>
      <c r="L49" s="538">
        <f t="shared" si="66"/>
        <v>0</v>
      </c>
      <c r="M49" s="538">
        <f t="shared" si="67"/>
        <v>0</v>
      </c>
      <c r="N49" s="486"/>
      <c r="P49" s="547">
        <f t="shared" si="68"/>
        <v>923.07692307692309</v>
      </c>
      <c r="Q49" s="538">
        <f t="shared" si="69"/>
        <v>0</v>
      </c>
      <c r="R49" s="538">
        <f t="shared" si="70"/>
        <v>923.07692307692309</v>
      </c>
      <c r="S49" s="486"/>
      <c r="T49" s="486"/>
      <c r="U49" s="486"/>
      <c r="V49" s="486"/>
      <c r="W49" s="486"/>
      <c r="X49" s="486"/>
      <c r="Y49" s="486"/>
      <c r="Z49" s="486"/>
      <c r="AA49" s="486"/>
      <c r="AB49" s="486"/>
      <c r="AC49" s="486"/>
      <c r="AD49" s="486"/>
    </row>
    <row r="50" spans="1:30" outlineLevel="1">
      <c r="A50" s="52" t="s">
        <v>1294</v>
      </c>
      <c r="B50" s="531"/>
      <c r="C50" s="547">
        <v>25000</v>
      </c>
      <c r="D50" s="538">
        <v>0</v>
      </c>
      <c r="E50" s="538">
        <v>5000</v>
      </c>
      <c r="F50" s="538">
        <v>5000</v>
      </c>
      <c r="G50" s="538">
        <v>5000</v>
      </c>
      <c r="H50" s="486"/>
      <c r="I50" s="547">
        <f t="shared" si="63"/>
        <v>64.102564102564102</v>
      </c>
      <c r="J50" s="538">
        <f t="shared" si="64"/>
        <v>0</v>
      </c>
      <c r="K50" s="538">
        <f t="shared" si="65"/>
        <v>18.115942028985508</v>
      </c>
      <c r="L50" s="538">
        <f t="shared" si="66"/>
        <v>25.641025641025642</v>
      </c>
      <c r="M50" s="538">
        <f t="shared" si="67"/>
        <v>24.03846153846154</v>
      </c>
      <c r="N50" s="486"/>
      <c r="P50" s="547">
        <f t="shared" si="68"/>
        <v>64.102564102564102</v>
      </c>
      <c r="Q50" s="538">
        <f t="shared" si="69"/>
        <v>16.948857302118171</v>
      </c>
      <c r="R50" s="538">
        <f t="shared" si="70"/>
        <v>47.153706800445931</v>
      </c>
      <c r="S50" s="486"/>
      <c r="T50" s="486"/>
      <c r="U50" s="486"/>
      <c r="V50" s="486"/>
      <c r="W50" s="486"/>
      <c r="X50" s="486"/>
      <c r="Y50" s="486"/>
      <c r="Z50" s="486"/>
      <c r="AA50" s="486"/>
      <c r="AB50" s="486"/>
      <c r="AC50" s="486"/>
      <c r="AD50" s="486"/>
    </row>
    <row r="51" spans="1:30" outlineLevel="1">
      <c r="A51" s="52" t="s">
        <v>674</v>
      </c>
      <c r="B51" s="531"/>
      <c r="C51" s="547">
        <v>1843875.2999999998</v>
      </c>
      <c r="D51" s="538">
        <v>207254</v>
      </c>
      <c r="E51" s="538">
        <v>362005</v>
      </c>
      <c r="F51" s="538">
        <v>210806.37</v>
      </c>
      <c r="G51" s="538">
        <v>88878.75</v>
      </c>
      <c r="H51" s="486"/>
      <c r="I51" s="547">
        <f t="shared" si="63"/>
        <v>4727.8853846153843</v>
      </c>
      <c r="J51" s="538">
        <f t="shared" si="64"/>
        <v>1090.8105263157895</v>
      </c>
      <c r="K51" s="538">
        <f t="shared" si="65"/>
        <v>1311.6123188405797</v>
      </c>
      <c r="L51" s="538">
        <f t="shared" si="66"/>
        <v>1081.0583076923076</v>
      </c>
      <c r="M51" s="538">
        <f t="shared" si="67"/>
        <v>427.30168269230768</v>
      </c>
      <c r="N51" s="486"/>
      <c r="P51" s="547">
        <f t="shared" si="68"/>
        <v>4727.8853846153843</v>
      </c>
      <c r="Q51" s="538">
        <f t="shared" si="69"/>
        <v>977.69570888524618</v>
      </c>
      <c r="R51" s="538">
        <f t="shared" si="70"/>
        <v>3750.1896757301383</v>
      </c>
      <c r="S51" s="486"/>
      <c r="T51" s="486"/>
      <c r="U51" s="486"/>
      <c r="V51" s="486"/>
      <c r="W51" s="486"/>
      <c r="X51" s="486"/>
      <c r="Y51" s="486"/>
      <c r="Z51" s="486"/>
      <c r="AA51" s="486"/>
      <c r="AB51" s="486"/>
      <c r="AC51" s="486"/>
      <c r="AD51" s="486"/>
    </row>
    <row r="52" spans="1:30" outlineLevel="1">
      <c r="A52" s="52" t="s">
        <v>1295</v>
      </c>
      <c r="B52" s="531"/>
      <c r="C52" s="547">
        <v>124911</v>
      </c>
      <c r="D52" s="538">
        <v>29080.400000000001</v>
      </c>
      <c r="E52" s="538">
        <v>50865.52</v>
      </c>
      <c r="F52" s="538">
        <v>35415</v>
      </c>
      <c r="G52" s="538">
        <v>30354.5</v>
      </c>
      <c r="H52" s="486"/>
      <c r="I52" s="547">
        <f t="shared" si="63"/>
        <v>320.28461538461539</v>
      </c>
      <c r="J52" s="538">
        <f t="shared" si="64"/>
        <v>153.05473684210526</v>
      </c>
      <c r="K52" s="538">
        <f t="shared" si="65"/>
        <v>184.29536231884057</v>
      </c>
      <c r="L52" s="538">
        <f t="shared" si="66"/>
        <v>181.61538461538461</v>
      </c>
      <c r="M52" s="538">
        <f t="shared" si="67"/>
        <v>145.93509615384616</v>
      </c>
      <c r="N52" s="486"/>
      <c r="P52" s="547">
        <f t="shared" si="68"/>
        <v>320.28461538461539</v>
      </c>
      <c r="Q52" s="538">
        <f t="shared" si="69"/>
        <v>166.22514498254415</v>
      </c>
      <c r="R52" s="538">
        <f t="shared" si="70"/>
        <v>154.05947040207124</v>
      </c>
      <c r="S52" s="486"/>
      <c r="T52" s="486"/>
      <c r="U52" s="486"/>
      <c r="V52" s="486"/>
      <c r="W52" s="486"/>
      <c r="X52" s="486"/>
      <c r="Y52" s="486"/>
      <c r="Z52" s="486"/>
      <c r="AA52" s="486"/>
      <c r="AB52" s="486"/>
      <c r="AC52" s="486"/>
      <c r="AD52" s="486"/>
    </row>
    <row r="53" spans="1:30" outlineLevel="1">
      <c r="A53" s="52" t="s">
        <v>685</v>
      </c>
      <c r="B53" s="531"/>
      <c r="C53" s="547">
        <v>91597</v>
      </c>
      <c r="D53" s="538">
        <v>50289.120000000003</v>
      </c>
      <c r="E53" s="538">
        <v>64665.13</v>
      </c>
      <c r="F53" s="538">
        <v>55795</v>
      </c>
      <c r="G53" s="538">
        <v>21193.1</v>
      </c>
      <c r="H53" s="486"/>
      <c r="I53" s="547">
        <f t="shared" si="63"/>
        <v>234.86410256410255</v>
      </c>
      <c r="J53" s="538">
        <f t="shared" si="64"/>
        <v>264.67957894736844</v>
      </c>
      <c r="K53" s="538">
        <f t="shared" si="65"/>
        <v>234.29394927536231</v>
      </c>
      <c r="L53" s="538">
        <f t="shared" si="66"/>
        <v>286.12820512820514</v>
      </c>
      <c r="M53" s="538">
        <f t="shared" si="67"/>
        <v>101.88990384615384</v>
      </c>
      <c r="N53" s="486"/>
      <c r="P53" s="547">
        <f t="shared" si="68"/>
        <v>234.86410256410255</v>
      </c>
      <c r="Q53" s="538">
        <f t="shared" si="69"/>
        <v>221.74790929927244</v>
      </c>
      <c r="R53" s="538">
        <f t="shared" si="70"/>
        <v>13.116193264830116</v>
      </c>
      <c r="S53" s="486"/>
      <c r="T53" s="486"/>
      <c r="U53" s="486"/>
      <c r="V53" s="486"/>
      <c r="W53" s="486"/>
      <c r="X53" s="486"/>
      <c r="Y53" s="486"/>
      <c r="Z53" s="486"/>
      <c r="AA53" s="486"/>
      <c r="AB53" s="486"/>
      <c r="AC53" s="486"/>
      <c r="AD53" s="486"/>
    </row>
    <row r="54" spans="1:30" outlineLevel="1">
      <c r="A54" s="52" t="s">
        <v>1296</v>
      </c>
      <c r="B54" s="531"/>
      <c r="C54" s="547">
        <v>15000</v>
      </c>
      <c r="D54" s="538">
        <v>7500</v>
      </c>
      <c r="E54" s="538">
        <v>49600</v>
      </c>
      <c r="F54" s="538">
        <v>15000</v>
      </c>
      <c r="G54" s="538">
        <v>15000</v>
      </c>
      <c r="H54" s="486"/>
      <c r="I54" s="547">
        <f t="shared" si="63"/>
        <v>38.46153846153846</v>
      </c>
      <c r="J54" s="538">
        <f t="shared" si="64"/>
        <v>39.473684210526315</v>
      </c>
      <c r="K54" s="538">
        <f t="shared" si="65"/>
        <v>179.71014492753622</v>
      </c>
      <c r="L54" s="538">
        <f t="shared" si="66"/>
        <v>76.92307692307692</v>
      </c>
      <c r="M54" s="538">
        <f t="shared" si="67"/>
        <v>72.115384615384613</v>
      </c>
      <c r="N54" s="486"/>
      <c r="P54" s="547">
        <f t="shared" si="68"/>
        <v>38.46153846153846</v>
      </c>
      <c r="Q54" s="538">
        <f t="shared" si="69"/>
        <v>92.05557266913101</v>
      </c>
      <c r="R54" s="538">
        <f t="shared" si="70"/>
        <v>-53.59403420759255</v>
      </c>
      <c r="S54" s="486"/>
      <c r="T54" s="486"/>
      <c r="U54" s="486"/>
      <c r="V54" s="486"/>
      <c r="W54" s="486"/>
      <c r="X54" s="486"/>
      <c r="Y54" s="486"/>
      <c r="Z54" s="486"/>
      <c r="AA54" s="486"/>
      <c r="AB54" s="486"/>
      <c r="AC54" s="486"/>
      <c r="AD54" s="486"/>
    </row>
    <row r="55" spans="1:30" outlineLevel="1">
      <c r="A55" s="52" t="s">
        <v>1297</v>
      </c>
      <c r="B55" s="531"/>
      <c r="C55" s="547">
        <v>2200067.3966666665</v>
      </c>
      <c r="D55" s="538">
        <v>300521.96999999997</v>
      </c>
      <c r="E55" s="538">
        <v>510620.41</v>
      </c>
      <c r="F55" s="538">
        <v>291819</v>
      </c>
      <c r="G55" s="538">
        <v>712048.82</v>
      </c>
      <c r="H55" s="486"/>
      <c r="I55" s="547">
        <f t="shared" si="63"/>
        <v>5641.1984529914525</v>
      </c>
      <c r="J55" s="538">
        <f t="shared" si="64"/>
        <v>1581.6945789473682</v>
      </c>
      <c r="K55" s="538">
        <f t="shared" si="65"/>
        <v>1850.0739492753623</v>
      </c>
      <c r="L55" s="538">
        <f t="shared" si="66"/>
        <v>1496.5076923076922</v>
      </c>
      <c r="M55" s="538">
        <f t="shared" si="67"/>
        <v>3423.3116346153843</v>
      </c>
      <c r="N55" s="486"/>
      <c r="P55" s="547">
        <f t="shared" si="68"/>
        <v>5641.1984529914525</v>
      </c>
      <c r="Q55" s="538">
        <f t="shared" si="69"/>
        <v>2087.8969637864516</v>
      </c>
      <c r="R55" s="538">
        <f t="shared" si="70"/>
        <v>3553.301489205001</v>
      </c>
      <c r="S55" s="486"/>
      <c r="T55" s="486"/>
      <c r="U55" s="486"/>
      <c r="V55" s="486"/>
      <c r="W55" s="486"/>
      <c r="X55" s="486"/>
      <c r="Y55" s="486"/>
      <c r="Z55" s="486"/>
      <c r="AA55" s="486"/>
      <c r="AB55" s="486"/>
      <c r="AC55" s="486"/>
      <c r="AD55" s="486"/>
    </row>
    <row r="56" spans="1:30" outlineLevel="1">
      <c r="A56" s="52" t="s">
        <v>748</v>
      </c>
      <c r="B56" s="531"/>
      <c r="C56" s="547">
        <v>1474233.6057142857</v>
      </c>
      <c r="D56" s="538">
        <v>38505.910000000003</v>
      </c>
      <c r="E56" s="538">
        <v>26598.61</v>
      </c>
      <c r="F56" s="538">
        <v>45600</v>
      </c>
      <c r="G56" s="538">
        <v>20700</v>
      </c>
      <c r="H56" s="486"/>
      <c r="I56" s="547">
        <f t="shared" si="63"/>
        <v>3780.0861684981687</v>
      </c>
      <c r="J56" s="538">
        <f t="shared" si="64"/>
        <v>202.66268421052632</v>
      </c>
      <c r="K56" s="538">
        <f t="shared" si="65"/>
        <v>96.371775362318843</v>
      </c>
      <c r="L56" s="538">
        <f t="shared" si="66"/>
        <v>233.84615384615384</v>
      </c>
      <c r="M56" s="538">
        <f t="shared" si="67"/>
        <v>99.519230769230774</v>
      </c>
      <c r="N56" s="486"/>
      <c r="P56" s="547">
        <f t="shared" si="68"/>
        <v>3780.0861684981687</v>
      </c>
      <c r="Q56" s="538">
        <f t="shared" si="69"/>
        <v>158.09996104705743</v>
      </c>
      <c r="R56" s="538">
        <f t="shared" si="70"/>
        <v>3621.9862074511111</v>
      </c>
      <c r="S56" s="486"/>
      <c r="T56" s="486"/>
      <c r="U56" s="486"/>
      <c r="V56" s="486"/>
      <c r="W56" s="486"/>
      <c r="X56" s="486"/>
      <c r="Y56" s="486"/>
      <c r="Z56" s="486"/>
      <c r="AA56" s="486"/>
      <c r="AB56" s="486"/>
      <c r="AC56" s="486"/>
      <c r="AD56" s="486"/>
    </row>
    <row r="57" spans="1:30" outlineLevel="1">
      <c r="A57" s="52" t="s">
        <v>751</v>
      </c>
      <c r="B57" s="531"/>
      <c r="C57" s="547">
        <v>649389</v>
      </c>
      <c r="D57" s="538">
        <v>264134.09000000003</v>
      </c>
      <c r="E57" s="538">
        <v>107892.2</v>
      </c>
      <c r="F57" s="538">
        <v>0</v>
      </c>
      <c r="G57" s="538">
        <v>0</v>
      </c>
      <c r="H57" s="486"/>
      <c r="I57" s="547">
        <f t="shared" si="63"/>
        <v>1665.1</v>
      </c>
      <c r="J57" s="538">
        <f t="shared" si="64"/>
        <v>1390.1794210526318</v>
      </c>
      <c r="K57" s="538">
        <f t="shared" si="65"/>
        <v>390.91376811594199</v>
      </c>
      <c r="L57" s="538">
        <f t="shared" si="66"/>
        <v>0</v>
      </c>
      <c r="M57" s="538">
        <f t="shared" si="67"/>
        <v>0</v>
      </c>
      <c r="N57" s="486"/>
      <c r="P57" s="547">
        <f t="shared" si="68"/>
        <v>1665.1</v>
      </c>
      <c r="Q57" s="538">
        <f t="shared" si="69"/>
        <v>445.27329729214347</v>
      </c>
      <c r="R57" s="538">
        <f t="shared" si="70"/>
        <v>1219.8267027078564</v>
      </c>
      <c r="S57" s="486"/>
      <c r="T57" s="486"/>
      <c r="U57" s="486"/>
      <c r="V57" s="486"/>
      <c r="W57" s="486"/>
      <c r="X57" s="486"/>
      <c r="Y57" s="486"/>
      <c r="Z57" s="486"/>
      <c r="AA57" s="486"/>
      <c r="AB57" s="486"/>
      <c r="AC57" s="486"/>
      <c r="AD57" s="486"/>
    </row>
    <row r="58" spans="1:30" outlineLevel="1">
      <c r="A58" s="549" t="s">
        <v>759</v>
      </c>
      <c r="B58" s="531"/>
      <c r="C58" s="550">
        <v>1621723.4877777777</v>
      </c>
      <c r="D58" s="551">
        <v>437800</v>
      </c>
      <c r="E58" s="552">
        <v>40709.339999999997</v>
      </c>
      <c r="F58" s="552">
        <v>67062.77</v>
      </c>
      <c r="G58" s="552">
        <v>79600</v>
      </c>
      <c r="H58" s="486"/>
      <c r="I58" s="550">
        <f t="shared" si="63"/>
        <v>4158.2653532763534</v>
      </c>
      <c r="J58" s="552">
        <f t="shared" si="64"/>
        <v>2304.2105263157896</v>
      </c>
      <c r="K58" s="552">
        <f t="shared" si="65"/>
        <v>147.49760869565216</v>
      </c>
      <c r="L58" s="552">
        <f t="shared" si="66"/>
        <v>343.91164102564107</v>
      </c>
      <c r="M58" s="552">
        <f t="shared" si="67"/>
        <v>382.69230769230768</v>
      </c>
      <c r="N58" s="486"/>
      <c r="P58" s="550">
        <f t="shared" si="68"/>
        <v>4158.2653532763534</v>
      </c>
      <c r="Q58" s="552">
        <f t="shared" si="69"/>
        <v>794.57802093234761</v>
      </c>
      <c r="R58" s="552">
        <f t="shared" si="70"/>
        <v>3363.6873323440059</v>
      </c>
      <c r="S58" s="486"/>
      <c r="T58" s="486"/>
      <c r="U58" s="486"/>
      <c r="V58" s="486"/>
      <c r="W58" s="486"/>
      <c r="X58" s="486"/>
      <c r="Y58" s="486"/>
      <c r="Z58" s="486"/>
      <c r="AA58" s="486"/>
      <c r="AB58" s="486"/>
      <c r="AC58" s="486"/>
      <c r="AD58" s="486"/>
    </row>
    <row r="59" spans="1:30">
      <c r="A59" s="553" t="s">
        <v>1298</v>
      </c>
      <c r="B59" s="553"/>
      <c r="C59" s="554">
        <f>SUM(C47:C58)</f>
        <v>8687796.79015873</v>
      </c>
      <c r="D59" s="555">
        <f>SUM(D47:D58)</f>
        <v>1492085.49</v>
      </c>
      <c r="E59" s="555">
        <f>SUM(E47:E58)</f>
        <v>1718588.59</v>
      </c>
      <c r="F59" s="555">
        <f>SUM(F47:F58)</f>
        <v>747378.14</v>
      </c>
      <c r="G59" s="555">
        <f>SUM(G47:G58)</f>
        <v>1040821.98</v>
      </c>
      <c r="H59" s="555"/>
      <c r="I59" s="554">
        <f>C59/C$5</f>
        <v>22276.402026048025</v>
      </c>
      <c r="J59" s="555">
        <f>D59/D$5</f>
        <v>7853.0815263157892</v>
      </c>
      <c r="K59" s="555">
        <f>E59/E$5</f>
        <v>6226.7702536231891</v>
      </c>
      <c r="L59" s="555">
        <f>F59/F$5</f>
        <v>3832.7084102564104</v>
      </c>
      <c r="M59" s="555">
        <f>G59/G$5</f>
        <v>5003.9518269230766</v>
      </c>
      <c r="N59" s="486"/>
      <c r="P59" s="554">
        <f>I59</f>
        <v>22276.402026048025</v>
      </c>
      <c r="Q59" s="555">
        <f>AVERAGE(J59:M59)</f>
        <v>5729.1280042796161</v>
      </c>
      <c r="R59" s="555">
        <f>P59-Q59</f>
        <v>16547.274021768408</v>
      </c>
      <c r="S59" s="486"/>
      <c r="T59" s="486"/>
      <c r="U59" s="486"/>
      <c r="V59" s="486"/>
      <c r="W59" s="486"/>
      <c r="X59" s="486"/>
      <c r="Y59" s="486"/>
      <c r="Z59" s="486"/>
      <c r="AA59" s="486"/>
      <c r="AB59" s="486"/>
      <c r="AC59" s="486"/>
      <c r="AD59" s="486"/>
    </row>
    <row r="60" spans="1:30">
      <c r="C60" s="486"/>
      <c r="D60" s="486"/>
      <c r="E60" s="486"/>
      <c r="F60" s="486"/>
      <c r="G60" s="486"/>
      <c r="H60" s="486"/>
      <c r="I60" s="486"/>
      <c r="J60" s="486"/>
      <c r="K60" s="486"/>
      <c r="N60" s="486"/>
      <c r="P60" s="486"/>
      <c r="Q60" s="486"/>
      <c r="R60" s="486"/>
      <c r="S60" s="486"/>
      <c r="T60" s="486"/>
      <c r="U60" s="486"/>
      <c r="V60" s="486"/>
      <c r="W60" s="486"/>
      <c r="X60" s="486"/>
      <c r="Y60" s="486"/>
      <c r="Z60" s="486"/>
      <c r="AA60" s="486"/>
      <c r="AB60" s="486"/>
      <c r="AC60" s="486"/>
      <c r="AD60" s="486"/>
    </row>
    <row r="61" spans="1:30" ht="15" thickBot="1">
      <c r="A61" s="539" t="s">
        <v>1299</v>
      </c>
      <c r="B61" s="532"/>
      <c r="C61" s="548">
        <f>'Level 1'!L329-'Level 1'!L326</f>
        <v>78937448.73408708</v>
      </c>
      <c r="D61" s="540">
        <v>35588189.57</v>
      </c>
      <c r="E61" s="540">
        <v>48695480.380000003</v>
      </c>
      <c r="F61" s="540">
        <v>29212086</v>
      </c>
      <c r="G61" s="540">
        <v>33526152.379999999</v>
      </c>
      <c r="H61" s="533"/>
      <c r="I61" s="548">
        <f>C61/C$5</f>
        <v>202403.71470278737</v>
      </c>
      <c r="J61" s="540">
        <f>D61/D$5</f>
        <v>187306.26089473686</v>
      </c>
      <c r="K61" s="540">
        <f>E61/E$5</f>
        <v>176432.89992753623</v>
      </c>
      <c r="L61" s="540">
        <f>F61/F$5</f>
        <v>149805.56923076924</v>
      </c>
      <c r="M61" s="540">
        <f>G61/G$5</f>
        <v>161183.42490384614</v>
      </c>
      <c r="N61" s="486"/>
      <c r="P61" s="548">
        <f>I61</f>
        <v>202403.71470278737</v>
      </c>
      <c r="Q61" s="540">
        <f>AVERAGE(J61:M61)</f>
        <v>168682.03873922213</v>
      </c>
      <c r="R61" s="540">
        <f>P61-Q61</f>
        <v>33721.675963565242</v>
      </c>
    </row>
    <row r="62" spans="1:30">
      <c r="A62" t="s">
        <v>1300</v>
      </c>
      <c r="C62" s="486"/>
      <c r="D62" s="486"/>
      <c r="E62" s="486"/>
      <c r="F62" s="486"/>
      <c r="G62" s="486"/>
      <c r="H62" s="486"/>
      <c r="I62" s="486"/>
      <c r="J62" s="486"/>
      <c r="L62" s="486"/>
      <c r="P62" s="486"/>
      <c r="Q62" s="486"/>
      <c r="R62" s="486"/>
    </row>
    <row r="63" spans="1:30">
      <c r="C63" s="486"/>
      <c r="D63" s="486"/>
      <c r="E63" s="486"/>
      <c r="F63" s="486"/>
      <c r="G63" s="486"/>
      <c r="H63" s="486"/>
      <c r="I63" s="486"/>
      <c r="J63" s="486"/>
      <c r="L63" s="486"/>
      <c r="P63" s="486"/>
      <c r="R63" s="558"/>
    </row>
    <row r="64" spans="1:30">
      <c r="C64" s="486"/>
      <c r="D64" s="486"/>
      <c r="E64" s="486"/>
      <c r="F64" s="486"/>
      <c r="G64" s="486"/>
      <c r="H64" s="486"/>
      <c r="I64" s="486"/>
      <c r="J64" s="486"/>
      <c r="L64" s="486"/>
      <c r="P64" s="486"/>
      <c r="R64" s="558"/>
    </row>
    <row r="65" spans="3:16">
      <c r="C65" s="486"/>
      <c r="D65" s="486"/>
      <c r="E65" s="486"/>
      <c r="F65" s="486"/>
      <c r="G65" s="486"/>
      <c r="H65" s="486"/>
      <c r="I65" s="486"/>
      <c r="J65" s="486"/>
      <c r="L65" s="486"/>
      <c r="P65" s="486"/>
    </row>
    <row r="66" spans="3:16">
      <c r="C66" s="486"/>
      <c r="D66" s="486"/>
      <c r="E66" s="486"/>
      <c r="F66" s="486"/>
      <c r="G66" s="486"/>
      <c r="H66" s="486"/>
      <c r="I66" s="486"/>
      <c r="J66" s="486"/>
      <c r="L66" s="486"/>
      <c r="P66" s="486"/>
    </row>
    <row r="67" spans="3:16">
      <c r="C67" s="486"/>
      <c r="D67" s="486"/>
      <c r="E67" s="486"/>
      <c r="F67" s="486"/>
      <c r="G67" s="486"/>
      <c r="H67" s="486"/>
      <c r="I67" s="486"/>
      <c r="J67" s="486"/>
      <c r="L67" s="486"/>
      <c r="P67" s="486"/>
    </row>
    <row r="68" spans="3:16">
      <c r="C68" s="486"/>
      <c r="D68" s="486"/>
      <c r="E68" s="486"/>
      <c r="F68" s="486"/>
      <c r="G68" s="486"/>
      <c r="H68" s="486"/>
      <c r="I68" s="486"/>
      <c r="J68" s="486"/>
      <c r="L68" s="486"/>
      <c r="P68" s="486"/>
    </row>
  </sheetData>
  <printOptions horizontalCentered="1"/>
  <pageMargins left="0.7" right="0.7" top="1.75" bottom="0.75" header="0.3" footer="0.3"/>
  <pageSetup paperSize="3" scale="120" orientation="landscape" r:id="rId1"/>
  <headerFooter>
    <oddHeader>&amp;R&amp;G</oddHead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163B4-3095-419C-A389-04A689EBFE74}">
  <sheetPr>
    <pageSetUpPr fitToPage="1"/>
  </sheetPr>
  <dimension ref="A1:Q79"/>
  <sheetViews>
    <sheetView workbookViewId="0">
      <selection activeCell="R35" sqref="R35"/>
    </sheetView>
  </sheetViews>
  <sheetFormatPr defaultRowHeight="14.45"/>
  <cols>
    <col min="1" max="1" width="4.42578125" customWidth="1"/>
    <col min="2" max="2" width="27.7109375" customWidth="1"/>
    <col min="3" max="3" width="0.85546875" customWidth="1"/>
    <col min="4" max="4" width="15.28515625" bestFit="1" customWidth="1"/>
    <col min="5" max="5" width="0.85546875" customWidth="1"/>
    <col min="6" max="6" width="15.42578125" customWidth="1"/>
    <col min="7" max="7" width="0.85546875" customWidth="1"/>
    <col min="8" max="8" width="14.28515625" bestFit="1" customWidth="1"/>
    <col min="9" max="9" width="0.85546875" customWidth="1"/>
    <col min="10" max="10" width="14.28515625" bestFit="1" customWidth="1"/>
    <col min="11" max="11" width="0.85546875" customWidth="1"/>
    <col min="15" max="15" width="11" customWidth="1"/>
    <col min="17" max="17" width="12" customWidth="1"/>
  </cols>
  <sheetData>
    <row r="1" spans="1:17">
      <c r="A1" s="487" t="s">
        <v>82</v>
      </c>
    </row>
    <row r="2" spans="1:17">
      <c r="A2" s="487" t="s">
        <v>1301</v>
      </c>
    </row>
    <row r="4" spans="1:17" ht="15" thickBot="1"/>
    <row r="5" spans="1:17">
      <c r="B5" s="688" t="s">
        <v>1302</v>
      </c>
      <c r="C5" s="689"/>
      <c r="D5" s="672" t="s">
        <v>37</v>
      </c>
      <c r="E5" s="671"/>
      <c r="F5" s="672" t="s">
        <v>38</v>
      </c>
      <c r="G5" s="671"/>
      <c r="H5" s="672" t="s">
        <v>1303</v>
      </c>
      <c r="I5" s="671"/>
      <c r="J5" s="673" t="s">
        <v>85</v>
      </c>
    </row>
    <row r="6" spans="1:17" ht="15" thickBot="1">
      <c r="B6" s="678" t="s">
        <v>6</v>
      </c>
      <c r="C6" s="491"/>
      <c r="D6" s="679">
        <f>'Level 1.1 UPDATE B'!L14</f>
        <v>78131623.011269912</v>
      </c>
      <c r="E6" s="680"/>
      <c r="F6" s="679">
        <f>'Level 3'!L14</f>
        <v>77376747.916494429</v>
      </c>
      <c r="G6" s="491"/>
      <c r="H6" s="680">
        <f>D6-F6</f>
        <v>754875.09477548301</v>
      </c>
      <c r="I6" s="491"/>
      <c r="J6" s="690">
        <f>H6/D6</f>
        <v>9.6615821569020505E-3</v>
      </c>
    </row>
    <row r="8" spans="1:17" ht="15" thickBot="1">
      <c r="F8" s="478"/>
    </row>
    <row r="9" spans="1:17">
      <c r="A9" s="683" t="s">
        <v>10</v>
      </c>
      <c r="B9" s="684" t="s">
        <v>1304</v>
      </c>
      <c r="C9" s="855"/>
      <c r="D9" s="685" t="s">
        <v>1305</v>
      </c>
      <c r="E9" s="855"/>
      <c r="F9" s="672" t="s">
        <v>1306</v>
      </c>
      <c r="G9" s="855"/>
      <c r="H9" s="684" t="s">
        <v>1307</v>
      </c>
      <c r="I9" s="855"/>
      <c r="J9" s="684" t="s">
        <v>66</v>
      </c>
      <c r="K9" s="684"/>
      <c r="L9" s="684" t="s">
        <v>1122</v>
      </c>
      <c r="M9" s="684"/>
      <c r="N9" s="684"/>
      <c r="O9" s="684"/>
      <c r="P9" s="684"/>
      <c r="Q9" s="686"/>
    </row>
    <row r="10" spans="1:17">
      <c r="A10" s="687">
        <v>1</v>
      </c>
      <c r="B10" t="s">
        <v>1308</v>
      </c>
      <c r="D10" s="682">
        <f>H33</f>
        <v>858859.125</v>
      </c>
      <c r="F10" s="667">
        <v>0.5</v>
      </c>
      <c r="H10" s="674">
        <f>D10*(1-F10)</f>
        <v>429429.5625</v>
      </c>
      <c r="J10" s="674">
        <f>D10-H10</f>
        <v>429429.5625</v>
      </c>
      <c r="M10" s="487"/>
      <c r="N10" s="487"/>
      <c r="O10" s="487"/>
      <c r="P10" s="487"/>
      <c r="Q10" s="850"/>
    </row>
    <row r="11" spans="1:17">
      <c r="A11" s="687">
        <v>3</v>
      </c>
      <c r="B11" s="693" t="s">
        <v>252</v>
      </c>
      <c r="C11" s="693"/>
      <c r="D11" s="983">
        <f>'Level 3'!K32</f>
        <v>679394.69000000006</v>
      </c>
      <c r="E11" s="693"/>
      <c r="F11" s="984">
        <v>0.25</v>
      </c>
      <c r="G11" s="693"/>
      <c r="H11" s="985">
        <f t="shared" ref="H11:H16" si="0">D11*(1-F11)</f>
        <v>509546.01750000007</v>
      </c>
      <c r="I11" s="693"/>
      <c r="J11" s="985">
        <f t="shared" ref="J11:J16" si="1">D11-H11</f>
        <v>169848.67249999999</v>
      </c>
      <c r="L11" t="s">
        <v>1309</v>
      </c>
      <c r="Q11" s="677"/>
    </row>
    <row r="12" spans="1:17">
      <c r="A12" s="687">
        <v>4</v>
      </c>
      <c r="B12" t="s">
        <v>298</v>
      </c>
      <c r="D12" s="682">
        <f>'Level 3'!K48</f>
        <v>300204</v>
      </c>
      <c r="F12" s="667">
        <v>0.75</v>
      </c>
      <c r="H12" s="674">
        <f t="shared" si="0"/>
        <v>75051</v>
      </c>
      <c r="J12" s="674">
        <f t="shared" si="1"/>
        <v>225153</v>
      </c>
      <c r="Q12" s="677"/>
    </row>
    <row r="13" spans="1:17">
      <c r="A13" s="687">
        <v>5</v>
      </c>
      <c r="B13" t="s">
        <v>502</v>
      </c>
      <c r="D13" s="682">
        <f>'Level 3'!K147</f>
        <v>174000</v>
      </c>
      <c r="F13" s="667">
        <v>1</v>
      </c>
      <c r="H13" s="674">
        <f t="shared" si="0"/>
        <v>0</v>
      </c>
      <c r="J13" s="674">
        <f t="shared" si="1"/>
        <v>174000</v>
      </c>
      <c r="Q13" s="677"/>
    </row>
    <row r="14" spans="1:17">
      <c r="A14" s="687">
        <v>6</v>
      </c>
      <c r="B14" t="s">
        <v>504</v>
      </c>
      <c r="D14" s="682">
        <f>'Level 3'!K148</f>
        <v>93000</v>
      </c>
      <c r="F14" s="667">
        <v>0.5</v>
      </c>
      <c r="H14" s="674">
        <f t="shared" si="0"/>
        <v>46500</v>
      </c>
      <c r="J14" s="674">
        <f t="shared" si="1"/>
        <v>46500</v>
      </c>
      <c r="Q14" s="677"/>
    </row>
    <row r="15" spans="1:17">
      <c r="A15" s="687">
        <v>8</v>
      </c>
      <c r="B15" s="693" t="s">
        <v>1310</v>
      </c>
      <c r="C15" s="693"/>
      <c r="D15" s="983">
        <f>'Level 3'!K164</f>
        <v>843750</v>
      </c>
      <c r="E15" s="693"/>
      <c r="F15" s="984">
        <v>0.25</v>
      </c>
      <c r="G15" s="693"/>
      <c r="H15" s="985">
        <f t="shared" si="0"/>
        <v>632812.5</v>
      </c>
      <c r="I15" s="693"/>
      <c r="J15" s="985">
        <f t="shared" ref="J15" si="2">D15-H15</f>
        <v>210937.5</v>
      </c>
      <c r="L15" t="s">
        <v>1311</v>
      </c>
      <c r="Q15" s="677"/>
    </row>
    <row r="16" spans="1:17">
      <c r="A16" s="861">
        <v>10</v>
      </c>
      <c r="B16" s="479" t="s">
        <v>1312</v>
      </c>
      <c r="C16" s="479"/>
      <c r="D16" s="854">
        <v>1590795.5992000001</v>
      </c>
      <c r="E16" s="479"/>
      <c r="F16" s="853">
        <v>0.35</v>
      </c>
      <c r="G16" s="479"/>
      <c r="H16" s="691">
        <f t="shared" si="0"/>
        <v>1034017.1394800001</v>
      </c>
      <c r="I16" s="479"/>
      <c r="J16" s="691">
        <f t="shared" si="1"/>
        <v>556778.45971999993</v>
      </c>
      <c r="K16" s="479"/>
      <c r="L16" s="479" t="s">
        <v>1313</v>
      </c>
      <c r="M16" s="479"/>
      <c r="N16" s="479"/>
      <c r="O16" s="479"/>
      <c r="P16" s="479"/>
      <c r="Q16" s="862"/>
    </row>
    <row r="17" spans="1:17" ht="15" thickBot="1">
      <c r="A17" s="687"/>
      <c r="B17" s="500" t="s">
        <v>947</v>
      </c>
      <c r="D17" s="856">
        <f>SUM(D10:D16)</f>
        <v>4540003.4142000005</v>
      </c>
      <c r="F17" s="667"/>
      <c r="J17" s="864">
        <f>SUM(J10:J16)</f>
        <v>1812647.1947199998</v>
      </c>
      <c r="Q17" s="677"/>
    </row>
    <row r="18" spans="1:17" ht="15" thickBot="1">
      <c r="A18" s="857"/>
      <c r="B18" s="858" t="s">
        <v>1314</v>
      </c>
      <c r="C18" s="858"/>
      <c r="D18" s="859">
        <f>D17*1.2</f>
        <v>5448004.0970400004</v>
      </c>
      <c r="E18" s="858"/>
      <c r="F18" s="860"/>
      <c r="G18" s="858"/>
      <c r="H18" s="858"/>
      <c r="I18" s="858"/>
      <c r="J18" s="859">
        <f>J17*1.2</f>
        <v>2175176.6336639998</v>
      </c>
      <c r="K18" s="491"/>
      <c r="L18" s="491"/>
      <c r="M18" s="491"/>
      <c r="N18" s="491"/>
      <c r="O18" s="491"/>
      <c r="P18" s="491"/>
      <c r="Q18" s="681"/>
    </row>
    <row r="19" spans="1:17">
      <c r="A19" s="478"/>
      <c r="D19" s="669"/>
      <c r="F19" s="667"/>
    </row>
    <row r="20" spans="1:17" ht="15" thickBot="1">
      <c r="A20" s="478"/>
      <c r="D20" s="520"/>
      <c r="F20" s="667"/>
    </row>
    <row r="21" spans="1:17">
      <c r="B21" s="670"/>
      <c r="C21" s="671"/>
      <c r="D21" s="672" t="s">
        <v>38</v>
      </c>
      <c r="E21" s="671"/>
      <c r="F21" s="839" t="s">
        <v>1315</v>
      </c>
      <c r="G21" s="671"/>
      <c r="H21" s="672" t="s">
        <v>1303</v>
      </c>
      <c r="I21" s="671"/>
      <c r="J21" s="673" t="s">
        <v>85</v>
      </c>
    </row>
    <row r="22" spans="1:17">
      <c r="B22" s="676" t="s">
        <v>6</v>
      </c>
      <c r="D22" s="682">
        <f>F6</f>
        <v>77376747.916494429</v>
      </c>
      <c r="E22" s="674"/>
      <c r="F22" s="840">
        <f>F6-J18</f>
        <v>75201571.282830432</v>
      </c>
      <c r="H22" s="838">
        <f>D22-F22</f>
        <v>2175176.6336639971</v>
      </c>
      <c r="J22" s="675">
        <f>H22/D22</f>
        <v>2.8111502385851937E-2</v>
      </c>
    </row>
    <row r="23" spans="1:17">
      <c r="B23" s="676" t="s">
        <v>1316</v>
      </c>
      <c r="D23" s="669">
        <f>D22/'Level 3'!B8</f>
        <v>183.08173226659986</v>
      </c>
      <c r="F23" s="841">
        <f>F22/'Level 3'!B8</f>
        <v>177.93502971318142</v>
      </c>
      <c r="H23" s="521">
        <f>D23-F23</f>
        <v>5.1467025534184359</v>
      </c>
      <c r="J23" s="677"/>
    </row>
    <row r="24" spans="1:17" ht="15" thickBot="1">
      <c r="B24" s="678" t="s">
        <v>1317</v>
      </c>
      <c r="C24" s="491"/>
      <c r="D24" s="679">
        <f>D22/'Level 3'!E8</f>
        <v>198401.9177346011</v>
      </c>
      <c r="E24" s="491"/>
      <c r="F24" s="842">
        <f>F22/'Level 3'!E8</f>
        <v>192824.54175084727</v>
      </c>
      <c r="G24" s="491"/>
      <c r="H24" s="680">
        <f>D24-F24</f>
        <v>5577.3759837538237</v>
      </c>
      <c r="I24" s="491"/>
      <c r="J24" s="681"/>
    </row>
    <row r="25" spans="1:17">
      <c r="D25" s="520"/>
      <c r="F25" s="667"/>
    </row>
    <row r="26" spans="1:17">
      <c r="B26" s="523" t="s">
        <v>1318</v>
      </c>
      <c r="C26" s="523"/>
      <c r="D26" s="848" t="s">
        <v>543</v>
      </c>
      <c r="E26" s="523"/>
      <c r="F26" s="849" t="s">
        <v>1319</v>
      </c>
      <c r="G26" s="523"/>
      <c r="H26" s="523" t="s">
        <v>1320</v>
      </c>
    </row>
    <row r="27" spans="1:17">
      <c r="B27" t="s">
        <v>1321</v>
      </c>
      <c r="D27" s="520">
        <f>163655/8</f>
        <v>20456.875</v>
      </c>
      <c r="F27" s="667">
        <v>0.25</v>
      </c>
      <c r="H27" s="674">
        <f>D27*(1-F27)</f>
        <v>15342.65625</v>
      </c>
    </row>
    <row r="28" spans="1:17">
      <c r="B28" t="s">
        <v>1322</v>
      </c>
      <c r="D28" s="520">
        <v>5215</v>
      </c>
      <c r="F28" s="667">
        <v>0.25</v>
      </c>
      <c r="H28" s="674">
        <f t="shared" ref="H28:H30" si="3">D28*(1-F28)</f>
        <v>3911.25</v>
      </c>
    </row>
    <row r="29" spans="1:17">
      <c r="B29" t="s">
        <v>154</v>
      </c>
      <c r="D29" s="669">
        <f>38535/8</f>
        <v>4816.875</v>
      </c>
      <c r="F29" s="667">
        <v>0.25</v>
      </c>
      <c r="H29" s="674">
        <f t="shared" si="3"/>
        <v>3612.65625</v>
      </c>
    </row>
    <row r="30" spans="1:17">
      <c r="B30" s="479" t="s">
        <v>112</v>
      </c>
      <c r="C30" s="479"/>
      <c r="D30" s="525">
        <f>25536/8</f>
        <v>3192</v>
      </c>
      <c r="E30" s="479"/>
      <c r="F30" s="853">
        <v>0.25</v>
      </c>
      <c r="H30" s="691">
        <f t="shared" si="3"/>
        <v>2394</v>
      </c>
    </row>
    <row r="31" spans="1:17">
      <c r="B31" t="s">
        <v>1323</v>
      </c>
      <c r="D31" s="520"/>
      <c r="F31" s="667"/>
      <c r="H31" s="674">
        <f>SUM(H27:H30)</f>
        <v>25260.5625</v>
      </c>
    </row>
    <row r="32" spans="1:17">
      <c r="D32" s="848" t="s">
        <v>1324</v>
      </c>
      <c r="F32" s="667"/>
      <c r="H32" s="851">
        <f>D37</f>
        <v>34</v>
      </c>
    </row>
    <row r="33" spans="2:12">
      <c r="B33" t="s">
        <v>123</v>
      </c>
      <c r="D33" s="851">
        <v>11</v>
      </c>
      <c r="F33" s="667"/>
      <c r="H33" s="589">
        <f>H31*H32</f>
        <v>858859.125</v>
      </c>
    </row>
    <row r="34" spans="2:12">
      <c r="B34" t="s">
        <v>129</v>
      </c>
      <c r="D34" s="851">
        <v>6</v>
      </c>
      <c r="F34" s="667"/>
    </row>
    <row r="35" spans="2:12">
      <c r="B35" t="s">
        <v>111</v>
      </c>
      <c r="D35" s="851">
        <v>11</v>
      </c>
      <c r="F35" s="667"/>
    </row>
    <row r="36" spans="2:12">
      <c r="B36" t="s">
        <v>138</v>
      </c>
      <c r="D36" s="852">
        <v>6</v>
      </c>
      <c r="F36" s="667"/>
    </row>
    <row r="37" spans="2:12">
      <c r="D37" s="863">
        <f>SUM(D33:D36)</f>
        <v>34</v>
      </c>
      <c r="F37" s="667"/>
    </row>
    <row r="39" spans="2:12">
      <c r="F39" s="667"/>
    </row>
    <row r="40" spans="2:12">
      <c r="B40" s="523" t="s">
        <v>1312</v>
      </c>
      <c r="D40" s="851"/>
      <c r="F40" s="667"/>
      <c r="J40" s="478" t="s">
        <v>1325</v>
      </c>
    </row>
    <row r="41" spans="2:12">
      <c r="B41" t="s">
        <v>1326</v>
      </c>
      <c r="D41" s="851">
        <v>44051.99</v>
      </c>
      <c r="F41" s="669">
        <f>'Level 3'!H248</f>
        <v>7.5062347612153033</v>
      </c>
      <c r="H41" s="674">
        <f>F41*D41</f>
        <v>330664.57863870892</v>
      </c>
      <c r="J41" s="589">
        <v>100000</v>
      </c>
      <c r="L41" t="s">
        <v>1327</v>
      </c>
    </row>
    <row r="42" spans="2:12">
      <c r="B42" t="s">
        <v>1328</v>
      </c>
      <c r="D42" s="851">
        <v>24210.76</v>
      </c>
      <c r="F42" s="669">
        <f>F41</f>
        <v>7.5062347612153033</v>
      </c>
      <c r="H42" s="674">
        <f>F42*D42</f>
        <v>181731.64830744101</v>
      </c>
      <c r="J42" s="691">
        <f>H42*0.7</f>
        <v>127212.1538152087</v>
      </c>
      <c r="L42" t="s">
        <v>1329</v>
      </c>
    </row>
    <row r="43" spans="2:12">
      <c r="D43" s="520"/>
      <c r="F43" s="667"/>
      <c r="H43" t="s">
        <v>947</v>
      </c>
      <c r="J43" s="674">
        <f>J42+J41</f>
        <v>227212.1538152087</v>
      </c>
    </row>
    <row r="44" spans="2:12">
      <c r="D44" s="520"/>
      <c r="F44" s="667"/>
      <c r="H44" t="s">
        <v>66</v>
      </c>
      <c r="J44" s="674">
        <f>H41+H42-J43</f>
        <v>285184.07313094125</v>
      </c>
    </row>
    <row r="45" spans="2:12">
      <c r="D45" s="520"/>
      <c r="F45" s="667"/>
    </row>
    <row r="46" spans="2:12">
      <c r="D46" s="520"/>
      <c r="F46" s="667"/>
    </row>
    <row r="47" spans="2:12">
      <c r="D47" s="520"/>
      <c r="F47" s="667"/>
    </row>
    <row r="48" spans="2:12">
      <c r="D48" s="520"/>
      <c r="F48" s="667"/>
    </row>
    <row r="49" spans="4:6">
      <c r="D49" s="520"/>
      <c r="F49" s="667"/>
    </row>
    <row r="50" spans="4:6">
      <c r="D50" s="520"/>
      <c r="F50" s="667"/>
    </row>
    <row r="51" spans="4:6">
      <c r="D51" s="520"/>
      <c r="F51" s="667"/>
    </row>
    <row r="52" spans="4:6">
      <c r="D52" s="520"/>
      <c r="F52" s="667"/>
    </row>
    <row r="53" spans="4:6">
      <c r="D53" s="520"/>
      <c r="F53" s="667"/>
    </row>
    <row r="54" spans="4:6">
      <c r="D54" s="520"/>
      <c r="F54" s="667"/>
    </row>
    <row r="55" spans="4:6">
      <c r="D55" s="520"/>
      <c r="F55" s="667"/>
    </row>
    <row r="56" spans="4:6">
      <c r="D56" s="520"/>
      <c r="F56" s="667"/>
    </row>
    <row r="57" spans="4:6">
      <c r="D57" s="520"/>
      <c r="F57" s="667"/>
    </row>
    <row r="58" spans="4:6">
      <c r="D58" s="520"/>
      <c r="F58" s="667"/>
    </row>
    <row r="59" spans="4:6">
      <c r="D59" s="520"/>
      <c r="F59" s="667"/>
    </row>
    <row r="60" spans="4:6">
      <c r="D60" s="520"/>
      <c r="F60" s="667"/>
    </row>
    <row r="61" spans="4:6">
      <c r="D61" s="520"/>
      <c r="F61" s="667"/>
    </row>
    <row r="62" spans="4:6">
      <c r="D62" s="520"/>
      <c r="F62" s="667"/>
    </row>
    <row r="63" spans="4:6">
      <c r="D63" s="520"/>
      <c r="F63" s="667"/>
    </row>
    <row r="64" spans="4:6">
      <c r="D64" s="520"/>
      <c r="F64" s="667"/>
    </row>
    <row r="65" spans="4:6">
      <c r="D65" s="520"/>
      <c r="F65" s="667"/>
    </row>
    <row r="66" spans="4:6">
      <c r="D66" s="520"/>
      <c r="F66" s="667"/>
    </row>
    <row r="67" spans="4:6">
      <c r="D67" s="520"/>
      <c r="F67" s="667"/>
    </row>
    <row r="68" spans="4:6">
      <c r="D68" s="520"/>
      <c r="F68" s="667"/>
    </row>
    <row r="69" spans="4:6">
      <c r="D69" s="520"/>
      <c r="F69" s="667"/>
    </row>
    <row r="70" spans="4:6">
      <c r="D70" s="520"/>
    </row>
    <row r="71" spans="4:6">
      <c r="D71" s="520"/>
    </row>
    <row r="72" spans="4:6">
      <c r="D72" s="520"/>
    </row>
    <row r="73" spans="4:6">
      <c r="D73" s="520"/>
    </row>
    <row r="74" spans="4:6">
      <c r="D74" s="520"/>
    </row>
    <row r="75" spans="4:6">
      <c r="D75" s="520"/>
    </row>
    <row r="76" spans="4:6">
      <c r="D76" s="520"/>
    </row>
    <row r="77" spans="4:6">
      <c r="D77" s="520"/>
    </row>
    <row r="78" spans="4:6">
      <c r="D78" s="520"/>
    </row>
    <row r="79" spans="4:6">
      <c r="D79" s="520"/>
    </row>
  </sheetData>
  <phoneticPr fontId="7" type="noConversion"/>
  <pageMargins left="0.7" right="0.7" top="0.75" bottom="0.75" header="0.3" footer="0.3"/>
  <pageSetup paperSize="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6D45-32E0-4D99-9323-7DA8CBB8836D}">
  <sheetPr>
    <pageSetUpPr fitToPage="1"/>
  </sheetPr>
  <dimension ref="A2:T64"/>
  <sheetViews>
    <sheetView zoomScale="130" zoomScaleNormal="130" workbookViewId="0">
      <selection activeCell="B3" sqref="B3"/>
    </sheetView>
  </sheetViews>
  <sheetFormatPr defaultRowHeight="14.45"/>
  <cols>
    <col min="1" max="1" width="34.85546875" bestFit="1" customWidth="1"/>
    <col min="2" max="2" width="12.140625" bestFit="1" customWidth="1"/>
    <col min="3" max="3" width="8.7109375" bestFit="1" customWidth="1"/>
    <col min="4" max="4" width="9.5703125" bestFit="1" customWidth="1"/>
    <col min="5" max="5" width="2.140625" customWidth="1"/>
    <col min="6" max="6" width="12.140625" bestFit="1" customWidth="1"/>
    <col min="7" max="7" width="8.7109375" bestFit="1" customWidth="1"/>
    <col min="8" max="8" width="9.5703125" bestFit="1" customWidth="1"/>
    <col min="9" max="9" width="2.7109375" customWidth="1"/>
    <col min="10" max="10" width="12.140625" bestFit="1" customWidth="1"/>
    <col min="11" max="11" width="8.7109375" bestFit="1" customWidth="1"/>
    <col min="12" max="12" width="11.28515625" customWidth="1"/>
    <col min="13" max="13" width="2.42578125" customWidth="1"/>
    <col min="14" max="14" width="78.85546875" customWidth="1"/>
    <col min="15" max="15" width="2.7109375" customWidth="1"/>
    <col min="16" max="16" width="9.5703125" bestFit="1" customWidth="1"/>
    <col min="17" max="17" width="9.28515625" bestFit="1" customWidth="1"/>
    <col min="18" max="18" width="14.42578125" customWidth="1"/>
    <col min="20" max="20" width="11.5703125" bestFit="1" customWidth="1"/>
  </cols>
  <sheetData>
    <row r="2" spans="1:20">
      <c r="A2" s="563"/>
      <c r="B2" s="564" t="s">
        <v>82</v>
      </c>
      <c r="C2" s="564"/>
      <c r="D2" s="564"/>
      <c r="E2" s="563"/>
      <c r="F2" s="565" t="s">
        <v>44</v>
      </c>
      <c r="G2" s="565"/>
      <c r="H2" s="565"/>
      <c r="I2" s="563"/>
      <c r="J2" s="566" t="s">
        <v>1008</v>
      </c>
      <c r="K2" s="566"/>
      <c r="L2" s="566"/>
      <c r="M2" s="563"/>
    </row>
    <row r="3" spans="1:20">
      <c r="A3" s="567"/>
      <c r="B3" s="568"/>
      <c r="C3" s="569"/>
      <c r="D3" s="570"/>
      <c r="E3" s="563"/>
      <c r="F3" s="568"/>
      <c r="G3" s="569"/>
      <c r="H3" s="570"/>
      <c r="I3" s="563"/>
      <c r="J3" s="568"/>
      <c r="K3" s="569"/>
      <c r="L3" s="570"/>
      <c r="M3" s="563"/>
    </row>
    <row r="4" spans="1:20" ht="17.45">
      <c r="A4" s="563"/>
      <c r="B4" s="571" t="s">
        <v>1330</v>
      </c>
      <c r="C4" s="571" t="s">
        <v>1331</v>
      </c>
      <c r="D4" s="571" t="s">
        <v>1332</v>
      </c>
      <c r="E4" s="572"/>
      <c r="F4" s="571" t="s">
        <v>1330</v>
      </c>
      <c r="G4" s="571" t="s">
        <v>1331</v>
      </c>
      <c r="H4" s="571" t="s">
        <v>1332</v>
      </c>
      <c r="I4" s="563"/>
      <c r="J4" s="571" t="s">
        <v>1330</v>
      </c>
      <c r="K4" s="571" t="s">
        <v>1331</v>
      </c>
      <c r="L4" s="571" t="s">
        <v>1332</v>
      </c>
      <c r="M4" s="571"/>
      <c r="N4" s="571" t="s">
        <v>1009</v>
      </c>
      <c r="P4" s="571" t="s">
        <v>1333</v>
      </c>
      <c r="Q4" s="571" t="s">
        <v>75</v>
      </c>
      <c r="R4" s="571" t="s">
        <v>1334</v>
      </c>
      <c r="S4" s="571" t="s">
        <v>1335</v>
      </c>
      <c r="T4" s="571" t="s">
        <v>1332</v>
      </c>
    </row>
    <row r="5" spans="1:20" hidden="1">
      <c r="A5" s="573" t="s">
        <v>1336</v>
      </c>
      <c r="B5" s="574"/>
      <c r="C5" s="575">
        <v>0</v>
      </c>
      <c r="E5" s="576"/>
      <c r="F5" s="574"/>
      <c r="G5" s="575">
        <v>201630.00000000003</v>
      </c>
      <c r="I5" s="563"/>
      <c r="J5" s="576"/>
      <c r="K5" s="575">
        <v>344214</v>
      </c>
      <c r="M5" s="563"/>
    </row>
    <row r="6" spans="1:20" hidden="1">
      <c r="A6" s="573" t="s">
        <v>1337</v>
      </c>
      <c r="B6" s="574"/>
      <c r="C6" s="575">
        <f>'Level 1'!B8</f>
        <v>431911</v>
      </c>
      <c r="D6" s="575">
        <v>390</v>
      </c>
      <c r="E6" s="576"/>
      <c r="F6" s="574"/>
      <c r="G6" s="575">
        <v>254891</v>
      </c>
      <c r="H6" s="575" t="s">
        <v>1338</v>
      </c>
      <c r="I6" s="563"/>
      <c r="J6" s="576"/>
      <c r="K6" s="575"/>
      <c r="L6" s="575">
        <v>388</v>
      </c>
      <c r="M6" s="563"/>
    </row>
    <row r="7" spans="1:20" hidden="1">
      <c r="A7" s="573"/>
      <c r="B7" s="574"/>
      <c r="C7" s="577"/>
      <c r="D7" s="575"/>
      <c r="E7" s="576"/>
      <c r="F7" s="574"/>
      <c r="G7" s="577"/>
      <c r="H7" s="575"/>
      <c r="I7" s="576"/>
      <c r="J7" s="576"/>
      <c r="K7" s="576"/>
      <c r="L7" s="576"/>
      <c r="M7" s="576"/>
    </row>
    <row r="8" spans="1:20">
      <c r="A8" s="567" t="str">
        <f>[86]Const_Cost_Summ!B9</f>
        <v>Hard Cost</v>
      </c>
      <c r="B8" s="575"/>
      <c r="C8" s="578"/>
      <c r="D8" s="579"/>
      <c r="E8" s="576"/>
      <c r="F8" s="575"/>
      <c r="G8" s="578"/>
      <c r="H8" s="579"/>
      <c r="I8" s="576"/>
      <c r="J8" s="575"/>
      <c r="K8" s="578"/>
      <c r="L8" s="579"/>
      <c r="M8" s="576"/>
      <c r="S8" s="478"/>
    </row>
    <row r="9" spans="1:20">
      <c r="A9" s="580" t="s">
        <v>872</v>
      </c>
      <c r="B9" s="581">
        <f>'Level 3'!L21</f>
        <v>3857213.6954538627</v>
      </c>
      <c r="C9" s="582">
        <f>B9/$C$6</f>
        <v>8.9305752700298502</v>
      </c>
      <c r="D9" s="581">
        <f t="shared" ref="D9:D39" si="0">B9/$D$6</f>
        <v>9890.2915268047764</v>
      </c>
      <c r="E9" s="576"/>
      <c r="F9" s="581">
        <v>1675207.2629476115</v>
      </c>
      <c r="G9" s="582">
        <v>8.8717450705553365</v>
      </c>
      <c r="H9" s="581">
        <v>8816.8803313032186</v>
      </c>
      <c r="I9" s="576"/>
      <c r="J9" s="581">
        <f t="shared" ref="J9:K24" si="1">B9-F9</f>
        <v>2182006.4325062511</v>
      </c>
      <c r="K9" s="582">
        <f t="shared" si="1"/>
        <v>5.8830199474513734E-2</v>
      </c>
      <c r="L9" s="581">
        <f>H9-D9</f>
        <v>-1073.4111955015578</v>
      </c>
      <c r="M9" s="576"/>
      <c r="N9" s="580" t="s">
        <v>1339</v>
      </c>
      <c r="S9" s="478"/>
    </row>
    <row r="10" spans="1:20">
      <c r="A10" s="580" t="s">
        <v>873</v>
      </c>
      <c r="B10" s="583">
        <f>'Level 3'!L23</f>
        <v>12000</v>
      </c>
      <c r="C10" s="584">
        <f t="shared" ref="C10:C39" si="2">B10/$C$6</f>
        <v>2.7783501693635956E-2</v>
      </c>
      <c r="D10" s="583">
        <f t="shared" si="0"/>
        <v>30.76923076923077</v>
      </c>
      <c r="E10" s="576"/>
      <c r="F10" s="583">
        <v>3500</v>
      </c>
      <c r="G10" s="584">
        <v>1.8535681186283594E-2</v>
      </c>
      <c r="H10" s="583">
        <v>18.421052631578949</v>
      </c>
      <c r="I10" s="576"/>
      <c r="J10" s="583">
        <f t="shared" si="1"/>
        <v>8500</v>
      </c>
      <c r="K10" s="584">
        <f t="shared" si="1"/>
        <v>9.2478205073523619E-3</v>
      </c>
      <c r="L10" s="583">
        <f t="shared" ref="L10:L39" si="3">H10-D10</f>
        <v>-12.348178137651821</v>
      </c>
      <c r="M10" s="576"/>
      <c r="N10" s="580"/>
      <c r="S10" s="478"/>
    </row>
    <row r="11" spans="1:20">
      <c r="A11" s="580" t="s">
        <v>874</v>
      </c>
      <c r="B11" s="583">
        <f>'Level 3'!L34</f>
        <v>2270799.4980623308</v>
      </c>
      <c r="C11" s="584">
        <f t="shared" si="2"/>
        <v>5.2575634750268705</v>
      </c>
      <c r="D11" s="583">
        <f t="shared" si="0"/>
        <v>5822.5628155444383</v>
      </c>
      <c r="E11" s="576"/>
      <c r="F11" s="583">
        <v>855751.3</v>
      </c>
      <c r="G11" s="584">
        <v>4.5319809347279225</v>
      </c>
      <c r="H11" s="583">
        <v>4503.9542105263163</v>
      </c>
      <c r="I11" s="576"/>
      <c r="J11" s="583">
        <f t="shared" si="1"/>
        <v>1415048.1980623307</v>
      </c>
      <c r="K11" s="584">
        <f t="shared" si="1"/>
        <v>0.72558254029894798</v>
      </c>
      <c r="L11" s="583">
        <f t="shared" si="3"/>
        <v>-1318.608605018122</v>
      </c>
      <c r="M11" s="576"/>
      <c r="N11" s="580" t="s">
        <v>1340</v>
      </c>
      <c r="P11" s="588">
        <f>'Level 1'!Q2/390</f>
        <v>441.31282051282051</v>
      </c>
      <c r="Q11" s="588">
        <f>47390/190</f>
        <v>249.42105263157896</v>
      </c>
      <c r="R11" t="s">
        <v>1341</v>
      </c>
      <c r="S11" s="590">
        <f>P11/Q11</f>
        <v>1.7693487211951022</v>
      </c>
      <c r="T11" s="587">
        <f>H11*S11</f>
        <v>7969.0656227160343</v>
      </c>
    </row>
    <row r="12" spans="1:20">
      <c r="A12" s="580" t="s">
        <v>875</v>
      </c>
      <c r="B12" s="583">
        <f>'Level 3'!L40</f>
        <v>314000</v>
      </c>
      <c r="C12" s="584">
        <f t="shared" si="2"/>
        <v>0.72700162765014087</v>
      </c>
      <c r="D12" s="583">
        <f t="shared" si="0"/>
        <v>805.12820512820508</v>
      </c>
      <c r="E12" s="576"/>
      <c r="F12" s="583">
        <v>154110</v>
      </c>
      <c r="G12" s="584">
        <v>0.8161525221766186</v>
      </c>
      <c r="H12" s="583">
        <v>811.10526315789468</v>
      </c>
      <c r="I12" s="576"/>
      <c r="J12" s="583">
        <f t="shared" si="1"/>
        <v>159890</v>
      </c>
      <c r="K12" s="584">
        <f t="shared" si="1"/>
        <v>-8.9150894526477731E-2</v>
      </c>
      <c r="L12" s="583">
        <f t="shared" si="3"/>
        <v>5.9770580296896014</v>
      </c>
      <c r="M12" s="576"/>
      <c r="N12" s="580"/>
      <c r="P12" s="588"/>
      <c r="Q12" s="588"/>
      <c r="S12" s="590"/>
    </row>
    <row r="13" spans="1:20">
      <c r="A13" s="580" t="s">
        <v>876</v>
      </c>
      <c r="B13" s="583">
        <f>'Level 3'!L50</f>
        <v>716686.6</v>
      </c>
      <c r="C13" s="584">
        <f t="shared" si="2"/>
        <v>1.6593386137421828</v>
      </c>
      <c r="D13" s="583">
        <f t="shared" si="0"/>
        <v>1837.6579487179486</v>
      </c>
      <c r="E13" s="576"/>
      <c r="F13" s="583">
        <v>288724</v>
      </c>
      <c r="G13" s="584">
        <v>1.5290560042367272</v>
      </c>
      <c r="H13" s="583">
        <v>1519.6</v>
      </c>
      <c r="I13" s="576"/>
      <c r="J13" s="583">
        <f t="shared" si="1"/>
        <v>427962.6</v>
      </c>
      <c r="K13" s="584">
        <f t="shared" si="1"/>
        <v>0.13028260950545567</v>
      </c>
      <c r="L13" s="583">
        <f t="shared" si="3"/>
        <v>-318.05794871794865</v>
      </c>
      <c r="M13" s="576"/>
      <c r="N13" s="580"/>
      <c r="P13" s="588"/>
      <c r="Q13" s="588"/>
      <c r="S13" s="590"/>
    </row>
    <row r="14" spans="1:20">
      <c r="A14" s="580" t="s">
        <v>877</v>
      </c>
      <c r="B14" s="583">
        <f>'Level 3'!L64</f>
        <v>9207821.4833333325</v>
      </c>
      <c r="C14" s="584">
        <f t="shared" si="2"/>
        <v>21.318793648074099</v>
      </c>
      <c r="D14" s="583">
        <f t="shared" si="0"/>
        <v>23609.798675213671</v>
      </c>
      <c r="E14" s="576"/>
      <c r="F14" s="583">
        <v>4782473.5</v>
      </c>
      <c r="G14" s="584">
        <v>25.327544022242819</v>
      </c>
      <c r="H14" s="583">
        <v>25170.913157894738</v>
      </c>
      <c r="I14" s="576"/>
      <c r="J14" s="583">
        <f t="shared" si="1"/>
        <v>4425347.9833333325</v>
      </c>
      <c r="K14" s="584">
        <f t="shared" si="1"/>
        <v>-4.00875037416872</v>
      </c>
      <c r="L14" s="583">
        <f t="shared" si="3"/>
        <v>1561.1144826810669</v>
      </c>
      <c r="M14" s="576"/>
      <c r="N14" s="580" t="s">
        <v>1342</v>
      </c>
      <c r="P14" s="588">
        <f>'Level 1'!B8/'Level 1'!E8</f>
        <v>1107.4641025641026</v>
      </c>
      <c r="Q14" s="588">
        <f>188825/190</f>
        <v>993.81578947368416</v>
      </c>
      <c r="R14" t="s">
        <v>1343</v>
      </c>
      <c r="S14" s="590">
        <f>P14/Q14</f>
        <v>1.1143555116493022</v>
      </c>
      <c r="T14" s="589">
        <f>S14*H14</f>
        <v>28049.345810745945</v>
      </c>
    </row>
    <row r="15" spans="1:20">
      <c r="A15" s="580" t="s">
        <v>878</v>
      </c>
      <c r="B15" s="583">
        <f>'Level 3'!L78</f>
        <v>2196003.1030282238</v>
      </c>
      <c r="C15" s="584">
        <f t="shared" si="2"/>
        <v>5.0843879943512063</v>
      </c>
      <c r="D15" s="583">
        <f t="shared" si="0"/>
        <v>5630.777187251856</v>
      </c>
      <c r="E15" s="576"/>
      <c r="F15" s="583">
        <v>886843.75</v>
      </c>
      <c r="G15" s="584">
        <v>4.6966437177280547</v>
      </c>
      <c r="H15" s="583">
        <v>4667.5986842105267</v>
      </c>
      <c r="I15" s="576"/>
      <c r="J15" s="583">
        <f t="shared" si="1"/>
        <v>1309159.3530282238</v>
      </c>
      <c r="K15" s="584">
        <f t="shared" si="1"/>
        <v>0.38774427662315158</v>
      </c>
      <c r="L15" s="583">
        <f t="shared" si="3"/>
        <v>-963.17850304132935</v>
      </c>
      <c r="M15" s="576"/>
      <c r="N15" s="580" t="s">
        <v>1342</v>
      </c>
      <c r="P15" s="588"/>
      <c r="Q15" s="588"/>
      <c r="S15" s="590"/>
    </row>
    <row r="16" spans="1:20">
      <c r="A16" s="580" t="s">
        <v>879</v>
      </c>
      <c r="B16" s="583">
        <f>'Level 3'!L93</f>
        <v>669950</v>
      </c>
      <c r="C16" s="584">
        <f t="shared" si="2"/>
        <v>1.5511297466376175</v>
      </c>
      <c r="D16" s="583">
        <f t="shared" si="0"/>
        <v>1717.8205128205129</v>
      </c>
      <c r="E16" s="576"/>
      <c r="F16" s="583">
        <v>462292.91000000003</v>
      </c>
      <c r="G16" s="584">
        <v>2.4482611412683704</v>
      </c>
      <c r="H16" s="583">
        <v>2433.1205789473688</v>
      </c>
      <c r="I16" s="576"/>
      <c r="J16" s="583">
        <f t="shared" si="1"/>
        <v>207657.08999999997</v>
      </c>
      <c r="K16" s="584">
        <f t="shared" si="1"/>
        <v>-0.89713139463075287</v>
      </c>
      <c r="L16" s="583">
        <f t="shared" si="3"/>
        <v>715.30006612685588</v>
      </c>
      <c r="M16" s="576"/>
      <c r="N16" s="580"/>
      <c r="P16" s="588"/>
      <c r="Q16" s="588"/>
      <c r="S16" s="590"/>
    </row>
    <row r="17" spans="1:20">
      <c r="A17" s="580" t="s">
        <v>880</v>
      </c>
      <c r="B17" s="583">
        <f>'Level 3'!L132</f>
        <v>7167102.1585046519</v>
      </c>
      <c r="C17" s="584">
        <f t="shared" si="2"/>
        <v>16.593932913272994</v>
      </c>
      <c r="D17" s="583">
        <f t="shared" si="0"/>
        <v>18377.185021806799</v>
      </c>
      <c r="E17" s="576"/>
      <c r="F17" s="583">
        <v>3275902.9399999995</v>
      </c>
      <c r="G17" s="584">
        <v>17.348883569442602</v>
      </c>
      <c r="H17" s="583">
        <v>17241.594421052629</v>
      </c>
      <c r="I17" s="576"/>
      <c r="J17" s="583">
        <f t="shared" si="1"/>
        <v>3891199.2185046524</v>
      </c>
      <c r="K17" s="584">
        <f t="shared" si="1"/>
        <v>-0.75495065616960844</v>
      </c>
      <c r="L17" s="583">
        <f t="shared" si="3"/>
        <v>-1135.5906007541707</v>
      </c>
      <c r="M17" s="576"/>
      <c r="N17" s="580"/>
      <c r="P17" s="588"/>
      <c r="Q17" s="588"/>
      <c r="S17" s="590"/>
    </row>
    <row r="18" spans="1:20">
      <c r="A18" s="580" t="s">
        <v>881</v>
      </c>
      <c r="B18" s="583">
        <f>'Level 3'!L149</f>
        <v>729570</v>
      </c>
      <c r="C18" s="584">
        <f t="shared" si="2"/>
        <v>1.689167444218832</v>
      </c>
      <c r="D18" s="583">
        <f t="shared" si="0"/>
        <v>1870.6923076923076</v>
      </c>
      <c r="E18" s="576"/>
      <c r="F18" s="583">
        <v>207648</v>
      </c>
      <c r="G18" s="584">
        <v>1.0996848934198331</v>
      </c>
      <c r="H18" s="583">
        <v>1092.8842105263159</v>
      </c>
      <c r="I18" s="576"/>
      <c r="J18" s="583">
        <f t="shared" si="1"/>
        <v>521922</v>
      </c>
      <c r="K18" s="584">
        <f t="shared" si="1"/>
        <v>0.58948255079899892</v>
      </c>
      <c r="L18" s="583">
        <f t="shared" si="3"/>
        <v>-777.80809716599174</v>
      </c>
      <c r="M18" s="576"/>
      <c r="N18" s="580"/>
      <c r="P18" s="588"/>
      <c r="Q18" s="588"/>
      <c r="S18" s="590"/>
    </row>
    <row r="19" spans="1:20">
      <c r="A19" s="580" t="s">
        <v>882</v>
      </c>
      <c r="B19" s="583">
        <f>'Level 3'!L153</f>
        <v>1442993.9230927837</v>
      </c>
      <c r="C19" s="584">
        <f t="shared" si="2"/>
        <v>3.3409520088462292</v>
      </c>
      <c r="D19" s="583">
        <f t="shared" si="0"/>
        <v>3699.9844181866247</v>
      </c>
      <c r="E19" s="576"/>
      <c r="F19" s="583">
        <v>555940</v>
      </c>
      <c r="G19" s="584">
        <v>2.9442075996292862</v>
      </c>
      <c r="H19" s="583">
        <v>2926</v>
      </c>
      <c r="I19" s="576"/>
      <c r="J19" s="583">
        <f t="shared" si="1"/>
        <v>887053.92309278366</v>
      </c>
      <c r="K19" s="584">
        <f t="shared" si="1"/>
        <v>0.39674440921694298</v>
      </c>
      <c r="L19" s="583">
        <f t="shared" si="3"/>
        <v>-773.98441818662468</v>
      </c>
      <c r="M19" s="576"/>
      <c r="N19" s="580"/>
      <c r="P19" s="588"/>
      <c r="Q19" s="588"/>
      <c r="S19" s="590"/>
    </row>
    <row r="20" spans="1:20">
      <c r="A20" s="580" t="s">
        <v>883</v>
      </c>
      <c r="B20" s="583">
        <f>'Level 3'!L162</f>
        <v>2461013.4</v>
      </c>
      <c r="C20" s="584">
        <f t="shared" si="2"/>
        <v>5.6979641639133982</v>
      </c>
      <c r="D20" s="583">
        <f t="shared" si="0"/>
        <v>6310.290769230769</v>
      </c>
      <c r="E20" s="576"/>
      <c r="F20" s="583">
        <v>1126769</v>
      </c>
      <c r="G20" s="584">
        <v>5.9672659870250229</v>
      </c>
      <c r="H20" s="583">
        <v>5930.363157894737</v>
      </c>
      <c r="I20" s="576"/>
      <c r="J20" s="583">
        <f t="shared" si="1"/>
        <v>1334244.3999999999</v>
      </c>
      <c r="K20" s="584">
        <f t="shared" si="1"/>
        <v>-0.26930182311162465</v>
      </c>
      <c r="L20" s="583">
        <f t="shared" si="3"/>
        <v>-379.92761133603199</v>
      </c>
      <c r="M20" s="576"/>
      <c r="N20" s="580"/>
      <c r="P20" s="588"/>
      <c r="Q20" s="588"/>
      <c r="S20" s="590"/>
    </row>
    <row r="21" spans="1:20">
      <c r="A21" s="580" t="s">
        <v>884</v>
      </c>
      <c r="B21" s="583">
        <f>'Level 3'!L166</f>
        <v>1103563.3333333333</v>
      </c>
      <c r="C21" s="584">
        <f t="shared" si="2"/>
        <v>2.555071145058434</v>
      </c>
      <c r="D21" s="583">
        <f t="shared" si="0"/>
        <v>2829.6495726495723</v>
      </c>
      <c r="E21" s="576"/>
      <c r="F21" s="583">
        <v>514455.07</v>
      </c>
      <c r="G21" s="584">
        <v>2.7245071891963457</v>
      </c>
      <c r="H21" s="583">
        <v>2707.6582631578949</v>
      </c>
      <c r="I21" s="576"/>
      <c r="J21" s="583">
        <f t="shared" si="1"/>
        <v>589108.26333333319</v>
      </c>
      <c r="K21" s="584">
        <f t="shared" si="1"/>
        <v>-0.16943604413791169</v>
      </c>
      <c r="L21" s="583">
        <f t="shared" si="3"/>
        <v>-121.99130949167738</v>
      </c>
      <c r="M21" s="576"/>
      <c r="N21" s="580" t="s">
        <v>1344</v>
      </c>
      <c r="P21" s="558">
        <v>0.99</v>
      </c>
      <c r="Q21" s="558">
        <v>0.52</v>
      </c>
      <c r="S21" s="591">
        <v>0.2</v>
      </c>
      <c r="T21" s="520">
        <f>H21*(1+S21)</f>
        <v>3249.1899157894736</v>
      </c>
    </row>
    <row r="22" spans="1:20">
      <c r="A22" s="580" t="s">
        <v>885</v>
      </c>
      <c r="B22" s="583">
        <f>'Level 3'!L169</f>
        <v>508000</v>
      </c>
      <c r="C22" s="584">
        <f t="shared" si="2"/>
        <v>1.1761682383639223</v>
      </c>
      <c r="D22" s="583">
        <f t="shared" si="0"/>
        <v>1302.5641025641025</v>
      </c>
      <c r="E22" s="576"/>
      <c r="F22" s="583">
        <v>337555</v>
      </c>
      <c r="G22" s="584">
        <v>1.7876605322388455</v>
      </c>
      <c r="H22" s="583">
        <v>1776.6052631578948</v>
      </c>
      <c r="I22" s="576"/>
      <c r="J22" s="583">
        <f t="shared" si="1"/>
        <v>170445</v>
      </c>
      <c r="K22" s="584">
        <f t="shared" si="1"/>
        <v>-0.61149229387492321</v>
      </c>
      <c r="L22" s="583">
        <f t="shared" si="3"/>
        <v>474.04116059379226</v>
      </c>
      <c r="M22" s="576"/>
      <c r="N22" s="580"/>
      <c r="P22" s="588"/>
      <c r="Q22" s="588"/>
      <c r="S22" s="590"/>
    </row>
    <row r="23" spans="1:20">
      <c r="A23" s="580" t="s">
        <v>886</v>
      </c>
      <c r="B23" s="583">
        <f>'Level 3'!L173</f>
        <v>1322806.25</v>
      </c>
      <c r="C23" s="584">
        <f t="shared" si="2"/>
        <v>3.0626824739356024</v>
      </c>
      <c r="D23" s="583">
        <f t="shared" si="0"/>
        <v>3391.8108974358975</v>
      </c>
      <c r="E23" s="576"/>
      <c r="F23" s="583">
        <v>661214.75</v>
      </c>
      <c r="G23" s="584">
        <v>3.5017330861909177</v>
      </c>
      <c r="H23" s="583">
        <v>3480.0776315789471</v>
      </c>
      <c r="I23" s="576"/>
      <c r="J23" s="583">
        <f t="shared" si="1"/>
        <v>661591.5</v>
      </c>
      <c r="K23" s="584">
        <f t="shared" si="1"/>
        <v>-0.43905061225531528</v>
      </c>
      <c r="L23" s="583">
        <f t="shared" si="3"/>
        <v>88.266734143049689</v>
      </c>
      <c r="M23" s="576"/>
      <c r="N23" s="580"/>
      <c r="P23" s="588"/>
      <c r="Q23" s="588"/>
      <c r="S23" s="590"/>
    </row>
    <row r="24" spans="1:20">
      <c r="A24" s="580" t="s">
        <v>887</v>
      </c>
      <c r="B24" s="583">
        <f>'Level 3'!L179</f>
        <v>4900550</v>
      </c>
      <c r="C24" s="584">
        <f t="shared" si="2"/>
        <v>11.346203268728974</v>
      </c>
      <c r="D24" s="583">
        <f t="shared" si="0"/>
        <v>12565.51282051282</v>
      </c>
      <c r="E24" s="576"/>
      <c r="F24" s="583">
        <v>2166278.5</v>
      </c>
      <c r="G24" s="584">
        <v>11.4724136104859</v>
      </c>
      <c r="H24" s="583">
        <v>11401.465789473685</v>
      </c>
      <c r="I24" s="576"/>
      <c r="J24" s="583">
        <f t="shared" si="1"/>
        <v>2734271.5</v>
      </c>
      <c r="K24" s="584">
        <f t="shared" si="1"/>
        <v>-0.12621034175692536</v>
      </c>
      <c r="L24" s="583">
        <f t="shared" si="3"/>
        <v>-1164.0470310391356</v>
      </c>
      <c r="M24" s="576"/>
      <c r="N24" s="580"/>
      <c r="P24" s="588"/>
      <c r="Q24" s="588"/>
      <c r="S24" s="590"/>
    </row>
    <row r="25" spans="1:20">
      <c r="A25" s="580" t="s">
        <v>888</v>
      </c>
      <c r="B25" s="583">
        <f>'Level 3'!L182</f>
        <v>4132739.4999999995</v>
      </c>
      <c r="C25" s="584">
        <f t="shared" si="2"/>
        <v>9.5684979081338497</v>
      </c>
      <c r="D25" s="583">
        <f t="shared" si="0"/>
        <v>10596.767948717947</v>
      </c>
      <c r="E25" s="576"/>
      <c r="F25" s="583">
        <v>1751619.5</v>
      </c>
      <c r="G25" s="584">
        <v>9.2764173176221369</v>
      </c>
      <c r="H25" s="583">
        <v>9219.0499999999993</v>
      </c>
      <c r="I25" s="576"/>
      <c r="J25" s="583">
        <f t="shared" ref="J25:K38" si="4">B25-F25</f>
        <v>2381119.9999999995</v>
      </c>
      <c r="K25" s="584">
        <f t="shared" si="4"/>
        <v>0.29208059051171276</v>
      </c>
      <c r="L25" s="583">
        <f t="shared" si="3"/>
        <v>-1377.7179487179474</v>
      </c>
      <c r="M25" s="576"/>
      <c r="N25" s="580"/>
      <c r="P25" s="588">
        <f>D25</f>
        <v>10596.767948717947</v>
      </c>
      <c r="Q25" s="588">
        <f>H25</f>
        <v>9219.0499999999993</v>
      </c>
      <c r="S25" s="592">
        <f>P25/Q25-1</f>
        <v>0.14944250749458421</v>
      </c>
    </row>
    <row r="26" spans="1:20">
      <c r="A26" s="580" t="s">
        <v>889</v>
      </c>
      <c r="B26" s="583">
        <f>'Level 3'!L199</f>
        <v>5741267.916666666</v>
      </c>
      <c r="C26" s="584">
        <f t="shared" si="2"/>
        <v>13.292710573860509</v>
      </c>
      <c r="D26" s="583">
        <f t="shared" si="0"/>
        <v>14721.199786324785</v>
      </c>
      <c r="E26" s="576"/>
      <c r="F26" s="583">
        <v>2257308</v>
      </c>
      <c r="G26" s="584">
        <v>11.954497550642129</v>
      </c>
      <c r="H26" s="583">
        <v>11880.568421052632</v>
      </c>
      <c r="I26" s="576"/>
      <c r="J26" s="583">
        <f t="shared" si="4"/>
        <v>3483959.916666666</v>
      </c>
      <c r="K26" s="584">
        <f t="shared" si="4"/>
        <v>1.3382130232183798</v>
      </c>
      <c r="L26" s="583">
        <f t="shared" si="3"/>
        <v>-2840.6313652721528</v>
      </c>
      <c r="M26" s="576"/>
      <c r="N26" s="580" t="s">
        <v>1345</v>
      </c>
      <c r="P26" s="588"/>
      <c r="Q26" s="588"/>
      <c r="S26" s="558"/>
    </row>
    <row r="27" spans="1:20">
      <c r="A27" s="580" t="s">
        <v>890</v>
      </c>
      <c r="B27" s="583">
        <f>'Level 3'!L203</f>
        <v>253754.65</v>
      </c>
      <c r="C27" s="584">
        <f t="shared" si="2"/>
        <v>0.58751606233691667</v>
      </c>
      <c r="D27" s="583">
        <f t="shared" si="0"/>
        <v>650.65294871794868</v>
      </c>
      <c r="E27" s="576"/>
      <c r="F27" s="583">
        <v>900</v>
      </c>
      <c r="G27" s="584">
        <v>4.7663180193300674E-3</v>
      </c>
      <c r="H27" s="583">
        <v>4.7368421052631575</v>
      </c>
      <c r="I27" s="576"/>
      <c r="J27" s="583">
        <f t="shared" si="4"/>
        <v>252854.65</v>
      </c>
      <c r="K27" s="584">
        <f t="shared" si="4"/>
        <v>0.58274974431758664</v>
      </c>
      <c r="L27" s="583">
        <f t="shared" si="3"/>
        <v>-645.91610661268555</v>
      </c>
      <c r="M27" s="576"/>
      <c r="N27" s="580"/>
      <c r="P27" s="588"/>
      <c r="Q27" s="588"/>
      <c r="S27" s="558"/>
    </row>
    <row r="28" spans="1:20">
      <c r="A28" s="580" t="s">
        <v>891</v>
      </c>
      <c r="B28" s="665">
        <f>'Level 3'!L208</f>
        <v>1359898.75</v>
      </c>
      <c r="C28" s="584">
        <f t="shared" si="2"/>
        <v>3.1485624353165349</v>
      </c>
      <c r="D28" s="583">
        <f t="shared" si="0"/>
        <v>3486.9198717948716</v>
      </c>
      <c r="E28" s="576"/>
      <c r="F28" s="583">
        <v>464996.5</v>
      </c>
      <c r="G28" s="584">
        <v>2.4625791076393484</v>
      </c>
      <c r="H28" s="583">
        <v>2447.35</v>
      </c>
      <c r="I28" s="576"/>
      <c r="J28" s="583">
        <f t="shared" si="4"/>
        <v>894902.25</v>
      </c>
      <c r="K28" s="584">
        <f t="shared" si="4"/>
        <v>0.68598332767718651</v>
      </c>
      <c r="L28" s="583">
        <f t="shared" si="3"/>
        <v>-1039.5698717948717</v>
      </c>
      <c r="M28" s="576"/>
      <c r="N28" s="580"/>
      <c r="P28" s="588"/>
      <c r="Q28" s="588"/>
      <c r="S28" s="558"/>
    </row>
    <row r="29" spans="1:20">
      <c r="A29" s="580" t="s">
        <v>892</v>
      </c>
      <c r="B29" s="583">
        <f>'Level 3'!L218</f>
        <v>1225979.7169201102</v>
      </c>
      <c r="C29" s="584">
        <f t="shared" si="2"/>
        <v>2.8385007951177679</v>
      </c>
      <c r="D29" s="583">
        <f t="shared" si="0"/>
        <v>3143.5377356925901</v>
      </c>
      <c r="E29" s="576"/>
      <c r="F29" s="583">
        <v>609629.75</v>
      </c>
      <c r="G29" s="584">
        <v>3.2285436250496491</v>
      </c>
      <c r="H29" s="583">
        <v>3208.5776315789471</v>
      </c>
      <c r="I29" s="576"/>
      <c r="J29" s="583">
        <f t="shared" si="4"/>
        <v>616349.96692011016</v>
      </c>
      <c r="K29" s="584">
        <f t="shared" si="4"/>
        <v>-0.39004282993188122</v>
      </c>
      <c r="L29" s="583">
        <f t="shared" si="3"/>
        <v>65.039895886357044</v>
      </c>
      <c r="M29" s="576"/>
      <c r="N29" s="580" t="s">
        <v>1346</v>
      </c>
      <c r="P29" s="588"/>
      <c r="Q29" s="588"/>
      <c r="S29" s="558"/>
    </row>
    <row r="30" spans="1:20">
      <c r="A30" s="580" t="s">
        <v>893</v>
      </c>
      <c r="B30" s="583">
        <f>'Level 3'!L256</f>
        <v>6247669.5083102435</v>
      </c>
      <c r="C30" s="584">
        <f t="shared" si="2"/>
        <v>14.465178030451282</v>
      </c>
      <c r="D30" s="583">
        <f t="shared" si="0"/>
        <v>16019.665405923701</v>
      </c>
      <c r="E30" s="576"/>
      <c r="F30" s="583">
        <v>2186782.4500000002</v>
      </c>
      <c r="G30" s="584">
        <v>11.581000661988615</v>
      </c>
      <c r="H30" s="583">
        <v>11509.381315789475</v>
      </c>
      <c r="I30" s="576"/>
      <c r="J30" s="583">
        <f t="shared" si="4"/>
        <v>4060887.0583102433</v>
      </c>
      <c r="K30" s="584">
        <f t="shared" si="4"/>
        <v>2.8841773684626677</v>
      </c>
      <c r="L30" s="583">
        <f t="shared" si="3"/>
        <v>-4510.2840901342261</v>
      </c>
      <c r="M30" s="576"/>
      <c r="N30" s="580" t="s">
        <v>1347</v>
      </c>
      <c r="P30" s="588"/>
      <c r="Q30" s="588"/>
      <c r="S30" s="558"/>
    </row>
    <row r="31" spans="1:20">
      <c r="A31" s="580" t="s">
        <v>894</v>
      </c>
      <c r="B31" s="583">
        <f>'Level 3'!L274</f>
        <v>5661464.8757142853</v>
      </c>
      <c r="C31" s="584">
        <f t="shared" si="2"/>
        <v>13.107943246905695</v>
      </c>
      <c r="D31" s="583">
        <f t="shared" si="0"/>
        <v>14516.576604395603</v>
      </c>
      <c r="E31" s="576"/>
      <c r="F31" s="583">
        <v>1788881</v>
      </c>
      <c r="G31" s="584">
        <v>9.4737508274857678</v>
      </c>
      <c r="H31" s="583">
        <v>9415.1631578947363</v>
      </c>
      <c r="I31" s="576"/>
      <c r="J31" s="583">
        <f t="shared" si="4"/>
        <v>3872583.8757142853</v>
      </c>
      <c r="K31" s="584">
        <f t="shared" si="4"/>
        <v>3.6341924194199269</v>
      </c>
      <c r="L31" s="583">
        <f t="shared" si="3"/>
        <v>-5101.4134465008665</v>
      </c>
      <c r="M31" s="576"/>
      <c r="N31" s="580" t="s">
        <v>1348</v>
      </c>
      <c r="P31" s="588"/>
      <c r="Q31" s="588"/>
      <c r="S31" s="558"/>
    </row>
    <row r="32" spans="1:20">
      <c r="A32" s="580" t="s">
        <v>895</v>
      </c>
      <c r="B32" s="583">
        <f>'Level 3'!L276</f>
        <v>15000</v>
      </c>
      <c r="C32" s="584">
        <f t="shared" si="2"/>
        <v>3.4729377117044949E-2</v>
      </c>
      <c r="D32" s="583">
        <f t="shared" si="0"/>
        <v>38.46153846153846</v>
      </c>
      <c r="E32" s="576"/>
      <c r="F32" s="583">
        <v>7500</v>
      </c>
      <c r="G32" s="584">
        <v>3.971931682775056E-2</v>
      </c>
      <c r="H32" s="583">
        <v>39.473684210526315</v>
      </c>
      <c r="I32" s="576"/>
      <c r="J32" s="583">
        <f t="shared" si="4"/>
        <v>7500</v>
      </c>
      <c r="K32" s="584">
        <f t="shared" si="4"/>
        <v>-4.9899397107056112E-3</v>
      </c>
      <c r="L32" s="583">
        <f t="shared" si="3"/>
        <v>1.0121457489878551</v>
      </c>
      <c r="M32" s="576"/>
      <c r="N32" s="580"/>
      <c r="P32" s="588"/>
      <c r="Q32" s="588"/>
      <c r="S32" s="558"/>
    </row>
    <row r="33" spans="1:19">
      <c r="A33" s="580" t="s">
        <v>896</v>
      </c>
      <c r="B33" s="583">
        <f>'Level 3'!L280</f>
        <v>1717975.85</v>
      </c>
      <c r="C33" s="584">
        <f t="shared" si="2"/>
        <v>3.9776154115083897</v>
      </c>
      <c r="D33" s="583">
        <f t="shared" si="0"/>
        <v>4405.0662820512825</v>
      </c>
      <c r="E33" s="576"/>
      <c r="F33" s="583">
        <v>707152.38</v>
      </c>
      <c r="G33" s="584">
        <v>3.7450145902290481</v>
      </c>
      <c r="H33" s="583">
        <v>3721.8546315789472</v>
      </c>
      <c r="I33" s="576"/>
      <c r="J33" s="583">
        <f t="shared" si="4"/>
        <v>1010823.4700000001</v>
      </c>
      <c r="K33" s="584">
        <f t="shared" si="4"/>
        <v>0.23260082127934156</v>
      </c>
      <c r="L33" s="583">
        <f t="shared" si="3"/>
        <v>-683.21165047233535</v>
      </c>
      <c r="M33" s="576"/>
      <c r="N33" s="580"/>
      <c r="P33" s="588"/>
      <c r="Q33" s="588"/>
      <c r="S33" s="558"/>
    </row>
    <row r="34" spans="1:19">
      <c r="A34" s="580" t="s">
        <v>897</v>
      </c>
      <c r="B34" s="583">
        <f>'Level 3'!L290</f>
        <v>486632.15</v>
      </c>
      <c r="C34" s="584">
        <f t="shared" si="2"/>
        <v>1.126695430308559</v>
      </c>
      <c r="D34" s="583">
        <f t="shared" si="0"/>
        <v>1247.7747435897436</v>
      </c>
      <c r="E34" s="576"/>
      <c r="F34" s="583">
        <v>149353.1</v>
      </c>
      <c r="G34" s="584">
        <v>0.79096041308089504</v>
      </c>
      <c r="H34" s="583">
        <v>786.06894736842105</v>
      </c>
      <c r="I34" s="576"/>
      <c r="J34" s="583">
        <f t="shared" si="4"/>
        <v>337279.05000000005</v>
      </c>
      <c r="K34" s="584">
        <f t="shared" si="4"/>
        <v>0.33573501722766397</v>
      </c>
      <c r="L34" s="583">
        <f t="shared" si="3"/>
        <v>-461.70579622132254</v>
      </c>
      <c r="M34" s="576"/>
      <c r="N34" s="580"/>
      <c r="P34" s="588"/>
      <c r="Q34" s="588"/>
      <c r="S34" s="558"/>
    </row>
    <row r="35" spans="1:19">
      <c r="A35" s="580" t="s">
        <v>817</v>
      </c>
      <c r="B35" s="583">
        <f>'Level 3'!L293</f>
        <v>632953.90666965954</v>
      </c>
      <c r="C35" s="584">
        <f t="shared" si="2"/>
        <v>1.4654729948291652</v>
      </c>
      <c r="D35" s="583">
        <f t="shared" si="0"/>
        <v>1622.9587350504091</v>
      </c>
      <c r="E35" s="576"/>
      <c r="F35" s="583">
        <v>0</v>
      </c>
      <c r="G35" s="584">
        <v>0</v>
      </c>
      <c r="H35" s="583">
        <v>0</v>
      </c>
      <c r="I35" s="576"/>
      <c r="J35" s="583">
        <f t="shared" si="4"/>
        <v>632953.90666965954</v>
      </c>
      <c r="K35" s="584">
        <f t="shared" si="4"/>
        <v>1.4654729948291652</v>
      </c>
      <c r="L35" s="583">
        <f t="shared" si="3"/>
        <v>-1622.9587350504091</v>
      </c>
      <c r="M35" s="576"/>
      <c r="N35" s="580" t="s">
        <v>1339</v>
      </c>
      <c r="P35" s="588"/>
      <c r="Q35" s="588"/>
      <c r="S35" s="558"/>
    </row>
    <row r="36" spans="1:19">
      <c r="A36" s="580" t="s">
        <v>821</v>
      </c>
      <c r="B36" s="583">
        <f>'Level 3'!L308</f>
        <v>1430148</v>
      </c>
      <c r="C36" s="584">
        <f t="shared" si="2"/>
        <v>3.3112099483458399</v>
      </c>
      <c r="D36" s="583">
        <f t="shared" si="0"/>
        <v>3667.0461538461536</v>
      </c>
      <c r="E36" s="576"/>
      <c r="F36" s="583">
        <v>1161406.5315</v>
      </c>
      <c r="G36" s="584">
        <v>6.1507031987289817</v>
      </c>
      <c r="H36" s="583">
        <v>6112.6659552631581</v>
      </c>
      <c r="I36" s="576"/>
      <c r="J36" s="583">
        <f t="shared" si="4"/>
        <v>268741.46849999996</v>
      </c>
      <c r="K36" s="584">
        <f t="shared" si="4"/>
        <v>-2.8394932503831418</v>
      </c>
      <c r="L36" s="583">
        <f t="shared" si="3"/>
        <v>2445.6198014170045</v>
      </c>
      <c r="M36" s="576"/>
      <c r="N36" s="580"/>
      <c r="P36" s="588"/>
      <c r="Q36" s="588"/>
      <c r="S36" s="558"/>
    </row>
    <row r="37" spans="1:19">
      <c r="A37" s="580" t="s">
        <v>1349</v>
      </c>
      <c r="B37" s="583">
        <f>'Level 3'!L312+'Level 3'!L316</f>
        <v>1007077.9333885415</v>
      </c>
      <c r="C37" s="584">
        <f t="shared" si="2"/>
        <v>2.3316792889936617</v>
      </c>
      <c r="D37" s="583">
        <f t="shared" si="0"/>
        <v>2582.2511112526704</v>
      </c>
      <c r="E37" s="576"/>
      <c r="F37" s="583">
        <v>555133.11762686167</v>
      </c>
      <c r="G37" s="584">
        <v>2.9399344240797651</v>
      </c>
      <c r="H37" s="583">
        <v>2921.753250667693</v>
      </c>
      <c r="I37" s="576"/>
      <c r="J37" s="583">
        <f t="shared" si="4"/>
        <v>451944.81576167978</v>
      </c>
      <c r="K37" s="584">
        <f t="shared" si="4"/>
        <v>-0.6082551350861034</v>
      </c>
      <c r="L37" s="583">
        <f t="shared" si="3"/>
        <v>339.50213941502261</v>
      </c>
      <c r="M37" s="576"/>
      <c r="N37" s="580"/>
      <c r="P37" s="588"/>
      <c r="Q37" s="588"/>
      <c r="S37" s="558"/>
    </row>
    <row r="38" spans="1:19">
      <c r="A38" s="580" t="s">
        <v>899</v>
      </c>
      <c r="B38" s="583">
        <f>'Level 3'!L310</f>
        <v>3389277.9134544739</v>
      </c>
      <c r="C38" s="584">
        <f t="shared" si="2"/>
        <v>7.8471673873887768</v>
      </c>
      <c r="D38" s="583">
        <f t="shared" si="0"/>
        <v>8690.4561883448041</v>
      </c>
      <c r="E38" s="576"/>
      <c r="F38" s="583">
        <v>1591446.899800231</v>
      </c>
      <c r="G38" s="584">
        <v>8.4281578170275697</v>
      </c>
      <c r="H38" s="583">
        <v>8376.0363147380576</v>
      </c>
      <c r="I38" s="576"/>
      <c r="J38" s="583">
        <f t="shared" si="4"/>
        <v>1797831.013654243</v>
      </c>
      <c r="K38" s="584">
        <f t="shared" si="4"/>
        <v>-0.58099042963879288</v>
      </c>
      <c r="L38" s="583">
        <f t="shared" si="3"/>
        <v>-314.41987360674648</v>
      </c>
      <c r="M38" s="576"/>
      <c r="N38" s="580" t="s">
        <v>1339</v>
      </c>
      <c r="P38" s="588"/>
      <c r="Q38" s="588"/>
      <c r="S38" s="558"/>
    </row>
    <row r="39" spans="1:19">
      <c r="A39" s="580" t="s">
        <v>900</v>
      </c>
      <c r="B39" s="583">
        <f>'Level 3'!K318+'Level 3'!K317</f>
        <v>5194833.8005619328</v>
      </c>
      <c r="C39" s="584">
        <f t="shared" si="2"/>
        <v>12.027556141339149</v>
      </c>
      <c r="D39" s="583">
        <f t="shared" si="0"/>
        <v>13320.08666810752</v>
      </c>
      <c r="E39" s="576"/>
      <c r="F39" s="583">
        <v>2233609.6839301488</v>
      </c>
      <c r="G39" s="584">
        <v>11.828993427407116</v>
      </c>
      <c r="H39" s="583">
        <v>11755.840441737626</v>
      </c>
      <c r="I39" s="576"/>
      <c r="J39" s="583">
        <f>B39-F39</f>
        <v>2961224.116631784</v>
      </c>
      <c r="K39" s="584">
        <f>C39-G39</f>
        <v>0.19856271393203251</v>
      </c>
      <c r="L39" s="583">
        <f t="shared" si="3"/>
        <v>-1564.2462263698944</v>
      </c>
      <c r="M39" s="576"/>
      <c r="N39" s="580" t="s">
        <v>1339</v>
      </c>
      <c r="P39" s="588"/>
      <c r="Q39" s="588"/>
      <c r="S39" s="558"/>
    </row>
    <row r="40" spans="1:19">
      <c r="A40" s="585"/>
      <c r="B40" s="568"/>
      <c r="C40" s="586"/>
      <c r="D40" s="568"/>
      <c r="E40" s="576"/>
      <c r="F40" s="568"/>
      <c r="G40" s="586"/>
      <c r="H40" s="568"/>
      <c r="I40" s="576"/>
      <c r="J40" s="568"/>
      <c r="K40" s="586"/>
      <c r="L40" s="568"/>
      <c r="M40" s="576"/>
      <c r="P40" s="588"/>
      <c r="Q40" s="588"/>
      <c r="S40" s="558"/>
    </row>
    <row r="41" spans="1:19">
      <c r="A41" s="567" t="s">
        <v>870</v>
      </c>
      <c r="B41" s="570">
        <f>SUM(B9:B39)</f>
        <v>77376747.916494429</v>
      </c>
      <c r="C41" s="586">
        <f>B41/$C$6</f>
        <v>179.14975056549713</v>
      </c>
      <c r="D41" s="570">
        <f>B41/$D$6</f>
        <v>198401.9177346011</v>
      </c>
      <c r="E41" s="576"/>
      <c r="F41" s="570">
        <v>33420384.8958048</v>
      </c>
      <c r="G41" s="586">
        <v>176.99131415757896</v>
      </c>
      <c r="H41" s="570">
        <v>175896.76260949922</v>
      </c>
      <c r="I41" s="576"/>
      <c r="J41" s="570">
        <f>B41-F41</f>
        <v>43956363.020689629</v>
      </c>
      <c r="K41" s="586">
        <f>C41-G41</f>
        <v>2.1584364079181739</v>
      </c>
      <c r="L41" s="570">
        <f>H41-D41</f>
        <v>-22505.155125101883</v>
      </c>
      <c r="M41" s="576"/>
      <c r="P41" s="588"/>
      <c r="Q41" s="588"/>
      <c r="S41" s="558"/>
    </row>
    <row r="42" spans="1:19">
      <c r="B42" s="713"/>
      <c r="P42" s="588"/>
      <c r="Q42" s="588"/>
      <c r="S42" s="558"/>
    </row>
    <row r="43" spans="1:19">
      <c r="H43" s="523" t="s">
        <v>1350</v>
      </c>
      <c r="I43" s="523"/>
      <c r="J43" s="523"/>
      <c r="K43" s="523"/>
      <c r="L43" s="523"/>
      <c r="N43" s="520"/>
      <c r="P43" s="588"/>
      <c r="Q43" s="588"/>
      <c r="S43" s="558"/>
    </row>
    <row r="44" spans="1:19">
      <c r="H44" s="580" t="s">
        <v>874</v>
      </c>
      <c r="L44" s="714">
        <f>L11</f>
        <v>-1318.608605018122</v>
      </c>
      <c r="N44" t="s">
        <v>1351</v>
      </c>
      <c r="P44" s="588"/>
      <c r="Q44" s="588"/>
      <c r="S44" s="558"/>
    </row>
    <row r="45" spans="1:19">
      <c r="H45" s="580" t="s">
        <v>889</v>
      </c>
      <c r="L45" s="714">
        <f>L26</f>
        <v>-2840.6313652721528</v>
      </c>
      <c r="N45" t="s">
        <v>1352</v>
      </c>
      <c r="P45" s="588"/>
      <c r="Q45" s="588"/>
      <c r="S45" s="558"/>
    </row>
    <row r="46" spans="1:19">
      <c r="H46" s="580" t="s">
        <v>892</v>
      </c>
      <c r="L46" s="714">
        <f>L29</f>
        <v>65.039895886357044</v>
      </c>
      <c r="P46" s="588"/>
      <c r="Q46" s="561"/>
      <c r="S46" s="558"/>
    </row>
    <row r="47" spans="1:19" ht="30" customHeight="1">
      <c r="H47" s="580" t="s">
        <v>893</v>
      </c>
      <c r="L47" s="714">
        <f t="shared" ref="L47:L48" si="5">L30</f>
        <v>-4510.2840901342261</v>
      </c>
      <c r="N47" s="879" t="s">
        <v>1353</v>
      </c>
      <c r="P47" s="588"/>
      <c r="Q47" s="588"/>
      <c r="S47" s="558"/>
    </row>
    <row r="48" spans="1:19">
      <c r="H48" s="580" t="s">
        <v>894</v>
      </c>
      <c r="L48" s="714">
        <f t="shared" si="5"/>
        <v>-5101.4134465008665</v>
      </c>
      <c r="N48" t="s">
        <v>1354</v>
      </c>
      <c r="P48" s="588"/>
      <c r="Q48" s="588"/>
      <c r="S48" s="558"/>
    </row>
    <row r="49" spans="8:19">
      <c r="H49" s="718" t="s">
        <v>872</v>
      </c>
      <c r="L49" s="713">
        <f>L9</f>
        <v>-1073.4111955015578</v>
      </c>
      <c r="N49" t="s">
        <v>1355</v>
      </c>
      <c r="P49" s="588"/>
      <c r="Q49" s="588"/>
      <c r="S49" s="558"/>
    </row>
    <row r="50" spans="8:19">
      <c r="H50" s="580" t="s">
        <v>817</v>
      </c>
      <c r="L50" s="714">
        <f>L35</f>
        <v>-1622.9587350504091</v>
      </c>
      <c r="N50" t="s">
        <v>1356</v>
      </c>
      <c r="P50" s="588"/>
      <c r="Q50" s="588"/>
      <c r="S50" s="558"/>
    </row>
    <row r="51" spans="8:19">
      <c r="H51" s="580" t="s">
        <v>899</v>
      </c>
      <c r="L51" s="714">
        <f>L38</f>
        <v>-314.41987360674648</v>
      </c>
      <c r="N51" t="s">
        <v>1355</v>
      </c>
      <c r="P51" s="588"/>
      <c r="Q51" s="588"/>
      <c r="S51" s="558"/>
    </row>
    <row r="52" spans="8:19">
      <c r="H52" s="715" t="s">
        <v>900</v>
      </c>
      <c r="I52" s="479"/>
      <c r="J52" s="479"/>
      <c r="K52" s="479"/>
      <c r="L52" s="716">
        <f>L39</f>
        <v>-1564.2462263698944</v>
      </c>
      <c r="P52" s="588"/>
      <c r="Q52" s="588"/>
      <c r="S52" s="558"/>
    </row>
    <row r="53" spans="8:19">
      <c r="H53" s="487" t="s">
        <v>119</v>
      </c>
      <c r="I53" s="487"/>
      <c r="J53" s="487"/>
      <c r="K53" s="487"/>
      <c r="L53" s="717">
        <f>SUM(L44:L52)</f>
        <v>-18280.933641567619</v>
      </c>
      <c r="P53" s="588"/>
      <c r="Q53" s="588"/>
      <c r="S53" s="558"/>
    </row>
    <row r="54" spans="8:19">
      <c r="P54" s="588"/>
      <c r="Q54" s="588"/>
      <c r="S54" s="558"/>
    </row>
    <row r="55" spans="8:19">
      <c r="P55" s="588"/>
      <c r="Q55" s="588"/>
    </row>
    <row r="56" spans="8:19">
      <c r="P56" s="588"/>
      <c r="Q56" s="588"/>
    </row>
    <row r="57" spans="8:19">
      <c r="P57" s="588"/>
      <c r="Q57" s="588"/>
    </row>
    <row r="58" spans="8:19">
      <c r="P58" s="588"/>
      <c r="Q58" s="588"/>
    </row>
    <row r="59" spans="8:19">
      <c r="P59" s="588"/>
      <c r="Q59" s="588"/>
    </row>
    <row r="60" spans="8:19">
      <c r="P60" s="588"/>
      <c r="Q60" s="588"/>
    </row>
    <row r="61" spans="8:19">
      <c r="P61" s="588"/>
      <c r="Q61" s="588"/>
    </row>
    <row r="62" spans="8:19">
      <c r="P62" s="588"/>
      <c r="Q62" s="588"/>
    </row>
    <row r="63" spans="8:19">
      <c r="P63" s="588"/>
      <c r="Q63" s="588"/>
    </row>
    <row r="64" spans="8:19">
      <c r="P64" s="588"/>
      <c r="Q64" s="588"/>
    </row>
  </sheetData>
  <pageMargins left="0.7" right="0.7" top="1.25" bottom="0.75" header="0.3" footer="0.3"/>
  <pageSetup paperSize="3" scale="83" orientation="landscape" horizontalDpi="1200" verticalDpi="1200" r:id="rId1"/>
  <headerFooter>
    <oddHeader>&amp;R&amp;G</oddHead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CE0D-B990-44A7-A42A-2AD6355D9E73}">
  <dimension ref="A4:Q33"/>
  <sheetViews>
    <sheetView workbookViewId="0">
      <selection activeCell="C24" sqref="C24"/>
    </sheetView>
  </sheetViews>
  <sheetFormatPr defaultRowHeight="14.45"/>
  <cols>
    <col min="1" max="1" width="17.7109375" bestFit="1" customWidth="1"/>
    <col min="2" max="2" width="11.42578125" customWidth="1"/>
    <col min="3" max="3" width="12.85546875" customWidth="1"/>
    <col min="4" max="4" width="13.5703125" customWidth="1"/>
    <col min="5" max="5" width="25.7109375" style="478" customWidth="1"/>
    <col min="6" max="6" width="9.140625" style="478"/>
    <col min="14" max="14" width="42.5703125" bestFit="1" customWidth="1"/>
    <col min="16" max="16" width="9.28515625" bestFit="1" customWidth="1"/>
    <col min="17" max="17" width="12.5703125" bestFit="1" customWidth="1"/>
  </cols>
  <sheetData>
    <row r="4" spans="1:17">
      <c r="P4" s="589"/>
      <c r="Q4" s="589"/>
    </row>
    <row r="5" spans="1:17">
      <c r="A5" s="523" t="s">
        <v>913</v>
      </c>
      <c r="B5" s="778" t="s">
        <v>1357</v>
      </c>
      <c r="C5" s="479"/>
      <c r="D5" s="479"/>
      <c r="E5" s="869"/>
      <c r="F5" s="869"/>
      <c r="N5" t="s">
        <v>746</v>
      </c>
      <c r="P5" s="589"/>
      <c r="Q5" s="589"/>
    </row>
    <row r="6" spans="1:17">
      <c r="A6" s="482" t="s">
        <v>65</v>
      </c>
      <c r="B6" s="486">
        <f>-SUM(Q6:Q8)</f>
        <v>-166650</v>
      </c>
      <c r="C6" t="s">
        <v>1358</v>
      </c>
      <c r="N6" t="s">
        <v>1359</v>
      </c>
      <c r="O6" s="478">
        <v>660</v>
      </c>
      <c r="P6" s="589">
        <v>160</v>
      </c>
      <c r="Q6" s="589">
        <f>P6*O6</f>
        <v>105600</v>
      </c>
    </row>
    <row r="7" spans="1:17">
      <c r="A7" s="483" t="s">
        <v>1162</v>
      </c>
      <c r="B7" s="865">
        <f>-SUM(Q12:Q14)</f>
        <v>-215200</v>
      </c>
      <c r="C7" t="s">
        <v>1358</v>
      </c>
      <c r="N7" t="s">
        <v>1360</v>
      </c>
      <c r="O7" s="478">
        <f>660/20</f>
        <v>33</v>
      </c>
      <c r="P7" s="589">
        <v>850</v>
      </c>
      <c r="Q7" s="589">
        <f>P7*O7</f>
        <v>28050</v>
      </c>
    </row>
    <row r="8" spans="1:17">
      <c r="A8" s="500" t="s">
        <v>947</v>
      </c>
      <c r="B8" s="867">
        <f>SUM(B6:B7)</f>
        <v>-381850</v>
      </c>
      <c r="N8" t="s">
        <v>1361</v>
      </c>
      <c r="O8" s="478">
        <v>660</v>
      </c>
      <c r="P8" s="589">
        <v>50</v>
      </c>
      <c r="Q8" s="589">
        <f>P8*O8</f>
        <v>33000</v>
      </c>
    </row>
    <row r="9" spans="1:17" ht="15" thickBot="1">
      <c r="A9" s="868" t="s">
        <v>1362</v>
      </c>
      <c r="B9" s="540">
        <f>B8*1.2</f>
        <v>-458220</v>
      </c>
      <c r="O9" s="478"/>
    </row>
    <row r="10" spans="1:17">
      <c r="B10" s="486"/>
    </row>
    <row r="11" spans="1:17">
      <c r="B11" s="486"/>
      <c r="N11" t="s">
        <v>748</v>
      </c>
      <c r="P11" s="589"/>
      <c r="Q11" s="589"/>
    </row>
    <row r="12" spans="1:17">
      <c r="B12" s="486"/>
      <c r="N12" t="s">
        <v>1363</v>
      </c>
      <c r="O12" s="478">
        <v>660</v>
      </c>
      <c r="P12" s="589">
        <v>170</v>
      </c>
      <c r="Q12" s="589">
        <f>P12*O12</f>
        <v>112200</v>
      </c>
    </row>
    <row r="13" spans="1:17">
      <c r="A13" s="523" t="s">
        <v>1364</v>
      </c>
      <c r="B13" s="870" t="s">
        <v>6</v>
      </c>
      <c r="C13" s="778" t="s">
        <v>326</v>
      </c>
      <c r="D13" s="778" t="s">
        <v>1365</v>
      </c>
      <c r="E13" s="778" t="s">
        <v>1366</v>
      </c>
      <c r="N13" t="s">
        <v>1367</v>
      </c>
      <c r="O13" s="478">
        <v>2</v>
      </c>
      <c r="P13" s="589">
        <v>35000</v>
      </c>
      <c r="Q13" s="589">
        <f>P13*O13</f>
        <v>70000</v>
      </c>
    </row>
    <row r="14" spans="1:17">
      <c r="A14" s="482" t="s">
        <v>265</v>
      </c>
      <c r="B14" s="866" t="e">
        <f>'Level 3'!K183+'Level 3'!#REF!+'Level 3'!K187+'Level 3'!K192+'Level 3'!K194+'Level 3'!K196+'Level 3'!K197</f>
        <v>#REF!</v>
      </c>
      <c r="C14" s="866">
        <v>5127920</v>
      </c>
      <c r="D14" s="866" t="e">
        <f>B14-C14</f>
        <v>#REF!</v>
      </c>
      <c r="E14" s="478" t="s">
        <v>1368</v>
      </c>
      <c r="N14" t="s">
        <v>1361</v>
      </c>
      <c r="O14" s="478">
        <v>660</v>
      </c>
      <c r="P14" s="589">
        <v>50</v>
      </c>
      <c r="Q14" s="589">
        <f>P14*O14</f>
        <v>33000</v>
      </c>
    </row>
    <row r="15" spans="1:17">
      <c r="A15" s="482" t="s">
        <v>1265</v>
      </c>
      <c r="B15" s="866">
        <f>'Level 3'!K174+'Level 3'!K175</f>
        <v>4869550</v>
      </c>
      <c r="C15" s="866">
        <v>4903804</v>
      </c>
      <c r="D15" s="871">
        <f>B15-C15</f>
        <v>-34254</v>
      </c>
      <c r="E15" s="478" t="s">
        <v>1369</v>
      </c>
      <c r="P15" s="589"/>
      <c r="Q15" s="589"/>
    </row>
    <row r="16" spans="1:17">
      <c r="B16" s="486"/>
      <c r="C16" s="866"/>
      <c r="D16" s="866" t="e">
        <f>SUM(D14:D15)</f>
        <v>#REF!</v>
      </c>
      <c r="E16" s="478">
        <f>D15/B15</f>
        <v>-7.0343255536959269E-3</v>
      </c>
      <c r="P16" s="589"/>
      <c r="Q16" s="589"/>
    </row>
    <row r="17" spans="1:17">
      <c r="B17" s="486"/>
      <c r="P17" s="589"/>
      <c r="Q17" s="589"/>
    </row>
    <row r="18" spans="1:17">
      <c r="A18" s="523" t="s">
        <v>1370</v>
      </c>
      <c r="B18" s="870" t="s">
        <v>6</v>
      </c>
      <c r="C18" s="778" t="s">
        <v>326</v>
      </c>
      <c r="D18" s="778" t="s">
        <v>1365</v>
      </c>
      <c r="E18" s="778" t="s">
        <v>1366</v>
      </c>
      <c r="P18" s="589"/>
      <c r="Q18" s="589"/>
    </row>
    <row r="19" spans="1:17">
      <c r="A19" s="482" t="s">
        <v>1241</v>
      </c>
      <c r="B19" s="866">
        <v>1672098</v>
      </c>
      <c r="C19" s="866">
        <v>1351565</v>
      </c>
      <c r="D19" s="866">
        <f>B19-C19</f>
        <v>320533</v>
      </c>
      <c r="E19" s="478" t="s">
        <v>1371</v>
      </c>
      <c r="P19" s="589"/>
      <c r="Q19" s="589"/>
    </row>
    <row r="20" spans="1:17">
      <c r="A20" s="482" t="s">
        <v>1321</v>
      </c>
      <c r="B20" s="866">
        <v>7607430</v>
      </c>
      <c r="C20" s="866">
        <v>7335100</v>
      </c>
      <c r="D20" s="866">
        <f>B20-C20</f>
        <v>272330</v>
      </c>
      <c r="E20" s="478" t="s">
        <v>1372</v>
      </c>
    </row>
    <row r="21" spans="1:17">
      <c r="A21" s="482" t="s">
        <v>1373</v>
      </c>
      <c r="B21" s="866">
        <v>1838461</v>
      </c>
      <c r="C21" s="866">
        <v>1649856.29</v>
      </c>
      <c r="D21" s="866">
        <f t="shared" ref="D21:D23" si="0">B21-C21</f>
        <v>188604.70999999996</v>
      </c>
      <c r="E21" s="478" t="s">
        <v>1374</v>
      </c>
    </row>
    <row r="22" spans="1:17">
      <c r="A22" s="482" t="s">
        <v>104</v>
      </c>
      <c r="B22" s="866">
        <v>573144</v>
      </c>
      <c r="C22" s="866">
        <v>418876.43</v>
      </c>
      <c r="D22" s="866">
        <f t="shared" si="0"/>
        <v>154267.57</v>
      </c>
      <c r="E22" s="478" t="s">
        <v>1375</v>
      </c>
    </row>
    <row r="23" spans="1:17">
      <c r="A23" s="482" t="s">
        <v>1376</v>
      </c>
      <c r="B23" s="866">
        <v>3662725</v>
      </c>
      <c r="C23" s="866">
        <v>2571080.15</v>
      </c>
      <c r="D23" s="871">
        <f t="shared" si="0"/>
        <v>1091644.8500000001</v>
      </c>
      <c r="E23" s="478" t="s">
        <v>1377</v>
      </c>
    </row>
    <row r="24" spans="1:17">
      <c r="A24" s="482"/>
      <c r="B24" s="866"/>
      <c r="C24" s="866"/>
      <c r="D24" s="866">
        <f>SUM(D19:D23)</f>
        <v>2027380.1300000001</v>
      </c>
    </row>
    <row r="25" spans="1:17" ht="15" thickBot="1">
      <c r="A25" s="482"/>
      <c r="B25" s="866"/>
      <c r="C25" s="866"/>
      <c r="D25" s="866"/>
    </row>
    <row r="26" spans="1:17" ht="15" thickBot="1">
      <c r="A26" s="872" t="s">
        <v>1378</v>
      </c>
      <c r="B26" s="873"/>
      <c r="C26" s="873"/>
      <c r="D26" s="874" t="e">
        <f>B9+D16+D24</f>
        <v>#REF!</v>
      </c>
    </row>
    <row r="27" spans="1:17">
      <c r="B27" s="866"/>
      <c r="C27" s="866"/>
      <c r="D27" s="866"/>
    </row>
    <row r="28" spans="1:17">
      <c r="B28" s="866"/>
      <c r="C28" s="866"/>
      <c r="D28" s="866"/>
    </row>
    <row r="29" spans="1:17">
      <c r="B29" s="866"/>
      <c r="C29" s="866"/>
      <c r="D29" s="866"/>
    </row>
    <row r="30" spans="1:17">
      <c r="B30" s="866"/>
      <c r="C30" s="866"/>
      <c r="D30" s="866"/>
    </row>
    <row r="31" spans="1:17">
      <c r="B31" s="866"/>
      <c r="C31" s="866"/>
      <c r="D31" s="866"/>
    </row>
    <row r="32" spans="1:17">
      <c r="B32" s="866"/>
      <c r="C32" s="866"/>
      <c r="D32" s="866"/>
    </row>
    <row r="33" spans="2:4">
      <c r="B33" s="866"/>
      <c r="C33" s="866"/>
      <c r="D33" s="8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F8BC-BD28-46A2-A41A-55ACA4CB44B8}">
  <dimension ref="A1:I37"/>
  <sheetViews>
    <sheetView workbookViewId="0">
      <selection activeCell="J22" sqref="J22"/>
    </sheetView>
  </sheetViews>
  <sheetFormatPr defaultRowHeight="14.45"/>
  <cols>
    <col min="1" max="1" width="18.85546875" customWidth="1"/>
    <col min="2" max="2" width="30.42578125" customWidth="1"/>
    <col min="4" max="4" width="12.28515625" bestFit="1" customWidth="1"/>
    <col min="5" max="5" width="15.42578125" style="520" bestFit="1" customWidth="1"/>
    <col min="8" max="9" width="13" customWidth="1"/>
  </cols>
  <sheetData>
    <row r="1" spans="1:5">
      <c r="A1" s="487" t="s">
        <v>82</v>
      </c>
    </row>
    <row r="2" spans="1:5">
      <c r="A2" s="487" t="s">
        <v>1379</v>
      </c>
    </row>
    <row r="4" spans="1:5">
      <c r="A4" s="487" t="s">
        <v>1380</v>
      </c>
      <c r="B4" s="719">
        <v>45771</v>
      </c>
    </row>
    <row r="6" spans="1:5">
      <c r="E6" s="721" t="s">
        <v>1381</v>
      </c>
    </row>
    <row r="7" spans="1:5">
      <c r="A7" s="692" t="s">
        <v>1382</v>
      </c>
      <c r="B7" s="692"/>
      <c r="C7" s="692"/>
      <c r="D7" s="692"/>
      <c r="E7" s="720">
        <v>39687</v>
      </c>
    </row>
    <row r="8" spans="1:5">
      <c r="B8" t="s">
        <v>1383</v>
      </c>
      <c r="E8" s="589"/>
    </row>
    <row r="9" spans="1:5">
      <c r="E9" s="589"/>
    </row>
    <row r="10" spans="1:5">
      <c r="A10" s="692" t="s">
        <v>1384</v>
      </c>
      <c r="B10" s="692"/>
      <c r="C10" s="692"/>
      <c r="D10" s="692"/>
      <c r="E10" s="720">
        <v>111323.75</v>
      </c>
    </row>
    <row r="11" spans="1:5">
      <c r="B11" t="s">
        <v>1385</v>
      </c>
      <c r="E11" s="589"/>
    </row>
    <row r="12" spans="1:5">
      <c r="B12" s="693" t="s">
        <v>1386</v>
      </c>
      <c r="C12" s="693"/>
      <c r="D12" s="694">
        <f>E10-E7</f>
        <v>71636.75</v>
      </c>
      <c r="E12" s="589"/>
    </row>
    <row r="13" spans="1:5">
      <c r="B13" s="693" t="s">
        <v>1387</v>
      </c>
      <c r="C13" s="693"/>
      <c r="D13" s="693"/>
      <c r="E13" s="589"/>
    </row>
    <row r="14" spans="1:5">
      <c r="E14" s="589"/>
    </row>
    <row r="15" spans="1:5">
      <c r="A15" s="692" t="s">
        <v>1388</v>
      </c>
      <c r="B15" s="692"/>
      <c r="C15" s="692"/>
      <c r="D15" s="692"/>
      <c r="E15" s="720">
        <v>388195.75</v>
      </c>
    </row>
    <row r="16" spans="1:5">
      <c r="B16" t="s">
        <v>1385</v>
      </c>
      <c r="E16" s="589"/>
    </row>
    <row r="17" spans="1:9">
      <c r="B17" t="s">
        <v>1386</v>
      </c>
      <c r="E17" s="589"/>
    </row>
    <row r="18" spans="1:9">
      <c r="B18" t="s">
        <v>1387</v>
      </c>
      <c r="E18" s="589"/>
    </row>
    <row r="19" spans="1:9">
      <c r="B19" s="693" t="s">
        <v>1389</v>
      </c>
      <c r="C19" s="693"/>
      <c r="D19" s="694">
        <f>E15-E10</f>
        <v>276872</v>
      </c>
      <c r="E19" s="589"/>
    </row>
    <row r="20" spans="1:9">
      <c r="E20" s="589"/>
    </row>
    <row r="21" spans="1:9">
      <c r="A21" s="692" t="s">
        <v>1390</v>
      </c>
      <c r="B21" s="692"/>
      <c r="C21" s="692"/>
      <c r="D21" s="692"/>
      <c r="E21" s="720">
        <v>557842.75</v>
      </c>
    </row>
    <row r="22" spans="1:9">
      <c r="B22" t="s">
        <v>1385</v>
      </c>
    </row>
    <row r="23" spans="1:9">
      <c r="B23" t="s">
        <v>1386</v>
      </c>
    </row>
    <row r="24" spans="1:9">
      <c r="B24" t="s">
        <v>1387</v>
      </c>
    </row>
    <row r="25" spans="1:9">
      <c r="B25" t="s">
        <v>1389</v>
      </c>
    </row>
    <row r="26" spans="1:9">
      <c r="B26" s="693" t="s">
        <v>1391</v>
      </c>
      <c r="C26" s="693"/>
      <c r="D26" s="694">
        <f>E21-E15</f>
        <v>169647</v>
      </c>
    </row>
    <row r="30" spans="1:9">
      <c r="G30" s="478"/>
      <c r="H30" s="478" t="s">
        <v>1392</v>
      </c>
      <c r="I30" s="478" t="s">
        <v>1393</v>
      </c>
    </row>
    <row r="31" spans="1:9">
      <c r="G31" s="478">
        <v>1</v>
      </c>
      <c r="H31" s="587">
        <v>1376107</v>
      </c>
      <c r="I31" s="587">
        <v>366144</v>
      </c>
    </row>
    <row r="32" spans="1:9">
      <c r="G32" s="478">
        <v>2</v>
      </c>
      <c r="H32" s="587">
        <v>202139</v>
      </c>
      <c r="I32" s="587">
        <v>47594</v>
      </c>
    </row>
    <row r="33" spans="7:9">
      <c r="G33" s="478">
        <v>3</v>
      </c>
      <c r="H33" s="587">
        <v>1451844</v>
      </c>
      <c r="I33" s="587">
        <v>374369</v>
      </c>
    </row>
    <row r="34" spans="7:9">
      <c r="G34" s="478">
        <v>4</v>
      </c>
      <c r="H34" s="587">
        <v>200638</v>
      </c>
      <c r="I34" s="587">
        <v>47386</v>
      </c>
    </row>
    <row r="35" spans="7:9">
      <c r="G35" s="478"/>
      <c r="H35" s="587">
        <f>SUM(H31:H34)</f>
        <v>3230728</v>
      </c>
      <c r="I35" s="587">
        <f>SUM(I31:I34)</f>
        <v>835493</v>
      </c>
    </row>
    <row r="36" spans="7:9">
      <c r="G36" s="780">
        <f>'Level 3'!B8</f>
        <v>422635</v>
      </c>
      <c r="H36" s="844">
        <f>H35/$G$36</f>
        <v>7.6442509494007833</v>
      </c>
      <c r="I36" s="844">
        <f>I35/$G$36</f>
        <v>1.9768665633466229</v>
      </c>
    </row>
    <row r="37" spans="7:9">
      <c r="G37" s="478">
        <v>390</v>
      </c>
      <c r="H37" s="844">
        <f>H35/$G$37</f>
        <v>8283.9179487179481</v>
      </c>
      <c r="I37" s="844">
        <f>I35/$G$37</f>
        <v>2142.2897435897435</v>
      </c>
    </row>
  </sheetData>
  <phoneticPr fontId="7" type="noConversion"/>
  <pageMargins left="0.7" right="0.7" top="1.75" bottom="0.75" header="0.3" footer="0.3"/>
  <pageSetup orientation="portrait" horizontalDpi="1200" verticalDpi="1200" r:id="rId1"/>
  <headerFooter>
    <oddHeader>&amp;L&amp;G</oddHead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F03B2-EFCE-49EE-8F5C-663CD3C2429D}">
  <sheetPr>
    <pageSetUpPr fitToPage="1"/>
  </sheetPr>
  <dimension ref="A1:AC144"/>
  <sheetViews>
    <sheetView showGridLines="0" topLeftCell="A50" zoomScale="70" zoomScaleNormal="70" zoomScaleSheetLayoutView="100" workbookViewId="0">
      <selection activeCell="A63" sqref="A63"/>
    </sheetView>
  </sheetViews>
  <sheetFormatPr defaultRowHeight="14.45" outlineLevelCol="1"/>
  <cols>
    <col min="1" max="2" width="17.28515625" customWidth="1"/>
    <col min="3" max="3" width="1.42578125" customWidth="1"/>
    <col min="4" max="4" width="8.42578125" customWidth="1"/>
    <col min="5" max="5" width="17" customWidth="1"/>
    <col min="6" max="6" width="1.5703125" customWidth="1"/>
    <col min="7" max="7" width="13.5703125" bestFit="1" customWidth="1"/>
    <col min="8" max="8" width="14.5703125" customWidth="1"/>
    <col min="9" max="9" width="13.5703125" bestFit="1" customWidth="1" outlineLevel="1"/>
    <col min="10" max="10" width="13.5703125" bestFit="1" customWidth="1"/>
    <col min="11" max="11" width="1.7109375" customWidth="1"/>
    <col min="12" max="12" width="12" bestFit="1" customWidth="1"/>
    <col min="13" max="13" width="1.5703125" customWidth="1"/>
    <col min="14" max="15" width="10.5703125" bestFit="1" customWidth="1"/>
    <col min="16" max="16" width="10.5703125" bestFit="1" customWidth="1" outlineLevel="1"/>
    <col min="17" max="17" width="10.5703125" bestFit="1" customWidth="1"/>
    <col min="18" max="18" width="4.42578125" customWidth="1"/>
    <col min="19" max="19" width="10.5703125" bestFit="1" customWidth="1"/>
    <col min="20" max="20" width="11.42578125" customWidth="1"/>
    <col min="22" max="22" width="11.5703125" customWidth="1"/>
    <col min="23" max="23" width="121.140625" customWidth="1" outlineLevel="1"/>
    <col min="24" max="24" width="13.7109375" bestFit="1" customWidth="1"/>
    <col min="25" max="25" width="12.7109375" bestFit="1" customWidth="1"/>
    <col min="26" max="26" width="17.42578125" customWidth="1"/>
    <col min="29" max="29" width="13.7109375" bestFit="1" customWidth="1"/>
  </cols>
  <sheetData>
    <row r="1" spans="1:29" ht="23.45">
      <c r="A1" s="885" t="s">
        <v>82</v>
      </c>
    </row>
    <row r="2" spans="1:29" ht="15.6">
      <c r="A2" s="886" t="s">
        <v>1394</v>
      </c>
    </row>
    <row r="3" spans="1:29" ht="15.6">
      <c r="S3" s="887"/>
      <c r="T3" s="1124" t="s">
        <v>1395</v>
      </c>
      <c r="U3" s="1125"/>
      <c r="V3" s="888"/>
      <c r="W3" s="888"/>
      <c r="X3" s="888"/>
      <c r="Y3" s="888"/>
      <c r="Z3" s="888"/>
      <c r="AA3" s="886"/>
      <c r="AB3" s="886" t="s">
        <v>1396</v>
      </c>
      <c r="AC3" s="886"/>
    </row>
    <row r="4" spans="1:29" ht="15.75" customHeight="1">
      <c r="A4" s="889"/>
      <c r="B4" s="886"/>
      <c r="C4" s="886"/>
      <c r="D4" s="888"/>
      <c r="E4" s="888"/>
      <c r="G4" s="1128" t="s">
        <v>1397</v>
      </c>
      <c r="H4" s="1129"/>
      <c r="I4" s="1129"/>
      <c r="J4" s="1130"/>
      <c r="K4" s="886"/>
      <c r="L4" s="886"/>
      <c r="N4" s="1128" t="s">
        <v>1398</v>
      </c>
      <c r="O4" s="1129"/>
      <c r="P4" s="1129"/>
      <c r="Q4" s="1130"/>
      <c r="R4" s="886"/>
      <c r="S4" s="887"/>
      <c r="T4" s="1126"/>
      <c r="U4" s="1127"/>
      <c r="V4" s="888"/>
      <c r="W4" s="888"/>
      <c r="X4" s="888"/>
      <c r="Y4" s="888"/>
      <c r="Z4" s="888"/>
      <c r="AA4" s="886"/>
      <c r="AB4" s="886" t="s">
        <v>1399</v>
      </c>
      <c r="AC4" s="890">
        <v>1000</v>
      </c>
    </row>
    <row r="5" spans="1:29" ht="46.9">
      <c r="A5" s="889"/>
      <c r="B5" s="886"/>
      <c r="C5" s="886"/>
      <c r="D5" s="891" t="s">
        <v>1400</v>
      </c>
      <c r="E5" s="892" t="s">
        <v>1401</v>
      </c>
      <c r="G5" s="893" t="s">
        <v>239</v>
      </c>
      <c r="H5" s="1111" t="s">
        <v>44</v>
      </c>
      <c r="I5" s="1111" t="s">
        <v>1402</v>
      </c>
      <c r="J5" s="1111" t="s">
        <v>1402</v>
      </c>
      <c r="K5" s="894"/>
      <c r="L5" s="892" t="s">
        <v>1401</v>
      </c>
      <c r="N5" s="893" t="s">
        <v>239</v>
      </c>
      <c r="O5" s="1111" t="s">
        <v>44</v>
      </c>
      <c r="P5" s="1111" t="s">
        <v>1402</v>
      </c>
      <c r="Q5" s="1111" t="s">
        <v>1402</v>
      </c>
      <c r="R5" s="894"/>
      <c r="S5" s="895" t="s">
        <v>1403</v>
      </c>
      <c r="T5" s="896" t="s">
        <v>1330</v>
      </c>
      <c r="U5" s="896" t="s">
        <v>85</v>
      </c>
      <c r="V5" s="897" t="s">
        <v>1404</v>
      </c>
      <c r="W5" s="888" t="s">
        <v>1193</v>
      </c>
      <c r="X5" s="888"/>
      <c r="Y5" s="888"/>
      <c r="Z5" s="898" t="s">
        <v>1405</v>
      </c>
      <c r="AA5" s="886"/>
      <c r="AB5" s="886" t="s">
        <v>85</v>
      </c>
      <c r="AC5" s="899">
        <v>0.05</v>
      </c>
    </row>
    <row r="6" spans="1:29" ht="15.6">
      <c r="A6" s="900" t="s">
        <v>1406</v>
      </c>
      <c r="B6" s="886"/>
      <c r="C6" s="886"/>
      <c r="D6" s="888"/>
      <c r="E6" s="901"/>
      <c r="G6" s="901"/>
      <c r="H6" s="902"/>
      <c r="I6" s="901"/>
      <c r="J6" s="901"/>
      <c r="K6" s="886"/>
      <c r="L6" s="901"/>
      <c r="N6" s="903"/>
      <c r="O6" s="903"/>
      <c r="P6" s="901"/>
      <c r="Q6" s="901"/>
      <c r="R6" s="886"/>
      <c r="S6" s="903"/>
      <c r="T6" s="903"/>
      <c r="U6" s="904"/>
      <c r="V6" s="888"/>
      <c r="W6" s="888"/>
      <c r="X6" s="888"/>
      <c r="Y6" s="888"/>
      <c r="Z6" s="886"/>
    </row>
    <row r="7" spans="1:29" ht="15.6">
      <c r="A7" s="886" t="s">
        <v>910</v>
      </c>
      <c r="B7" s="886"/>
      <c r="C7" s="886"/>
      <c r="D7" s="888">
        <v>2</v>
      </c>
      <c r="E7" s="905">
        <v>12000</v>
      </c>
      <c r="G7" s="905">
        <v>3500</v>
      </c>
      <c r="H7" s="905">
        <v>6740</v>
      </c>
      <c r="I7" s="905">
        <v>17194.23</v>
      </c>
      <c r="J7" s="905">
        <v>17194.23</v>
      </c>
      <c r="K7" s="886"/>
      <c r="L7" s="905">
        <v>30.76923076923077</v>
      </c>
      <c r="N7" s="905">
        <v>18.041237113402062</v>
      </c>
      <c r="O7" s="905">
        <v>35.473684210526315</v>
      </c>
      <c r="P7" s="905">
        <v>62.297934782608692</v>
      </c>
      <c r="Q7" s="905">
        <v>62.297934782608692</v>
      </c>
      <c r="R7" s="886"/>
      <c r="S7" s="905">
        <v>38.604285368845687</v>
      </c>
      <c r="T7" s="905">
        <v>-7.8350545996149172</v>
      </c>
      <c r="U7" s="906">
        <v>-0.202958156711222</v>
      </c>
      <c r="V7" s="888"/>
      <c r="W7" s="907"/>
      <c r="X7" s="888"/>
      <c r="Y7" s="888"/>
      <c r="Z7" s="888">
        <v>0</v>
      </c>
    </row>
    <row r="8" spans="1:29" ht="15.6">
      <c r="A8" s="886" t="s">
        <v>1241</v>
      </c>
      <c r="B8" s="886"/>
      <c r="C8" s="886"/>
      <c r="D8" s="888">
        <v>3</v>
      </c>
      <c r="E8" s="905">
        <f>'Level 3'!L34</f>
        <v>2270799.4980623308</v>
      </c>
      <c r="G8" s="905">
        <v>998310.8</v>
      </c>
      <c r="H8" s="905">
        <v>1050870</v>
      </c>
      <c r="I8" s="905">
        <v>2283062.0699999998</v>
      </c>
      <c r="J8" s="905">
        <v>2283062.0699999998</v>
      </c>
      <c r="K8" s="886"/>
      <c r="L8" s="905">
        <v>6529.7415334931566</v>
      </c>
      <c r="N8" s="905">
        <v>5145.931958762887</v>
      </c>
      <c r="O8" s="905">
        <v>5530.894736842105</v>
      </c>
      <c r="P8" s="905">
        <v>8271.9640217391297</v>
      </c>
      <c r="Q8" s="905">
        <v>8271.9640217391297</v>
      </c>
      <c r="R8" s="886"/>
      <c r="S8" s="905">
        <v>6316.2635724480397</v>
      </c>
      <c r="T8" s="905">
        <v>213.4779610451169</v>
      </c>
      <c r="U8" s="906">
        <v>3.3798140086541341E-2</v>
      </c>
      <c r="V8" s="888"/>
      <c r="W8" s="907"/>
      <c r="X8" s="888"/>
      <c r="Y8" s="888"/>
      <c r="Z8" s="888">
        <v>0</v>
      </c>
    </row>
    <row r="9" spans="1:29" ht="15.6">
      <c r="A9" s="886" t="s">
        <v>1407</v>
      </c>
      <c r="B9" s="886"/>
      <c r="C9" s="886"/>
      <c r="D9" s="888">
        <v>4</v>
      </c>
      <c r="E9" s="905">
        <f>'Level 3'!L40</f>
        <v>314000</v>
      </c>
      <c r="G9" s="905">
        <v>127094.12</v>
      </c>
      <c r="H9" s="905">
        <v>116340</v>
      </c>
      <c r="I9" s="905">
        <v>292794.54000000004</v>
      </c>
      <c r="J9" s="905">
        <v>292794.54000000004</v>
      </c>
      <c r="K9" s="886"/>
      <c r="L9" s="905">
        <v>706.66666666666663</v>
      </c>
      <c r="N9" s="905">
        <v>655.12432989690717</v>
      </c>
      <c r="O9" s="905">
        <v>612.31578947368416</v>
      </c>
      <c r="P9" s="905">
        <v>1060.8497826086957</v>
      </c>
      <c r="Q9" s="905">
        <v>1060.8497826086957</v>
      </c>
      <c r="R9" s="886"/>
      <c r="S9" s="905">
        <v>776.09663399309557</v>
      </c>
      <c r="T9" s="905">
        <v>-69.429967326428937</v>
      </c>
      <c r="U9" s="906">
        <v>-8.9460467015820888E-2</v>
      </c>
      <c r="V9" s="888"/>
      <c r="W9" s="907"/>
      <c r="X9" s="888"/>
      <c r="Y9" s="888"/>
      <c r="Z9" s="888">
        <v>0</v>
      </c>
    </row>
    <row r="10" spans="1:29" ht="15.6">
      <c r="A10" s="886" t="s">
        <v>1408</v>
      </c>
      <c r="B10" s="886"/>
      <c r="C10" s="886"/>
      <c r="D10" s="888">
        <v>5</v>
      </c>
      <c r="E10" s="905">
        <v>609026.97560000001</v>
      </c>
      <c r="G10" s="905">
        <v>350274</v>
      </c>
      <c r="H10" s="905">
        <v>287257.48</v>
      </c>
      <c r="I10" s="905">
        <v>413079.72000000003</v>
      </c>
      <c r="J10" s="905">
        <v>413079.72000000003</v>
      </c>
      <c r="K10" s="886"/>
      <c r="L10" s="905">
        <v>1561.6076297435898</v>
      </c>
      <c r="N10" s="905">
        <v>1805.5360824742268</v>
      </c>
      <c r="O10" s="905">
        <v>1511.8814736842105</v>
      </c>
      <c r="P10" s="905">
        <v>1496.6656521739133</v>
      </c>
      <c r="Q10" s="905">
        <v>1496.6656521739133</v>
      </c>
      <c r="R10" s="886"/>
      <c r="S10" s="905">
        <v>1604.69440277745</v>
      </c>
      <c r="T10" s="905">
        <v>-43.086773033860254</v>
      </c>
      <c r="U10" s="906">
        <v>-2.6850453867904356E-2</v>
      </c>
      <c r="V10" s="908"/>
      <c r="W10" s="909"/>
      <c r="X10" s="888"/>
      <c r="Y10" s="888"/>
      <c r="Z10" s="888">
        <v>0</v>
      </c>
    </row>
    <row r="11" spans="1:29" ht="15.6">
      <c r="A11" s="886" t="s">
        <v>1409</v>
      </c>
      <c r="B11" s="886"/>
      <c r="C11" s="886"/>
      <c r="D11" s="888">
        <v>6</v>
      </c>
      <c r="E11" s="905">
        <v>9324491</v>
      </c>
      <c r="G11" s="905">
        <v>4464715.2</v>
      </c>
      <c r="H11" s="905">
        <v>4493089</v>
      </c>
      <c r="I11" s="905">
        <v>7107517.4799999995</v>
      </c>
      <c r="J11" s="905">
        <v>7107517.4799999995</v>
      </c>
      <c r="K11" s="886"/>
      <c r="L11" s="905">
        <v>23908.951282051283</v>
      </c>
      <c r="N11" s="905">
        <v>23013.99587628866</v>
      </c>
      <c r="O11" s="905">
        <v>23647.836842105262</v>
      </c>
      <c r="P11" s="905">
        <v>25751.874927536232</v>
      </c>
      <c r="Q11" s="905">
        <v>25751.874927536232</v>
      </c>
      <c r="R11" s="886"/>
      <c r="S11" s="905">
        <v>24137.902548643386</v>
      </c>
      <c r="T11" s="905">
        <v>-228.95126659210291</v>
      </c>
      <c r="U11" s="906">
        <v>-9.4851350953428469E-3</v>
      </c>
      <c r="V11" s="888"/>
      <c r="W11" s="907"/>
      <c r="X11" s="888"/>
      <c r="Y11" s="888"/>
      <c r="Z11" s="888">
        <v>0</v>
      </c>
    </row>
    <row r="12" spans="1:29" ht="15.6">
      <c r="A12" s="886" t="s">
        <v>1410</v>
      </c>
      <c r="B12" s="886"/>
      <c r="C12" s="886"/>
      <c r="D12" s="888">
        <v>7</v>
      </c>
      <c r="E12" s="905">
        <v>2237303.7714999998</v>
      </c>
      <c r="G12" s="905">
        <v>877917.57</v>
      </c>
      <c r="H12" s="905">
        <v>926610.18</v>
      </c>
      <c r="I12" s="905">
        <v>1647502.14</v>
      </c>
      <c r="J12" s="905">
        <v>1647502.14</v>
      </c>
      <c r="K12" s="886"/>
      <c r="L12" s="905">
        <v>5736.6763371794868</v>
      </c>
      <c r="N12" s="905">
        <v>4525.3482989690719</v>
      </c>
      <c r="O12" s="905">
        <v>4876.8956842105263</v>
      </c>
      <c r="P12" s="905">
        <v>5969.2106521739124</v>
      </c>
      <c r="Q12" s="905">
        <v>5969.2106521739124</v>
      </c>
      <c r="R12" s="886"/>
      <c r="S12" s="905">
        <v>5123.8182117845035</v>
      </c>
      <c r="T12" s="905">
        <v>612.85812539498329</v>
      </c>
      <c r="U12" s="906">
        <v>0.11960965437560662</v>
      </c>
      <c r="V12" s="888"/>
      <c r="W12" s="907"/>
      <c r="X12" s="888"/>
      <c r="Y12" s="888"/>
      <c r="Z12" s="888">
        <v>0</v>
      </c>
    </row>
    <row r="13" spans="1:29" ht="15.6">
      <c r="A13" s="886" t="s">
        <v>1411</v>
      </c>
      <c r="B13" s="886"/>
      <c r="C13" s="886"/>
      <c r="D13" s="888">
        <v>8</v>
      </c>
      <c r="E13" s="905">
        <v>690619</v>
      </c>
      <c r="G13" s="905">
        <v>279109.57999999996</v>
      </c>
      <c r="H13" s="905">
        <v>511248.22</v>
      </c>
      <c r="I13" s="905">
        <v>774755.2</v>
      </c>
      <c r="J13" s="905">
        <v>774755.2</v>
      </c>
      <c r="K13" s="886"/>
      <c r="L13" s="905">
        <v>1770.8179487179486</v>
      </c>
      <c r="N13" s="905">
        <v>1438.7091752577317</v>
      </c>
      <c r="O13" s="905">
        <v>2690.7801052631576</v>
      </c>
      <c r="P13" s="905">
        <v>2807.0840579710143</v>
      </c>
      <c r="Q13" s="905">
        <v>2807.0840579710143</v>
      </c>
      <c r="R13" s="886"/>
      <c r="S13" s="905">
        <v>2312.1911128306301</v>
      </c>
      <c r="T13" s="905">
        <v>-541.37316411268603</v>
      </c>
      <c r="U13" s="906">
        <v>-0.23413858876480378</v>
      </c>
      <c r="V13" s="965"/>
      <c r="W13" s="964"/>
      <c r="X13" s="888"/>
      <c r="Y13" s="888"/>
      <c r="Z13" s="888">
        <v>0</v>
      </c>
    </row>
    <row r="14" spans="1:29" ht="15.6">
      <c r="A14" s="886" t="s">
        <v>1412</v>
      </c>
      <c r="B14" s="886"/>
      <c r="C14" s="886"/>
      <c r="D14" s="888">
        <v>9</v>
      </c>
      <c r="E14" s="905">
        <v>6934652.5816400005</v>
      </c>
      <c r="G14" s="905">
        <v>3265446.12</v>
      </c>
      <c r="H14" s="905">
        <v>3628093.79</v>
      </c>
      <c r="I14" s="905">
        <v>5099725.8000000007</v>
      </c>
      <c r="J14" s="905">
        <v>5099725.8000000007</v>
      </c>
      <c r="K14" s="886"/>
      <c r="L14" s="905">
        <v>17781.160465743589</v>
      </c>
      <c r="N14" s="905">
        <v>16832.196494845361</v>
      </c>
      <c r="O14" s="905">
        <v>19095.230473684212</v>
      </c>
      <c r="P14" s="905">
        <v>18477.267391304351</v>
      </c>
      <c r="Q14" s="905">
        <v>18477.267391304351</v>
      </c>
      <c r="R14" s="886"/>
      <c r="S14" s="905">
        <v>18134.898119944643</v>
      </c>
      <c r="T14" s="905">
        <v>-353.73765420105337</v>
      </c>
      <c r="U14" s="906">
        <v>-1.9505907993605711E-2</v>
      </c>
      <c r="V14" s="918"/>
      <c r="W14" s="907"/>
      <c r="X14" s="888"/>
      <c r="Y14" s="888"/>
      <c r="Z14" s="888">
        <v>0</v>
      </c>
    </row>
    <row r="15" spans="1:29" ht="15.6">
      <c r="A15" s="886" t="s">
        <v>1413</v>
      </c>
      <c r="B15" s="886"/>
      <c r="C15" s="886"/>
      <c r="D15" s="888">
        <v>10</v>
      </c>
      <c r="E15" s="905">
        <v>700376.28717948718</v>
      </c>
      <c r="G15" s="905">
        <v>253490</v>
      </c>
      <c r="H15" s="905">
        <v>224942.8</v>
      </c>
      <c r="I15" s="905">
        <v>365155.03</v>
      </c>
      <c r="J15" s="905">
        <v>365155.03</v>
      </c>
      <c r="K15" s="886"/>
      <c r="L15" s="905">
        <v>1795.8366337935568</v>
      </c>
      <c r="N15" s="905">
        <v>1306.6494845360826</v>
      </c>
      <c r="O15" s="905">
        <v>1183.9094736842105</v>
      </c>
      <c r="P15" s="905">
        <v>1323.025471014493</v>
      </c>
      <c r="Q15" s="905">
        <v>1323.025471014493</v>
      </c>
      <c r="R15" s="886"/>
      <c r="S15" s="905">
        <v>1271.1948097449285</v>
      </c>
      <c r="T15" s="905">
        <v>524.64182404862822</v>
      </c>
      <c r="U15" s="906">
        <v>0.41271551773712811</v>
      </c>
      <c r="V15" s="888"/>
      <c r="W15" s="963"/>
      <c r="X15" s="888"/>
      <c r="Y15" s="888"/>
      <c r="Z15" s="888">
        <v>0</v>
      </c>
    </row>
    <row r="16" spans="1:29" ht="15.6">
      <c r="A16" s="886" t="s">
        <v>1414</v>
      </c>
      <c r="B16" s="886"/>
      <c r="C16" s="886"/>
      <c r="D16" s="888">
        <v>11</v>
      </c>
      <c r="E16" s="905">
        <v>1385515</v>
      </c>
      <c r="G16" s="905">
        <v>621090.5</v>
      </c>
      <c r="H16" s="905">
        <v>653362.71</v>
      </c>
      <c r="I16" s="905">
        <v>1100398.21</v>
      </c>
      <c r="J16" s="905">
        <v>1100398.21</v>
      </c>
      <c r="K16" s="886"/>
      <c r="L16" s="905">
        <v>3552.602564102564</v>
      </c>
      <c r="N16" s="905">
        <v>3201.4974226804125</v>
      </c>
      <c r="O16" s="905">
        <v>3438.7511052631576</v>
      </c>
      <c r="P16" s="905">
        <v>3986.950036231884</v>
      </c>
      <c r="Q16" s="905">
        <v>3986.950036231884</v>
      </c>
      <c r="R16" s="886"/>
      <c r="S16" s="905">
        <v>3542.3995213918183</v>
      </c>
      <c r="T16" s="905">
        <v>10.203042710745649</v>
      </c>
      <c r="U16" s="906">
        <v>2.8802631236628119E-3</v>
      </c>
      <c r="V16" s="888"/>
      <c r="W16" s="907"/>
      <c r="X16" s="888"/>
      <c r="Y16" s="888"/>
      <c r="Z16" s="888">
        <v>0</v>
      </c>
    </row>
    <row r="17" spans="1:29" ht="15.6">
      <c r="A17" s="886" t="s">
        <v>1415</v>
      </c>
      <c r="B17" s="886"/>
      <c r="C17" s="886"/>
      <c r="D17" s="888">
        <v>12</v>
      </c>
      <c r="E17" s="905">
        <v>2369433.4150845585</v>
      </c>
      <c r="G17" s="905">
        <v>1046615.3600000001</v>
      </c>
      <c r="H17" s="905">
        <v>1264203</v>
      </c>
      <c r="I17" s="905">
        <v>1927564.66</v>
      </c>
      <c r="J17" s="905">
        <v>1927564.66</v>
      </c>
      <c r="K17" s="886"/>
      <c r="L17" s="905">
        <v>6075.4702950886112</v>
      </c>
      <c r="N17" s="905">
        <v>5394.9245360824743</v>
      </c>
      <c r="O17" s="905">
        <v>6653.7</v>
      </c>
      <c r="P17" s="905">
        <v>6983.9299275362318</v>
      </c>
      <c r="Q17" s="905">
        <v>6983.9299275362318</v>
      </c>
      <c r="R17" s="886"/>
      <c r="S17" s="905">
        <v>6344.184821206235</v>
      </c>
      <c r="T17" s="905">
        <v>-268.71452611762379</v>
      </c>
      <c r="U17" s="906">
        <v>-4.2356036857471697E-2</v>
      </c>
      <c r="V17" s="888"/>
      <c r="W17" s="907"/>
      <c r="X17" s="888"/>
      <c r="Y17" s="888"/>
      <c r="Z17" s="888">
        <v>0</v>
      </c>
    </row>
    <row r="18" spans="1:29" ht="15.6">
      <c r="A18" s="886" t="s">
        <v>1416</v>
      </c>
      <c r="B18" s="886"/>
      <c r="C18" s="886"/>
      <c r="D18" s="888">
        <v>13</v>
      </c>
      <c r="E18" s="905">
        <v>1134489</v>
      </c>
      <c r="G18" s="905">
        <v>572485</v>
      </c>
      <c r="H18" s="905">
        <v>551167</v>
      </c>
      <c r="I18" s="905">
        <v>730483.45</v>
      </c>
      <c r="J18" s="905">
        <v>730483.45</v>
      </c>
      <c r="K18" s="886"/>
      <c r="L18" s="905">
        <v>2908.9461538461537</v>
      </c>
      <c r="N18" s="905">
        <v>2950.9536082474228</v>
      </c>
      <c r="O18" s="905">
        <v>2900.878947368421</v>
      </c>
      <c r="P18" s="905">
        <v>2646.6791666666663</v>
      </c>
      <c r="Q18" s="905">
        <v>2646.6791666666663</v>
      </c>
      <c r="R18" s="886"/>
      <c r="S18" s="905">
        <v>2832.8372407608367</v>
      </c>
      <c r="T18" s="905">
        <v>76.108913085316999</v>
      </c>
      <c r="U18" s="906">
        <v>2.6866673450281191E-2</v>
      </c>
      <c r="V18" s="888"/>
      <c r="W18" s="907"/>
      <c r="X18" s="888"/>
      <c r="Y18" s="888"/>
      <c r="Z18" s="888">
        <v>0</v>
      </c>
    </row>
    <row r="19" spans="1:29" ht="15.6">
      <c r="A19" s="886" t="s">
        <v>1417</v>
      </c>
      <c r="B19" s="886"/>
      <c r="C19" s="886"/>
      <c r="D19" s="888">
        <v>14</v>
      </c>
      <c r="E19" s="905">
        <v>508000</v>
      </c>
      <c r="G19" s="905">
        <v>323200</v>
      </c>
      <c r="H19" s="905">
        <v>329746.5</v>
      </c>
      <c r="I19" s="905">
        <v>525110</v>
      </c>
      <c r="J19" s="905">
        <v>525110</v>
      </c>
      <c r="K19" s="886"/>
      <c r="L19" s="905">
        <v>1302.5641025641025</v>
      </c>
      <c r="N19" s="905">
        <v>1665.979381443299</v>
      </c>
      <c r="O19" s="905">
        <v>1735.5078947368422</v>
      </c>
      <c r="P19" s="905">
        <v>1902.572463768116</v>
      </c>
      <c r="Q19" s="905">
        <v>1902.572463768116</v>
      </c>
      <c r="R19" s="886"/>
      <c r="S19" s="905">
        <v>1768.0199133160859</v>
      </c>
      <c r="T19" s="905">
        <v>-465.45581075198334</v>
      </c>
      <c r="U19" s="906">
        <v>-0.26326389609434753</v>
      </c>
      <c r="V19" s="888"/>
      <c r="W19" s="907"/>
      <c r="X19" s="888"/>
      <c r="Y19" s="888"/>
      <c r="Z19" s="888">
        <v>0</v>
      </c>
    </row>
    <row r="20" spans="1:29" ht="16.149999999999999" thickBot="1">
      <c r="A20" s="886" t="s">
        <v>1418</v>
      </c>
      <c r="B20" s="886"/>
      <c r="C20" s="886"/>
      <c r="D20" s="888">
        <v>21</v>
      </c>
      <c r="E20" s="905">
        <v>1322806.25</v>
      </c>
      <c r="G20" s="905">
        <v>623908.05000000005</v>
      </c>
      <c r="H20" s="905">
        <v>601160.09000000008</v>
      </c>
      <c r="I20" s="905">
        <v>811547.36</v>
      </c>
      <c r="J20" s="905">
        <v>811547.36</v>
      </c>
      <c r="K20" s="886"/>
      <c r="L20" s="905">
        <v>3391.8108974358975</v>
      </c>
      <c r="N20" s="905">
        <v>3216.02087628866</v>
      </c>
      <c r="O20" s="905">
        <v>3164.0004736842111</v>
      </c>
      <c r="P20" s="905">
        <v>2940.3889855072462</v>
      </c>
      <c r="Q20" s="905">
        <v>2940.3889855072462</v>
      </c>
      <c r="R20" s="886"/>
      <c r="S20" s="905">
        <v>3106.8034451600392</v>
      </c>
      <c r="T20" s="905">
        <v>285.00745227585821</v>
      </c>
      <c r="U20" s="906">
        <v>9.173655730292804E-2</v>
      </c>
      <c r="V20" s="888"/>
      <c r="W20" s="971"/>
      <c r="X20" s="888"/>
      <c r="Y20" s="888"/>
      <c r="Z20" s="888">
        <v>0</v>
      </c>
    </row>
    <row r="21" spans="1:29" ht="16.149999999999999" thickBot="1">
      <c r="A21" s="958" t="s">
        <v>1265</v>
      </c>
      <c r="B21" s="959"/>
      <c r="C21" s="959"/>
      <c r="D21" s="973">
        <v>22</v>
      </c>
      <c r="E21" s="974">
        <v>4783145.5</v>
      </c>
      <c r="F21" s="975"/>
      <c r="G21" s="974">
        <v>1959385</v>
      </c>
      <c r="H21" s="974">
        <v>2137239.91</v>
      </c>
      <c r="I21" s="974">
        <v>3167447</v>
      </c>
      <c r="J21" s="974">
        <v>3167447</v>
      </c>
      <c r="K21" s="959"/>
      <c r="L21" s="974">
        <v>12264.475641025641</v>
      </c>
      <c r="M21" s="975"/>
      <c r="N21" s="974">
        <v>10099.922680412372</v>
      </c>
      <c r="O21" s="974">
        <v>11248.631105263159</v>
      </c>
      <c r="P21" s="974">
        <v>11476.257246376812</v>
      </c>
      <c r="Q21" s="974">
        <v>11476.257246376812</v>
      </c>
      <c r="R21" s="959"/>
      <c r="S21" s="974">
        <v>10941.60367735078</v>
      </c>
      <c r="T21" s="974">
        <v>1322.871963674861</v>
      </c>
      <c r="U21" s="976">
        <v>0.12090293184473663</v>
      </c>
      <c r="V21" s="973"/>
      <c r="W21" s="977" t="s">
        <v>1419</v>
      </c>
      <c r="X21" s="888"/>
      <c r="Y21" s="888"/>
      <c r="Z21" s="888">
        <v>1</v>
      </c>
    </row>
    <row r="22" spans="1:29" ht="15.6">
      <c r="A22" s="886" t="s">
        <v>579</v>
      </c>
      <c r="B22" s="886"/>
      <c r="C22" s="886"/>
      <c r="D22" s="888">
        <v>23</v>
      </c>
      <c r="E22" s="905">
        <v>3866250</v>
      </c>
      <c r="G22" s="905">
        <v>1910000</v>
      </c>
      <c r="H22" s="905">
        <v>1899184.46</v>
      </c>
      <c r="I22" s="905">
        <v>3291703.8</v>
      </c>
      <c r="J22" s="905">
        <v>3291703.8</v>
      </c>
      <c r="K22" s="886"/>
      <c r="L22" s="905">
        <v>9913.461538461539</v>
      </c>
      <c r="N22" s="905">
        <v>9845.3608247422671</v>
      </c>
      <c r="O22" s="905">
        <v>9995.7076842105253</v>
      </c>
      <c r="P22" s="905">
        <v>11926.463043478259</v>
      </c>
      <c r="Q22" s="905">
        <v>11926.463043478259</v>
      </c>
      <c r="R22" s="886"/>
      <c r="S22" s="905">
        <v>10589.177184143684</v>
      </c>
      <c r="T22" s="905">
        <v>-675.7156456821449</v>
      </c>
      <c r="U22" s="906">
        <v>-6.381191228851725E-2</v>
      </c>
      <c r="V22" s="888"/>
      <c r="W22" s="972"/>
      <c r="X22" s="888"/>
      <c r="Y22" s="888"/>
      <c r="Z22" s="888">
        <v>0</v>
      </c>
    </row>
    <row r="23" spans="1:29" ht="15.6">
      <c r="A23" s="886" t="s">
        <v>590</v>
      </c>
      <c r="B23" s="886"/>
      <c r="C23" s="886"/>
      <c r="D23" s="888">
        <v>26</v>
      </c>
      <c r="E23" s="905">
        <v>5287886.1000000006</v>
      </c>
      <c r="G23" s="905">
        <v>2256970</v>
      </c>
      <c r="H23" s="905">
        <v>2406298.27</v>
      </c>
      <c r="I23" s="905">
        <v>5071014.12</v>
      </c>
      <c r="J23" s="905">
        <v>5071014.12</v>
      </c>
      <c r="K23" s="886"/>
      <c r="L23" s="905">
        <v>13558.682307692308</v>
      </c>
      <c r="N23" s="905">
        <v>11633.865979381444</v>
      </c>
      <c r="O23" s="905">
        <v>12664.727736842106</v>
      </c>
      <c r="P23" s="905">
        <v>18373.239565217391</v>
      </c>
      <c r="Q23" s="905">
        <v>18373.239565217391</v>
      </c>
      <c r="R23" s="886"/>
      <c r="S23" s="905">
        <v>14223.944427146978</v>
      </c>
      <c r="T23" s="905">
        <v>-665.26211945467003</v>
      </c>
      <c r="U23" s="906">
        <v>-4.6770579206214427E-2</v>
      </c>
      <c r="V23" s="888"/>
      <c r="W23" s="907"/>
      <c r="X23" s="888"/>
      <c r="Y23" s="888"/>
      <c r="Z23" s="888">
        <v>0</v>
      </c>
    </row>
    <row r="24" spans="1:29" ht="16.149999999999999" thickBot="1">
      <c r="A24" s="886" t="s">
        <v>1420</v>
      </c>
      <c r="B24" s="886"/>
      <c r="C24" s="886"/>
      <c r="D24" s="888">
        <v>27</v>
      </c>
      <c r="E24" s="905">
        <v>253754.65</v>
      </c>
      <c r="G24" s="905">
        <v>137610.51</v>
      </c>
      <c r="H24" s="905">
        <v>113869.66</v>
      </c>
      <c r="I24" s="905">
        <v>140980.82</v>
      </c>
      <c r="J24" s="905">
        <v>140980.82</v>
      </c>
      <c r="K24" s="886"/>
      <c r="L24" s="905">
        <v>650.65294871794868</v>
      </c>
      <c r="N24" s="905">
        <v>709.33252577319593</v>
      </c>
      <c r="O24" s="905">
        <v>599.31399999999996</v>
      </c>
      <c r="P24" s="905">
        <v>510.80007246376812</v>
      </c>
      <c r="Q24" s="905">
        <v>510.80007246376812</v>
      </c>
      <c r="R24" s="886"/>
      <c r="S24" s="905">
        <v>606.48219941232139</v>
      </c>
      <c r="T24" s="905">
        <v>44.170749305627282</v>
      </c>
      <c r="U24" s="906">
        <v>7.2831072945633929E-2</v>
      </c>
      <c r="V24" s="888"/>
      <c r="W24" s="971"/>
      <c r="X24" s="888"/>
      <c r="Y24" s="888"/>
      <c r="Z24" s="888">
        <v>0</v>
      </c>
    </row>
    <row r="25" spans="1:29" ht="16.149999999999999" thickBot="1">
      <c r="A25" s="959" t="s">
        <v>1421</v>
      </c>
      <c r="B25" s="959"/>
      <c r="C25" s="959"/>
      <c r="D25" s="973">
        <v>28</v>
      </c>
      <c r="E25" s="974">
        <v>1349898.75</v>
      </c>
      <c r="F25" s="975"/>
      <c r="G25" s="974">
        <v>521084</v>
      </c>
      <c r="H25" s="974">
        <v>444169.91</v>
      </c>
      <c r="I25" s="974">
        <v>868805.82000000007</v>
      </c>
      <c r="J25" s="974">
        <v>868805.82000000007</v>
      </c>
      <c r="K25" s="959"/>
      <c r="L25" s="974">
        <v>3461.2788461538462</v>
      </c>
      <c r="M25" s="975"/>
      <c r="N25" s="974">
        <v>2686</v>
      </c>
      <c r="O25" s="974">
        <v>2337.7363684210527</v>
      </c>
      <c r="P25" s="974">
        <v>3147.8471739130437</v>
      </c>
      <c r="Q25" s="974">
        <v>3147.8471739130437</v>
      </c>
      <c r="R25" s="959"/>
      <c r="S25" s="974">
        <v>2723.8611807780321</v>
      </c>
      <c r="T25" s="979">
        <v>737.41766537581407</v>
      </c>
      <c r="U25" s="980">
        <v>0.27072512746966831</v>
      </c>
      <c r="V25" s="981"/>
      <c r="W25" s="959" t="s">
        <v>1422</v>
      </c>
      <c r="X25" s="888"/>
      <c r="Y25" s="888"/>
      <c r="Z25" s="888">
        <v>0</v>
      </c>
    </row>
    <row r="26" spans="1:29" ht="16.149999999999999" thickBot="1">
      <c r="A26" s="959" t="s">
        <v>911</v>
      </c>
      <c r="B26" s="959"/>
      <c r="C26" s="959"/>
      <c r="D26" s="973">
        <v>31</v>
      </c>
      <c r="E26" s="974">
        <v>1455055.4581000002</v>
      </c>
      <c r="F26" s="975"/>
      <c r="G26" s="974">
        <v>360909.20999999996</v>
      </c>
      <c r="H26" s="974">
        <v>337649.75</v>
      </c>
      <c r="I26" s="974">
        <v>918655.63</v>
      </c>
      <c r="J26" s="974">
        <v>918655.63</v>
      </c>
      <c r="K26" s="959"/>
      <c r="L26" s="974">
        <v>3730.9114310256414</v>
      </c>
      <c r="M26" s="975"/>
      <c r="N26" s="974">
        <v>1860.3567525773194</v>
      </c>
      <c r="O26" s="974">
        <v>1777.1039473684211</v>
      </c>
      <c r="P26" s="974">
        <v>3328.4624275362321</v>
      </c>
      <c r="Q26" s="974">
        <v>3328.4624275362321</v>
      </c>
      <c r="R26" s="959"/>
      <c r="S26" s="974">
        <v>2321.9743758273239</v>
      </c>
      <c r="T26" s="974">
        <v>1408.9370551983175</v>
      </c>
      <c r="U26" s="976">
        <v>0.60678406698450771</v>
      </c>
      <c r="V26" s="973"/>
      <c r="W26" s="959" t="s">
        <v>1423</v>
      </c>
      <c r="X26" s="965"/>
      <c r="Y26" s="918"/>
      <c r="Z26" s="888">
        <v>1</v>
      </c>
      <c r="AB26" t="s">
        <v>1424</v>
      </c>
      <c r="AC26" s="918">
        <f>J26/11</f>
        <v>83514.148181818178</v>
      </c>
    </row>
    <row r="27" spans="1:29" ht="16.149999999999999" thickBot="1">
      <c r="A27" s="959" t="s">
        <v>912</v>
      </c>
      <c r="B27" s="959"/>
      <c r="C27" s="959"/>
      <c r="D27" s="973">
        <v>32</v>
      </c>
      <c r="E27" s="974">
        <v>7622826.8914367436</v>
      </c>
      <c r="F27" s="975"/>
      <c r="G27" s="974">
        <v>1902352.69</v>
      </c>
      <c r="H27" s="974">
        <v>1907272.3599999999</v>
      </c>
      <c r="I27" s="974">
        <v>4251061.53</v>
      </c>
      <c r="J27" s="974">
        <v>4251061.53</v>
      </c>
      <c r="K27" s="959"/>
      <c r="L27" s="974">
        <v>19545.709978042931</v>
      </c>
      <c r="M27" s="975"/>
      <c r="N27" s="974">
        <v>9805.941701030928</v>
      </c>
      <c r="O27" s="974">
        <v>10038.275578947369</v>
      </c>
      <c r="P27" s="974">
        <v>15402.396847826089</v>
      </c>
      <c r="Q27" s="974">
        <v>15402.396847826089</v>
      </c>
      <c r="R27" s="959"/>
      <c r="S27" s="974">
        <v>11748.871375934796</v>
      </c>
      <c r="T27" s="974">
        <v>7796.8386021081351</v>
      </c>
      <c r="U27" s="976">
        <v>0.66362447529031543</v>
      </c>
      <c r="V27" s="973"/>
      <c r="W27" s="982" t="s">
        <v>1425</v>
      </c>
      <c r="X27" s="965"/>
      <c r="Y27" s="888"/>
      <c r="Z27" s="888">
        <v>1</v>
      </c>
      <c r="AB27" t="s">
        <v>1426</v>
      </c>
      <c r="AC27" s="918">
        <f>E26/22.5</f>
        <v>64669.131471111119</v>
      </c>
    </row>
    <row r="28" spans="1:29" ht="16.149999999999999" thickBot="1">
      <c r="A28" s="959" t="s">
        <v>913</v>
      </c>
      <c r="B28" s="959"/>
      <c r="C28" s="959"/>
      <c r="D28" s="973">
        <v>33</v>
      </c>
      <c r="E28" s="974">
        <v>7092245.0699999984</v>
      </c>
      <c r="F28" s="975"/>
      <c r="G28" s="974">
        <v>1553254</v>
      </c>
      <c r="H28" s="974">
        <v>1480810.6099999999</v>
      </c>
      <c r="I28" s="974">
        <v>2345568.87</v>
      </c>
      <c r="J28" s="974">
        <v>2345568.87</v>
      </c>
      <c r="K28" s="959"/>
      <c r="L28" s="974">
        <v>18185.243769230765</v>
      </c>
      <c r="M28" s="975"/>
      <c r="N28" s="974">
        <v>8006.4639175257735</v>
      </c>
      <c r="O28" s="974">
        <v>7793.7400526315787</v>
      </c>
      <c r="P28" s="974">
        <v>8498.4379347826089</v>
      </c>
      <c r="Q28" s="974">
        <v>8498.4379347826089</v>
      </c>
      <c r="R28" s="959"/>
      <c r="S28" s="974">
        <v>8099.547301646654</v>
      </c>
      <c r="T28" s="974">
        <v>10085.696467584112</v>
      </c>
      <c r="U28" s="976">
        <v>1.2452173056059157</v>
      </c>
      <c r="V28" s="973"/>
      <c r="W28" s="982" t="s">
        <v>1427</v>
      </c>
      <c r="Y28" s="888"/>
      <c r="Z28" s="888">
        <v>1</v>
      </c>
      <c r="AB28" t="s">
        <v>1428</v>
      </c>
      <c r="AC28" s="918">
        <f>AC26-AC27</f>
        <v>18845.016710707059</v>
      </c>
    </row>
    <row r="29" spans="1:29" ht="16.149999999999999" thickBot="1">
      <c r="A29" s="886" t="s">
        <v>914</v>
      </c>
      <c r="B29" s="886"/>
      <c r="C29" s="886"/>
      <c r="D29" s="888">
        <v>34</v>
      </c>
      <c r="E29" s="905">
        <v>15000</v>
      </c>
      <c r="G29" s="905">
        <v>7500</v>
      </c>
      <c r="H29" s="905">
        <v>7500</v>
      </c>
      <c r="I29" s="905">
        <v>231856.96</v>
      </c>
      <c r="J29" s="905">
        <v>231856.96</v>
      </c>
      <c r="K29" s="886"/>
      <c r="L29" s="905">
        <v>38.46153846153846</v>
      </c>
      <c r="N29" s="905">
        <v>38.659793814432987</v>
      </c>
      <c r="O29" s="905">
        <v>39.473684210526315</v>
      </c>
      <c r="P29" s="905">
        <v>840.06144927536229</v>
      </c>
      <c r="Q29" s="905">
        <v>840.06144927536229</v>
      </c>
      <c r="R29" s="886"/>
      <c r="S29" s="905">
        <v>306.0649757667739</v>
      </c>
      <c r="T29" s="905">
        <v>-267.60343730523545</v>
      </c>
      <c r="U29" s="906">
        <v>-0.87433538135102817</v>
      </c>
      <c r="V29" s="888"/>
      <c r="W29" s="888"/>
      <c r="Y29" s="888"/>
      <c r="Z29" s="888">
        <v>0</v>
      </c>
      <c r="AB29" t="s">
        <v>85</v>
      </c>
      <c r="AC29" s="966">
        <f>AC28/AC26</f>
        <v>0.22565058880418298</v>
      </c>
    </row>
    <row r="30" spans="1:29" ht="16.149999999999999" thickBot="1">
      <c r="A30" s="958" t="s">
        <v>915</v>
      </c>
      <c r="B30" s="959"/>
      <c r="C30" s="959"/>
      <c r="D30" s="973">
        <v>48</v>
      </c>
      <c r="E30" s="974">
        <v>469750</v>
      </c>
      <c r="F30" s="975"/>
      <c r="G30" s="974">
        <v>392850</v>
      </c>
      <c r="H30" s="974">
        <v>1031659.94</v>
      </c>
      <c r="I30" s="974">
        <v>178738.2</v>
      </c>
      <c r="J30" s="974">
        <v>178738.2</v>
      </c>
      <c r="K30" s="959"/>
      <c r="L30" s="974">
        <v>1204.4871794871794</v>
      </c>
      <c r="M30" s="975"/>
      <c r="N30" s="974">
        <v>2025</v>
      </c>
      <c r="O30" s="974">
        <v>5429.7891578947365</v>
      </c>
      <c r="P30" s="974">
        <v>647.60217391304354</v>
      </c>
      <c r="Q30" s="974">
        <v>647.60217391304354</v>
      </c>
      <c r="R30" s="959"/>
      <c r="S30" s="974">
        <v>2700.7971106025934</v>
      </c>
      <c r="T30" s="974">
        <v>-1496.309931115414</v>
      </c>
      <c r="U30" s="976">
        <v>-0.55402530062006838</v>
      </c>
      <c r="V30" s="973"/>
      <c r="W30" s="977" t="s">
        <v>1429</v>
      </c>
      <c r="X30" s="967"/>
      <c r="Y30" s="888"/>
      <c r="Z30" s="888">
        <v>1</v>
      </c>
    </row>
    <row r="31" spans="1:29" ht="15.6">
      <c r="A31" s="886" t="s">
        <v>1430</v>
      </c>
      <c r="B31" s="886"/>
      <c r="C31" s="886"/>
      <c r="D31" s="910">
        <v>49</v>
      </c>
      <c r="E31" s="905">
        <v>486632.15</v>
      </c>
      <c r="G31" s="905">
        <v>217538</v>
      </c>
      <c r="H31" s="905">
        <v>192895.5</v>
      </c>
      <c r="I31" s="905">
        <v>497020</v>
      </c>
      <c r="J31" s="905">
        <v>497020</v>
      </c>
      <c r="K31" s="886"/>
      <c r="L31" s="905">
        <v>1247.7747435897436</v>
      </c>
      <c r="N31" s="905">
        <v>1121.3298969072166</v>
      </c>
      <c r="O31" s="905">
        <v>1015.2394736842106</v>
      </c>
      <c r="P31" s="905">
        <v>1800.7971014492753</v>
      </c>
      <c r="Q31" s="905">
        <v>1800.7971014492753</v>
      </c>
      <c r="R31" s="886"/>
      <c r="S31" s="905">
        <v>1312.4554906802341</v>
      </c>
      <c r="T31" s="905">
        <v>-64.680747090490513</v>
      </c>
      <c r="U31" s="906">
        <v>-4.9282240464373427E-2</v>
      </c>
      <c r="V31" s="888"/>
      <c r="W31" s="978"/>
      <c r="Y31" s="888"/>
      <c r="Z31" s="888">
        <v>0</v>
      </c>
    </row>
    <row r="32" spans="1:29" ht="15.6">
      <c r="A32" s="886" t="s">
        <v>1252</v>
      </c>
      <c r="B32" s="886"/>
      <c r="C32" s="886"/>
      <c r="D32" s="910" t="s">
        <v>1431</v>
      </c>
      <c r="E32" s="905">
        <v>1430148</v>
      </c>
      <c r="G32" s="905">
        <v>671024.09</v>
      </c>
      <c r="H32" s="905">
        <v>1144920.92</v>
      </c>
      <c r="I32" s="905">
        <v>548971.84</v>
      </c>
      <c r="J32" s="905">
        <v>548971.84</v>
      </c>
      <c r="K32" s="886"/>
      <c r="L32" s="905">
        <v>3667.0461538461536</v>
      </c>
      <c r="N32" s="905">
        <v>3458.8870618556698</v>
      </c>
      <c r="O32" s="905">
        <v>6025.8995789473684</v>
      </c>
      <c r="P32" s="905">
        <v>1989.0284057971014</v>
      </c>
      <c r="Q32" s="905">
        <v>1989.0284057971014</v>
      </c>
      <c r="R32" s="886"/>
      <c r="S32" s="905">
        <v>3824.6050155333801</v>
      </c>
      <c r="T32" s="905">
        <v>-157.55886168722645</v>
      </c>
      <c r="U32" s="906">
        <v>-4.1196113336491369E-2</v>
      </c>
      <c r="V32" s="888"/>
      <c r="W32" s="907"/>
      <c r="X32" s="888"/>
      <c r="Y32" s="888"/>
      <c r="Z32" s="888">
        <v>0</v>
      </c>
    </row>
    <row r="33" spans="1:26" ht="15.6">
      <c r="A33" s="886" t="s">
        <v>1432</v>
      </c>
      <c r="B33" s="886"/>
      <c r="C33" s="886"/>
      <c r="D33" s="888">
        <v>57</v>
      </c>
      <c r="E33" s="905">
        <v>0</v>
      </c>
      <c r="G33" s="905">
        <v>0</v>
      </c>
      <c r="H33" s="905">
        <v>0</v>
      </c>
      <c r="I33" s="905">
        <v>0</v>
      </c>
      <c r="J33" s="905">
        <v>0</v>
      </c>
      <c r="K33" s="886"/>
      <c r="L33" s="905">
        <v>0</v>
      </c>
      <c r="N33" s="905">
        <v>0</v>
      </c>
      <c r="O33" s="905">
        <v>0</v>
      </c>
      <c r="P33" s="905">
        <v>0</v>
      </c>
      <c r="Q33" s="905">
        <v>0</v>
      </c>
      <c r="R33" s="886"/>
      <c r="S33" s="905">
        <v>0</v>
      </c>
      <c r="T33" s="905">
        <v>0</v>
      </c>
      <c r="U33" s="906" t="s">
        <v>231</v>
      </c>
      <c r="V33" s="888"/>
      <c r="W33" s="907"/>
      <c r="X33" s="888"/>
      <c r="Y33" s="888"/>
      <c r="Z33" s="888">
        <v>0</v>
      </c>
    </row>
    <row r="34" spans="1:26" ht="16.149999999999999" thickBot="1">
      <c r="A34" s="911" t="s">
        <v>1433</v>
      </c>
      <c r="B34" s="912"/>
      <c r="C34" s="912"/>
      <c r="D34" s="913"/>
      <c r="E34" s="914">
        <v>64163505.048603117</v>
      </c>
      <c r="G34" s="914">
        <v>25697633.800000004</v>
      </c>
      <c r="H34" s="914">
        <v>27748302.060000002</v>
      </c>
      <c r="I34" s="914">
        <v>44607714.480000012</v>
      </c>
      <c r="J34" s="914">
        <v>44607714.480000012</v>
      </c>
      <c r="K34" s="912"/>
      <c r="L34" s="914">
        <v>164521.80781693108</v>
      </c>
      <c r="N34" s="914">
        <v>132462.02989690722</v>
      </c>
      <c r="O34" s="914">
        <v>146043.69505263158</v>
      </c>
      <c r="P34" s="914">
        <v>161622.15391304347</v>
      </c>
      <c r="Q34" s="914">
        <v>161622.15391304347</v>
      </c>
      <c r="R34" s="912"/>
      <c r="S34" s="914">
        <v>146709.2929541941</v>
      </c>
      <c r="T34" s="914">
        <v>17812.514862736978</v>
      </c>
      <c r="U34" s="915">
        <v>0.12141367805717966</v>
      </c>
      <c r="V34" s="916">
        <v>1.5115375420363668</v>
      </c>
      <c r="W34" s="888"/>
      <c r="X34" s="888">
        <f>276/11</f>
        <v>25.09090909090909</v>
      </c>
      <c r="Y34" s="888"/>
      <c r="Z34" s="912"/>
    </row>
    <row r="35" spans="1:26" ht="16.149999999999999" thickTop="1">
      <c r="A35" s="886"/>
      <c r="B35" s="886"/>
      <c r="C35" s="886"/>
      <c r="D35" s="888"/>
      <c r="E35" s="917"/>
      <c r="G35" s="917"/>
      <c r="H35" s="917"/>
      <c r="I35" s="917"/>
      <c r="J35" s="917"/>
      <c r="K35" s="886"/>
      <c r="L35" s="917"/>
      <c r="N35" s="917"/>
      <c r="O35" s="917"/>
      <c r="P35" s="917"/>
      <c r="Q35" s="917"/>
      <c r="R35" s="886"/>
      <c r="S35" s="917"/>
      <c r="T35" s="917"/>
      <c r="U35" s="917"/>
      <c r="V35" s="888"/>
      <c r="W35" s="888"/>
      <c r="X35" s="888">
        <f>390/22.5</f>
        <v>17.333333333333332</v>
      </c>
      <c r="Y35" s="888"/>
      <c r="Z35" s="886"/>
    </row>
    <row r="36" spans="1:26" ht="15.6">
      <c r="A36" s="900" t="s">
        <v>1434</v>
      </c>
      <c r="B36" s="886"/>
      <c r="C36" s="886"/>
      <c r="D36" s="888"/>
      <c r="E36" s="905"/>
      <c r="G36" s="905"/>
      <c r="H36" s="905"/>
      <c r="I36" s="905"/>
      <c r="J36" s="905"/>
      <c r="K36" s="886"/>
      <c r="L36" s="905"/>
      <c r="N36" s="905"/>
      <c r="O36" s="905"/>
      <c r="P36" s="905"/>
      <c r="Q36" s="905"/>
      <c r="R36" s="886"/>
      <c r="S36" s="905"/>
      <c r="T36" s="905"/>
      <c r="U36" s="905"/>
      <c r="V36" s="918"/>
      <c r="W36" s="918"/>
      <c r="X36" s="969">
        <f>J26/11</f>
        <v>83514.148181818178</v>
      </c>
      <c r="Y36" s="918"/>
      <c r="Z36" s="886"/>
    </row>
    <row r="37" spans="1:26" ht="15.6">
      <c r="A37" s="886" t="s">
        <v>1435</v>
      </c>
      <c r="B37" s="886"/>
      <c r="C37" s="886"/>
      <c r="D37" s="910">
        <v>62</v>
      </c>
      <c r="E37" s="905">
        <v>7842209.7955241576</v>
      </c>
      <c r="G37" s="905">
        <v>2460084.31</v>
      </c>
      <c r="H37" s="905">
        <v>2188212.9700000002</v>
      </c>
      <c r="I37" s="905">
        <v>2718881.79</v>
      </c>
      <c r="J37" s="905">
        <v>2718881.79</v>
      </c>
      <c r="K37" s="886"/>
      <c r="L37" s="905">
        <v>20108.230244933737</v>
      </c>
      <c r="N37" s="905">
        <v>12680.846958762886</v>
      </c>
      <c r="O37" s="905">
        <v>11516.910368421053</v>
      </c>
      <c r="P37" s="905">
        <v>9851.020978260869</v>
      </c>
      <c r="Q37" s="905">
        <v>9851.020978260869</v>
      </c>
      <c r="R37" s="886"/>
      <c r="S37" s="905">
        <v>11349.592768481603</v>
      </c>
      <c r="T37" s="905">
        <v>8758.6374764521333</v>
      </c>
      <c r="U37" s="906">
        <v>0.77171380992411598</v>
      </c>
      <c r="V37" s="918"/>
      <c r="W37" s="919" t="s">
        <v>1436</v>
      </c>
      <c r="X37" s="969">
        <f>E26/22.5</f>
        <v>64669.131471111119</v>
      </c>
      <c r="Y37" s="918"/>
      <c r="Z37" s="888">
        <v>1</v>
      </c>
    </row>
    <row r="38" spans="1:26" ht="15.6">
      <c r="A38" s="886" t="s">
        <v>1437</v>
      </c>
      <c r="B38" s="886"/>
      <c r="C38" s="886"/>
      <c r="D38" s="910">
        <v>64</v>
      </c>
      <c r="E38" s="905">
        <v>1931132.7800000003</v>
      </c>
      <c r="G38" s="905">
        <v>1060334.5</v>
      </c>
      <c r="H38" s="905">
        <v>1104989.5900000001</v>
      </c>
      <c r="I38" s="905">
        <v>1791441.31</v>
      </c>
      <c r="J38" s="905">
        <v>1791441.31</v>
      </c>
      <c r="K38" s="886"/>
      <c r="L38" s="905">
        <v>4951.6225128205133</v>
      </c>
      <c r="N38" s="905">
        <v>5465.6417525773195</v>
      </c>
      <c r="O38" s="905">
        <v>5815.7346842105271</v>
      </c>
      <c r="P38" s="905">
        <v>6490.7293840579714</v>
      </c>
      <c r="Q38" s="905">
        <v>6490.7293840579714</v>
      </c>
      <c r="R38" s="886"/>
      <c r="S38" s="905">
        <v>5924.0352736152736</v>
      </c>
      <c r="T38" s="905">
        <v>-972.41276079476029</v>
      </c>
      <c r="U38" s="906">
        <v>-0.16414702409449428</v>
      </c>
      <c r="V38" s="888"/>
      <c r="W38" s="920" t="s">
        <v>1438</v>
      </c>
      <c r="X38" s="970">
        <f>X36-X37</f>
        <v>18845.016710707059</v>
      </c>
      <c r="Y38" s="888"/>
      <c r="Z38" s="888">
        <v>0</v>
      </c>
    </row>
    <row r="39" spans="1:26" ht="15.6">
      <c r="A39" s="886" t="s">
        <v>1439</v>
      </c>
      <c r="B39" s="886"/>
      <c r="C39" s="886"/>
      <c r="D39" s="921">
        <v>66</v>
      </c>
      <c r="E39" s="905">
        <v>1573652.5204330119</v>
      </c>
      <c r="G39" s="905">
        <v>783191.09000000008</v>
      </c>
      <c r="H39" s="905">
        <v>763071.27</v>
      </c>
      <c r="I39" s="905">
        <v>731587.8</v>
      </c>
      <c r="J39" s="905">
        <v>731587.8</v>
      </c>
      <c r="K39" s="886"/>
      <c r="L39" s="905">
        <v>4035.0064626487488</v>
      </c>
      <c r="N39" s="905">
        <v>4037.0674742268047</v>
      </c>
      <c r="O39" s="905">
        <v>4016.1645789473687</v>
      </c>
      <c r="P39" s="905">
        <v>2650.6804347826087</v>
      </c>
      <c r="Q39" s="905">
        <v>2650.6804347826087</v>
      </c>
      <c r="R39" s="886"/>
      <c r="S39" s="905">
        <v>3567.9708293189274</v>
      </c>
      <c r="T39" s="905">
        <v>467.03563332982139</v>
      </c>
      <c r="U39" s="906">
        <v>0.1308967073082746</v>
      </c>
      <c r="V39" s="888"/>
      <c r="W39" s="888"/>
      <c r="X39" s="888">
        <f>X38/X36</f>
        <v>0.22565058880418298</v>
      </c>
      <c r="Y39" s="888"/>
      <c r="Z39" s="888">
        <v>0</v>
      </c>
    </row>
    <row r="40" spans="1:26" ht="15.6">
      <c r="A40" s="922" t="s">
        <v>1440</v>
      </c>
      <c r="B40" s="886"/>
      <c r="C40" s="886"/>
      <c r="D40" s="921">
        <v>68</v>
      </c>
      <c r="E40" s="905">
        <v>164191.28300666975</v>
      </c>
      <c r="G40" s="905">
        <v>93264.960000000006</v>
      </c>
      <c r="H40" s="905">
        <v>93885.71</v>
      </c>
      <c r="I40" s="905">
        <v>84706.45</v>
      </c>
      <c r="J40" s="905">
        <v>84706.45</v>
      </c>
      <c r="K40" s="886"/>
      <c r="L40" s="905">
        <v>421.00328976069164</v>
      </c>
      <c r="N40" s="905">
        <v>480.74721649484542</v>
      </c>
      <c r="O40" s="905">
        <v>494.13531578947374</v>
      </c>
      <c r="P40" s="905">
        <v>306.90742753623186</v>
      </c>
      <c r="Q40" s="905">
        <v>306.90742753623186</v>
      </c>
      <c r="R40" s="886"/>
      <c r="S40" s="905">
        <v>427.26331994018369</v>
      </c>
      <c r="T40" s="905">
        <v>-6.2600301794920483</v>
      </c>
      <c r="U40" s="906">
        <v>-1.4651457046133621E-2</v>
      </c>
      <c r="V40" s="888"/>
      <c r="W40" s="888"/>
      <c r="X40" s="888"/>
      <c r="Y40" s="888"/>
      <c r="Z40" s="888">
        <v>0</v>
      </c>
    </row>
    <row r="41" spans="1:26" ht="15.6">
      <c r="A41" s="886" t="s">
        <v>1441</v>
      </c>
      <c r="B41" s="886"/>
      <c r="C41" s="886"/>
      <c r="D41" s="921">
        <v>70</v>
      </c>
      <c r="E41" s="905">
        <v>450000</v>
      </c>
      <c r="G41" s="905">
        <v>504152.3</v>
      </c>
      <c r="H41" s="905">
        <v>410981.38</v>
      </c>
      <c r="I41" s="905">
        <v>431579.42</v>
      </c>
      <c r="J41" s="905">
        <v>431579.42</v>
      </c>
      <c r="K41" s="886"/>
      <c r="L41" s="905">
        <v>1153.8461538461538</v>
      </c>
      <c r="N41" s="905">
        <v>2598.7231958762886</v>
      </c>
      <c r="O41" s="905">
        <v>2163.0598947368421</v>
      </c>
      <c r="P41" s="905">
        <v>1563.6935507246376</v>
      </c>
      <c r="Q41" s="905">
        <v>1563.6935507246376</v>
      </c>
      <c r="R41" s="886"/>
      <c r="S41" s="905">
        <v>2108.4922137792564</v>
      </c>
      <c r="T41" s="905">
        <v>-954.64605993310261</v>
      </c>
      <c r="U41" s="906">
        <v>-0.45276243075235134</v>
      </c>
      <c r="V41" s="888"/>
      <c r="W41" s="888"/>
      <c r="X41" s="888"/>
      <c r="Y41" s="888"/>
      <c r="Z41" s="888">
        <v>0</v>
      </c>
    </row>
    <row r="42" spans="1:26" ht="15.6">
      <c r="A42" s="886" t="s">
        <v>1442</v>
      </c>
      <c r="B42" s="886"/>
      <c r="C42" s="886"/>
      <c r="D42" s="921">
        <v>72</v>
      </c>
      <c r="E42" s="905">
        <v>354296.32230223768</v>
      </c>
      <c r="G42" s="905">
        <v>206750.55</v>
      </c>
      <c r="H42" s="905">
        <v>209951.55</v>
      </c>
      <c r="I42" s="905">
        <v>227847.57</v>
      </c>
      <c r="J42" s="905">
        <v>227847.57</v>
      </c>
      <c r="K42" s="886"/>
      <c r="L42" s="905">
        <v>908.45210846727605</v>
      </c>
      <c r="N42" s="905">
        <v>1065.7244845360824</v>
      </c>
      <c r="O42" s="905">
        <v>1105.0081578947368</v>
      </c>
      <c r="P42" s="905">
        <v>825.53467391304355</v>
      </c>
      <c r="Q42" s="905">
        <v>825.53467391304355</v>
      </c>
      <c r="R42" s="886"/>
      <c r="S42" s="905">
        <v>998.75577211462098</v>
      </c>
      <c r="T42" s="905">
        <v>-90.303663647344933</v>
      </c>
      <c r="U42" s="906">
        <v>-9.0416161957341201E-2</v>
      </c>
      <c r="V42" s="888"/>
      <c r="W42" s="888"/>
      <c r="X42" s="888"/>
      <c r="Y42" s="888"/>
      <c r="Z42" s="888">
        <v>0</v>
      </c>
    </row>
    <row r="43" spans="1:26" ht="15.6">
      <c r="A43" s="886" t="s">
        <v>1443</v>
      </c>
      <c r="B43" s="886"/>
      <c r="C43" s="886"/>
      <c r="D43" s="921">
        <v>74</v>
      </c>
      <c r="E43" s="905">
        <v>399741.9749371846</v>
      </c>
      <c r="G43" s="905">
        <v>148319.57999999999</v>
      </c>
      <c r="H43" s="905">
        <v>165696.41</v>
      </c>
      <c r="I43" s="905">
        <v>377264</v>
      </c>
      <c r="J43" s="905">
        <v>377264</v>
      </c>
      <c r="K43" s="886"/>
      <c r="L43" s="905">
        <v>1024.9794229158579</v>
      </c>
      <c r="N43" s="905">
        <v>764.53391752577318</v>
      </c>
      <c r="O43" s="905">
        <v>872.08636842105261</v>
      </c>
      <c r="P43" s="905">
        <v>1366.8985507246377</v>
      </c>
      <c r="Q43" s="905">
        <v>1366.8985507246377</v>
      </c>
      <c r="R43" s="886"/>
      <c r="S43" s="905">
        <v>1001.1729455571545</v>
      </c>
      <c r="T43" s="905">
        <v>23.806477358703319</v>
      </c>
      <c r="U43" s="906">
        <v>2.3778586371463496E-2</v>
      </c>
      <c r="V43" s="888"/>
      <c r="W43" s="888"/>
      <c r="X43" s="888"/>
      <c r="Y43" s="888"/>
      <c r="Z43" s="888">
        <v>0</v>
      </c>
    </row>
    <row r="44" spans="1:26" ht="15.6">
      <c r="A44" s="886" t="s">
        <v>1444</v>
      </c>
      <c r="B44" s="886"/>
      <c r="C44" s="886"/>
      <c r="D44" s="921">
        <v>76</v>
      </c>
      <c r="E44" s="905">
        <v>55000</v>
      </c>
      <c r="G44" s="905">
        <v>55000</v>
      </c>
      <c r="H44" s="905">
        <v>55000</v>
      </c>
      <c r="I44" s="905">
        <v>55000</v>
      </c>
      <c r="J44" s="905">
        <v>55000</v>
      </c>
      <c r="K44" s="886"/>
      <c r="L44" s="905">
        <v>141.02564102564102</v>
      </c>
      <c r="N44" s="905">
        <v>283.50515463917526</v>
      </c>
      <c r="O44" s="905">
        <v>289.4736842105263</v>
      </c>
      <c r="P44" s="905">
        <v>199.27536231884059</v>
      </c>
      <c r="Q44" s="905">
        <v>199.27536231884059</v>
      </c>
      <c r="R44" s="886"/>
      <c r="S44" s="905">
        <v>257.41806705618075</v>
      </c>
      <c r="T44" s="905">
        <v>-116.39242603053972</v>
      </c>
      <c r="U44" s="906">
        <v>-0.45215329041041014</v>
      </c>
      <c r="V44" s="888"/>
      <c r="W44" s="888"/>
      <c r="X44" s="888"/>
      <c r="Y44" s="888"/>
      <c r="Z44" s="888">
        <v>0</v>
      </c>
    </row>
    <row r="45" spans="1:26" ht="15.6">
      <c r="A45" s="886" t="s">
        <v>1445</v>
      </c>
      <c r="B45" s="886"/>
      <c r="C45" s="886"/>
      <c r="D45" s="921">
        <v>78</v>
      </c>
      <c r="E45" s="905">
        <v>659958.91346393805</v>
      </c>
      <c r="G45" s="905">
        <v>283939</v>
      </c>
      <c r="H45" s="905">
        <v>278260.5</v>
      </c>
      <c r="I45" s="905">
        <v>0</v>
      </c>
      <c r="J45" s="905">
        <v>0</v>
      </c>
      <c r="K45" s="886"/>
      <c r="L45" s="905">
        <v>1692.2023422152258</v>
      </c>
      <c r="N45" s="905">
        <v>1463.6030927835052</v>
      </c>
      <c r="O45" s="905">
        <v>1464.5289473684211</v>
      </c>
      <c r="P45" s="905">
        <v>0</v>
      </c>
      <c r="Q45" s="905">
        <v>0</v>
      </c>
      <c r="R45" s="886"/>
      <c r="S45" s="905">
        <v>976.04401338397531</v>
      </c>
      <c r="T45" s="905">
        <v>716.15832883125051</v>
      </c>
      <c r="U45" s="906">
        <v>0.73373569123005744</v>
      </c>
      <c r="V45" s="888"/>
      <c r="W45" s="888"/>
      <c r="X45" s="888"/>
      <c r="Y45" s="888"/>
      <c r="Z45" s="888">
        <v>0</v>
      </c>
    </row>
    <row r="46" spans="1:26" ht="15.6">
      <c r="A46" s="886" t="s">
        <v>1446</v>
      </c>
      <c r="B46" s="886"/>
      <c r="C46" s="886"/>
      <c r="D46" s="921">
        <v>80</v>
      </c>
      <c r="E46" s="905">
        <v>14500</v>
      </c>
      <c r="G46" s="905">
        <v>14000</v>
      </c>
      <c r="H46" s="905">
        <v>7590</v>
      </c>
      <c r="I46" s="905">
        <v>13111</v>
      </c>
      <c r="J46" s="905">
        <v>13111</v>
      </c>
      <c r="K46" s="886"/>
      <c r="L46" s="905">
        <v>37.179487179487182</v>
      </c>
      <c r="N46" s="905">
        <v>72.164948453608247</v>
      </c>
      <c r="O46" s="905">
        <v>39.94736842105263</v>
      </c>
      <c r="P46" s="905">
        <v>47.503623188405797</v>
      </c>
      <c r="Q46" s="905">
        <v>47.503623188405797</v>
      </c>
      <c r="R46" s="886"/>
      <c r="S46" s="905">
        <v>53.205313354355553</v>
      </c>
      <c r="T46" s="905">
        <v>-16.025826174868371</v>
      </c>
      <c r="U46" s="906">
        <v>-0.30120725101521173</v>
      </c>
      <c r="V46" s="888"/>
      <c r="W46" s="888"/>
      <c r="X46" s="888"/>
      <c r="Y46" s="888"/>
      <c r="Z46" s="888">
        <v>0</v>
      </c>
    </row>
    <row r="47" spans="1:26" ht="15.6">
      <c r="A47" s="886" t="s">
        <v>1447</v>
      </c>
      <c r="B47" s="886"/>
      <c r="C47" s="886"/>
      <c r="D47" s="921">
        <v>82</v>
      </c>
      <c r="E47" s="905">
        <v>717525</v>
      </c>
      <c r="G47" s="905">
        <v>277473</v>
      </c>
      <c r="H47" s="905">
        <v>384167</v>
      </c>
      <c r="I47" s="905">
        <v>486625.25</v>
      </c>
      <c r="J47" s="905">
        <v>486625.25</v>
      </c>
      <c r="K47" s="886"/>
      <c r="L47" s="905">
        <v>1839.8076923076924</v>
      </c>
      <c r="N47" s="905">
        <v>1430.2731958762886</v>
      </c>
      <c r="O47" s="905">
        <v>2021.9315789473685</v>
      </c>
      <c r="P47" s="905">
        <v>1763.134963768116</v>
      </c>
      <c r="Q47" s="905">
        <v>1763.134963768116</v>
      </c>
      <c r="R47" s="886"/>
      <c r="S47" s="905">
        <v>1738.4465795305912</v>
      </c>
      <c r="T47" s="905">
        <v>101.3611127771012</v>
      </c>
      <c r="U47" s="906">
        <v>5.8305566573388951E-2</v>
      </c>
      <c r="V47" s="888"/>
      <c r="W47" s="888"/>
      <c r="X47" s="888"/>
      <c r="Y47" s="888"/>
      <c r="Z47" s="888">
        <v>0</v>
      </c>
    </row>
    <row r="48" spans="1:26" ht="15.6">
      <c r="A48" s="886" t="s">
        <v>1448</v>
      </c>
      <c r="B48" s="886"/>
      <c r="C48" s="886"/>
      <c r="D48" s="921">
        <v>84</v>
      </c>
      <c r="E48" s="905">
        <v>449400</v>
      </c>
      <c r="G48" s="905">
        <v>419650</v>
      </c>
      <c r="H48" s="905">
        <v>420500</v>
      </c>
      <c r="I48" s="905">
        <v>971900</v>
      </c>
      <c r="J48" s="905">
        <v>971900</v>
      </c>
      <c r="K48" s="886"/>
      <c r="L48" s="905">
        <v>1152.3076923076924</v>
      </c>
      <c r="N48" s="905">
        <v>2163.144329896907</v>
      </c>
      <c r="O48" s="905">
        <v>2213.1578947368421</v>
      </c>
      <c r="P48" s="905">
        <v>3521.376811594203</v>
      </c>
      <c r="Q48" s="905">
        <v>3521.376811594203</v>
      </c>
      <c r="R48" s="886"/>
      <c r="S48" s="905">
        <v>2632.5596787426507</v>
      </c>
      <c r="T48" s="905">
        <v>-1480.2519864349583</v>
      </c>
      <c r="U48" s="906">
        <v>-0.562286203191393</v>
      </c>
      <c r="V48" s="888"/>
      <c r="W48" s="888"/>
      <c r="X48" s="888"/>
      <c r="Y48" s="888"/>
      <c r="Z48" s="888">
        <v>1</v>
      </c>
    </row>
    <row r="49" spans="1:26" ht="15.6">
      <c r="A49" s="886" t="s">
        <v>1449</v>
      </c>
      <c r="B49" s="886"/>
      <c r="C49" s="886"/>
      <c r="D49" s="921">
        <v>86</v>
      </c>
      <c r="E49" s="905">
        <v>7567163.0429438334</v>
      </c>
      <c r="G49" s="905">
        <v>5493270.7400000002</v>
      </c>
      <c r="H49" s="905">
        <v>4600916.7699999996</v>
      </c>
      <c r="I49" s="905">
        <v>5782348.3700000001</v>
      </c>
      <c r="J49" s="905">
        <v>5782348.3700000001</v>
      </c>
      <c r="K49" s="886"/>
      <c r="L49" s="905">
        <v>19402.982161394444</v>
      </c>
      <c r="N49" s="905">
        <v>28315.828556701032</v>
      </c>
      <c r="O49" s="905">
        <v>24215.35142105263</v>
      </c>
      <c r="P49" s="905">
        <v>20950.537572463767</v>
      </c>
      <c r="Q49" s="905">
        <v>20950.537572463767</v>
      </c>
      <c r="R49" s="886"/>
      <c r="S49" s="905">
        <v>24493.905850072479</v>
      </c>
      <c r="T49" s="905">
        <v>-5090.9236886780345</v>
      </c>
      <c r="U49" s="906">
        <v>-0.20784450303024948</v>
      </c>
      <c r="V49" s="888"/>
      <c r="W49" s="888"/>
      <c r="X49" s="888"/>
      <c r="Y49" s="888"/>
      <c r="Z49" s="888">
        <v>1</v>
      </c>
    </row>
    <row r="50" spans="1:26" ht="15.6">
      <c r="A50" s="889" t="s">
        <v>1450</v>
      </c>
      <c r="B50" s="889"/>
      <c r="C50" s="889"/>
      <c r="D50" s="921">
        <v>88</v>
      </c>
      <c r="E50" s="905">
        <v>843362.5</v>
      </c>
      <c r="G50" s="905">
        <v>364100</v>
      </c>
      <c r="H50" s="905">
        <v>328500</v>
      </c>
      <c r="I50" s="905">
        <v>463750</v>
      </c>
      <c r="J50" s="905">
        <v>463750</v>
      </c>
      <c r="K50" s="886"/>
      <c r="L50" s="905">
        <v>2162.4679487179487</v>
      </c>
      <c r="N50" s="905">
        <v>1876.8041237113403</v>
      </c>
      <c r="O50" s="905">
        <v>1728.9473684210527</v>
      </c>
      <c r="P50" s="905">
        <v>1680.2536231884058</v>
      </c>
      <c r="Q50" s="905">
        <v>1680.2536231884058</v>
      </c>
      <c r="R50" s="886"/>
      <c r="S50" s="905">
        <v>1762.0017051069328</v>
      </c>
      <c r="T50" s="905">
        <v>400.4662436110159</v>
      </c>
      <c r="U50" s="906">
        <v>0.22727914646751848</v>
      </c>
      <c r="V50" s="888"/>
      <c r="W50" s="888"/>
      <c r="X50" s="888"/>
      <c r="Y50" s="888"/>
      <c r="Z50" s="888">
        <v>0</v>
      </c>
    </row>
    <row r="51" spans="1:26" ht="15.6">
      <c r="A51" s="886" t="s">
        <v>1451</v>
      </c>
      <c r="B51" s="886"/>
      <c r="C51" s="886"/>
      <c r="D51" s="921">
        <v>90</v>
      </c>
      <c r="E51" s="905">
        <v>77500</v>
      </c>
      <c r="G51" s="905">
        <v>72500</v>
      </c>
      <c r="H51" s="905">
        <v>69000</v>
      </c>
      <c r="I51" s="905">
        <v>76000</v>
      </c>
      <c r="J51" s="905">
        <v>76000</v>
      </c>
      <c r="K51" s="886"/>
      <c r="L51" s="905">
        <v>198.71794871794873</v>
      </c>
      <c r="N51" s="905">
        <v>373.71134020618558</v>
      </c>
      <c r="O51" s="905">
        <v>363.15789473684208</v>
      </c>
      <c r="P51" s="905">
        <v>275.36231884057969</v>
      </c>
      <c r="Q51" s="905">
        <v>275.36231884057969</v>
      </c>
      <c r="R51" s="886"/>
      <c r="S51" s="905">
        <v>337.41051792786908</v>
      </c>
      <c r="T51" s="905">
        <v>-138.69256920992035</v>
      </c>
      <c r="U51" s="906">
        <v>-0.41104992832372156</v>
      </c>
      <c r="V51" s="888"/>
      <c r="W51" s="888"/>
      <c r="X51" s="888"/>
      <c r="Y51" s="888"/>
      <c r="Z51" s="888">
        <v>0</v>
      </c>
    </row>
    <row r="52" spans="1:26" ht="16.149999999999999" thickBot="1">
      <c r="A52" s="911" t="s">
        <v>1452</v>
      </c>
      <c r="B52" s="886"/>
      <c r="C52" s="912"/>
      <c r="D52" s="913"/>
      <c r="E52" s="923">
        <v>23099634.132611036</v>
      </c>
      <c r="G52" s="923">
        <v>12236030.030000001</v>
      </c>
      <c r="H52" s="923">
        <v>11080723.15</v>
      </c>
      <c r="I52" s="923">
        <v>14212042.960000001</v>
      </c>
      <c r="J52" s="923">
        <v>14212042.960000001</v>
      </c>
      <c r="K52" s="912"/>
      <c r="L52" s="923">
        <v>59229.831109259067</v>
      </c>
      <c r="N52" s="923">
        <v>63072.319742268053</v>
      </c>
      <c r="O52" s="923">
        <v>58319.595526315796</v>
      </c>
      <c r="P52" s="923">
        <v>51492.909275362319</v>
      </c>
      <c r="Q52" s="923">
        <v>51492.909275362319</v>
      </c>
      <c r="R52" s="886"/>
      <c r="S52" s="923">
        <v>57628.274847982051</v>
      </c>
      <c r="T52" s="923">
        <v>1601.5562612770154</v>
      </c>
      <c r="U52" s="924">
        <v>2.7791154003859557E-2</v>
      </c>
      <c r="V52" s="916">
        <v>0.13590514496455802</v>
      </c>
      <c r="W52" s="916"/>
      <c r="X52" s="916"/>
      <c r="Y52" s="916"/>
      <c r="Z52" s="886"/>
    </row>
    <row r="53" spans="1:26" ht="16.149999999999999" thickTop="1">
      <c r="A53" s="886"/>
      <c r="B53" s="886"/>
      <c r="C53" s="886"/>
      <c r="D53" s="921"/>
      <c r="E53" s="905"/>
      <c r="G53" s="905"/>
      <c r="H53" s="905"/>
      <c r="I53" s="905"/>
      <c r="J53" s="905"/>
      <c r="K53" s="886"/>
      <c r="L53" s="905"/>
      <c r="N53" s="905"/>
      <c r="O53" s="905"/>
      <c r="P53" s="905"/>
      <c r="Q53" s="905"/>
      <c r="R53" s="886"/>
      <c r="S53" s="905"/>
      <c r="T53" s="905"/>
      <c r="U53" s="906"/>
      <c r="V53" s="888"/>
      <c r="W53" s="888"/>
      <c r="X53" s="888"/>
      <c r="Y53" s="888"/>
      <c r="Z53" s="886"/>
    </row>
    <row r="54" spans="1:26" ht="15.6">
      <c r="A54" s="925" t="s">
        <v>1453</v>
      </c>
      <c r="B54" s="886"/>
      <c r="C54" s="926"/>
      <c r="D54" s="921">
        <v>97</v>
      </c>
      <c r="E54" s="905">
        <v>1326783.2925280831</v>
      </c>
      <c r="G54" s="905">
        <v>531612.12</v>
      </c>
      <c r="H54" s="905">
        <v>555241.36</v>
      </c>
      <c r="I54" s="905">
        <v>1250000</v>
      </c>
      <c r="J54" s="905">
        <v>1250000</v>
      </c>
      <c r="K54" s="886"/>
      <c r="L54" s="905">
        <v>3402.0084423797002</v>
      </c>
      <c r="N54" s="905">
        <v>2740.2686597938145</v>
      </c>
      <c r="O54" s="905">
        <v>2922.322947368421</v>
      </c>
      <c r="P54" s="905">
        <v>4528.985507246377</v>
      </c>
      <c r="Q54" s="905">
        <v>4528.985507246377</v>
      </c>
      <c r="R54" s="886"/>
      <c r="S54" s="905">
        <v>3397.1923714695381</v>
      </c>
      <c r="T54" s="905">
        <v>4.8160709101621251</v>
      </c>
      <c r="U54" s="906">
        <v>1.4176621113978355E-3</v>
      </c>
      <c r="V54" s="888"/>
      <c r="W54" s="888"/>
      <c r="X54" s="888"/>
      <c r="Y54" s="888"/>
      <c r="Z54" s="888">
        <v>0</v>
      </c>
    </row>
    <row r="55" spans="1:26" ht="16.149999999999999" thickBot="1">
      <c r="A55" s="911" t="s">
        <v>1454</v>
      </c>
      <c r="B55" s="912"/>
      <c r="C55" s="912"/>
      <c r="D55" s="913"/>
      <c r="E55" s="923">
        <v>1326783.2925280831</v>
      </c>
      <c r="G55" s="923">
        <v>531612.12</v>
      </c>
      <c r="H55" s="923">
        <v>555241.36</v>
      </c>
      <c r="I55" s="923">
        <v>1250000</v>
      </c>
      <c r="J55" s="923">
        <v>1250000</v>
      </c>
      <c r="K55" s="912"/>
      <c r="L55" s="923">
        <v>3402.0084423797002</v>
      </c>
      <c r="N55" s="923">
        <v>2740.2686597938145</v>
      </c>
      <c r="O55" s="923">
        <v>2922.322947368421</v>
      </c>
      <c r="P55" s="923">
        <v>4528.985507246377</v>
      </c>
      <c r="Q55" s="923">
        <v>4528.985507246377</v>
      </c>
      <c r="R55" s="912"/>
      <c r="S55" s="923">
        <v>3397.1923714695381</v>
      </c>
      <c r="T55" s="923">
        <v>4.8160709101621251</v>
      </c>
      <c r="U55" s="924">
        <v>1.4176621113978355E-3</v>
      </c>
      <c r="V55" s="916">
        <v>4.0868299854997285E-4</v>
      </c>
      <c r="W55" s="916"/>
      <c r="X55" s="916"/>
      <c r="Y55" s="916"/>
      <c r="Z55" s="912"/>
    </row>
    <row r="56" spans="1:26" ht="16.149999999999999" thickTop="1">
      <c r="A56" s="927"/>
      <c r="B56" s="886"/>
      <c r="C56" s="886"/>
      <c r="D56" s="888"/>
      <c r="E56" s="903"/>
      <c r="G56" s="903"/>
      <c r="H56" s="928"/>
      <c r="I56" s="928"/>
      <c r="J56" s="928"/>
      <c r="K56" s="886"/>
      <c r="L56" s="928"/>
      <c r="N56" s="928"/>
      <c r="O56" s="928"/>
      <c r="P56" s="928"/>
      <c r="Q56" s="928"/>
      <c r="R56" s="886"/>
      <c r="S56" s="928"/>
      <c r="T56" s="928"/>
      <c r="U56" s="929"/>
      <c r="V56" s="888"/>
      <c r="W56" s="888"/>
      <c r="X56" s="888"/>
      <c r="Y56" s="888"/>
      <c r="Z56" s="886"/>
    </row>
    <row r="57" spans="1:26" ht="16.149999999999999" thickBot="1">
      <c r="A57" s="930" t="s">
        <v>1455</v>
      </c>
      <c r="B57" s="931"/>
      <c r="C57" s="931"/>
      <c r="D57" s="932"/>
      <c r="E57" s="933">
        <v>88589922.473742232</v>
      </c>
      <c r="G57" s="933">
        <v>38465275.950000003</v>
      </c>
      <c r="H57" s="933">
        <v>39384266.57</v>
      </c>
      <c r="I57" s="933">
        <v>60069757.440000013</v>
      </c>
      <c r="J57" s="933">
        <v>60069757.440000013</v>
      </c>
      <c r="K57" s="912"/>
      <c r="L57" s="933">
        <v>227153.64736856983</v>
      </c>
      <c r="N57" s="933">
        <v>198274.61829896909</v>
      </c>
      <c r="O57" s="933">
        <v>207285.61352631581</v>
      </c>
      <c r="P57" s="933">
        <v>217644.04869565216</v>
      </c>
      <c r="Q57" s="933">
        <v>217644.04869565216</v>
      </c>
      <c r="R57" s="912"/>
      <c r="S57" s="933">
        <v>207734.76017364569</v>
      </c>
      <c r="T57" s="933">
        <v>19418.887194924144</v>
      </c>
      <c r="U57" s="934">
        <v>9.347923851882986E-2</v>
      </c>
      <c r="V57" s="916">
        <v>1.6478513699994739</v>
      </c>
      <c r="W57" s="916"/>
      <c r="X57" s="916"/>
      <c r="Y57" s="916"/>
      <c r="Z57" s="912"/>
    </row>
    <row r="58" spans="1:26" ht="16.149999999999999" thickTop="1">
      <c r="A58" s="935"/>
      <c r="B58" s="935"/>
      <c r="C58" s="935"/>
      <c r="D58" s="935"/>
      <c r="E58" s="935"/>
      <c r="G58" s="935"/>
      <c r="H58" s="935"/>
      <c r="I58" s="935"/>
      <c r="J58" s="935"/>
      <c r="K58" s="935"/>
      <c r="L58" s="935"/>
      <c r="N58" s="935"/>
      <c r="O58" s="935"/>
      <c r="P58" s="935"/>
      <c r="Q58" s="935"/>
      <c r="R58" s="935"/>
      <c r="S58" s="935"/>
      <c r="T58" s="935"/>
      <c r="U58" s="936"/>
      <c r="V58" s="937"/>
      <c r="W58" s="937"/>
      <c r="X58" s="937"/>
      <c r="Y58" s="937"/>
      <c r="Z58" s="935"/>
    </row>
    <row r="59" spans="1:26" ht="15.6">
      <c r="A59" s="912" t="s">
        <v>1456</v>
      </c>
      <c r="B59" s="886"/>
      <c r="C59" s="886"/>
      <c r="D59" s="888"/>
      <c r="E59" s="938"/>
      <c r="G59" s="938"/>
      <c r="H59" s="939"/>
      <c r="I59" s="939"/>
      <c r="J59" s="939"/>
      <c r="K59" s="886"/>
      <c r="L59" s="886"/>
      <c r="N59" s="939"/>
      <c r="O59" s="939"/>
      <c r="P59" s="939"/>
      <c r="Q59" s="939"/>
      <c r="R59" s="886"/>
      <c r="S59" s="886"/>
      <c r="T59" s="886"/>
      <c r="U59" s="940"/>
      <c r="V59" s="888"/>
      <c r="W59" s="888"/>
      <c r="X59" s="888"/>
      <c r="Y59" s="888"/>
      <c r="Z59" s="886"/>
    </row>
    <row r="60" spans="1:26" ht="15.6">
      <c r="A60" s="912"/>
      <c r="B60" s="886"/>
      <c r="C60" s="886"/>
      <c r="D60" s="888"/>
      <c r="E60" s="938"/>
      <c r="G60" s="938"/>
      <c r="H60" s="939"/>
      <c r="I60" s="939"/>
      <c r="J60" s="939"/>
      <c r="K60" s="886"/>
      <c r="L60" s="886"/>
      <c r="N60" s="939"/>
      <c r="O60" s="939"/>
      <c r="P60" s="939"/>
      <c r="Q60" s="939"/>
      <c r="R60" s="886"/>
      <c r="S60" s="886"/>
      <c r="T60" s="886"/>
      <c r="U60" s="940"/>
      <c r="V60" s="888"/>
      <c r="W60" s="888"/>
      <c r="X60" s="888"/>
      <c r="Y60" s="888"/>
      <c r="Z60" s="886"/>
    </row>
    <row r="61" spans="1:26" ht="15.6">
      <c r="A61" s="912" t="s">
        <v>1457</v>
      </c>
      <c r="B61" s="886"/>
      <c r="C61" s="886"/>
      <c r="D61" s="888"/>
      <c r="E61" s="941"/>
      <c r="G61" s="941"/>
      <c r="H61" s="941"/>
      <c r="I61" s="941"/>
      <c r="J61" s="941"/>
      <c r="K61" s="886"/>
      <c r="L61" s="942"/>
      <c r="N61" s="941"/>
      <c r="O61" s="941"/>
      <c r="P61" s="941"/>
      <c r="Q61" s="941"/>
      <c r="R61" s="886"/>
      <c r="S61" s="941"/>
      <c r="T61" s="941"/>
      <c r="U61" s="943"/>
      <c r="V61" s="888"/>
      <c r="W61" s="888"/>
      <c r="X61" s="888"/>
      <c r="Y61" s="888"/>
      <c r="Z61" s="886"/>
    </row>
    <row r="62" spans="1:26" ht="15.6">
      <c r="A62" s="886" t="s">
        <v>1165</v>
      </c>
      <c r="B62" s="886"/>
      <c r="C62" s="944">
        <v>0.06</v>
      </c>
      <c r="D62" s="921">
        <v>1</v>
      </c>
      <c r="E62" s="945">
        <v>4017598.2447065883</v>
      </c>
      <c r="G62" s="945">
        <v>1830942.39</v>
      </c>
      <c r="H62" s="945">
        <v>1675207</v>
      </c>
      <c r="I62" s="945">
        <v>2591279.1199999996</v>
      </c>
      <c r="J62" s="945">
        <v>2591279.1199999996</v>
      </c>
      <c r="K62" s="886"/>
      <c r="L62" s="945">
        <v>10301.533960786124</v>
      </c>
      <c r="N62" s="945">
        <v>9437.8473711340193</v>
      </c>
      <c r="O62" s="945">
        <v>8816.878947368421</v>
      </c>
      <c r="P62" s="945">
        <v>9388.692463768115</v>
      </c>
      <c r="Q62" s="945">
        <v>9388.692463768115</v>
      </c>
      <c r="R62" s="886"/>
      <c r="S62" s="945">
        <v>9214.4729274235196</v>
      </c>
      <c r="T62" s="945">
        <v>1087.0610333626046</v>
      </c>
      <c r="U62" s="946">
        <v>0.11797321907879979</v>
      </c>
      <c r="V62" s="888"/>
      <c r="W62" s="888"/>
      <c r="X62" s="888"/>
      <c r="Y62" s="888"/>
      <c r="Z62" s="888">
        <v>1</v>
      </c>
    </row>
    <row r="63" spans="1:26" ht="15.6">
      <c r="A63" s="922" t="s">
        <v>817</v>
      </c>
      <c r="B63" s="886"/>
      <c r="C63" s="944">
        <v>0.02</v>
      </c>
      <c r="D63" s="888" t="s">
        <v>817</v>
      </c>
      <c r="E63" s="905">
        <v>1254667.1409720625</v>
      </c>
      <c r="G63" s="905">
        <v>1356156.74</v>
      </c>
      <c r="H63" s="905">
        <v>229829.59</v>
      </c>
      <c r="I63" s="905">
        <v>201269.34</v>
      </c>
      <c r="J63" s="905">
        <v>201269.34</v>
      </c>
      <c r="K63" s="886"/>
      <c r="L63" s="905">
        <v>3217.0952332616985</v>
      </c>
      <c r="N63" s="905">
        <v>6990.4986597938141</v>
      </c>
      <c r="O63" s="905">
        <v>1209.6294210526316</v>
      </c>
      <c r="P63" s="905">
        <v>729.23673913043478</v>
      </c>
      <c r="Q63" s="905">
        <v>729.23673913043478</v>
      </c>
      <c r="R63" s="886"/>
      <c r="S63" s="905">
        <v>2976.454939992293</v>
      </c>
      <c r="T63" s="905">
        <v>240.64029326940545</v>
      </c>
      <c r="U63" s="906">
        <v>8.0847954402437056E-2</v>
      </c>
      <c r="V63" s="888"/>
      <c r="W63" s="888"/>
      <c r="X63" s="888"/>
      <c r="Y63" s="888"/>
      <c r="Z63" s="888">
        <v>0</v>
      </c>
    </row>
    <row r="64" spans="1:26" ht="15.6">
      <c r="A64" s="886" t="s">
        <v>1458</v>
      </c>
      <c r="B64" s="886"/>
      <c r="C64" s="886"/>
      <c r="D64" s="921">
        <v>50</v>
      </c>
      <c r="E64" s="905">
        <v>1541798.5555346343</v>
      </c>
      <c r="G64" s="905">
        <v>626616.66</v>
      </c>
      <c r="H64" s="905">
        <v>452649.86</v>
      </c>
      <c r="I64" s="905">
        <v>339672.76</v>
      </c>
      <c r="J64" s="905">
        <v>339672.76</v>
      </c>
      <c r="K64" s="886"/>
      <c r="L64" s="905">
        <v>3953.3296295759851</v>
      </c>
      <c r="N64" s="905">
        <v>3229.9827835051547</v>
      </c>
      <c r="O64" s="905">
        <v>2382.367684210526</v>
      </c>
      <c r="P64" s="905">
        <v>1230.6984057971015</v>
      </c>
      <c r="Q64" s="905">
        <v>1230.6984057971015</v>
      </c>
      <c r="R64" s="886"/>
      <c r="S64" s="905">
        <v>2281.0162911709272</v>
      </c>
      <c r="T64" s="905">
        <v>1672.3133384050579</v>
      </c>
      <c r="U64" s="906">
        <v>0.73314396958848538</v>
      </c>
      <c r="V64" s="888"/>
      <c r="W64" s="888"/>
      <c r="X64" s="888"/>
      <c r="Y64" s="888"/>
      <c r="Z64" s="888">
        <v>1</v>
      </c>
    </row>
    <row r="65" spans="1:26" ht="15.6">
      <c r="A65" s="886" t="s">
        <v>1459</v>
      </c>
      <c r="B65" s="886"/>
      <c r="C65" s="944">
        <v>0.08</v>
      </c>
      <c r="D65" s="888">
        <v>56</v>
      </c>
      <c r="E65" s="905">
        <v>5356797.6596087851</v>
      </c>
      <c r="G65" s="905">
        <v>740592.9</v>
      </c>
      <c r="H65" s="905">
        <v>2233609</v>
      </c>
      <c r="I65" s="905">
        <v>3455038.83</v>
      </c>
      <c r="J65" s="905">
        <v>3455038.83</v>
      </c>
      <c r="K65" s="886"/>
      <c r="L65" s="905">
        <v>13735.3786143815</v>
      </c>
      <c r="N65" s="905">
        <v>3817.4891752577319</v>
      </c>
      <c r="O65" s="905">
        <v>11755.836842105264</v>
      </c>
      <c r="P65" s="905">
        <v>12518.256630434782</v>
      </c>
      <c r="Q65" s="905">
        <v>12518.256630434782</v>
      </c>
      <c r="R65" s="886"/>
      <c r="S65" s="905">
        <v>9363.8608825992578</v>
      </c>
      <c r="T65" s="905">
        <v>4371.5177317822418</v>
      </c>
      <c r="U65" s="906">
        <v>0.46684992297416306</v>
      </c>
      <c r="V65" s="888"/>
      <c r="W65" s="888"/>
      <c r="X65" s="888"/>
      <c r="Y65" s="888"/>
      <c r="Z65" s="888">
        <v>1</v>
      </c>
    </row>
    <row r="66" spans="1:26" ht="15.6">
      <c r="A66" s="886" t="s">
        <v>1460</v>
      </c>
      <c r="B66" s="886"/>
      <c r="C66" s="944">
        <v>0.05</v>
      </c>
      <c r="D66" s="888">
        <v>55</v>
      </c>
      <c r="E66" s="905">
        <v>3816718.3324712589</v>
      </c>
      <c r="G66" s="905">
        <v>1577783.21</v>
      </c>
      <c r="H66" s="905">
        <v>1591447</v>
      </c>
      <c r="I66" s="905">
        <v>226550.46</v>
      </c>
      <c r="J66" s="905">
        <v>226550.46</v>
      </c>
      <c r="K66" s="886"/>
      <c r="L66" s="905">
        <v>9786.4572627468169</v>
      </c>
      <c r="N66" s="905">
        <v>8132.9031443298963</v>
      </c>
      <c r="O66" s="905">
        <v>8376.0368421052626</v>
      </c>
      <c r="P66" s="905">
        <v>820.83499999999992</v>
      </c>
      <c r="Q66" s="905">
        <v>820.83499999999992</v>
      </c>
      <c r="R66" s="886"/>
      <c r="S66" s="905">
        <v>5776.5916621450524</v>
      </c>
      <c r="T66" s="905">
        <v>4009.8656006017645</v>
      </c>
      <c r="U66" s="906">
        <v>0.69415770321434833</v>
      </c>
      <c r="V66" s="888"/>
      <c r="W66" s="888"/>
      <c r="X66" s="888"/>
      <c r="Y66" s="888"/>
      <c r="Z66" s="888">
        <v>1</v>
      </c>
    </row>
    <row r="67" spans="1:26" ht="15.6">
      <c r="A67" s="886" t="s">
        <v>1461</v>
      </c>
      <c r="B67" s="886"/>
      <c r="C67" s="944">
        <v>0.05</v>
      </c>
      <c r="D67" s="921">
        <v>98</v>
      </c>
      <c r="E67" s="905">
        <v>1154981.706630552</v>
      </c>
      <c r="G67" s="905">
        <v>502120.57</v>
      </c>
      <c r="H67" s="905">
        <v>822926.61</v>
      </c>
      <c r="I67" s="905">
        <v>388603.66</v>
      </c>
      <c r="J67" s="905">
        <v>388603.66</v>
      </c>
      <c r="K67" s="886"/>
      <c r="L67" s="905">
        <v>2961.4915554629538</v>
      </c>
      <c r="N67" s="905">
        <v>2588.2503608247425</v>
      </c>
      <c r="O67" s="905">
        <v>4331.1926842105258</v>
      </c>
      <c r="P67" s="905">
        <v>1407.9842753623188</v>
      </c>
      <c r="Q67" s="905">
        <v>1407.9842753623188</v>
      </c>
      <c r="R67" s="886"/>
      <c r="S67" s="905">
        <v>2775.8091067991954</v>
      </c>
      <c r="T67" s="905">
        <v>185.68244866375835</v>
      </c>
      <c r="U67" s="906">
        <v>6.6893090093601601E-2</v>
      </c>
      <c r="V67" s="888"/>
      <c r="W67" s="888"/>
      <c r="X67" s="888"/>
      <c r="Y67" s="888"/>
      <c r="Z67" s="888">
        <v>0</v>
      </c>
    </row>
    <row r="68" spans="1:26" ht="15.6">
      <c r="A68" s="925" t="s">
        <v>1462</v>
      </c>
      <c r="B68" s="886"/>
      <c r="C68" s="944">
        <v>0.14999653890565817</v>
      </c>
      <c r="D68" s="921">
        <v>96</v>
      </c>
      <c r="E68" s="947">
        <v>15862000</v>
      </c>
      <c r="G68" s="947">
        <v>7780000</v>
      </c>
      <c r="H68" s="947">
        <v>7744000</v>
      </c>
      <c r="I68" s="947">
        <v>10250000</v>
      </c>
      <c r="J68" s="947">
        <v>10250000</v>
      </c>
      <c r="K68" s="886"/>
      <c r="L68" s="947">
        <v>40671.794871794875</v>
      </c>
      <c r="N68" s="947">
        <v>40103.092783505155</v>
      </c>
      <c r="O68" s="947">
        <v>40757.894736842107</v>
      </c>
      <c r="P68" s="947">
        <v>37137.681159420288</v>
      </c>
      <c r="Q68" s="947">
        <v>37137.681159420288</v>
      </c>
      <c r="R68" s="886"/>
      <c r="S68" s="947">
        <v>39332.889559922514</v>
      </c>
      <c r="T68" s="947">
        <v>1338.9053118723605</v>
      </c>
      <c r="U68" s="948">
        <v>3.4040349612061357E-2</v>
      </c>
      <c r="V68" s="888"/>
      <c r="W68" s="888"/>
      <c r="X68" s="888"/>
      <c r="Y68" s="888"/>
      <c r="Z68" s="888">
        <v>0</v>
      </c>
    </row>
    <row r="69" spans="1:26" ht="16.149999999999999" thickBot="1">
      <c r="A69" s="912" t="s">
        <v>1463</v>
      </c>
      <c r="B69" s="886"/>
      <c r="C69" s="886"/>
      <c r="D69" s="888"/>
      <c r="E69" s="949">
        <v>33004561.639923882</v>
      </c>
      <c r="G69" s="949">
        <v>14414212.470000001</v>
      </c>
      <c r="H69" s="949">
        <v>14749669.060000001</v>
      </c>
      <c r="I69" s="949">
        <v>17452414.170000002</v>
      </c>
      <c r="J69" s="949">
        <v>17452414.170000002</v>
      </c>
      <c r="K69" s="912"/>
      <c r="L69" s="949">
        <v>84627.081128009959</v>
      </c>
      <c r="N69" s="949">
        <v>74300.064278350517</v>
      </c>
      <c r="O69" s="949">
        <v>77629.837157894741</v>
      </c>
      <c r="P69" s="949">
        <v>63233.384673913039</v>
      </c>
      <c r="Q69" s="949">
        <v>63233.384673913039</v>
      </c>
      <c r="R69" s="912"/>
      <c r="S69" s="949">
        <v>71721.095370052761</v>
      </c>
      <c r="T69" s="949">
        <v>12905.985757957198</v>
      </c>
      <c r="U69" s="950">
        <v>0.17994685791352413</v>
      </c>
      <c r="V69" s="916">
        <v>1.0951784259811981</v>
      </c>
      <c r="W69" s="916"/>
      <c r="X69" s="916"/>
      <c r="Y69" s="916"/>
      <c r="Z69" s="886"/>
    </row>
    <row r="70" spans="1:26" ht="16.149999999999999" thickTop="1">
      <c r="A70" s="886"/>
      <c r="B70" s="886"/>
      <c r="C70" s="886"/>
      <c r="D70" s="888"/>
      <c r="E70" s="941"/>
      <c r="G70" s="941"/>
      <c r="H70" s="941"/>
      <c r="I70" s="941"/>
      <c r="J70" s="941"/>
      <c r="K70" s="886"/>
      <c r="L70" s="941"/>
      <c r="N70" s="941"/>
      <c r="O70" s="941"/>
      <c r="P70" s="941"/>
      <c r="Q70" s="941"/>
      <c r="R70" s="886"/>
      <c r="S70" s="941"/>
      <c r="T70" s="941"/>
      <c r="U70" s="943"/>
      <c r="V70" s="888"/>
      <c r="W70" s="888"/>
      <c r="X70" s="888"/>
      <c r="Y70" s="888"/>
      <c r="Z70" s="886"/>
    </row>
    <row r="71" spans="1:26" ht="16.149999999999999" thickBot="1">
      <c r="A71" s="930" t="s">
        <v>1464</v>
      </c>
      <c r="B71" s="931"/>
      <c r="C71" s="931"/>
      <c r="D71" s="932"/>
      <c r="E71" s="933">
        <v>121594484.11366612</v>
      </c>
      <c r="G71" s="933">
        <v>52879488.420000002</v>
      </c>
      <c r="H71" s="933">
        <v>54133935.630000003</v>
      </c>
      <c r="I71" s="933">
        <v>77522171.610000014</v>
      </c>
      <c r="J71" s="933">
        <v>77522171.610000014</v>
      </c>
      <c r="K71" s="912"/>
      <c r="L71" s="933">
        <v>311780.7284965798</v>
      </c>
      <c r="N71" s="933">
        <v>272574.68257731962</v>
      </c>
      <c r="O71" s="933">
        <v>284915.45068421052</v>
      </c>
      <c r="P71" s="933">
        <v>280877.43336956517</v>
      </c>
      <c r="Q71" s="933">
        <v>280877.43336956517</v>
      </c>
      <c r="R71" s="912"/>
      <c r="S71" s="933">
        <v>279455.85554369848</v>
      </c>
      <c r="T71" s="933">
        <v>32324.872952881327</v>
      </c>
      <c r="U71" s="934">
        <v>0.11567076628253614</v>
      </c>
      <c r="V71" s="916"/>
      <c r="W71" s="916"/>
      <c r="X71" s="916"/>
      <c r="Y71" s="916"/>
      <c r="Z71" s="886"/>
    </row>
    <row r="72" spans="1:26" ht="16.149999999999999" thickTop="1">
      <c r="A72" s="886"/>
      <c r="B72" s="886"/>
      <c r="C72" s="886"/>
      <c r="D72" s="888"/>
      <c r="E72" s="941"/>
      <c r="G72" s="941"/>
      <c r="H72" s="941"/>
      <c r="I72" s="941"/>
      <c r="J72" s="941"/>
      <c r="K72" s="886"/>
      <c r="L72" s="941"/>
      <c r="N72" s="941"/>
      <c r="O72" s="941"/>
      <c r="P72" s="941"/>
      <c r="Q72" s="941"/>
      <c r="R72" s="886"/>
      <c r="S72" s="941"/>
      <c r="T72" s="941"/>
      <c r="U72" s="943"/>
      <c r="V72" s="888"/>
      <c r="W72" s="888"/>
      <c r="X72" s="888"/>
      <c r="Y72" s="888"/>
      <c r="Z72" s="886"/>
    </row>
    <row r="73" spans="1:26" ht="15.6">
      <c r="A73" s="886" t="s">
        <v>1465</v>
      </c>
      <c r="B73" s="886"/>
      <c r="C73" s="886"/>
      <c r="D73" s="921">
        <v>60</v>
      </c>
      <c r="E73" s="951">
        <v>16622.603900000002</v>
      </c>
      <c r="G73" s="951">
        <v>5500000</v>
      </c>
      <c r="H73" s="951">
        <v>6255043.1299999999</v>
      </c>
      <c r="I73" s="951">
        <v>131813.6</v>
      </c>
      <c r="J73" s="951">
        <v>131813.6</v>
      </c>
      <c r="K73" s="886"/>
      <c r="L73" s="951">
        <v>42.622061282051284</v>
      </c>
      <c r="N73" s="951">
        <v>28350.515463917527</v>
      </c>
      <c r="O73" s="951">
        <v>32921.279631578946</v>
      </c>
      <c r="P73" s="951">
        <v>477.58550724637684</v>
      </c>
      <c r="Q73" s="951">
        <v>477.58550724637684</v>
      </c>
      <c r="R73" s="886"/>
      <c r="S73" s="951">
        <v>20583.126867580952</v>
      </c>
      <c r="T73" s="951">
        <v>-20540.504806298901</v>
      </c>
      <c r="U73" s="952">
        <v>-0.99792927179838831</v>
      </c>
      <c r="V73" s="916">
        <v>-1.7430297959806775</v>
      </c>
      <c r="W73" s="916"/>
      <c r="X73" s="916"/>
      <c r="Y73" s="916"/>
      <c r="Z73" s="888">
        <v>1</v>
      </c>
    </row>
    <row r="74" spans="1:26" ht="15.6">
      <c r="A74" s="886"/>
      <c r="B74" s="886"/>
      <c r="C74" s="886"/>
      <c r="D74" s="888"/>
      <c r="E74" s="941"/>
      <c r="G74" s="941"/>
      <c r="H74" s="941"/>
      <c r="I74" s="941"/>
      <c r="J74" s="941"/>
      <c r="K74" s="886"/>
      <c r="L74" s="941"/>
      <c r="N74" s="941"/>
      <c r="O74" s="941"/>
      <c r="P74" s="941"/>
      <c r="Q74" s="941"/>
      <c r="R74" s="886"/>
      <c r="S74" s="941"/>
      <c r="T74" s="941"/>
      <c r="U74" s="943"/>
      <c r="V74" s="888"/>
      <c r="W74" s="888"/>
      <c r="X74" s="888"/>
      <c r="Y74" s="888"/>
      <c r="Z74" s="886"/>
    </row>
    <row r="75" spans="1:26" ht="16.149999999999999" thickBot="1">
      <c r="A75" s="930" t="s">
        <v>1466</v>
      </c>
      <c r="B75" s="931"/>
      <c r="C75" s="931"/>
      <c r="D75" s="932"/>
      <c r="E75" s="933">
        <v>121611106.71756612</v>
      </c>
      <c r="G75" s="933">
        <v>58379488.420000002</v>
      </c>
      <c r="H75" s="933">
        <v>60388978.760000005</v>
      </c>
      <c r="I75" s="933">
        <v>77653985.210000008</v>
      </c>
      <c r="J75" s="933">
        <v>77653985.210000008</v>
      </c>
      <c r="K75" s="912"/>
      <c r="L75" s="933">
        <v>311823.35055786185</v>
      </c>
      <c r="N75" s="933">
        <v>300925.19804123713</v>
      </c>
      <c r="O75" s="933">
        <v>317836.73031578946</v>
      </c>
      <c r="P75" s="933">
        <v>281355.01887681155</v>
      </c>
      <c r="Q75" s="933">
        <v>281355.01887681155</v>
      </c>
      <c r="R75" s="912"/>
      <c r="S75" s="933">
        <v>300038.98241127934</v>
      </c>
      <c r="T75" s="933">
        <v>11784.368146582507</v>
      </c>
      <c r="U75" s="934">
        <v>3.9276123561934523E-2</v>
      </c>
      <c r="V75" s="916">
        <v>1</v>
      </c>
      <c r="W75" s="916"/>
      <c r="X75" s="916"/>
      <c r="Y75" s="916"/>
      <c r="Z75" s="886"/>
    </row>
    <row r="76" spans="1:26" ht="16.149999999999999" thickTop="1">
      <c r="A76" s="886"/>
      <c r="B76" s="886"/>
      <c r="C76" s="886"/>
      <c r="D76" s="888"/>
      <c r="E76" s="938"/>
      <c r="G76" s="938"/>
      <c r="H76" s="938"/>
      <c r="I76" s="886"/>
      <c r="J76" s="886"/>
      <c r="K76" s="886"/>
      <c r="L76" s="953"/>
      <c r="N76" s="953"/>
      <c r="O76" s="887"/>
      <c r="P76" s="886"/>
      <c r="Q76" s="886"/>
      <c r="R76" s="886"/>
      <c r="S76" s="887"/>
      <c r="T76" s="887"/>
      <c r="U76" s="887"/>
      <c r="V76" s="888"/>
      <c r="W76" s="888"/>
      <c r="X76" s="888"/>
      <c r="Y76" s="888"/>
      <c r="Z76" s="886"/>
    </row>
    <row r="77" spans="1:26" ht="15.6">
      <c r="A77" s="886"/>
      <c r="B77" s="886"/>
      <c r="C77" s="886"/>
      <c r="D77" s="888"/>
      <c r="E77" s="938"/>
      <c r="G77" s="938"/>
      <c r="H77" s="938"/>
      <c r="I77" s="886"/>
      <c r="J77" s="886"/>
      <c r="K77" s="886"/>
      <c r="L77" s="953"/>
      <c r="N77" s="953"/>
      <c r="O77" s="887"/>
      <c r="P77" s="886"/>
      <c r="Q77" s="886"/>
      <c r="R77" s="886"/>
      <c r="S77" s="887"/>
      <c r="T77" s="887"/>
      <c r="U77" s="887"/>
      <c r="V77" s="888"/>
      <c r="W77" s="888"/>
      <c r="X77" s="888"/>
      <c r="Y77" s="888"/>
      <c r="Z77" s="886"/>
    </row>
    <row r="78" spans="1:26" ht="15.6">
      <c r="A78" s="912" t="s">
        <v>1467</v>
      </c>
      <c r="B78" s="886"/>
      <c r="C78" s="886"/>
      <c r="D78" s="888"/>
      <c r="E78" s="954"/>
      <c r="G78" s="954"/>
      <c r="H78" s="954"/>
      <c r="I78" s="886"/>
      <c r="J78" s="886"/>
      <c r="K78" s="886"/>
      <c r="L78" s="953"/>
      <c r="N78" s="953"/>
      <c r="O78" s="887"/>
      <c r="P78" s="886"/>
      <c r="Q78" s="886"/>
      <c r="R78" s="886"/>
      <c r="S78" s="887"/>
      <c r="T78" s="887"/>
      <c r="U78" s="887"/>
      <c r="V78" s="888"/>
      <c r="W78" s="888"/>
      <c r="X78" s="888"/>
      <c r="Y78" s="888"/>
      <c r="Z78" s="886"/>
    </row>
    <row r="79" spans="1:26" ht="15.6">
      <c r="A79" s="886"/>
      <c r="B79" s="886"/>
      <c r="C79" s="886"/>
      <c r="D79" s="888"/>
      <c r="E79" s="941"/>
      <c r="G79" s="941"/>
      <c r="H79" s="941"/>
      <c r="I79" s="941"/>
      <c r="J79" s="941"/>
      <c r="K79" s="886"/>
      <c r="L79" s="941"/>
      <c r="N79" s="941"/>
      <c r="O79" s="941"/>
      <c r="P79" s="941"/>
      <c r="Q79" s="941"/>
      <c r="R79" s="886"/>
      <c r="S79" s="941"/>
      <c r="T79" s="941"/>
      <c r="U79" s="943"/>
      <c r="V79" s="888"/>
      <c r="W79" s="888"/>
      <c r="X79" s="888"/>
      <c r="Y79" s="888"/>
      <c r="Z79" s="886"/>
    </row>
    <row r="80" spans="1:26" ht="15.6">
      <c r="A80" s="886" t="s">
        <v>1468</v>
      </c>
      <c r="B80" s="886"/>
      <c r="C80" s="886"/>
      <c r="D80" s="888"/>
      <c r="E80" s="951"/>
      <c r="G80" s="951"/>
      <c r="H80" s="951"/>
      <c r="I80" s="951"/>
      <c r="J80" s="951"/>
      <c r="K80" s="886"/>
      <c r="L80" s="951">
        <v>0</v>
      </c>
      <c r="N80" s="951"/>
      <c r="O80" s="951"/>
      <c r="P80" s="951"/>
      <c r="Q80" s="951"/>
      <c r="R80" s="955"/>
      <c r="S80" s="951">
        <v>0</v>
      </c>
      <c r="T80" s="951">
        <v>0</v>
      </c>
      <c r="U80" s="952" t="s">
        <v>231</v>
      </c>
      <c r="V80" s="955"/>
      <c r="W80" s="955"/>
      <c r="X80" s="955"/>
      <c r="Y80" s="955"/>
      <c r="Z80" s="888">
        <v>0</v>
      </c>
    </row>
    <row r="81" spans="26:26" ht="15.6">
      <c r="Z81" s="888"/>
    </row>
    <row r="82" spans="26:26" ht="15.6">
      <c r="Z82" s="888"/>
    </row>
    <row r="83" spans="26:26" ht="15.6">
      <c r="Z83" s="888"/>
    </row>
    <row r="84" spans="26:26" ht="15.6">
      <c r="Z84" s="888"/>
    </row>
    <row r="85" spans="26:26" ht="15.6">
      <c r="Z85" s="888"/>
    </row>
    <row r="86" spans="26:26" ht="15.6">
      <c r="Z86" s="888"/>
    </row>
    <row r="87" spans="26:26" ht="15.6">
      <c r="Z87" s="888"/>
    </row>
    <row r="88" spans="26:26" ht="15.6">
      <c r="Z88" s="888"/>
    </row>
    <row r="89" spans="26:26" ht="15.6">
      <c r="Z89" s="888"/>
    </row>
    <row r="90" spans="26:26" ht="15.6">
      <c r="Z90" s="888"/>
    </row>
    <row r="91" spans="26:26" ht="15.6">
      <c r="Z91" s="888"/>
    </row>
    <row r="92" spans="26:26" ht="15.6">
      <c r="Z92" s="888"/>
    </row>
    <row r="93" spans="26:26" ht="15.6" collapsed="1">
      <c r="Z93" s="888"/>
    </row>
    <row r="94" spans="26:26" ht="15.6">
      <c r="Z94" s="888"/>
    </row>
    <row r="95" spans="26:26" ht="15.6">
      <c r="Z95" s="888"/>
    </row>
    <row r="96" spans="26:26" ht="15.6">
      <c r="Z96" s="888"/>
    </row>
    <row r="97" spans="1:26" ht="15.6">
      <c r="A97" s="956" t="s">
        <v>901</v>
      </c>
      <c r="B97" s="956"/>
      <c r="C97" s="956"/>
      <c r="D97" s="956"/>
      <c r="E97" s="957">
        <v>0</v>
      </c>
      <c r="F97" s="956"/>
      <c r="G97" s="957">
        <v>0</v>
      </c>
      <c r="H97" s="957">
        <v>0</v>
      </c>
      <c r="I97" s="957">
        <v>0</v>
      </c>
      <c r="J97" s="957">
        <v>0</v>
      </c>
      <c r="L97" s="957">
        <v>0</v>
      </c>
      <c r="N97" s="957">
        <v>0</v>
      </c>
      <c r="O97" s="957">
        <v>0</v>
      </c>
      <c r="P97" s="957">
        <v>0</v>
      </c>
      <c r="Q97" s="957">
        <v>0</v>
      </c>
      <c r="Z97" s="888"/>
    </row>
    <row r="98" spans="1:26" ht="15.6">
      <c r="Z98" s="888"/>
    </row>
    <row r="99" spans="1:26" ht="15.6">
      <c r="Z99" s="888"/>
    </row>
    <row r="100" spans="1:26" ht="15.6">
      <c r="Z100" s="888"/>
    </row>
    <row r="101" spans="1:26" ht="15.6">
      <c r="Z101" s="888"/>
    </row>
    <row r="102" spans="1:26" ht="15.6">
      <c r="Z102" s="888"/>
    </row>
    <row r="103" spans="1:26" ht="16.149999999999999" thickBot="1">
      <c r="Z103" s="888"/>
    </row>
    <row r="104" spans="1:26" ht="16.149999999999999" thickBot="1">
      <c r="H104" s="958" t="s">
        <v>1469</v>
      </c>
      <c r="I104" s="959"/>
      <c r="J104" s="960"/>
      <c r="K104" s="960"/>
      <c r="L104" s="961"/>
      <c r="M104" s="961"/>
      <c r="N104" s="962">
        <v>1</v>
      </c>
      <c r="O104" s="962">
        <v>1</v>
      </c>
      <c r="P104" s="962">
        <v>0</v>
      </c>
      <c r="Q104" s="962">
        <v>1</v>
      </c>
      <c r="Z104" s="888"/>
    </row>
    <row r="105" spans="1:26" ht="15.6">
      <c r="Z105" s="888"/>
    </row>
    <row r="106" spans="1:26" ht="15.6">
      <c r="Z106" s="886"/>
    </row>
    <row r="107" spans="1:26" ht="15.6">
      <c r="Z107" s="886"/>
    </row>
    <row r="108" spans="1:26" ht="15.6">
      <c r="Z108" s="886"/>
    </row>
    <row r="109" spans="1:26" ht="15.6">
      <c r="Z109" s="886"/>
    </row>
    <row r="110" spans="1:26" ht="15.6">
      <c r="Z110" s="886"/>
    </row>
    <row r="111" spans="1:26" ht="15.6">
      <c r="Z111" s="886"/>
    </row>
    <row r="112" spans="1:26" ht="15.6">
      <c r="Z112" s="886"/>
    </row>
    <row r="113" spans="26:26" ht="15.6">
      <c r="Z113" s="886"/>
    </row>
    <row r="114" spans="26:26" ht="15.6">
      <c r="Z114" s="886"/>
    </row>
    <row r="115" spans="26:26" ht="15.6">
      <c r="Z115" s="886"/>
    </row>
    <row r="116" spans="26:26" ht="15.6">
      <c r="Z116" s="886"/>
    </row>
    <row r="117" spans="26:26" ht="15.6">
      <c r="Z117" s="886"/>
    </row>
    <row r="118" spans="26:26" ht="15.6">
      <c r="Z118" s="886"/>
    </row>
    <row r="119" spans="26:26" ht="15.6">
      <c r="Z119" s="886"/>
    </row>
    <row r="120" spans="26:26" ht="15.6">
      <c r="Z120" s="886"/>
    </row>
    <row r="121" spans="26:26" ht="15.6">
      <c r="Z121" s="886"/>
    </row>
    <row r="122" spans="26:26" ht="15.6">
      <c r="Z122" s="886"/>
    </row>
    <row r="123" spans="26:26" ht="15.6">
      <c r="Z123" s="886"/>
    </row>
    <row r="124" spans="26:26" ht="15.6">
      <c r="Z124" s="886"/>
    </row>
    <row r="125" spans="26:26" ht="15.6">
      <c r="Z125" s="886"/>
    </row>
    <row r="126" spans="26:26" ht="15.6">
      <c r="Z126" s="886"/>
    </row>
    <row r="127" spans="26:26" ht="15.6">
      <c r="Z127" s="886"/>
    </row>
    <row r="128" spans="26:26" ht="15.6">
      <c r="Z128" s="886"/>
    </row>
    <row r="129" spans="26:26" ht="15.6">
      <c r="Z129" s="886"/>
    </row>
    <row r="130" spans="26:26" ht="15.6">
      <c r="Z130" s="886"/>
    </row>
    <row r="131" spans="26:26" ht="15.6">
      <c r="Z131" s="886"/>
    </row>
    <row r="132" spans="26:26" ht="15.6">
      <c r="Z132" s="886"/>
    </row>
    <row r="133" spans="26:26" ht="15.6">
      <c r="Z133" s="886"/>
    </row>
    <row r="134" spans="26:26" ht="15.6">
      <c r="Z134" s="886"/>
    </row>
    <row r="135" spans="26:26" ht="15.6">
      <c r="Z135" s="886"/>
    </row>
    <row r="136" spans="26:26" ht="15.6">
      <c r="Z136" s="886"/>
    </row>
    <row r="137" spans="26:26" ht="15.6">
      <c r="Z137" s="886"/>
    </row>
    <row r="138" spans="26:26" ht="15.6">
      <c r="Z138" s="886"/>
    </row>
    <row r="139" spans="26:26" ht="15.6">
      <c r="Z139" s="886"/>
    </row>
    <row r="140" spans="26:26" ht="15.6">
      <c r="Z140" s="886"/>
    </row>
    <row r="141" spans="26:26" ht="15.6">
      <c r="Z141" s="886"/>
    </row>
    <row r="142" spans="26:26" ht="15.6">
      <c r="Z142" s="886"/>
    </row>
    <row r="143" spans="26:26" ht="15.6">
      <c r="Z143" s="886"/>
    </row>
    <row r="144" spans="26:26" ht="15.6">
      <c r="Z144" s="886"/>
    </row>
  </sheetData>
  <mergeCells count="3">
    <mergeCell ref="T3:U4"/>
    <mergeCell ref="G4:J4"/>
    <mergeCell ref="N4:Q4"/>
  </mergeCells>
  <conditionalFormatting sqref="T7:U33 T62:U68">
    <cfRule type="expression" dxfId="8" priority="7">
      <formula>$Z7&gt;0</formula>
    </cfRule>
    <cfRule type="expression" dxfId="7" priority="9">
      <formula>$AE7=1</formula>
    </cfRule>
  </conditionalFormatting>
  <conditionalFormatting sqref="T37:U51">
    <cfRule type="expression" dxfId="6" priority="5">
      <formula>$Z37&gt;0</formula>
    </cfRule>
    <cfRule type="expression" dxfId="5" priority="6">
      <formula>$AE37=1</formula>
    </cfRule>
  </conditionalFormatting>
  <conditionalFormatting sqref="T54:U54">
    <cfRule type="expression" dxfId="4" priority="3">
      <formula>$Z54&gt;0</formula>
    </cfRule>
    <cfRule type="expression" dxfId="3" priority="4">
      <formula>$AE54=1</formula>
    </cfRule>
  </conditionalFormatting>
  <conditionalFormatting sqref="T73:U73">
    <cfRule type="expression" dxfId="2" priority="1">
      <formula>$Z73&gt;0</formula>
    </cfRule>
    <cfRule type="expression" dxfId="1" priority="2">
      <formula>$AE73=1</formula>
    </cfRule>
  </conditionalFormatting>
  <conditionalFormatting sqref="T80:U80">
    <cfRule type="expression" dxfId="0" priority="8">
      <formula>$AE80=1</formula>
    </cfRule>
  </conditionalFormatting>
  <printOptions horizontalCentered="1"/>
  <pageMargins left="0" right="0.25" top="0" bottom="0" header="0.05" footer="0"/>
  <pageSetup paperSize="3" scale="6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DDE7-F002-422A-BC3E-2B1ADE3C2BA0}">
  <dimension ref="A1:O35"/>
  <sheetViews>
    <sheetView showGridLines="0" workbookViewId="0">
      <selection activeCell="N32" sqref="N32"/>
    </sheetView>
  </sheetViews>
  <sheetFormatPr defaultColWidth="9.140625" defaultRowHeight="13.9"/>
  <cols>
    <col min="1" max="1" width="32" style="503" bestFit="1" customWidth="1"/>
    <col min="2" max="2" width="16.28515625" style="503" bestFit="1" customWidth="1"/>
    <col min="3" max="3" width="14" style="503" bestFit="1" customWidth="1"/>
    <col min="4" max="4" width="16.140625" style="503" bestFit="1" customWidth="1"/>
    <col min="5" max="5" width="22" style="503" bestFit="1" customWidth="1"/>
    <col min="6" max="6" width="16.28515625" style="503" bestFit="1" customWidth="1"/>
    <col min="7" max="7" width="16.42578125" style="503" bestFit="1" customWidth="1"/>
    <col min="8" max="8" width="15.7109375" style="503" bestFit="1" customWidth="1"/>
    <col min="9" max="9" width="11.28515625" style="503" bestFit="1" customWidth="1"/>
    <col min="10" max="10" width="12.5703125" style="503" bestFit="1" customWidth="1"/>
    <col min="11" max="11" width="14" style="503" bestFit="1" customWidth="1"/>
    <col min="12" max="12" width="10" style="503" bestFit="1" customWidth="1"/>
    <col min="13" max="13" width="16.140625" style="503" bestFit="1" customWidth="1"/>
    <col min="14" max="14" width="21.5703125" style="503" bestFit="1" customWidth="1"/>
    <col min="15" max="15" width="10.42578125" style="503" bestFit="1" customWidth="1"/>
    <col min="16" max="16384" width="9.140625" style="503"/>
  </cols>
  <sheetData>
    <row r="1" spans="1:15">
      <c r="A1" s="1133"/>
      <c r="B1" s="1133"/>
      <c r="C1" s="1133"/>
      <c r="D1" s="1133"/>
      <c r="E1" s="1133"/>
      <c r="F1" s="1133"/>
      <c r="G1" s="1133"/>
      <c r="H1" s="1133"/>
      <c r="I1" s="1133"/>
      <c r="J1" s="1133"/>
      <c r="K1" s="1133"/>
      <c r="L1" s="1133"/>
      <c r="M1" s="1133"/>
      <c r="N1" s="1133"/>
      <c r="O1" s="1133"/>
    </row>
    <row r="2" spans="1:15" ht="15" customHeight="1">
      <c r="A2" s="1134" t="s">
        <v>1470</v>
      </c>
      <c r="B2" s="1134"/>
      <c r="C2" s="1134"/>
      <c r="D2" s="1134"/>
      <c r="E2" s="1134"/>
      <c r="F2" s="1134"/>
      <c r="G2" s="1134"/>
      <c r="H2" s="1134"/>
      <c r="I2" s="1134"/>
      <c r="J2" s="1134"/>
      <c r="K2" s="1134"/>
      <c r="L2" s="1134"/>
      <c r="M2" s="1134"/>
      <c r="N2" s="1134"/>
      <c r="O2" s="1134"/>
    </row>
    <row r="3" spans="1:15" ht="15" customHeight="1">
      <c r="A3" s="1134" t="s">
        <v>1471</v>
      </c>
      <c r="B3" s="1134"/>
      <c r="C3" s="1134"/>
      <c r="D3" s="1134"/>
      <c r="E3" s="1134"/>
      <c r="F3" s="1134"/>
      <c r="G3" s="1134"/>
      <c r="H3" s="1134"/>
      <c r="I3" s="1134"/>
      <c r="J3" s="1134"/>
      <c r="K3" s="1134"/>
      <c r="L3" s="1134"/>
      <c r="M3" s="1134"/>
      <c r="N3" s="1134"/>
      <c r="O3" s="1134"/>
    </row>
    <row r="4" spans="1:15">
      <c r="A4" s="504"/>
    </row>
    <row r="5" spans="1:15">
      <c r="A5" s="1135" t="s">
        <v>203</v>
      </c>
      <c r="B5" s="1131" t="s">
        <v>1472</v>
      </c>
      <c r="C5" s="1131" t="s">
        <v>1473</v>
      </c>
      <c r="D5" s="1131" t="s">
        <v>1474</v>
      </c>
      <c r="E5" s="1131" t="s">
        <v>1475</v>
      </c>
      <c r="F5" s="1131" t="s">
        <v>1476</v>
      </c>
      <c r="G5" s="1131" t="s">
        <v>1477</v>
      </c>
      <c r="H5" s="1131" t="s">
        <v>1478</v>
      </c>
      <c r="I5" s="1131" t="s">
        <v>1479</v>
      </c>
      <c r="J5" s="1131" t="s">
        <v>1480</v>
      </c>
      <c r="K5" s="1131" t="s">
        <v>1481</v>
      </c>
      <c r="L5" s="505" t="s">
        <v>1482</v>
      </c>
      <c r="M5" s="1131" t="s">
        <v>1483</v>
      </c>
      <c r="N5" s="1131" t="s">
        <v>1484</v>
      </c>
      <c r="O5" s="1135" t="s">
        <v>1485</v>
      </c>
    </row>
    <row r="6" spans="1:15">
      <c r="A6" s="1135"/>
      <c r="B6" s="1131"/>
      <c r="C6" s="1131"/>
      <c r="D6" s="1131"/>
      <c r="E6" s="1131"/>
      <c r="F6" s="1131"/>
      <c r="G6" s="1131"/>
      <c r="H6" s="1131"/>
      <c r="I6" s="1131"/>
      <c r="J6" s="1131"/>
      <c r="K6" s="1131"/>
      <c r="L6" s="505" t="s">
        <v>1486</v>
      </c>
      <c r="M6" s="1131"/>
      <c r="N6" s="1131"/>
      <c r="O6" s="1135"/>
    </row>
    <row r="7" spans="1:15" ht="15" customHeight="1">
      <c r="A7" s="506" t="s">
        <v>881</v>
      </c>
      <c r="B7" s="506"/>
      <c r="C7" s="506"/>
      <c r="D7" s="506"/>
      <c r="E7" s="506"/>
      <c r="F7" s="506"/>
      <c r="G7" s="506"/>
      <c r="H7" s="506"/>
      <c r="I7" s="506"/>
      <c r="J7" s="506"/>
      <c r="K7" s="506"/>
      <c r="L7" s="506"/>
      <c r="M7" s="506"/>
      <c r="N7" s="506"/>
      <c r="O7" s="506"/>
    </row>
    <row r="8" spans="1:15" ht="14.45" thickBot="1">
      <c r="A8" s="526" t="s">
        <v>1487</v>
      </c>
      <c r="B8" s="510">
        <v>7000</v>
      </c>
      <c r="C8" s="509">
        <v>0</v>
      </c>
      <c r="D8" s="510">
        <v>7000</v>
      </c>
      <c r="E8" s="509">
        <v>0</v>
      </c>
      <c r="F8" s="509">
        <v>0</v>
      </c>
      <c r="G8" s="509">
        <v>0</v>
      </c>
      <c r="H8" s="509">
        <v>0</v>
      </c>
      <c r="I8" s="510">
        <v>7000</v>
      </c>
      <c r="J8" s="508">
        <v>0</v>
      </c>
      <c r="K8" s="509">
        <v>0</v>
      </c>
      <c r="L8" s="510">
        <v>7000</v>
      </c>
      <c r="M8" s="509">
        <v>0</v>
      </c>
      <c r="N8" s="510">
        <v>7000</v>
      </c>
      <c r="O8" s="511">
        <v>0</v>
      </c>
    </row>
    <row r="9" spans="1:15">
      <c r="A9" s="527" t="s">
        <v>1488</v>
      </c>
      <c r="B9" s="513">
        <v>7000</v>
      </c>
      <c r="C9" s="514">
        <v>0</v>
      </c>
      <c r="D9" s="513">
        <v>7000</v>
      </c>
      <c r="E9" s="514">
        <v>0</v>
      </c>
      <c r="F9" s="514">
        <v>0</v>
      </c>
      <c r="G9" s="514">
        <v>0</v>
      </c>
      <c r="H9" s="514">
        <v>0</v>
      </c>
      <c r="I9" s="513">
        <v>7000</v>
      </c>
      <c r="J9" s="519">
        <v>0</v>
      </c>
      <c r="K9" s="514">
        <v>0</v>
      </c>
      <c r="L9" s="513">
        <v>7000</v>
      </c>
      <c r="M9" s="514">
        <v>0</v>
      </c>
      <c r="N9" s="513">
        <v>7000</v>
      </c>
      <c r="O9" s="516">
        <v>0</v>
      </c>
    </row>
    <row r="10" spans="1:15" ht="15" customHeight="1">
      <c r="A10" s="506" t="s">
        <v>889</v>
      </c>
      <c r="B10" s="506"/>
      <c r="C10" s="506"/>
      <c r="D10" s="506"/>
      <c r="E10" s="506"/>
      <c r="F10" s="506"/>
      <c r="G10" s="506"/>
      <c r="H10" s="506"/>
      <c r="I10" s="506"/>
      <c r="J10" s="506"/>
      <c r="K10" s="506"/>
      <c r="L10" s="506"/>
      <c r="M10" s="506"/>
      <c r="N10" s="506"/>
      <c r="O10" s="506"/>
    </row>
    <row r="11" spans="1:15" ht="14.45" thickBot="1">
      <c r="A11" s="526" t="s">
        <v>1489</v>
      </c>
      <c r="B11" s="510">
        <v>150000</v>
      </c>
      <c r="C11" s="509">
        <v>0</v>
      </c>
      <c r="D11" s="510">
        <v>150000</v>
      </c>
      <c r="E11" s="509">
        <v>0</v>
      </c>
      <c r="F11" s="509">
        <v>0</v>
      </c>
      <c r="G11" s="509">
        <v>0</v>
      </c>
      <c r="H11" s="509">
        <v>0</v>
      </c>
      <c r="I11" s="510">
        <v>150000</v>
      </c>
      <c r="J11" s="508">
        <v>0</v>
      </c>
      <c r="K11" s="509">
        <v>0</v>
      </c>
      <c r="L11" s="510">
        <v>150000</v>
      </c>
      <c r="M11" s="509">
        <v>0</v>
      </c>
      <c r="N11" s="510">
        <v>150000</v>
      </c>
      <c r="O11" s="511">
        <v>0</v>
      </c>
    </row>
    <row r="12" spans="1:15">
      <c r="A12" s="527" t="s">
        <v>1490</v>
      </c>
      <c r="B12" s="513">
        <v>150000</v>
      </c>
      <c r="C12" s="514">
        <v>0</v>
      </c>
      <c r="D12" s="513">
        <v>150000</v>
      </c>
      <c r="E12" s="514">
        <v>0</v>
      </c>
      <c r="F12" s="514">
        <v>0</v>
      </c>
      <c r="G12" s="514">
        <v>0</v>
      </c>
      <c r="H12" s="514">
        <v>0</v>
      </c>
      <c r="I12" s="513">
        <v>150000</v>
      </c>
      <c r="J12" s="519">
        <v>0</v>
      </c>
      <c r="K12" s="514">
        <v>0</v>
      </c>
      <c r="L12" s="513">
        <v>150000</v>
      </c>
      <c r="M12" s="514">
        <v>0</v>
      </c>
      <c r="N12" s="513">
        <v>150000</v>
      </c>
      <c r="O12" s="516">
        <v>0</v>
      </c>
    </row>
    <row r="13" spans="1:15" ht="15" customHeight="1">
      <c r="A13" s="506" t="s">
        <v>893</v>
      </c>
      <c r="B13" s="506"/>
      <c r="C13" s="506"/>
      <c r="D13" s="506"/>
      <c r="E13" s="506"/>
      <c r="F13" s="506"/>
      <c r="G13" s="506"/>
      <c r="H13" s="506"/>
      <c r="I13" s="506"/>
      <c r="J13" s="506"/>
      <c r="K13" s="506"/>
      <c r="L13" s="506"/>
      <c r="M13" s="506"/>
      <c r="N13" s="506"/>
      <c r="O13" s="506"/>
    </row>
    <row r="14" spans="1:15">
      <c r="A14" s="526" t="s">
        <v>1491</v>
      </c>
      <c r="B14" s="509">
        <v>0</v>
      </c>
      <c r="C14" s="510">
        <v>207254</v>
      </c>
      <c r="D14" s="510">
        <v>207254</v>
      </c>
      <c r="E14" s="510">
        <v>207254</v>
      </c>
      <c r="F14" s="509">
        <v>0</v>
      </c>
      <c r="G14" s="509">
        <v>0</v>
      </c>
      <c r="H14" s="510">
        <v>207254</v>
      </c>
      <c r="I14" s="517">
        <v>-3845.06</v>
      </c>
      <c r="J14" s="507">
        <v>3845.06</v>
      </c>
      <c r="K14" s="509">
        <v>0</v>
      </c>
      <c r="L14" s="510">
        <v>207254</v>
      </c>
      <c r="M14" s="510">
        <v>207254</v>
      </c>
      <c r="N14" s="510">
        <v>211099.06</v>
      </c>
      <c r="O14" s="511">
        <v>1.8200000000000001E-2</v>
      </c>
    </row>
    <row r="15" spans="1:15">
      <c r="A15" s="526" t="s">
        <v>1492</v>
      </c>
      <c r="B15" s="509">
        <v>0</v>
      </c>
      <c r="C15" s="509">
        <v>0</v>
      </c>
      <c r="D15" s="509">
        <v>0</v>
      </c>
      <c r="E15" s="510">
        <v>29080.400000000001</v>
      </c>
      <c r="F15" s="509">
        <v>0</v>
      </c>
      <c r="G15" s="509">
        <v>0</v>
      </c>
      <c r="H15" s="510">
        <v>29080.400000000001</v>
      </c>
      <c r="I15" s="517">
        <v>-29080.400000000001</v>
      </c>
      <c r="J15" s="508">
        <v>0</v>
      </c>
      <c r="K15" s="509">
        <v>0</v>
      </c>
      <c r="L15" s="510">
        <v>29080.400000000001</v>
      </c>
      <c r="M15" s="510">
        <v>29080.400000000001</v>
      </c>
      <c r="N15" s="510">
        <v>29080.400000000001</v>
      </c>
      <c r="O15" s="511">
        <v>0</v>
      </c>
    </row>
    <row r="16" spans="1:15" ht="14.45" thickBot="1">
      <c r="A16" s="526" t="s">
        <v>1493</v>
      </c>
      <c r="B16" s="509">
        <v>0</v>
      </c>
      <c r="C16" s="509">
        <v>0</v>
      </c>
      <c r="D16" s="509">
        <v>0</v>
      </c>
      <c r="E16" s="510">
        <v>50289.120000000003</v>
      </c>
      <c r="F16" s="509">
        <v>0</v>
      </c>
      <c r="G16" s="509">
        <v>0</v>
      </c>
      <c r="H16" s="510">
        <v>50289.120000000003</v>
      </c>
      <c r="I16" s="517">
        <v>-50289.120000000003</v>
      </c>
      <c r="J16" s="508">
        <v>0</v>
      </c>
      <c r="K16" s="509">
        <v>0</v>
      </c>
      <c r="L16" s="510">
        <v>50289.120000000003</v>
      </c>
      <c r="M16" s="510">
        <v>50289.120000000003</v>
      </c>
      <c r="N16" s="510">
        <v>50289.120000000003</v>
      </c>
      <c r="O16" s="511">
        <v>0</v>
      </c>
    </row>
    <row r="17" spans="1:15">
      <c r="A17" s="527" t="s">
        <v>1494</v>
      </c>
      <c r="B17" s="514">
        <v>0</v>
      </c>
      <c r="C17" s="513">
        <v>207254</v>
      </c>
      <c r="D17" s="513">
        <v>207254</v>
      </c>
      <c r="E17" s="513">
        <v>286623.52</v>
      </c>
      <c r="F17" s="514">
        <v>0</v>
      </c>
      <c r="G17" s="514">
        <v>0</v>
      </c>
      <c r="H17" s="513">
        <v>286623.52</v>
      </c>
      <c r="I17" s="518">
        <v>-83214.58</v>
      </c>
      <c r="J17" s="515">
        <v>3845.06</v>
      </c>
      <c r="K17" s="514">
        <v>0</v>
      </c>
      <c r="L17" s="513">
        <v>286623.52</v>
      </c>
      <c r="M17" s="513">
        <v>286623.52</v>
      </c>
      <c r="N17" s="513">
        <v>290468.58</v>
      </c>
      <c r="O17" s="516">
        <v>1.32E-2</v>
      </c>
    </row>
    <row r="18" spans="1:15" ht="15" customHeight="1">
      <c r="A18" s="506" t="s">
        <v>894</v>
      </c>
      <c r="B18" s="506"/>
      <c r="C18" s="506"/>
      <c r="D18" s="506"/>
      <c r="E18" s="506"/>
      <c r="F18" s="506"/>
      <c r="G18" s="506"/>
      <c r="H18" s="506"/>
      <c r="I18" s="506"/>
      <c r="J18" s="506"/>
      <c r="K18" s="506"/>
      <c r="L18" s="506"/>
      <c r="M18" s="506"/>
      <c r="N18" s="506"/>
      <c r="O18" s="506"/>
    </row>
    <row r="19" spans="1:15">
      <c r="A19" s="526" t="s">
        <v>1495</v>
      </c>
      <c r="B19" s="509">
        <v>0</v>
      </c>
      <c r="C19" s="509">
        <v>0</v>
      </c>
      <c r="D19" s="509">
        <v>0</v>
      </c>
      <c r="E19" s="510">
        <v>251431.08</v>
      </c>
      <c r="F19" s="510">
        <v>49090.89</v>
      </c>
      <c r="G19" s="509">
        <v>0</v>
      </c>
      <c r="H19" s="510">
        <v>300521.96999999997</v>
      </c>
      <c r="I19" s="517">
        <v>-303874.38</v>
      </c>
      <c r="J19" s="507">
        <v>254783.49</v>
      </c>
      <c r="K19" s="509">
        <v>0</v>
      </c>
      <c r="L19" s="510">
        <v>49090.89</v>
      </c>
      <c r="M19" s="510">
        <v>49090.89</v>
      </c>
      <c r="N19" s="510">
        <v>303874.38</v>
      </c>
      <c r="O19" s="511">
        <v>0.83850000000000002</v>
      </c>
    </row>
    <row r="20" spans="1:15">
      <c r="A20" s="526" t="s">
        <v>1496</v>
      </c>
      <c r="B20" s="509">
        <v>0</v>
      </c>
      <c r="C20" s="509">
        <v>0</v>
      </c>
      <c r="D20" s="509">
        <v>0</v>
      </c>
      <c r="E20" s="510">
        <v>38505.910000000003</v>
      </c>
      <c r="F20" s="509">
        <v>0</v>
      </c>
      <c r="G20" s="509">
        <v>0</v>
      </c>
      <c r="H20" s="510">
        <v>38505.910000000003</v>
      </c>
      <c r="I20" s="517">
        <v>-38505.910000000003</v>
      </c>
      <c r="J20" s="507">
        <v>38505.910000000003</v>
      </c>
      <c r="K20" s="509">
        <v>0</v>
      </c>
      <c r="L20" s="509">
        <v>0</v>
      </c>
      <c r="M20" s="509">
        <v>0</v>
      </c>
      <c r="N20" s="510">
        <v>38505.910000000003</v>
      </c>
      <c r="O20" s="511">
        <v>1</v>
      </c>
    </row>
    <row r="21" spans="1:15" ht="14.45" thickBot="1">
      <c r="A21" s="526" t="s">
        <v>1497</v>
      </c>
      <c r="B21" s="510">
        <v>128750</v>
      </c>
      <c r="C21" s="510">
        <v>135384.09</v>
      </c>
      <c r="D21" s="510">
        <v>264134.09000000003</v>
      </c>
      <c r="E21" s="510">
        <v>264134.09000000003</v>
      </c>
      <c r="F21" s="509">
        <v>0</v>
      </c>
      <c r="G21" s="509">
        <v>0</v>
      </c>
      <c r="H21" s="510">
        <v>264134.09000000003</v>
      </c>
      <c r="I21" s="517">
        <v>-3054.06</v>
      </c>
      <c r="J21" s="507">
        <v>155517.29999999999</v>
      </c>
      <c r="K21" s="509">
        <v>0</v>
      </c>
      <c r="L21" s="510">
        <v>111670.85</v>
      </c>
      <c r="M21" s="510">
        <v>111670.85</v>
      </c>
      <c r="N21" s="510">
        <v>267188.15000000002</v>
      </c>
      <c r="O21" s="511">
        <v>0.58209999999999995</v>
      </c>
    </row>
    <row r="22" spans="1:15">
      <c r="A22" s="527" t="s">
        <v>1498</v>
      </c>
      <c r="B22" s="513">
        <v>128750</v>
      </c>
      <c r="C22" s="513">
        <v>135384.09</v>
      </c>
      <c r="D22" s="513">
        <v>264134.09000000003</v>
      </c>
      <c r="E22" s="513">
        <v>554071.07999999996</v>
      </c>
      <c r="F22" s="513">
        <v>49090.89</v>
      </c>
      <c r="G22" s="514">
        <v>0</v>
      </c>
      <c r="H22" s="513">
        <v>603161.97</v>
      </c>
      <c r="I22" s="518">
        <v>-345434.35</v>
      </c>
      <c r="J22" s="515">
        <v>448806.7</v>
      </c>
      <c r="K22" s="514">
        <v>0</v>
      </c>
      <c r="L22" s="513">
        <v>160761.74</v>
      </c>
      <c r="M22" s="513">
        <v>160761.74</v>
      </c>
      <c r="N22" s="513">
        <v>609568.43999999994</v>
      </c>
      <c r="O22" s="516">
        <v>0.73629999999999995</v>
      </c>
    </row>
    <row r="23" spans="1:15" ht="15" customHeight="1">
      <c r="A23" s="506" t="s">
        <v>895</v>
      </c>
      <c r="B23" s="506"/>
      <c r="C23" s="506"/>
      <c r="D23" s="506"/>
      <c r="E23" s="506"/>
      <c r="F23" s="506"/>
      <c r="G23" s="506"/>
      <c r="H23" s="506"/>
      <c r="I23" s="506"/>
      <c r="J23" s="506"/>
      <c r="K23" s="506"/>
      <c r="L23" s="506"/>
      <c r="M23" s="506"/>
      <c r="N23" s="506"/>
      <c r="O23" s="506"/>
    </row>
    <row r="24" spans="1:15" ht="14.45" thickBot="1">
      <c r="A24" s="526" t="s">
        <v>1499</v>
      </c>
      <c r="B24" s="510">
        <v>7500</v>
      </c>
      <c r="C24" s="509">
        <v>0</v>
      </c>
      <c r="D24" s="510">
        <v>7500</v>
      </c>
      <c r="E24" s="509">
        <v>0</v>
      </c>
      <c r="F24" s="509">
        <v>0</v>
      </c>
      <c r="G24" s="509">
        <v>0</v>
      </c>
      <c r="H24" s="509">
        <v>0</v>
      </c>
      <c r="I24" s="510">
        <v>7500</v>
      </c>
      <c r="J24" s="508">
        <v>0</v>
      </c>
      <c r="K24" s="509">
        <v>0</v>
      </c>
      <c r="L24" s="510">
        <v>7500</v>
      </c>
      <c r="M24" s="509">
        <v>0</v>
      </c>
      <c r="N24" s="510">
        <v>7500</v>
      </c>
      <c r="O24" s="511">
        <v>0</v>
      </c>
    </row>
    <row r="25" spans="1:15">
      <c r="A25" s="527" t="s">
        <v>1500</v>
      </c>
      <c r="B25" s="513">
        <v>7500</v>
      </c>
      <c r="C25" s="514">
        <v>0</v>
      </c>
      <c r="D25" s="513">
        <v>7500</v>
      </c>
      <c r="E25" s="514">
        <v>0</v>
      </c>
      <c r="F25" s="514">
        <v>0</v>
      </c>
      <c r="G25" s="514">
        <v>0</v>
      </c>
      <c r="H25" s="514">
        <v>0</v>
      </c>
      <c r="I25" s="513">
        <v>7500</v>
      </c>
      <c r="J25" s="519">
        <v>0</v>
      </c>
      <c r="K25" s="514">
        <v>0</v>
      </c>
      <c r="L25" s="513">
        <v>7500</v>
      </c>
      <c r="M25" s="514">
        <v>0</v>
      </c>
      <c r="N25" s="513">
        <v>7500</v>
      </c>
      <c r="O25" s="516">
        <v>0</v>
      </c>
    </row>
    <row r="26" spans="1:15" ht="15" customHeight="1">
      <c r="A26" s="506" t="s">
        <v>897</v>
      </c>
      <c r="B26" s="506"/>
      <c r="C26" s="506"/>
      <c r="D26" s="506"/>
      <c r="E26" s="506"/>
      <c r="F26" s="506"/>
      <c r="G26" s="506"/>
      <c r="H26" s="506"/>
      <c r="I26" s="506"/>
      <c r="J26" s="506"/>
      <c r="K26" s="506"/>
      <c r="L26" s="506"/>
      <c r="M26" s="506"/>
      <c r="N26" s="506"/>
      <c r="O26" s="506"/>
    </row>
    <row r="27" spans="1:15">
      <c r="A27" s="526" t="s">
        <v>1501</v>
      </c>
      <c r="B27" s="509">
        <v>0</v>
      </c>
      <c r="C27" s="509">
        <v>0</v>
      </c>
      <c r="D27" s="509">
        <v>0</v>
      </c>
      <c r="E27" s="510">
        <v>12525</v>
      </c>
      <c r="F27" s="509">
        <v>0</v>
      </c>
      <c r="G27" s="509">
        <v>0</v>
      </c>
      <c r="H27" s="510">
        <v>12525</v>
      </c>
      <c r="I27" s="517">
        <v>-12525</v>
      </c>
      <c r="J27" s="508">
        <v>147.5</v>
      </c>
      <c r="K27" s="509">
        <v>0</v>
      </c>
      <c r="L27" s="510">
        <v>12377.5</v>
      </c>
      <c r="M27" s="510">
        <v>12377.5</v>
      </c>
      <c r="N27" s="510">
        <v>12525</v>
      </c>
      <c r="O27" s="511">
        <v>1.18E-2</v>
      </c>
    </row>
    <row r="28" spans="1:15" ht="14.45" thickBot="1">
      <c r="A28" s="526" t="s">
        <v>1502</v>
      </c>
      <c r="B28" s="509">
        <v>0</v>
      </c>
      <c r="C28" s="509">
        <v>0</v>
      </c>
      <c r="D28" s="509">
        <v>0</v>
      </c>
      <c r="E28" s="510">
        <v>2050</v>
      </c>
      <c r="F28" s="509">
        <v>0</v>
      </c>
      <c r="G28" s="509">
        <v>0</v>
      </c>
      <c r="H28" s="510">
        <v>2050</v>
      </c>
      <c r="I28" s="517">
        <v>-2050</v>
      </c>
      <c r="J28" s="507">
        <v>2050</v>
      </c>
      <c r="K28" s="509">
        <v>0</v>
      </c>
      <c r="L28" s="509">
        <v>0</v>
      </c>
      <c r="M28" s="509">
        <v>0</v>
      </c>
      <c r="N28" s="510">
        <v>2050</v>
      </c>
      <c r="O28" s="511">
        <v>1</v>
      </c>
    </row>
    <row r="29" spans="1:15" ht="14.45" thickBot="1">
      <c r="A29" s="527" t="s">
        <v>1503</v>
      </c>
      <c r="B29" s="514">
        <v>0</v>
      </c>
      <c r="C29" s="514">
        <v>0</v>
      </c>
      <c r="D29" s="514">
        <v>0</v>
      </c>
      <c r="E29" s="513">
        <v>14575</v>
      </c>
      <c r="F29" s="514">
        <v>0</v>
      </c>
      <c r="G29" s="514">
        <v>0</v>
      </c>
      <c r="H29" s="513">
        <v>14575</v>
      </c>
      <c r="I29" s="518">
        <v>-14575</v>
      </c>
      <c r="J29" s="515">
        <v>2197.5</v>
      </c>
      <c r="K29" s="514">
        <v>0</v>
      </c>
      <c r="L29" s="513">
        <v>12377.5</v>
      </c>
      <c r="M29" s="513">
        <v>12377.5</v>
      </c>
      <c r="N29" s="513">
        <v>14575</v>
      </c>
      <c r="O29" s="516">
        <v>0.15079999999999999</v>
      </c>
    </row>
    <row r="30" spans="1:15" ht="14.45" thickBot="1">
      <c r="A30" s="528" t="s">
        <v>119</v>
      </c>
      <c r="B30" s="513">
        <v>293250</v>
      </c>
      <c r="C30" s="513">
        <v>342638.09</v>
      </c>
      <c r="D30" s="513">
        <v>635888.09</v>
      </c>
      <c r="E30" s="513">
        <v>855269.6</v>
      </c>
      <c r="F30" s="513">
        <v>49090.89</v>
      </c>
      <c r="G30" s="514">
        <v>0</v>
      </c>
      <c r="H30" s="513">
        <v>904360.49</v>
      </c>
      <c r="I30" s="518">
        <v>-278723.93</v>
      </c>
      <c r="J30" s="515">
        <v>454849.26</v>
      </c>
      <c r="K30" s="514">
        <v>0</v>
      </c>
      <c r="L30" s="513">
        <v>624262.76</v>
      </c>
      <c r="M30" s="513">
        <v>459762.76</v>
      </c>
      <c r="N30" s="513">
        <v>1079112.02</v>
      </c>
      <c r="O30" s="516">
        <v>0.42149999999999999</v>
      </c>
    </row>
    <row r="31" spans="1:15" ht="14.45" thickBot="1">
      <c r="A31" s="529" t="s">
        <v>1504</v>
      </c>
      <c r="B31" s="513">
        <v>293250</v>
      </c>
      <c r="C31" s="513">
        <v>342638.09</v>
      </c>
      <c r="D31" s="513">
        <v>635888.09</v>
      </c>
      <c r="E31" s="513">
        <v>855269.6</v>
      </c>
      <c r="F31" s="513">
        <v>49090.89</v>
      </c>
      <c r="G31" s="514">
        <v>0</v>
      </c>
      <c r="H31" s="513">
        <v>904360.49</v>
      </c>
      <c r="I31" s="518">
        <v>-278723.93</v>
      </c>
      <c r="J31" s="515">
        <v>454849.26</v>
      </c>
      <c r="K31" s="514">
        <v>0</v>
      </c>
      <c r="L31" s="513">
        <v>624262.76</v>
      </c>
      <c r="M31" s="513">
        <v>459762.76</v>
      </c>
      <c r="N31" s="513">
        <v>1079112.02</v>
      </c>
      <c r="O31" s="516">
        <v>0.42149999999999999</v>
      </c>
    </row>
    <row r="32" spans="1:15" ht="14.45" thickBot="1">
      <c r="A32" s="512" t="s">
        <v>1505</v>
      </c>
      <c r="B32" s="513">
        <v>293250</v>
      </c>
      <c r="C32" s="513">
        <v>342638.09</v>
      </c>
      <c r="D32" s="513">
        <v>635888.09</v>
      </c>
      <c r="E32" s="513">
        <v>855269.6</v>
      </c>
      <c r="F32" s="513">
        <v>49090.89</v>
      </c>
      <c r="G32" s="514">
        <v>0</v>
      </c>
      <c r="H32" s="513">
        <v>904360.49</v>
      </c>
      <c r="I32" s="518">
        <v>-278723.93</v>
      </c>
      <c r="J32" s="515">
        <v>454849.26</v>
      </c>
      <c r="K32" s="514">
        <v>0</v>
      </c>
      <c r="L32" s="513">
        <v>624262.76</v>
      </c>
      <c r="M32" s="513">
        <v>459762.76</v>
      </c>
      <c r="N32" s="513">
        <v>1079112.02</v>
      </c>
      <c r="O32" s="516">
        <v>0.42149999999999999</v>
      </c>
    </row>
    <row r="33" spans="1:15">
      <c r="A33" s="512" t="s">
        <v>1506</v>
      </c>
      <c r="B33" s="513">
        <v>293250</v>
      </c>
      <c r="C33" s="513">
        <v>342638.09</v>
      </c>
      <c r="D33" s="513">
        <v>635888.09</v>
      </c>
      <c r="E33" s="513">
        <v>855269.6</v>
      </c>
      <c r="F33" s="513">
        <v>49090.89</v>
      </c>
      <c r="G33" s="514">
        <v>0</v>
      </c>
      <c r="H33" s="513">
        <v>904360.49</v>
      </c>
      <c r="I33" s="518">
        <v>-278723.93</v>
      </c>
      <c r="J33" s="515">
        <v>454849.26</v>
      </c>
      <c r="K33" s="514">
        <v>0</v>
      </c>
      <c r="L33" s="513">
        <v>624262.76</v>
      </c>
      <c r="M33" s="513">
        <v>459762.76</v>
      </c>
      <c r="N33" s="513">
        <v>1079112.02</v>
      </c>
      <c r="O33" s="516">
        <v>0.42149999999999999</v>
      </c>
    </row>
    <row r="34" spans="1:15">
      <c r="A34" s="526"/>
      <c r="B34" s="509"/>
      <c r="C34" s="509"/>
      <c r="D34" s="509"/>
      <c r="E34" s="509"/>
      <c r="F34" s="509"/>
      <c r="G34" s="509"/>
      <c r="H34" s="509"/>
      <c r="I34" s="509"/>
      <c r="J34" s="509"/>
      <c r="K34" s="509"/>
      <c r="L34" s="509"/>
      <c r="M34" s="509"/>
      <c r="N34" s="509"/>
      <c r="O34" s="509"/>
    </row>
    <row r="35" spans="1:15">
      <c r="A35" s="1132" t="s">
        <v>1507</v>
      </c>
      <c r="B35" s="1132"/>
      <c r="C35" s="1132"/>
      <c r="D35" s="1132"/>
      <c r="E35" s="1132"/>
      <c r="F35" s="1132"/>
      <c r="G35" s="1132"/>
      <c r="H35" s="1132"/>
      <c r="I35" s="1132"/>
      <c r="J35" s="1132"/>
      <c r="K35" s="1132"/>
      <c r="L35" s="1132"/>
      <c r="M35" s="1132"/>
      <c r="N35" s="1132"/>
      <c r="O35" s="1132"/>
    </row>
  </sheetData>
  <mergeCells count="18">
    <mergeCell ref="F5:F6"/>
    <mergeCell ref="G5:G6"/>
    <mergeCell ref="H5:H6"/>
    <mergeCell ref="A35:O35"/>
    <mergeCell ref="A1:O1"/>
    <mergeCell ref="A2:O2"/>
    <mergeCell ref="A3:O3"/>
    <mergeCell ref="B5:B6"/>
    <mergeCell ref="M5:M6"/>
    <mergeCell ref="I5:I6"/>
    <mergeCell ref="J5:J6"/>
    <mergeCell ref="K5:K6"/>
    <mergeCell ref="N5:N6"/>
    <mergeCell ref="O5:O6"/>
    <mergeCell ref="A5:A6"/>
    <mergeCell ref="C5:C6"/>
    <mergeCell ref="D5:D6"/>
    <mergeCell ref="E5:E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C752-6E5D-451F-8CA1-265431CE2C1F}">
  <dimension ref="A1:O37"/>
  <sheetViews>
    <sheetView showGridLines="0" workbookViewId="0">
      <selection activeCell="N32" sqref="N32"/>
    </sheetView>
  </sheetViews>
  <sheetFormatPr defaultColWidth="9.140625" defaultRowHeight="13.9"/>
  <cols>
    <col min="1" max="1" width="32" style="503" bestFit="1" customWidth="1"/>
    <col min="2" max="2" width="16.28515625" style="503" bestFit="1" customWidth="1"/>
    <col min="3" max="3" width="14" style="503" bestFit="1" customWidth="1"/>
    <col min="4" max="4" width="16.140625" style="503" bestFit="1" customWidth="1"/>
    <col min="5" max="5" width="22" style="503" bestFit="1" customWidth="1"/>
    <col min="6" max="6" width="16.28515625" style="503" bestFit="1" customWidth="1"/>
    <col min="7" max="7" width="16.42578125" style="503" bestFit="1" customWidth="1"/>
    <col min="8" max="8" width="15.7109375" style="503" bestFit="1" customWidth="1"/>
    <col min="9" max="9" width="11.28515625" style="503" bestFit="1" customWidth="1"/>
    <col min="10" max="10" width="12.5703125" style="503" bestFit="1" customWidth="1"/>
    <col min="11" max="11" width="14" style="503" bestFit="1" customWidth="1"/>
    <col min="12" max="12" width="10" style="503" bestFit="1" customWidth="1"/>
    <col min="13" max="13" width="16.140625" style="503" bestFit="1" customWidth="1"/>
    <col min="14" max="14" width="21.5703125" style="503" bestFit="1" customWidth="1"/>
    <col min="15" max="15" width="10.42578125" style="503" bestFit="1" customWidth="1"/>
    <col min="16" max="16384" width="9.140625" style="503"/>
  </cols>
  <sheetData>
    <row r="1" spans="1:15">
      <c r="A1" s="1133"/>
      <c r="B1" s="1133"/>
      <c r="C1" s="1133"/>
      <c r="D1" s="1133"/>
      <c r="E1" s="1133"/>
      <c r="F1" s="1133"/>
      <c r="G1" s="1133"/>
      <c r="H1" s="1133"/>
      <c r="I1" s="1133"/>
      <c r="J1" s="1133"/>
      <c r="K1" s="1133"/>
      <c r="L1" s="1133"/>
      <c r="M1" s="1133"/>
      <c r="N1" s="1133"/>
      <c r="O1" s="1133"/>
    </row>
    <row r="2" spans="1:15" ht="15" customHeight="1">
      <c r="A2" s="1134" t="s">
        <v>1508</v>
      </c>
      <c r="B2" s="1134"/>
      <c r="C2" s="1134"/>
      <c r="D2" s="1134"/>
      <c r="E2" s="1134"/>
      <c r="F2" s="1134"/>
      <c r="G2" s="1134"/>
      <c r="H2" s="1134"/>
      <c r="I2" s="1134"/>
      <c r="J2" s="1134"/>
      <c r="K2" s="1134"/>
      <c r="L2" s="1134"/>
      <c r="M2" s="1134"/>
      <c r="N2" s="1134"/>
      <c r="O2" s="1134"/>
    </row>
    <row r="3" spans="1:15" ht="15" customHeight="1">
      <c r="A3" s="1134" t="s">
        <v>1471</v>
      </c>
      <c r="B3" s="1134"/>
      <c r="C3" s="1134"/>
      <c r="D3" s="1134"/>
      <c r="E3" s="1134"/>
      <c r="F3" s="1134"/>
      <c r="G3" s="1134"/>
      <c r="H3" s="1134"/>
      <c r="I3" s="1134"/>
      <c r="J3" s="1134"/>
      <c r="K3" s="1134"/>
      <c r="L3" s="1134"/>
      <c r="M3" s="1134"/>
      <c r="N3" s="1134"/>
      <c r="O3" s="1134"/>
    </row>
    <row r="4" spans="1:15" ht="11.25" customHeight="1">
      <c r="A4" s="504"/>
    </row>
    <row r="5" spans="1:15">
      <c r="A5" s="1135" t="s">
        <v>203</v>
      </c>
      <c r="B5" s="1131" t="s">
        <v>1472</v>
      </c>
      <c r="C5" s="1131" t="s">
        <v>1473</v>
      </c>
      <c r="D5" s="1131" t="s">
        <v>1474</v>
      </c>
      <c r="E5" s="1131" t="s">
        <v>1475</v>
      </c>
      <c r="F5" s="1131" t="s">
        <v>1476</v>
      </c>
      <c r="G5" s="1131" t="s">
        <v>1477</v>
      </c>
      <c r="H5" s="1131" t="s">
        <v>1478</v>
      </c>
      <c r="I5" s="1131" t="s">
        <v>1479</v>
      </c>
      <c r="J5" s="1131" t="s">
        <v>1480</v>
      </c>
      <c r="K5" s="1131" t="s">
        <v>1481</v>
      </c>
      <c r="L5" s="505" t="s">
        <v>1482</v>
      </c>
      <c r="M5" s="1131" t="s">
        <v>1483</v>
      </c>
      <c r="N5" s="1131" t="s">
        <v>1484</v>
      </c>
      <c r="O5" s="1135" t="s">
        <v>1485</v>
      </c>
    </row>
    <row r="6" spans="1:15">
      <c r="A6" s="1135"/>
      <c r="B6" s="1131"/>
      <c r="C6" s="1131"/>
      <c r="D6" s="1131"/>
      <c r="E6" s="1131"/>
      <c r="F6" s="1131"/>
      <c r="G6" s="1131"/>
      <c r="H6" s="1131"/>
      <c r="I6" s="1131"/>
      <c r="J6" s="1131"/>
      <c r="K6" s="1131"/>
      <c r="L6" s="505" t="s">
        <v>1486</v>
      </c>
      <c r="M6" s="1131"/>
      <c r="N6" s="1131"/>
      <c r="O6" s="1135"/>
    </row>
    <row r="7" spans="1:15" ht="15" customHeight="1">
      <c r="A7" s="1137" t="s">
        <v>1509</v>
      </c>
      <c r="B7" s="1137"/>
      <c r="C7" s="1137"/>
      <c r="D7" s="1137"/>
      <c r="E7" s="1137"/>
      <c r="F7" s="1137"/>
      <c r="G7" s="1137"/>
      <c r="H7" s="1137"/>
      <c r="I7" s="1137"/>
      <c r="J7" s="1137"/>
      <c r="K7" s="1137"/>
      <c r="L7" s="1137"/>
      <c r="M7" s="1137"/>
      <c r="N7" s="1137"/>
      <c r="O7" s="1137"/>
    </row>
    <row r="8" spans="1:15" ht="15" customHeight="1">
      <c r="A8" s="1138" t="s">
        <v>1510</v>
      </c>
      <c r="B8" s="1138"/>
      <c r="C8" s="1138"/>
      <c r="D8" s="1138"/>
      <c r="E8" s="1138"/>
      <c r="F8" s="1138"/>
      <c r="G8" s="1138"/>
      <c r="H8" s="1138"/>
      <c r="I8" s="1138"/>
      <c r="J8" s="1138"/>
      <c r="K8" s="1138"/>
      <c r="L8" s="1138"/>
      <c r="M8" s="1138"/>
      <c r="N8" s="1138"/>
      <c r="O8" s="1138"/>
    </row>
    <row r="9" spans="1:15" ht="15" customHeight="1">
      <c r="A9" s="1136" t="s">
        <v>881</v>
      </c>
      <c r="B9" s="1136"/>
      <c r="C9" s="1136"/>
      <c r="D9" s="1136"/>
      <c r="E9" s="1136"/>
      <c r="F9" s="1136"/>
      <c r="G9" s="1136"/>
      <c r="H9" s="1136"/>
      <c r="I9" s="1136"/>
      <c r="J9" s="1136"/>
      <c r="K9" s="1136"/>
      <c r="L9" s="1136"/>
      <c r="M9" s="1136"/>
      <c r="N9" s="1136"/>
      <c r="O9" s="1136"/>
    </row>
    <row r="10" spans="1:15" ht="14.45" thickBot="1">
      <c r="A10" s="526" t="s">
        <v>1487</v>
      </c>
      <c r="B10" s="510">
        <v>15000</v>
      </c>
      <c r="C10" s="509">
        <v>0</v>
      </c>
      <c r="D10" s="510">
        <v>15000</v>
      </c>
      <c r="E10" s="509">
        <v>150</v>
      </c>
      <c r="F10" s="509">
        <v>0</v>
      </c>
      <c r="G10" s="509">
        <v>0</v>
      </c>
      <c r="H10" s="509">
        <v>150</v>
      </c>
      <c r="I10" s="510">
        <v>14850</v>
      </c>
      <c r="J10" s="508">
        <v>0</v>
      </c>
      <c r="K10" s="509">
        <v>0</v>
      </c>
      <c r="L10" s="510">
        <v>15000</v>
      </c>
      <c r="M10" s="509">
        <v>150</v>
      </c>
      <c r="N10" s="510">
        <v>15000</v>
      </c>
      <c r="O10" s="511">
        <v>0</v>
      </c>
    </row>
    <row r="11" spans="1:15">
      <c r="A11" s="527" t="s">
        <v>1488</v>
      </c>
      <c r="B11" s="513">
        <v>15000</v>
      </c>
      <c r="C11" s="514">
        <v>0</v>
      </c>
      <c r="D11" s="513">
        <v>15000</v>
      </c>
      <c r="E11" s="514">
        <v>150</v>
      </c>
      <c r="F11" s="514">
        <v>0</v>
      </c>
      <c r="G11" s="514">
        <v>0</v>
      </c>
      <c r="H11" s="514">
        <v>150</v>
      </c>
      <c r="I11" s="513">
        <v>14850</v>
      </c>
      <c r="J11" s="519">
        <v>0</v>
      </c>
      <c r="K11" s="514">
        <v>0</v>
      </c>
      <c r="L11" s="513">
        <v>15000</v>
      </c>
      <c r="M11" s="514">
        <v>150</v>
      </c>
      <c r="N11" s="513">
        <v>15000</v>
      </c>
      <c r="O11" s="516">
        <v>0</v>
      </c>
    </row>
    <row r="12" spans="1:15" ht="15" customHeight="1">
      <c r="A12" s="1136" t="s">
        <v>889</v>
      </c>
      <c r="B12" s="1136"/>
      <c r="C12" s="1136"/>
      <c r="D12" s="1136"/>
      <c r="E12" s="1136"/>
      <c r="F12" s="1136"/>
      <c r="G12" s="1136"/>
      <c r="H12" s="1136"/>
      <c r="I12" s="1136"/>
      <c r="J12" s="1136"/>
      <c r="K12" s="1136"/>
      <c r="L12" s="1136"/>
      <c r="M12" s="1136"/>
      <c r="N12" s="1136"/>
      <c r="O12" s="1136"/>
    </row>
    <row r="13" spans="1:15" ht="14.45" thickBot="1">
      <c r="A13" s="526" t="s">
        <v>1489</v>
      </c>
      <c r="B13" s="510">
        <v>20000</v>
      </c>
      <c r="C13" s="517">
        <v>-14120</v>
      </c>
      <c r="D13" s="510">
        <v>5880</v>
      </c>
      <c r="E13" s="510">
        <v>5880</v>
      </c>
      <c r="F13" s="509">
        <v>0</v>
      </c>
      <c r="G13" s="509">
        <v>0</v>
      </c>
      <c r="H13" s="510">
        <v>5880</v>
      </c>
      <c r="I13" s="509">
        <v>0</v>
      </c>
      <c r="J13" s="507">
        <v>5880</v>
      </c>
      <c r="K13" s="509">
        <v>0</v>
      </c>
      <c r="L13" s="509">
        <v>0</v>
      </c>
      <c r="M13" s="509">
        <v>0</v>
      </c>
      <c r="N13" s="510">
        <v>5880</v>
      </c>
      <c r="O13" s="511">
        <v>1</v>
      </c>
    </row>
    <row r="14" spans="1:15">
      <c r="A14" s="527" t="s">
        <v>1490</v>
      </c>
      <c r="B14" s="513">
        <v>20000</v>
      </c>
      <c r="C14" s="518">
        <v>-14120</v>
      </c>
      <c r="D14" s="513">
        <v>5880</v>
      </c>
      <c r="E14" s="513">
        <v>5880</v>
      </c>
      <c r="F14" s="514">
        <v>0</v>
      </c>
      <c r="G14" s="514">
        <v>0</v>
      </c>
      <c r="H14" s="513">
        <v>5880</v>
      </c>
      <c r="I14" s="514">
        <v>0</v>
      </c>
      <c r="J14" s="515">
        <v>5880</v>
      </c>
      <c r="K14" s="514">
        <v>0</v>
      </c>
      <c r="L14" s="514">
        <v>0</v>
      </c>
      <c r="M14" s="514">
        <v>0</v>
      </c>
      <c r="N14" s="513">
        <v>5880</v>
      </c>
      <c r="O14" s="516">
        <v>1</v>
      </c>
    </row>
    <row r="15" spans="1:15" ht="15" customHeight="1">
      <c r="A15" s="1136" t="s">
        <v>893</v>
      </c>
      <c r="B15" s="1136"/>
      <c r="C15" s="1136"/>
      <c r="D15" s="1136"/>
      <c r="E15" s="1136"/>
      <c r="F15" s="1136"/>
      <c r="G15" s="1136"/>
      <c r="H15" s="1136"/>
      <c r="I15" s="1136"/>
      <c r="J15" s="1136"/>
      <c r="K15" s="1136"/>
      <c r="L15" s="1136"/>
      <c r="M15" s="1136"/>
      <c r="N15" s="1136"/>
      <c r="O15" s="1136"/>
    </row>
    <row r="16" spans="1:15">
      <c r="A16" s="526" t="s">
        <v>1511</v>
      </c>
      <c r="B16" s="510">
        <v>5000</v>
      </c>
      <c r="C16" s="509">
        <v>0</v>
      </c>
      <c r="D16" s="510">
        <v>5000</v>
      </c>
      <c r="E16" s="509">
        <v>0</v>
      </c>
      <c r="F16" s="509">
        <v>0</v>
      </c>
      <c r="G16" s="509">
        <v>0</v>
      </c>
      <c r="H16" s="509">
        <v>0</v>
      </c>
      <c r="I16" s="510">
        <v>5000</v>
      </c>
      <c r="J16" s="508">
        <v>0</v>
      </c>
      <c r="K16" s="509">
        <v>0</v>
      </c>
      <c r="L16" s="510">
        <v>5000</v>
      </c>
      <c r="M16" s="509">
        <v>0</v>
      </c>
      <c r="N16" s="510">
        <v>5000</v>
      </c>
      <c r="O16" s="511">
        <v>0</v>
      </c>
    </row>
    <row r="17" spans="1:15">
      <c r="A17" s="526" t="s">
        <v>1491</v>
      </c>
      <c r="B17" s="510">
        <v>172000</v>
      </c>
      <c r="C17" s="510">
        <v>38806.370000000003</v>
      </c>
      <c r="D17" s="510">
        <v>210806.37</v>
      </c>
      <c r="E17" s="510">
        <v>109007</v>
      </c>
      <c r="F17" s="510">
        <v>99649</v>
      </c>
      <c r="G17" s="509">
        <v>0</v>
      </c>
      <c r="H17" s="510">
        <v>208656</v>
      </c>
      <c r="I17" s="509">
        <v>0</v>
      </c>
      <c r="J17" s="507">
        <v>210806.37</v>
      </c>
      <c r="K17" s="509">
        <v>0</v>
      </c>
      <c r="L17" s="509">
        <v>0</v>
      </c>
      <c r="M17" s="509">
        <v>0</v>
      </c>
      <c r="N17" s="510">
        <v>210806.37</v>
      </c>
      <c r="O17" s="511">
        <v>1</v>
      </c>
    </row>
    <row r="18" spans="1:15">
      <c r="A18" s="526" t="s">
        <v>1492</v>
      </c>
      <c r="B18" s="510">
        <v>31653</v>
      </c>
      <c r="C18" s="510">
        <v>3762</v>
      </c>
      <c r="D18" s="510">
        <v>35415</v>
      </c>
      <c r="E18" s="510">
        <v>35415</v>
      </c>
      <c r="F18" s="509">
        <v>0</v>
      </c>
      <c r="G18" s="509">
        <v>0</v>
      </c>
      <c r="H18" s="510">
        <v>35415</v>
      </c>
      <c r="I18" s="509">
        <v>0</v>
      </c>
      <c r="J18" s="507">
        <v>35415</v>
      </c>
      <c r="K18" s="509">
        <v>0</v>
      </c>
      <c r="L18" s="509">
        <v>0</v>
      </c>
      <c r="M18" s="509">
        <v>0</v>
      </c>
      <c r="N18" s="510">
        <v>35415</v>
      </c>
      <c r="O18" s="511">
        <v>1</v>
      </c>
    </row>
    <row r="19" spans="1:15" ht="14.45" thickBot="1">
      <c r="A19" s="526" t="s">
        <v>1493</v>
      </c>
      <c r="B19" s="510">
        <v>43315</v>
      </c>
      <c r="C19" s="510">
        <v>12480</v>
      </c>
      <c r="D19" s="510">
        <v>55795</v>
      </c>
      <c r="E19" s="510">
        <v>42795</v>
      </c>
      <c r="F19" s="510">
        <v>13000</v>
      </c>
      <c r="G19" s="509">
        <v>0</v>
      </c>
      <c r="H19" s="510">
        <v>55795</v>
      </c>
      <c r="I19" s="509">
        <v>0</v>
      </c>
      <c r="J19" s="507">
        <v>41780</v>
      </c>
      <c r="K19" s="509">
        <v>0</v>
      </c>
      <c r="L19" s="510">
        <v>14015</v>
      </c>
      <c r="M19" s="510">
        <v>14015</v>
      </c>
      <c r="N19" s="510">
        <v>55795</v>
      </c>
      <c r="O19" s="511">
        <v>0.74880000000000002</v>
      </c>
    </row>
    <row r="20" spans="1:15">
      <c r="A20" s="527" t="s">
        <v>1494</v>
      </c>
      <c r="B20" s="513">
        <v>251968</v>
      </c>
      <c r="C20" s="513">
        <v>55048.37</v>
      </c>
      <c r="D20" s="513">
        <v>307016.37</v>
      </c>
      <c r="E20" s="513">
        <v>187217</v>
      </c>
      <c r="F20" s="513">
        <v>112649</v>
      </c>
      <c r="G20" s="514">
        <v>0</v>
      </c>
      <c r="H20" s="513">
        <v>299866</v>
      </c>
      <c r="I20" s="513">
        <v>5000</v>
      </c>
      <c r="J20" s="515">
        <v>288001.37</v>
      </c>
      <c r="K20" s="514">
        <v>0</v>
      </c>
      <c r="L20" s="513">
        <v>19015</v>
      </c>
      <c r="M20" s="513">
        <v>14015</v>
      </c>
      <c r="N20" s="513">
        <v>307016.37</v>
      </c>
      <c r="O20" s="516">
        <v>0.93810000000000004</v>
      </c>
    </row>
    <row r="21" spans="1:15" ht="15" customHeight="1">
      <c r="A21" s="1136" t="s">
        <v>894</v>
      </c>
      <c r="B21" s="1136"/>
      <c r="C21" s="1136"/>
      <c r="D21" s="1136"/>
      <c r="E21" s="1136"/>
      <c r="F21" s="1136"/>
      <c r="G21" s="1136"/>
      <c r="H21" s="1136"/>
      <c r="I21" s="1136"/>
      <c r="J21" s="1136"/>
      <c r="K21" s="1136"/>
      <c r="L21" s="1136"/>
      <c r="M21" s="1136"/>
      <c r="N21" s="1136"/>
      <c r="O21" s="1136"/>
    </row>
    <row r="22" spans="1:15">
      <c r="A22" s="526" t="s">
        <v>1495</v>
      </c>
      <c r="B22" s="510">
        <v>413900</v>
      </c>
      <c r="C22" s="517">
        <v>-122081</v>
      </c>
      <c r="D22" s="510">
        <v>291819</v>
      </c>
      <c r="E22" s="510">
        <v>291819</v>
      </c>
      <c r="F22" s="509">
        <v>0</v>
      </c>
      <c r="G22" s="509">
        <v>0</v>
      </c>
      <c r="H22" s="510">
        <v>291819</v>
      </c>
      <c r="I22" s="509">
        <v>0</v>
      </c>
      <c r="J22" s="507">
        <v>291819</v>
      </c>
      <c r="K22" s="509">
        <v>0</v>
      </c>
      <c r="L22" s="509">
        <v>0</v>
      </c>
      <c r="M22" s="509">
        <v>0</v>
      </c>
      <c r="N22" s="510">
        <v>291819</v>
      </c>
      <c r="O22" s="511">
        <v>1</v>
      </c>
    </row>
    <row r="23" spans="1:15">
      <c r="A23" s="526" t="s">
        <v>1496</v>
      </c>
      <c r="B23" s="510">
        <v>64100</v>
      </c>
      <c r="C23" s="517">
        <v>-18500</v>
      </c>
      <c r="D23" s="510">
        <v>45600</v>
      </c>
      <c r="E23" s="510">
        <v>45600</v>
      </c>
      <c r="F23" s="509">
        <v>0</v>
      </c>
      <c r="G23" s="509">
        <v>0</v>
      </c>
      <c r="H23" s="510">
        <v>45600</v>
      </c>
      <c r="I23" s="509">
        <v>0</v>
      </c>
      <c r="J23" s="507">
        <v>45600</v>
      </c>
      <c r="K23" s="509">
        <v>0</v>
      </c>
      <c r="L23" s="509">
        <v>0</v>
      </c>
      <c r="M23" s="509">
        <v>0</v>
      </c>
      <c r="N23" s="510">
        <v>45600</v>
      </c>
      <c r="O23" s="511">
        <v>1</v>
      </c>
    </row>
    <row r="24" spans="1:15" ht="14.45" thickBot="1">
      <c r="A24" s="526" t="s">
        <v>1512</v>
      </c>
      <c r="B24" s="510">
        <v>20000</v>
      </c>
      <c r="C24" s="510">
        <v>47062.77</v>
      </c>
      <c r="D24" s="510">
        <v>67062.77</v>
      </c>
      <c r="E24" s="510">
        <v>36794</v>
      </c>
      <c r="F24" s="510">
        <v>30268.77</v>
      </c>
      <c r="G24" s="509">
        <v>0</v>
      </c>
      <c r="H24" s="510">
        <v>67062.77</v>
      </c>
      <c r="I24" s="509">
        <v>0</v>
      </c>
      <c r="J24" s="507">
        <v>67062.77</v>
      </c>
      <c r="K24" s="509">
        <v>0</v>
      </c>
      <c r="L24" s="509">
        <v>0</v>
      </c>
      <c r="M24" s="509">
        <v>0</v>
      </c>
      <c r="N24" s="510">
        <v>67062.77</v>
      </c>
      <c r="O24" s="511">
        <v>1</v>
      </c>
    </row>
    <row r="25" spans="1:15">
      <c r="A25" s="527" t="s">
        <v>1498</v>
      </c>
      <c r="B25" s="513">
        <v>498000</v>
      </c>
      <c r="C25" s="518">
        <v>-93518.23</v>
      </c>
      <c r="D25" s="513">
        <v>404481.77</v>
      </c>
      <c r="E25" s="513">
        <v>374213</v>
      </c>
      <c r="F25" s="513">
        <v>30268.77</v>
      </c>
      <c r="G25" s="514">
        <v>0</v>
      </c>
      <c r="H25" s="513">
        <v>404481.77</v>
      </c>
      <c r="I25" s="514">
        <v>0</v>
      </c>
      <c r="J25" s="515">
        <v>404481.77</v>
      </c>
      <c r="K25" s="514">
        <v>0</v>
      </c>
      <c r="L25" s="514">
        <v>0</v>
      </c>
      <c r="M25" s="514">
        <v>0</v>
      </c>
      <c r="N25" s="513">
        <v>404481.77</v>
      </c>
      <c r="O25" s="516">
        <v>1</v>
      </c>
    </row>
    <row r="26" spans="1:15" ht="15" customHeight="1">
      <c r="A26" s="1136" t="s">
        <v>895</v>
      </c>
      <c r="B26" s="1136"/>
      <c r="C26" s="1136"/>
      <c r="D26" s="1136"/>
      <c r="E26" s="1136"/>
      <c r="F26" s="1136"/>
      <c r="G26" s="1136"/>
      <c r="H26" s="1136"/>
      <c r="I26" s="1136"/>
      <c r="J26" s="1136"/>
      <c r="K26" s="1136"/>
      <c r="L26" s="1136"/>
      <c r="M26" s="1136"/>
      <c r="N26" s="1136"/>
      <c r="O26" s="1136"/>
    </row>
    <row r="27" spans="1:15" ht="14.45" thickBot="1">
      <c r="A27" s="526" t="s">
        <v>1499</v>
      </c>
      <c r="B27" s="510">
        <v>15000</v>
      </c>
      <c r="C27" s="517">
        <v>-15000</v>
      </c>
      <c r="D27" s="509">
        <v>0</v>
      </c>
      <c r="E27" s="509">
        <v>0</v>
      </c>
      <c r="F27" s="509">
        <v>0</v>
      </c>
      <c r="G27" s="509">
        <v>0</v>
      </c>
      <c r="H27" s="509">
        <v>0</v>
      </c>
      <c r="I27" s="509">
        <v>0</v>
      </c>
      <c r="J27" s="508">
        <v>0</v>
      </c>
      <c r="K27" s="509">
        <v>0</v>
      </c>
      <c r="L27" s="509">
        <v>0</v>
      </c>
      <c r="M27" s="509">
        <v>0</v>
      </c>
      <c r="N27" s="509">
        <v>0</v>
      </c>
      <c r="O27" s="511">
        <v>0</v>
      </c>
    </row>
    <row r="28" spans="1:15">
      <c r="A28" s="527" t="s">
        <v>1500</v>
      </c>
      <c r="B28" s="513">
        <v>15000</v>
      </c>
      <c r="C28" s="518">
        <v>-15000</v>
      </c>
      <c r="D28" s="514">
        <v>0</v>
      </c>
      <c r="E28" s="514">
        <v>0</v>
      </c>
      <c r="F28" s="514">
        <v>0</v>
      </c>
      <c r="G28" s="514">
        <v>0</v>
      </c>
      <c r="H28" s="514">
        <v>0</v>
      </c>
      <c r="I28" s="514">
        <v>0</v>
      </c>
      <c r="J28" s="519">
        <v>0</v>
      </c>
      <c r="K28" s="514">
        <v>0</v>
      </c>
      <c r="L28" s="514">
        <v>0</v>
      </c>
      <c r="M28" s="514">
        <v>0</v>
      </c>
      <c r="N28" s="514">
        <v>0</v>
      </c>
      <c r="O28" s="516">
        <v>1</v>
      </c>
    </row>
    <row r="29" spans="1:15" ht="15" customHeight="1">
      <c r="A29" s="1136" t="s">
        <v>897</v>
      </c>
      <c r="B29" s="1136"/>
      <c r="C29" s="1136"/>
      <c r="D29" s="1136"/>
      <c r="E29" s="1136"/>
      <c r="F29" s="1136"/>
      <c r="G29" s="1136"/>
      <c r="H29" s="1136"/>
      <c r="I29" s="1136"/>
      <c r="J29" s="1136"/>
      <c r="K29" s="1136"/>
      <c r="L29" s="1136"/>
      <c r="M29" s="1136"/>
      <c r="N29" s="1136"/>
      <c r="O29" s="1136"/>
    </row>
    <row r="30" spans="1:15" ht="14.45" thickBot="1">
      <c r="A30" s="526" t="s">
        <v>1513</v>
      </c>
      <c r="B30" s="509">
        <v>0</v>
      </c>
      <c r="C30" s="510">
        <v>12900</v>
      </c>
      <c r="D30" s="510">
        <v>12900</v>
      </c>
      <c r="E30" s="510">
        <v>12900</v>
      </c>
      <c r="F30" s="509">
        <v>0</v>
      </c>
      <c r="G30" s="509">
        <v>0</v>
      </c>
      <c r="H30" s="510">
        <v>12900</v>
      </c>
      <c r="I30" s="509">
        <v>0</v>
      </c>
      <c r="J30" s="507">
        <v>12857</v>
      </c>
      <c r="K30" s="509">
        <v>0</v>
      </c>
      <c r="L30" s="509">
        <v>43</v>
      </c>
      <c r="M30" s="509">
        <v>43</v>
      </c>
      <c r="N30" s="510">
        <v>12900</v>
      </c>
      <c r="O30" s="511">
        <v>0.99670000000000003</v>
      </c>
    </row>
    <row r="31" spans="1:15" ht="14.45" thickBot="1">
      <c r="A31" s="527" t="s">
        <v>1503</v>
      </c>
      <c r="B31" s="514">
        <v>0</v>
      </c>
      <c r="C31" s="513">
        <v>12900</v>
      </c>
      <c r="D31" s="513">
        <v>12900</v>
      </c>
      <c r="E31" s="513">
        <v>12900</v>
      </c>
      <c r="F31" s="514">
        <v>0</v>
      </c>
      <c r="G31" s="514">
        <v>0</v>
      </c>
      <c r="H31" s="513">
        <v>12900</v>
      </c>
      <c r="I31" s="514">
        <v>0</v>
      </c>
      <c r="J31" s="515">
        <v>12857</v>
      </c>
      <c r="K31" s="514">
        <v>0</v>
      </c>
      <c r="L31" s="514">
        <v>43</v>
      </c>
      <c r="M31" s="514">
        <v>43</v>
      </c>
      <c r="N31" s="513">
        <v>12900</v>
      </c>
      <c r="O31" s="516">
        <v>0.99670000000000003</v>
      </c>
    </row>
    <row r="32" spans="1:15" ht="14.45" thickBot="1">
      <c r="A32" s="528" t="s">
        <v>119</v>
      </c>
      <c r="B32" s="513">
        <v>799968</v>
      </c>
      <c r="C32" s="518">
        <v>-54689.86</v>
      </c>
      <c r="D32" s="513">
        <v>745278.14</v>
      </c>
      <c r="E32" s="513">
        <v>580360</v>
      </c>
      <c r="F32" s="513">
        <v>142917.76999999999</v>
      </c>
      <c r="G32" s="514">
        <v>0</v>
      </c>
      <c r="H32" s="513">
        <v>723277.77</v>
      </c>
      <c r="I32" s="513">
        <v>19850</v>
      </c>
      <c r="J32" s="515">
        <v>711220.14</v>
      </c>
      <c r="K32" s="514">
        <v>0</v>
      </c>
      <c r="L32" s="513">
        <v>34058</v>
      </c>
      <c r="M32" s="513">
        <v>14208</v>
      </c>
      <c r="N32" s="513">
        <v>745278.14</v>
      </c>
      <c r="O32" s="516">
        <v>0.95430000000000004</v>
      </c>
    </row>
    <row r="33" spans="1:15" ht="14.45" thickBot="1">
      <c r="A33" s="529" t="s">
        <v>1504</v>
      </c>
      <c r="B33" s="513">
        <v>799968</v>
      </c>
      <c r="C33" s="518">
        <v>-54689.86</v>
      </c>
      <c r="D33" s="513">
        <v>745278.14</v>
      </c>
      <c r="E33" s="513">
        <v>580360</v>
      </c>
      <c r="F33" s="513">
        <v>142917.76999999999</v>
      </c>
      <c r="G33" s="514">
        <v>0</v>
      </c>
      <c r="H33" s="513">
        <v>723277.77</v>
      </c>
      <c r="I33" s="513">
        <v>19850</v>
      </c>
      <c r="J33" s="515">
        <v>711220.14</v>
      </c>
      <c r="K33" s="514">
        <v>0</v>
      </c>
      <c r="L33" s="513">
        <v>34058</v>
      </c>
      <c r="M33" s="513">
        <v>14208</v>
      </c>
      <c r="N33" s="513">
        <v>745278.14</v>
      </c>
      <c r="O33" s="516">
        <v>0.95430000000000004</v>
      </c>
    </row>
    <row r="34" spans="1:15" ht="14.45" thickBot="1">
      <c r="A34" s="512" t="s">
        <v>1505</v>
      </c>
      <c r="B34" s="513">
        <v>799968</v>
      </c>
      <c r="C34" s="518">
        <v>-54689.86</v>
      </c>
      <c r="D34" s="513">
        <v>745278.14</v>
      </c>
      <c r="E34" s="513">
        <v>580360</v>
      </c>
      <c r="F34" s="513">
        <v>142917.76999999999</v>
      </c>
      <c r="G34" s="514">
        <v>0</v>
      </c>
      <c r="H34" s="513">
        <v>723277.77</v>
      </c>
      <c r="I34" s="513">
        <v>19850</v>
      </c>
      <c r="J34" s="515">
        <v>711220.14</v>
      </c>
      <c r="K34" s="514">
        <v>0</v>
      </c>
      <c r="L34" s="513">
        <v>34058</v>
      </c>
      <c r="M34" s="513">
        <v>14208</v>
      </c>
      <c r="N34" s="513">
        <v>745278.14</v>
      </c>
      <c r="O34" s="516">
        <v>0.95430000000000004</v>
      </c>
    </row>
    <row r="35" spans="1:15">
      <c r="A35" s="512" t="s">
        <v>1506</v>
      </c>
      <c r="B35" s="513">
        <v>799968</v>
      </c>
      <c r="C35" s="518">
        <v>-54689.86</v>
      </c>
      <c r="D35" s="513">
        <v>745278.14</v>
      </c>
      <c r="E35" s="513">
        <v>580360</v>
      </c>
      <c r="F35" s="513">
        <v>142917.76999999999</v>
      </c>
      <c r="G35" s="514">
        <v>0</v>
      </c>
      <c r="H35" s="513">
        <v>723277.77</v>
      </c>
      <c r="I35" s="513">
        <v>19850</v>
      </c>
      <c r="J35" s="515">
        <v>711220.14</v>
      </c>
      <c r="K35" s="514">
        <v>0</v>
      </c>
      <c r="L35" s="513">
        <v>34058</v>
      </c>
      <c r="M35" s="513">
        <v>14208</v>
      </c>
      <c r="N35" s="513">
        <v>745278.14</v>
      </c>
      <c r="O35" s="516">
        <v>0.95430000000000004</v>
      </c>
    </row>
    <row r="36" spans="1:15">
      <c r="A36" s="526"/>
      <c r="B36" s="509"/>
      <c r="C36" s="509"/>
      <c r="D36" s="509"/>
      <c r="E36" s="509"/>
      <c r="F36" s="509"/>
      <c r="G36" s="509"/>
      <c r="H36" s="509"/>
      <c r="I36" s="509"/>
      <c r="J36" s="509"/>
      <c r="K36" s="509"/>
      <c r="L36" s="509"/>
      <c r="M36" s="509"/>
      <c r="N36" s="509"/>
      <c r="O36" s="509"/>
    </row>
    <row r="37" spans="1:15">
      <c r="A37" s="1132" t="s">
        <v>1514</v>
      </c>
      <c r="B37" s="1132"/>
      <c r="C37" s="1132"/>
      <c r="D37" s="1132"/>
      <c r="E37" s="1132"/>
      <c r="F37" s="1132"/>
      <c r="G37" s="1132"/>
      <c r="H37" s="1132"/>
      <c r="I37" s="1132"/>
      <c r="J37" s="1132"/>
      <c r="K37" s="1132"/>
      <c r="L37" s="1132"/>
      <c r="M37" s="1132"/>
      <c r="N37" s="1132"/>
      <c r="O37" s="1132"/>
    </row>
  </sheetData>
  <mergeCells count="26">
    <mergeCell ref="A29:O29"/>
    <mergeCell ref="A37:O37"/>
    <mergeCell ref="O5:O6"/>
    <mergeCell ref="A7:O7"/>
    <mergeCell ref="A8:O8"/>
    <mergeCell ref="H5:H6"/>
    <mergeCell ref="I5:I6"/>
    <mergeCell ref="J5:J6"/>
    <mergeCell ref="K5:K6"/>
    <mergeCell ref="M5:M6"/>
    <mergeCell ref="N5:N6"/>
    <mergeCell ref="A9:O9"/>
    <mergeCell ref="A12:O12"/>
    <mergeCell ref="A15:O15"/>
    <mergeCell ref="A21:O21"/>
    <mergeCell ref="A26:O26"/>
    <mergeCell ref="A1:O1"/>
    <mergeCell ref="A2:O2"/>
    <mergeCell ref="A3:O3"/>
    <mergeCell ref="A5:A6"/>
    <mergeCell ref="B5:B6"/>
    <mergeCell ref="C5:C6"/>
    <mergeCell ref="D5:D6"/>
    <mergeCell ref="E5:E6"/>
    <mergeCell ref="F5:F6"/>
    <mergeCell ref="G5:G6"/>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C818-49F1-4DA4-8066-192B784117F8}">
  <dimension ref="A1:O35"/>
  <sheetViews>
    <sheetView showGridLines="0" workbookViewId="0">
      <selection activeCell="J32" sqref="J32"/>
    </sheetView>
  </sheetViews>
  <sheetFormatPr defaultColWidth="9.140625" defaultRowHeight="13.9"/>
  <cols>
    <col min="1" max="1" width="32" style="503" bestFit="1" customWidth="1"/>
    <col min="2" max="2" width="16.28515625" style="503" bestFit="1" customWidth="1"/>
    <col min="3" max="3" width="14" style="503" bestFit="1" customWidth="1"/>
    <col min="4" max="4" width="16.140625" style="503" bestFit="1" customWidth="1"/>
    <col min="5" max="5" width="22" style="503" bestFit="1" customWidth="1"/>
    <col min="6" max="6" width="16.28515625" style="503" bestFit="1" customWidth="1"/>
    <col min="7" max="7" width="16.42578125" style="503" bestFit="1" customWidth="1"/>
    <col min="8" max="8" width="15.7109375" style="503" bestFit="1" customWidth="1"/>
    <col min="9" max="9" width="11.28515625" style="503" bestFit="1" customWidth="1"/>
    <col min="10" max="10" width="12.5703125" style="503" bestFit="1" customWidth="1"/>
    <col min="11" max="11" width="14" style="503" bestFit="1" customWidth="1"/>
    <col min="12" max="12" width="11.28515625" style="503" bestFit="1" customWidth="1"/>
    <col min="13" max="13" width="16.140625" style="503" bestFit="1" customWidth="1"/>
    <col min="14" max="14" width="21.5703125" style="503" bestFit="1" customWidth="1"/>
    <col min="15" max="15" width="10.42578125" style="503" bestFit="1" customWidth="1"/>
    <col min="16" max="16384" width="9.140625" style="503"/>
  </cols>
  <sheetData>
    <row r="1" spans="1:15">
      <c r="A1" s="1133"/>
      <c r="B1" s="1133"/>
      <c r="C1" s="1133"/>
      <c r="D1" s="1133"/>
      <c r="E1" s="1133"/>
      <c r="F1" s="1133"/>
      <c r="G1" s="1133"/>
      <c r="H1" s="1133"/>
      <c r="I1" s="1133"/>
      <c r="J1" s="1133"/>
      <c r="K1" s="1133"/>
      <c r="L1" s="1133"/>
      <c r="M1" s="1133"/>
      <c r="N1" s="1133"/>
      <c r="O1" s="1133"/>
    </row>
    <row r="2" spans="1:15" ht="15" customHeight="1">
      <c r="A2" s="1134" t="s">
        <v>1515</v>
      </c>
      <c r="B2" s="1134"/>
      <c r="C2" s="1134"/>
      <c r="D2" s="1134"/>
      <c r="E2" s="1134"/>
      <c r="F2" s="1134"/>
      <c r="G2" s="1134"/>
      <c r="H2" s="1134"/>
      <c r="I2" s="1134"/>
      <c r="J2" s="1134"/>
      <c r="K2" s="1134"/>
      <c r="L2" s="1134"/>
      <c r="M2" s="1134"/>
      <c r="N2" s="1134"/>
      <c r="O2" s="1134"/>
    </row>
    <row r="3" spans="1:15" ht="15" customHeight="1">
      <c r="A3" s="1134" t="s">
        <v>1471</v>
      </c>
      <c r="B3" s="1134"/>
      <c r="C3" s="1134"/>
      <c r="D3" s="1134"/>
      <c r="E3" s="1134"/>
      <c r="F3" s="1134"/>
      <c r="G3" s="1134"/>
      <c r="H3" s="1134"/>
      <c r="I3" s="1134"/>
      <c r="J3" s="1134"/>
      <c r="K3" s="1134"/>
      <c r="L3" s="1134"/>
      <c r="M3" s="1134"/>
      <c r="N3" s="1134"/>
      <c r="O3" s="1134"/>
    </row>
    <row r="4" spans="1:15" ht="11.25" customHeight="1">
      <c r="A4" s="504"/>
    </row>
    <row r="5" spans="1:15">
      <c r="A5" s="1135" t="s">
        <v>203</v>
      </c>
      <c r="B5" s="1131" t="s">
        <v>1472</v>
      </c>
      <c r="C5" s="1131" t="s">
        <v>1473</v>
      </c>
      <c r="D5" s="1131" t="s">
        <v>1474</v>
      </c>
      <c r="E5" s="1131" t="s">
        <v>1475</v>
      </c>
      <c r="F5" s="1131" t="s">
        <v>1476</v>
      </c>
      <c r="G5" s="1131" t="s">
        <v>1477</v>
      </c>
      <c r="H5" s="1131" t="s">
        <v>1478</v>
      </c>
      <c r="I5" s="1131" t="s">
        <v>1479</v>
      </c>
      <c r="J5" s="1131" t="s">
        <v>1480</v>
      </c>
      <c r="K5" s="1131" t="s">
        <v>1481</v>
      </c>
      <c r="L5" s="505" t="s">
        <v>1482</v>
      </c>
      <c r="M5" s="1131" t="s">
        <v>1483</v>
      </c>
      <c r="N5" s="1131" t="s">
        <v>1484</v>
      </c>
      <c r="O5" s="1135" t="s">
        <v>1485</v>
      </c>
    </row>
    <row r="6" spans="1:15">
      <c r="A6" s="1135"/>
      <c r="B6" s="1131"/>
      <c r="C6" s="1131"/>
      <c r="D6" s="1131"/>
      <c r="E6" s="1131"/>
      <c r="F6" s="1131"/>
      <c r="G6" s="1131"/>
      <c r="H6" s="1131"/>
      <c r="I6" s="1131"/>
      <c r="J6" s="1131"/>
      <c r="K6" s="1131"/>
      <c r="L6" s="505" t="s">
        <v>1486</v>
      </c>
      <c r="M6" s="1131"/>
      <c r="N6" s="1131"/>
      <c r="O6" s="1135"/>
    </row>
    <row r="7" spans="1:15" ht="15" customHeight="1">
      <c r="A7" s="1137" t="s">
        <v>1516</v>
      </c>
      <c r="B7" s="1137"/>
      <c r="C7" s="1137"/>
      <c r="D7" s="1137"/>
      <c r="E7" s="1137"/>
      <c r="F7" s="1137"/>
      <c r="G7" s="1137"/>
      <c r="H7" s="1137"/>
      <c r="I7" s="1137"/>
      <c r="J7" s="1137"/>
      <c r="K7" s="1137"/>
      <c r="L7" s="1137"/>
      <c r="M7" s="1137"/>
      <c r="N7" s="1137"/>
      <c r="O7" s="1137"/>
    </row>
    <row r="8" spans="1:15" ht="15" customHeight="1">
      <c r="A8" s="1138" t="s">
        <v>1510</v>
      </c>
      <c r="B8" s="1138"/>
      <c r="C8" s="1138"/>
      <c r="D8" s="1138"/>
      <c r="E8" s="1138"/>
      <c r="F8" s="1138"/>
      <c r="G8" s="1138"/>
      <c r="H8" s="1138"/>
      <c r="I8" s="1138"/>
      <c r="J8" s="1138"/>
      <c r="K8" s="1138"/>
      <c r="L8" s="1138"/>
      <c r="M8" s="1138"/>
      <c r="N8" s="1138"/>
      <c r="O8" s="1138"/>
    </row>
    <row r="9" spans="1:15" ht="15" customHeight="1">
      <c r="A9" s="1136" t="s">
        <v>881</v>
      </c>
      <c r="B9" s="1136"/>
      <c r="C9" s="1136"/>
      <c r="D9" s="1136"/>
      <c r="E9" s="1136"/>
      <c r="F9" s="1136"/>
      <c r="G9" s="1136"/>
      <c r="H9" s="1136"/>
      <c r="I9" s="1136"/>
      <c r="J9" s="1136"/>
      <c r="K9" s="1136"/>
      <c r="L9" s="1136"/>
      <c r="M9" s="1136"/>
      <c r="N9" s="1136"/>
      <c r="O9" s="1136"/>
    </row>
    <row r="10" spans="1:15" ht="14.45" thickBot="1">
      <c r="A10" s="526" t="s">
        <v>1487</v>
      </c>
      <c r="B10" s="510">
        <v>15000</v>
      </c>
      <c r="C10" s="509">
        <v>0</v>
      </c>
      <c r="D10" s="510">
        <v>15000</v>
      </c>
      <c r="E10" s="509">
        <v>0</v>
      </c>
      <c r="F10" s="509">
        <v>0</v>
      </c>
      <c r="G10" s="509">
        <v>0</v>
      </c>
      <c r="H10" s="509">
        <v>0</v>
      </c>
      <c r="I10" s="510">
        <v>11848</v>
      </c>
      <c r="J10" s="507">
        <v>3152</v>
      </c>
      <c r="K10" s="510">
        <v>3152</v>
      </c>
      <c r="L10" s="510">
        <v>11848</v>
      </c>
      <c r="M10" s="509">
        <v>0</v>
      </c>
      <c r="N10" s="510">
        <v>15000</v>
      </c>
      <c r="O10" s="511">
        <v>0.21010000000000001</v>
      </c>
    </row>
    <row r="11" spans="1:15">
      <c r="A11" s="527" t="s">
        <v>1488</v>
      </c>
      <c r="B11" s="513">
        <v>15000</v>
      </c>
      <c r="C11" s="514">
        <v>0</v>
      </c>
      <c r="D11" s="513">
        <v>15000</v>
      </c>
      <c r="E11" s="514">
        <v>0</v>
      </c>
      <c r="F11" s="514">
        <v>0</v>
      </c>
      <c r="G11" s="514">
        <v>0</v>
      </c>
      <c r="H11" s="514">
        <v>0</v>
      </c>
      <c r="I11" s="513">
        <v>11848</v>
      </c>
      <c r="J11" s="515">
        <v>3152</v>
      </c>
      <c r="K11" s="513">
        <v>3152</v>
      </c>
      <c r="L11" s="513">
        <v>11848</v>
      </c>
      <c r="M11" s="514">
        <v>0</v>
      </c>
      <c r="N11" s="513">
        <v>15000</v>
      </c>
      <c r="O11" s="516">
        <v>0.21010000000000001</v>
      </c>
    </row>
    <row r="12" spans="1:15" ht="15" customHeight="1">
      <c r="A12" s="1136" t="s">
        <v>889</v>
      </c>
      <c r="B12" s="1136"/>
      <c r="C12" s="1136"/>
      <c r="D12" s="1136"/>
      <c r="E12" s="1136"/>
      <c r="F12" s="1136"/>
      <c r="G12" s="1136"/>
      <c r="H12" s="1136"/>
      <c r="I12" s="1136"/>
      <c r="J12" s="1136"/>
      <c r="K12" s="1136"/>
      <c r="L12" s="1136"/>
      <c r="M12" s="1136"/>
      <c r="N12" s="1136"/>
      <c r="O12" s="1136"/>
    </row>
    <row r="13" spans="1:15" ht="14.45" thickBot="1">
      <c r="A13" s="526" t="s">
        <v>1489</v>
      </c>
      <c r="B13" s="510">
        <v>307183</v>
      </c>
      <c r="C13" s="510">
        <v>178449.38</v>
      </c>
      <c r="D13" s="510">
        <v>485632.38</v>
      </c>
      <c r="E13" s="510">
        <v>479270</v>
      </c>
      <c r="F13" s="509">
        <v>0</v>
      </c>
      <c r="G13" s="509">
        <v>0</v>
      </c>
      <c r="H13" s="510">
        <v>479270</v>
      </c>
      <c r="I13" s="509">
        <v>0</v>
      </c>
      <c r="J13" s="507">
        <v>6362.38</v>
      </c>
      <c r="K13" s="509">
        <v>0</v>
      </c>
      <c r="L13" s="510">
        <v>479270</v>
      </c>
      <c r="M13" s="510">
        <v>479270</v>
      </c>
      <c r="N13" s="510">
        <v>485632.38</v>
      </c>
      <c r="O13" s="511">
        <v>1.3100000000000001E-2</v>
      </c>
    </row>
    <row r="14" spans="1:15">
      <c r="A14" s="527" t="s">
        <v>1490</v>
      </c>
      <c r="B14" s="513">
        <v>307183</v>
      </c>
      <c r="C14" s="513">
        <v>178449.38</v>
      </c>
      <c r="D14" s="513">
        <v>485632.38</v>
      </c>
      <c r="E14" s="513">
        <v>479270</v>
      </c>
      <c r="F14" s="514">
        <v>0</v>
      </c>
      <c r="G14" s="514">
        <v>0</v>
      </c>
      <c r="H14" s="513">
        <v>479270</v>
      </c>
      <c r="I14" s="514">
        <v>0</v>
      </c>
      <c r="J14" s="515">
        <v>6362.38</v>
      </c>
      <c r="K14" s="514">
        <v>0</v>
      </c>
      <c r="L14" s="513">
        <v>479270</v>
      </c>
      <c r="M14" s="513">
        <v>479270</v>
      </c>
      <c r="N14" s="513">
        <v>485632.38</v>
      </c>
      <c r="O14" s="516">
        <v>1.3100000000000001E-2</v>
      </c>
    </row>
    <row r="15" spans="1:15" ht="15" customHeight="1">
      <c r="A15" s="1136" t="s">
        <v>893</v>
      </c>
      <c r="B15" s="1136"/>
      <c r="C15" s="1136"/>
      <c r="D15" s="1136"/>
      <c r="E15" s="1136"/>
      <c r="F15" s="1136"/>
      <c r="G15" s="1136"/>
      <c r="H15" s="1136"/>
      <c r="I15" s="1136"/>
      <c r="J15" s="1136"/>
      <c r="K15" s="1136"/>
      <c r="L15" s="1136"/>
      <c r="M15" s="1136"/>
      <c r="N15" s="1136"/>
      <c r="O15" s="1136"/>
    </row>
    <row r="16" spans="1:15">
      <c r="A16" s="526" t="s">
        <v>1517</v>
      </c>
      <c r="B16" s="510">
        <v>5000</v>
      </c>
      <c r="C16" s="509">
        <v>0</v>
      </c>
      <c r="D16" s="510">
        <v>5000</v>
      </c>
      <c r="E16" s="509">
        <v>0</v>
      </c>
      <c r="F16" s="509">
        <v>0</v>
      </c>
      <c r="G16" s="509">
        <v>0</v>
      </c>
      <c r="H16" s="509">
        <v>0</v>
      </c>
      <c r="I16" s="510">
        <v>5000</v>
      </c>
      <c r="J16" s="508">
        <v>0</v>
      </c>
      <c r="K16" s="509">
        <v>0</v>
      </c>
      <c r="L16" s="510">
        <v>5000</v>
      </c>
      <c r="M16" s="509">
        <v>0</v>
      </c>
      <c r="N16" s="510">
        <v>5000</v>
      </c>
      <c r="O16" s="511">
        <v>0</v>
      </c>
    </row>
    <row r="17" spans="1:15">
      <c r="A17" s="526" t="s">
        <v>1491</v>
      </c>
      <c r="B17" s="510">
        <v>270379</v>
      </c>
      <c r="C17" s="510">
        <v>91626</v>
      </c>
      <c r="D17" s="510">
        <v>362005</v>
      </c>
      <c r="E17" s="510">
        <v>300661</v>
      </c>
      <c r="F17" s="510">
        <v>61344</v>
      </c>
      <c r="G17" s="509">
        <v>0</v>
      </c>
      <c r="H17" s="510">
        <v>362005</v>
      </c>
      <c r="I17" s="509">
        <v>0</v>
      </c>
      <c r="J17" s="508">
        <v>0</v>
      </c>
      <c r="K17" s="509">
        <v>0</v>
      </c>
      <c r="L17" s="510">
        <v>362005</v>
      </c>
      <c r="M17" s="510">
        <v>362005</v>
      </c>
      <c r="N17" s="510">
        <v>362005</v>
      </c>
      <c r="O17" s="511">
        <v>0</v>
      </c>
    </row>
    <row r="18" spans="1:15">
      <c r="A18" s="526" t="s">
        <v>1518</v>
      </c>
      <c r="B18" s="510">
        <v>17156</v>
      </c>
      <c r="C18" s="510">
        <v>33709.519999999997</v>
      </c>
      <c r="D18" s="510">
        <v>50865.52</v>
      </c>
      <c r="E18" s="510">
        <v>49979</v>
      </c>
      <c r="F18" s="509">
        <v>0</v>
      </c>
      <c r="G18" s="509">
        <v>0</v>
      </c>
      <c r="H18" s="510">
        <v>49979</v>
      </c>
      <c r="I18" s="509">
        <v>0</v>
      </c>
      <c r="J18" s="508">
        <v>886.52</v>
      </c>
      <c r="K18" s="509">
        <v>0</v>
      </c>
      <c r="L18" s="510">
        <v>49979</v>
      </c>
      <c r="M18" s="510">
        <v>49979</v>
      </c>
      <c r="N18" s="510">
        <v>50865.52</v>
      </c>
      <c r="O18" s="511">
        <v>1.7399999999999999E-2</v>
      </c>
    </row>
    <row r="19" spans="1:15" ht="14.45" thickBot="1">
      <c r="A19" s="526" t="s">
        <v>1493</v>
      </c>
      <c r="B19" s="510">
        <v>63668</v>
      </c>
      <c r="C19" s="509">
        <v>997.13</v>
      </c>
      <c r="D19" s="510">
        <v>64665.13</v>
      </c>
      <c r="E19" s="510">
        <v>56215</v>
      </c>
      <c r="F19" s="509">
        <v>0</v>
      </c>
      <c r="G19" s="509">
        <v>0</v>
      </c>
      <c r="H19" s="510">
        <v>56215</v>
      </c>
      <c r="I19" s="510">
        <v>7453</v>
      </c>
      <c r="J19" s="508">
        <v>997.13</v>
      </c>
      <c r="K19" s="509">
        <v>0</v>
      </c>
      <c r="L19" s="510">
        <v>63668</v>
      </c>
      <c r="M19" s="510">
        <v>56215</v>
      </c>
      <c r="N19" s="510">
        <v>64665.13</v>
      </c>
      <c r="O19" s="511">
        <v>1.54E-2</v>
      </c>
    </row>
    <row r="20" spans="1:15">
      <c r="A20" s="527" t="s">
        <v>1494</v>
      </c>
      <c r="B20" s="513">
        <v>356203</v>
      </c>
      <c r="C20" s="513">
        <v>126332.65</v>
      </c>
      <c r="D20" s="513">
        <v>482535.65</v>
      </c>
      <c r="E20" s="513">
        <v>406855</v>
      </c>
      <c r="F20" s="513">
        <v>61344</v>
      </c>
      <c r="G20" s="514">
        <v>0</v>
      </c>
      <c r="H20" s="513">
        <v>468199</v>
      </c>
      <c r="I20" s="513">
        <v>12453</v>
      </c>
      <c r="J20" s="515">
        <v>1883.65</v>
      </c>
      <c r="K20" s="514">
        <v>0</v>
      </c>
      <c r="L20" s="513">
        <v>480652</v>
      </c>
      <c r="M20" s="513">
        <v>468199</v>
      </c>
      <c r="N20" s="513">
        <v>482535.65</v>
      </c>
      <c r="O20" s="516">
        <v>3.8999999999999998E-3</v>
      </c>
    </row>
    <row r="21" spans="1:15" ht="15" customHeight="1">
      <c r="A21" s="1136" t="s">
        <v>894</v>
      </c>
      <c r="B21" s="1136"/>
      <c r="C21" s="1136"/>
      <c r="D21" s="1136"/>
      <c r="E21" s="1136"/>
      <c r="F21" s="1136"/>
      <c r="G21" s="1136"/>
      <c r="H21" s="1136"/>
      <c r="I21" s="1136"/>
      <c r="J21" s="1136"/>
      <c r="K21" s="1136"/>
      <c r="L21" s="1136"/>
      <c r="M21" s="1136"/>
      <c r="N21" s="1136"/>
      <c r="O21" s="1136"/>
    </row>
    <row r="22" spans="1:15">
      <c r="A22" s="526" t="s">
        <v>1495</v>
      </c>
      <c r="B22" s="510">
        <v>525525</v>
      </c>
      <c r="C22" s="517">
        <v>-14904.59</v>
      </c>
      <c r="D22" s="510">
        <v>510620.41</v>
      </c>
      <c r="E22" s="510">
        <v>505195</v>
      </c>
      <c r="F22" s="509">
        <v>0</v>
      </c>
      <c r="G22" s="509">
        <v>0</v>
      </c>
      <c r="H22" s="510">
        <v>505195</v>
      </c>
      <c r="I22" s="509">
        <v>0</v>
      </c>
      <c r="J22" s="507">
        <v>483702.66</v>
      </c>
      <c r="K22" s="509">
        <v>0</v>
      </c>
      <c r="L22" s="510">
        <v>26917.75</v>
      </c>
      <c r="M22" s="510">
        <v>26917.75</v>
      </c>
      <c r="N22" s="510">
        <v>510620.41</v>
      </c>
      <c r="O22" s="511">
        <v>0.94730000000000003</v>
      </c>
    </row>
    <row r="23" spans="1:15">
      <c r="A23" s="526" t="s">
        <v>1496</v>
      </c>
      <c r="B23" s="510">
        <v>28816</v>
      </c>
      <c r="C23" s="517">
        <v>-2217.39</v>
      </c>
      <c r="D23" s="510">
        <v>26598.61</v>
      </c>
      <c r="E23" s="510">
        <v>26316</v>
      </c>
      <c r="F23" s="509">
        <v>0</v>
      </c>
      <c r="G23" s="509">
        <v>0</v>
      </c>
      <c r="H23" s="510">
        <v>26316</v>
      </c>
      <c r="I23" s="509">
        <v>0</v>
      </c>
      <c r="J23" s="507">
        <v>25282.81</v>
      </c>
      <c r="K23" s="509">
        <v>0</v>
      </c>
      <c r="L23" s="510">
        <v>1315.8</v>
      </c>
      <c r="M23" s="510">
        <v>1315.8</v>
      </c>
      <c r="N23" s="510">
        <v>26598.61</v>
      </c>
      <c r="O23" s="511">
        <v>0.95050000000000001</v>
      </c>
    </row>
    <row r="24" spans="1:15">
      <c r="A24" s="526" t="s">
        <v>1497</v>
      </c>
      <c r="B24" s="510">
        <v>102912</v>
      </c>
      <c r="C24" s="510">
        <v>4980.2</v>
      </c>
      <c r="D24" s="510">
        <v>107892.2</v>
      </c>
      <c r="E24" s="510">
        <v>102912</v>
      </c>
      <c r="F24" s="509">
        <v>0</v>
      </c>
      <c r="G24" s="509">
        <v>0</v>
      </c>
      <c r="H24" s="510">
        <v>102912</v>
      </c>
      <c r="I24" s="510">
        <v>3875</v>
      </c>
      <c r="J24" s="507">
        <v>1105.2</v>
      </c>
      <c r="K24" s="509">
        <v>0</v>
      </c>
      <c r="L24" s="510">
        <v>106787</v>
      </c>
      <c r="M24" s="510">
        <v>102912</v>
      </c>
      <c r="N24" s="510">
        <v>107892.2</v>
      </c>
      <c r="O24" s="511">
        <v>1.0200000000000001E-2</v>
      </c>
    </row>
    <row r="25" spans="1:15" ht="14.45" thickBot="1">
      <c r="A25" s="526" t="s">
        <v>1512</v>
      </c>
      <c r="B25" s="510">
        <v>40000</v>
      </c>
      <c r="C25" s="509">
        <v>709.34</v>
      </c>
      <c r="D25" s="510">
        <v>40709.339999999997</v>
      </c>
      <c r="E25" s="510">
        <v>40176</v>
      </c>
      <c r="F25" s="509">
        <v>0</v>
      </c>
      <c r="G25" s="509">
        <v>0</v>
      </c>
      <c r="H25" s="510">
        <v>40176</v>
      </c>
      <c r="I25" s="509">
        <v>0</v>
      </c>
      <c r="J25" s="507">
        <v>34569.54</v>
      </c>
      <c r="K25" s="509">
        <v>0</v>
      </c>
      <c r="L25" s="510">
        <v>6139.8</v>
      </c>
      <c r="M25" s="510">
        <v>6139.8</v>
      </c>
      <c r="N25" s="510">
        <v>40709.339999999997</v>
      </c>
      <c r="O25" s="511">
        <v>0.84919999999999995</v>
      </c>
    </row>
    <row r="26" spans="1:15">
      <c r="A26" s="527" t="s">
        <v>1498</v>
      </c>
      <c r="B26" s="513">
        <v>697253</v>
      </c>
      <c r="C26" s="518">
        <v>-11432.44</v>
      </c>
      <c r="D26" s="513">
        <v>685820.56</v>
      </c>
      <c r="E26" s="513">
        <v>674599</v>
      </c>
      <c r="F26" s="514">
        <v>0</v>
      </c>
      <c r="G26" s="514">
        <v>0</v>
      </c>
      <c r="H26" s="513">
        <v>674599</v>
      </c>
      <c r="I26" s="513">
        <v>3875</v>
      </c>
      <c r="J26" s="515">
        <v>544660.21</v>
      </c>
      <c r="K26" s="514">
        <v>0</v>
      </c>
      <c r="L26" s="513">
        <v>141160.35</v>
      </c>
      <c r="M26" s="513">
        <v>137285.35</v>
      </c>
      <c r="N26" s="513">
        <v>685820.56</v>
      </c>
      <c r="O26" s="516">
        <v>0.79420000000000002</v>
      </c>
    </row>
    <row r="27" spans="1:15" ht="15" customHeight="1">
      <c r="A27" s="1136" t="s">
        <v>895</v>
      </c>
      <c r="B27" s="1136"/>
      <c r="C27" s="1136"/>
      <c r="D27" s="1136"/>
      <c r="E27" s="1136"/>
      <c r="F27" s="1136"/>
      <c r="G27" s="1136"/>
      <c r="H27" s="1136"/>
      <c r="I27" s="1136"/>
      <c r="J27" s="1136"/>
      <c r="K27" s="1136"/>
      <c r="L27" s="1136"/>
      <c r="M27" s="1136"/>
      <c r="N27" s="1136"/>
      <c r="O27" s="1136"/>
    </row>
    <row r="28" spans="1:15" ht="14.45" thickBot="1">
      <c r="A28" s="526" t="s">
        <v>1499</v>
      </c>
      <c r="B28" s="510">
        <v>15000</v>
      </c>
      <c r="C28" s="510">
        <v>34600</v>
      </c>
      <c r="D28" s="510">
        <v>49600</v>
      </c>
      <c r="E28" s="509">
        <v>0</v>
      </c>
      <c r="F28" s="509">
        <v>0</v>
      </c>
      <c r="G28" s="509">
        <v>0</v>
      </c>
      <c r="H28" s="509">
        <v>0</v>
      </c>
      <c r="I28" s="510">
        <v>49600</v>
      </c>
      <c r="J28" s="508">
        <v>0</v>
      </c>
      <c r="K28" s="509">
        <v>0</v>
      </c>
      <c r="L28" s="510">
        <v>49600</v>
      </c>
      <c r="M28" s="509">
        <v>0</v>
      </c>
      <c r="N28" s="510">
        <v>49600</v>
      </c>
      <c r="O28" s="511">
        <v>0</v>
      </c>
    </row>
    <row r="29" spans="1:15" ht="14.45" thickBot="1">
      <c r="A29" s="527" t="s">
        <v>1500</v>
      </c>
      <c r="B29" s="513">
        <v>15000</v>
      </c>
      <c r="C29" s="513">
        <v>34600</v>
      </c>
      <c r="D29" s="513">
        <v>49600</v>
      </c>
      <c r="E29" s="514">
        <v>0</v>
      </c>
      <c r="F29" s="514">
        <v>0</v>
      </c>
      <c r="G29" s="514">
        <v>0</v>
      </c>
      <c r="H29" s="514">
        <v>0</v>
      </c>
      <c r="I29" s="513">
        <v>49600</v>
      </c>
      <c r="J29" s="519">
        <v>0</v>
      </c>
      <c r="K29" s="514">
        <v>0</v>
      </c>
      <c r="L29" s="513">
        <v>49600</v>
      </c>
      <c r="M29" s="514">
        <v>0</v>
      </c>
      <c r="N29" s="513">
        <v>49600</v>
      </c>
      <c r="O29" s="516">
        <v>0</v>
      </c>
    </row>
    <row r="30" spans="1:15" ht="14.45" thickBot="1">
      <c r="A30" s="528" t="s">
        <v>119</v>
      </c>
      <c r="B30" s="513">
        <v>1390639</v>
      </c>
      <c r="C30" s="513">
        <v>327949.59000000003</v>
      </c>
      <c r="D30" s="513">
        <v>1718588.59</v>
      </c>
      <c r="E30" s="513">
        <v>1560724</v>
      </c>
      <c r="F30" s="513">
        <v>61344</v>
      </c>
      <c r="G30" s="514">
        <v>0</v>
      </c>
      <c r="H30" s="513">
        <v>1622068</v>
      </c>
      <c r="I30" s="513">
        <v>77776</v>
      </c>
      <c r="J30" s="515">
        <v>556058.24</v>
      </c>
      <c r="K30" s="513">
        <v>3152</v>
      </c>
      <c r="L30" s="513">
        <v>1162530.3500000001</v>
      </c>
      <c r="M30" s="513">
        <v>1084754.3500000001</v>
      </c>
      <c r="N30" s="513">
        <v>1718588.59</v>
      </c>
      <c r="O30" s="516">
        <v>0.3236</v>
      </c>
    </row>
    <row r="31" spans="1:15" ht="14.45" thickBot="1">
      <c r="A31" s="529" t="s">
        <v>1504</v>
      </c>
      <c r="B31" s="513">
        <v>1390639</v>
      </c>
      <c r="C31" s="513">
        <v>327949.59000000003</v>
      </c>
      <c r="D31" s="513">
        <v>1718588.59</v>
      </c>
      <c r="E31" s="513">
        <v>1560724</v>
      </c>
      <c r="F31" s="513">
        <v>61344</v>
      </c>
      <c r="G31" s="514">
        <v>0</v>
      </c>
      <c r="H31" s="513">
        <v>1622068</v>
      </c>
      <c r="I31" s="513">
        <v>77776</v>
      </c>
      <c r="J31" s="515">
        <v>556058.24</v>
      </c>
      <c r="K31" s="513">
        <v>3152</v>
      </c>
      <c r="L31" s="513">
        <v>1162530.3500000001</v>
      </c>
      <c r="M31" s="513">
        <v>1084754.3500000001</v>
      </c>
      <c r="N31" s="513">
        <v>1718588.59</v>
      </c>
      <c r="O31" s="516">
        <v>0.3236</v>
      </c>
    </row>
    <row r="32" spans="1:15" ht="14.45" thickBot="1">
      <c r="A32" s="512" t="s">
        <v>1505</v>
      </c>
      <c r="B32" s="513">
        <v>1390639</v>
      </c>
      <c r="C32" s="513">
        <v>327949.59000000003</v>
      </c>
      <c r="D32" s="513">
        <v>1718588.59</v>
      </c>
      <c r="E32" s="513">
        <v>1560724</v>
      </c>
      <c r="F32" s="513">
        <v>61344</v>
      </c>
      <c r="G32" s="514">
        <v>0</v>
      </c>
      <c r="H32" s="513">
        <v>1622068</v>
      </c>
      <c r="I32" s="513">
        <v>77776</v>
      </c>
      <c r="J32" s="515">
        <v>556058.24</v>
      </c>
      <c r="K32" s="513">
        <v>3152</v>
      </c>
      <c r="L32" s="513">
        <v>1162530.3500000001</v>
      </c>
      <c r="M32" s="513">
        <v>1084754.3500000001</v>
      </c>
      <c r="N32" s="513">
        <v>1718588.59</v>
      </c>
      <c r="O32" s="516">
        <v>0.3236</v>
      </c>
    </row>
    <row r="33" spans="1:15">
      <c r="A33" s="512" t="s">
        <v>1506</v>
      </c>
      <c r="B33" s="513">
        <v>1390639</v>
      </c>
      <c r="C33" s="513">
        <v>327949.59000000003</v>
      </c>
      <c r="D33" s="513">
        <v>1718588.59</v>
      </c>
      <c r="E33" s="513">
        <v>1560724</v>
      </c>
      <c r="F33" s="513">
        <v>61344</v>
      </c>
      <c r="G33" s="514">
        <v>0</v>
      </c>
      <c r="H33" s="513">
        <v>1622068</v>
      </c>
      <c r="I33" s="513">
        <v>77776</v>
      </c>
      <c r="J33" s="515">
        <v>556058.24</v>
      </c>
      <c r="K33" s="513">
        <v>3152</v>
      </c>
      <c r="L33" s="513">
        <v>1162530.3500000001</v>
      </c>
      <c r="M33" s="513">
        <v>1084754.3500000001</v>
      </c>
      <c r="N33" s="513">
        <v>1718588.59</v>
      </c>
      <c r="O33" s="516">
        <v>0.3236</v>
      </c>
    </row>
    <row r="34" spans="1:15">
      <c r="A34" s="526"/>
      <c r="B34" s="509"/>
      <c r="C34" s="509"/>
      <c r="D34" s="509"/>
      <c r="E34" s="509"/>
      <c r="F34" s="509"/>
      <c r="G34" s="509"/>
      <c r="H34" s="509"/>
      <c r="I34" s="509"/>
      <c r="J34" s="509"/>
      <c r="K34" s="509"/>
      <c r="L34" s="509"/>
      <c r="M34" s="509"/>
      <c r="N34" s="509"/>
      <c r="O34" s="509"/>
    </row>
    <row r="35" spans="1:15">
      <c r="A35" s="1132" t="s">
        <v>1519</v>
      </c>
      <c r="B35" s="1132"/>
      <c r="C35" s="1132"/>
      <c r="D35" s="1132"/>
      <c r="E35" s="1132"/>
      <c r="F35" s="1132"/>
      <c r="G35" s="1132"/>
      <c r="H35" s="1132"/>
      <c r="I35" s="1132"/>
      <c r="J35" s="1132"/>
      <c r="K35" s="1132"/>
      <c r="L35" s="1132"/>
      <c r="M35" s="1132"/>
      <c r="N35" s="1132"/>
      <c r="O35" s="1132"/>
    </row>
  </sheetData>
  <mergeCells count="25">
    <mergeCell ref="A35:O35"/>
    <mergeCell ref="O5:O6"/>
    <mergeCell ref="A7:O7"/>
    <mergeCell ref="A8:O8"/>
    <mergeCell ref="H5:H6"/>
    <mergeCell ref="I5:I6"/>
    <mergeCell ref="J5:J6"/>
    <mergeCell ref="K5:K6"/>
    <mergeCell ref="M5:M6"/>
    <mergeCell ref="N5:N6"/>
    <mergeCell ref="A9:O9"/>
    <mergeCell ref="A12:O12"/>
    <mergeCell ref="A15:O15"/>
    <mergeCell ref="A21:O21"/>
    <mergeCell ref="A27:O27"/>
    <mergeCell ref="A1:O1"/>
    <mergeCell ref="A2:O2"/>
    <mergeCell ref="A3:O3"/>
    <mergeCell ref="A5:A6"/>
    <mergeCell ref="B5:B6"/>
    <mergeCell ref="C5:C6"/>
    <mergeCell ref="D5:D6"/>
    <mergeCell ref="E5:E6"/>
    <mergeCell ref="F5:F6"/>
    <mergeCell ref="G5:G6"/>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C673-D89C-4DCA-B00B-42289685D44A}">
  <dimension ref="A1:D21"/>
  <sheetViews>
    <sheetView workbookViewId="0">
      <selection activeCell="F22" sqref="F22"/>
    </sheetView>
  </sheetViews>
  <sheetFormatPr defaultRowHeight="14.45"/>
  <cols>
    <col min="1" max="1" width="35" bestFit="1" customWidth="1"/>
    <col min="2" max="2" width="44.28515625" bestFit="1" customWidth="1"/>
    <col min="3" max="3" width="15.140625" bestFit="1" customWidth="1"/>
    <col min="4" max="4" width="11.5703125" bestFit="1" customWidth="1"/>
  </cols>
  <sheetData>
    <row r="1" spans="1:4">
      <c r="A1" s="487" t="s">
        <v>1520</v>
      </c>
      <c r="B1" s="487"/>
      <c r="C1" s="487"/>
    </row>
    <row r="2" spans="1:4">
      <c r="A2" s="523" t="s">
        <v>203</v>
      </c>
      <c r="B2" s="523" t="s">
        <v>1521</v>
      </c>
      <c r="C2" s="523" t="s">
        <v>1522</v>
      </c>
    </row>
    <row r="3" spans="1:4">
      <c r="A3" t="s">
        <v>1487</v>
      </c>
      <c r="B3" t="s">
        <v>1523</v>
      </c>
      <c r="C3" s="520">
        <v>1947.5</v>
      </c>
    </row>
    <row r="4" spans="1:4">
      <c r="A4" t="s">
        <v>1487</v>
      </c>
      <c r="B4" t="s">
        <v>1524</v>
      </c>
      <c r="C4" s="520">
        <v>5258</v>
      </c>
      <c r="D4" s="521">
        <f>C4+C3</f>
        <v>7205.5</v>
      </c>
    </row>
    <row r="5" spans="1:4">
      <c r="A5" t="s">
        <v>1489</v>
      </c>
      <c r="B5" t="s">
        <v>1525</v>
      </c>
      <c r="C5" s="520">
        <v>60841.31</v>
      </c>
    </row>
    <row r="6" spans="1:4">
      <c r="A6" t="s">
        <v>1489</v>
      </c>
      <c r="B6" t="s">
        <v>1526</v>
      </c>
      <c r="C6" s="520">
        <v>0</v>
      </c>
    </row>
    <row r="7" spans="1:4">
      <c r="A7" t="s">
        <v>1527</v>
      </c>
      <c r="B7" t="s">
        <v>1528</v>
      </c>
      <c r="C7" s="520">
        <v>38525</v>
      </c>
    </row>
    <row r="8" spans="1:4">
      <c r="A8" t="s">
        <v>1511</v>
      </c>
      <c r="B8" t="s">
        <v>1529</v>
      </c>
      <c r="C8" s="520">
        <v>0</v>
      </c>
    </row>
    <row r="9" spans="1:4">
      <c r="A9" t="s">
        <v>1511</v>
      </c>
      <c r="B9" t="s">
        <v>1530</v>
      </c>
      <c r="C9" s="520">
        <v>0</v>
      </c>
    </row>
    <row r="10" spans="1:4">
      <c r="A10" t="s">
        <v>1491</v>
      </c>
      <c r="B10" t="s">
        <v>1531</v>
      </c>
      <c r="C10" s="520">
        <v>50353.75</v>
      </c>
      <c r="D10" s="521">
        <f>C10+C7</f>
        <v>88878.75</v>
      </c>
    </row>
    <row r="11" spans="1:4">
      <c r="A11" t="s">
        <v>1492</v>
      </c>
      <c r="B11" t="s">
        <v>1532</v>
      </c>
      <c r="C11" s="520">
        <v>30354.5</v>
      </c>
    </row>
    <row r="12" spans="1:4">
      <c r="A12" t="s">
        <v>1493</v>
      </c>
      <c r="B12" t="s">
        <v>1533</v>
      </c>
      <c r="C12" s="520">
        <v>21193.1</v>
      </c>
    </row>
    <row r="13" spans="1:4">
      <c r="A13" t="s">
        <v>1495</v>
      </c>
      <c r="B13" t="s">
        <v>1534</v>
      </c>
      <c r="C13" s="520">
        <v>0</v>
      </c>
    </row>
    <row r="14" spans="1:4">
      <c r="A14" t="s">
        <v>1495</v>
      </c>
      <c r="B14" t="s">
        <v>1535</v>
      </c>
      <c r="C14" s="520">
        <v>5491.33</v>
      </c>
    </row>
    <row r="15" spans="1:4">
      <c r="A15" t="s">
        <v>1495</v>
      </c>
      <c r="B15" t="s">
        <v>1536</v>
      </c>
      <c r="C15" s="520">
        <v>712048.82</v>
      </c>
    </row>
    <row r="16" spans="1:4">
      <c r="A16" t="s">
        <v>1496</v>
      </c>
      <c r="B16" t="s">
        <v>1537</v>
      </c>
      <c r="C16" s="520">
        <v>0</v>
      </c>
    </row>
    <row r="17" spans="1:3">
      <c r="A17" t="s">
        <v>1512</v>
      </c>
      <c r="B17" t="s">
        <v>1538</v>
      </c>
      <c r="C17" s="520">
        <v>0</v>
      </c>
    </row>
    <row r="18" spans="1:3">
      <c r="A18" t="s">
        <v>1539</v>
      </c>
      <c r="B18" t="s">
        <v>1540</v>
      </c>
      <c r="C18" s="520">
        <v>0</v>
      </c>
    </row>
    <row r="19" spans="1:3">
      <c r="A19" t="s">
        <v>1499</v>
      </c>
      <c r="B19" t="s">
        <v>1541</v>
      </c>
      <c r="C19" s="520">
        <v>0</v>
      </c>
    </row>
    <row r="20" spans="1:3">
      <c r="A20" s="479" t="s">
        <v>1499</v>
      </c>
      <c r="B20" s="479" t="s">
        <v>1542</v>
      </c>
      <c r="C20" s="525">
        <v>0</v>
      </c>
    </row>
    <row r="21" spans="1:3">
      <c r="A21" s="524" t="s">
        <v>1543</v>
      </c>
      <c r="C21" s="522">
        <f>SUM(C3:C20)</f>
        <v>926013.30999999994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117A48C4ED034C8E36595417A70FA7" ma:contentTypeVersion="13" ma:contentTypeDescription="Create a new document." ma:contentTypeScope="" ma:versionID="beda784ec6848bd6b033ef57eda2c7f3">
  <xsd:schema xmlns:xsd="http://www.w3.org/2001/XMLSchema" xmlns:xs="http://www.w3.org/2001/XMLSchema" xmlns:p="http://schemas.microsoft.com/office/2006/metadata/properties" xmlns:ns2="2ef068e7-c9bb-4725-97f3-1c2dc85159f3" xmlns:ns3="4e92597e-5b46-4d1b-902f-47e9ae7c3c22" targetNamespace="http://schemas.microsoft.com/office/2006/metadata/properties" ma:root="true" ma:fieldsID="48345bc7d524223f544a20acb54cdae8" ns2:_="" ns3:_="">
    <xsd:import namespace="2ef068e7-c9bb-4725-97f3-1c2dc85159f3"/>
    <xsd:import namespace="4e92597e-5b46-4d1b-902f-47e9ae7c3c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068e7-c9bb-4725-97f3-1c2dc85159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8da4bc3-7db5-4444-a7c1-2e26fae20a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2597e-5b46-4d1b-902f-47e9ae7c3c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403f9da-2e20-4aac-a6a2-483043c2b3f0}" ma:internalName="TaxCatchAll" ma:showField="CatchAllData" ma:web="4e92597e-5b46-4d1b-902f-47e9ae7c3c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f068e7-c9bb-4725-97f3-1c2dc85159f3">
      <Terms xmlns="http://schemas.microsoft.com/office/infopath/2007/PartnerControls"/>
    </lcf76f155ced4ddcb4097134ff3c332f>
    <TaxCatchAll xmlns="4e92597e-5b46-4d1b-902f-47e9ae7c3c2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AE6C6A-0D33-4986-8613-806C2C3F322A}"/>
</file>

<file path=customXml/itemProps2.xml><?xml version="1.0" encoding="utf-8"?>
<ds:datastoreItem xmlns:ds="http://schemas.openxmlformats.org/officeDocument/2006/customXml" ds:itemID="{C3A83DA4-2F47-4D13-A40A-E602F1E66AD5}"/>
</file>

<file path=customXml/itemProps3.xml><?xml version="1.0" encoding="utf-8"?>
<ds:datastoreItem xmlns:ds="http://schemas.openxmlformats.org/officeDocument/2006/customXml" ds:itemID="{D0B9CD29-CBF2-4170-A229-3F7BF74EBD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Alvarez</dc:creator>
  <cp:keywords/>
  <dc:description/>
  <cp:lastModifiedBy/>
  <cp:revision/>
  <dcterms:created xsi:type="dcterms:W3CDTF">2024-07-09T19:23:16Z</dcterms:created>
  <dcterms:modified xsi:type="dcterms:W3CDTF">2026-06-17T18:02:18Z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0x01010056117A48C4ED034C8E36595417A70FA7</vt:lpwstr>
  </property>
  <property fmtid="{D5CDD505-2E9C-101B-9397-08002B2CF9AE}" pid="3" name="MediaServiceImageTags">
    <vt:lpwstr/>
  </property>
  <property fmtid="{D5CDD505-2E9C-101B-9397-08002B2CF9AE}" pid="4" name="_ExtendedDescription">
    <vt:lpwstr/>
  </property>
</Properties>
</file>